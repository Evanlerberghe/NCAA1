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Downloads\"/>
    </mc:Choice>
  </mc:AlternateContent>
  <xr:revisionPtr revIDLastSave="0" documentId="13_ncr:1_{2915BAE4-589A-4F39-8252-6DF5175E8C01}" xr6:coauthVersionLast="47" xr6:coauthVersionMax="47" xr10:uidLastSave="{00000000-0000-0000-0000-000000000000}"/>
  <bookViews>
    <workbookView xWindow="-120" yWindow="-120" windowWidth="29040" windowHeight="15720" xr2:uid="{BF966F32-CAE8-4BC5-8E27-E8E535FFB217}"/>
  </bookViews>
  <sheets>
    <sheet name="Dashboard" sheetId="31" r:id="rId1"/>
    <sheet name="Sheet1" sheetId="37" state="hidden" r:id="rId2"/>
    <sheet name="Bracket" sheetId="36" r:id="rId3"/>
    <sheet name="Junk" sheetId="32" state="hidden" r:id="rId4"/>
    <sheet name="2000" sheetId="3" state="hidden" r:id="rId5"/>
    <sheet name="2001" sheetId="4" state="hidden" r:id="rId6"/>
    <sheet name="2002" sheetId="5" state="hidden" r:id="rId7"/>
    <sheet name="2003" sheetId="6" state="hidden" r:id="rId8"/>
    <sheet name="2004" sheetId="7" state="hidden" r:id="rId9"/>
    <sheet name="2005" sheetId="8" state="hidden" r:id="rId10"/>
    <sheet name="2006" sheetId="9" state="hidden" r:id="rId11"/>
    <sheet name="2007" sheetId="10" state="hidden" r:id="rId12"/>
    <sheet name="2008" sheetId="11" state="hidden" r:id="rId13"/>
    <sheet name="2009" sheetId="12" state="hidden" r:id="rId14"/>
    <sheet name="2010" sheetId="13" state="hidden" r:id="rId15"/>
    <sheet name="2011" sheetId="14" state="hidden" r:id="rId16"/>
    <sheet name="2012" sheetId="15" state="hidden" r:id="rId17"/>
    <sheet name="2013" sheetId="16" state="hidden" r:id="rId18"/>
    <sheet name="2014" sheetId="17" state="hidden" r:id="rId19"/>
    <sheet name="2015" sheetId="18" state="hidden" r:id="rId20"/>
    <sheet name="2016" sheetId="19" state="hidden" r:id="rId21"/>
    <sheet name="2017" sheetId="20" state="hidden" r:id="rId22"/>
    <sheet name="2018" sheetId="21" state="hidden" r:id="rId23"/>
    <sheet name="2019" sheetId="22" state="hidden" r:id="rId24"/>
    <sheet name="2021 (3-7)" sheetId="23" state="hidden" r:id="rId25"/>
    <sheet name="2021" sheetId="27" state="hidden" r:id="rId26"/>
  </sheets>
  <definedNames>
    <definedName name="ExternalData_1" localSheetId="4" hidden="1">'2000'!$A$1:$Q$319</definedName>
    <definedName name="ExternalData_1" localSheetId="5" hidden="1">'2001'!$A$1:$Q$319</definedName>
    <definedName name="ExternalData_1" localSheetId="6" hidden="1">'2002'!$A$1:$Q$322</definedName>
    <definedName name="ExternalData_1" localSheetId="7" hidden="1">'2003'!$A$1:$Q$328</definedName>
    <definedName name="ExternalData_1" localSheetId="8" hidden="1">'2004'!$A$1:$Q$327</definedName>
    <definedName name="ExternalData_1" localSheetId="9" hidden="1">'2005'!$A$1:$Q$331</definedName>
    <definedName name="ExternalData_1" localSheetId="10" hidden="1">'2006'!$A$1:$Q$336</definedName>
    <definedName name="ExternalData_1" localSheetId="11" hidden="1">'2007'!$A$1:$Q$338</definedName>
    <definedName name="ExternalData_1" localSheetId="12" hidden="1">'2008'!$A$1:$Q$342</definedName>
    <definedName name="ExternalData_1" localSheetId="13" hidden="1">'2009'!$A$1:$Q$345</definedName>
    <definedName name="ExternalData_1" localSheetId="14" hidden="1">'2010'!$A$1:$Q$348</definedName>
    <definedName name="ExternalData_1" localSheetId="15" hidden="1">'2011'!$A$1:$Q$346</definedName>
    <definedName name="ExternalData_1" localSheetId="16" hidden="1">'2012'!$A$1:$Q$345</definedName>
    <definedName name="ExternalData_1" localSheetId="17" hidden="1">'2013'!$A$1:$Q$348</definedName>
    <definedName name="ExternalData_1" localSheetId="18" hidden="1">'2014'!$A$1:$Q$352</definedName>
    <definedName name="ExternalData_1" localSheetId="19" hidden="1">'2015'!$A$1:$Q$352</definedName>
    <definedName name="ExternalData_1" localSheetId="20" hidden="1">'2016'!$A$1:$Q$352</definedName>
    <definedName name="ExternalData_1" localSheetId="21" hidden="1">'2017'!$A$1:$Q$352</definedName>
    <definedName name="ExternalData_1" localSheetId="22" hidden="1">'2018'!$A$1:$Q$352</definedName>
    <definedName name="ExternalData_1" localSheetId="23" hidden="1">'2019'!$A$1:$Q$354</definedName>
    <definedName name="ExternalData_1" localSheetId="25" hidden="1">'2021'!$A$1:$Q$357</definedName>
    <definedName name="ExternalData_1" localSheetId="24" hidden="1">'2021 (3-7)'!$A$1:$Q$357</definedName>
    <definedName name="_xlnm.Print_Area" localSheetId="2">Bracket!$B$2:$S$71</definedName>
    <definedName name="Round1">"A4:C4"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5" i="31" l="1"/>
  <c r="X2" i="31" l="1"/>
  <c r="W27" i="31" s="1" a="1"/>
  <c r="N58" i="31" l="1"/>
  <c r="N63" i="31" s="1"/>
  <c r="X28" i="32" a="1"/>
  <c r="X27" i="32" a="1"/>
  <c r="X26" i="32" a="1"/>
  <c r="X25" i="32" a="1"/>
  <c r="X24" i="32" a="1"/>
  <c r="X23" i="32" a="1"/>
  <c r="X22" i="32" a="1"/>
  <c r="X21" i="32" a="1"/>
  <c r="X20" i="32" a="1"/>
  <c r="X19" i="32" a="1"/>
  <c r="X18" i="32" a="1"/>
  <c r="X17" i="32" a="1"/>
  <c r="X16" i="32" a="1"/>
  <c r="X15" i="32" a="1"/>
  <c r="X14" i="32" a="1"/>
  <c r="X13" i="32" a="1"/>
  <c r="X12" i="32" a="1"/>
  <c r="X11" i="32" a="1"/>
  <c r="X10" i="32" a="1"/>
  <c r="X9" i="32" a="1"/>
  <c r="X8" i="32" a="1"/>
  <c r="AD27" i="31"/>
  <c r="AL27" i="31"/>
  <c r="AE27" i="31"/>
  <c r="X27" i="31"/>
  <c r="AG27" i="31"/>
  <c r="Z27" i="31"/>
  <c r="AI27" i="31"/>
  <c r="AB27" i="31"/>
  <c r="AC27" i="31"/>
  <c r="W27" i="31"/>
  <c r="AF27" i="31"/>
  <c r="Y27" i="31"/>
  <c r="AH27" i="31"/>
  <c r="AA27" i="31"/>
  <c r="AJ27" i="31"/>
  <c r="AK27" i="31"/>
  <c r="W25" i="31" a="1"/>
  <c r="AD25" i="31" s="1"/>
  <c r="W26" i="31" a="1"/>
  <c r="W23" i="31" a="1"/>
  <c r="W23" i="31" s="1"/>
  <c r="W24" i="31" a="1"/>
  <c r="W21" i="31" a="1"/>
  <c r="AI21" i="31" s="1"/>
  <c r="W22" i="31" a="1"/>
  <c r="W19" i="31" a="1"/>
  <c r="X19" i="31" s="1"/>
  <c r="W20" i="31" a="1"/>
  <c r="W17" i="31" a="1"/>
  <c r="Z17" i="31" s="1"/>
  <c r="W18" i="31" a="1"/>
  <c r="W15" i="31" a="1"/>
  <c r="AC15" i="31" s="1"/>
  <c r="W16" i="31" a="1"/>
  <c r="W13" i="31" a="1"/>
  <c r="AD13" i="31" s="1"/>
  <c r="W14" i="31" a="1"/>
  <c r="W11" i="31" a="1"/>
  <c r="W11" i="31" s="1"/>
  <c r="W12" i="31" a="1"/>
  <c r="W9" i="31" a="1"/>
  <c r="AD9" i="31" s="1"/>
  <c r="W10" i="31" a="1"/>
  <c r="W7" i="31" a="1"/>
  <c r="AD7" i="31" s="1"/>
  <c r="W8" i="31" a="1"/>
  <c r="AH28" i="32" l="1"/>
  <c r="Z28" i="32"/>
  <c r="AG28" i="32"/>
  <c r="Y28" i="32"/>
  <c r="AF28" i="32"/>
  <c r="X28" i="32"/>
  <c r="AE28" i="32"/>
  <c r="AD28" i="32"/>
  <c r="AB28" i="32"/>
  <c r="AI28" i="32"/>
  <c r="AM28" i="32"/>
  <c r="AL28" i="32"/>
  <c r="AK28" i="32"/>
  <c r="AC28" i="32"/>
  <c r="AJ28" i="32"/>
  <c r="AA28" i="32"/>
  <c r="AH27" i="32"/>
  <c r="Z27" i="32"/>
  <c r="AG27" i="32"/>
  <c r="Y27" i="32"/>
  <c r="AI27" i="32"/>
  <c r="AF27" i="32"/>
  <c r="X27" i="32"/>
  <c r="AB27" i="32"/>
  <c r="AA27" i="32"/>
  <c r="AM27" i="32"/>
  <c r="AE27" i="32"/>
  <c r="AL27" i="32"/>
  <c r="AD27" i="32"/>
  <c r="AK27" i="32"/>
  <c r="AC27" i="32"/>
  <c r="AJ27" i="32"/>
  <c r="AH26" i="32"/>
  <c r="Z26" i="32"/>
  <c r="AG26" i="32"/>
  <c r="Y26" i="32"/>
  <c r="AF26" i="32"/>
  <c r="X26" i="32"/>
  <c r="AM26" i="32"/>
  <c r="AE26" i="32"/>
  <c r="AJ26" i="32"/>
  <c r="AA26" i="32"/>
  <c r="AL26" i="32"/>
  <c r="AD26" i="32"/>
  <c r="AK26" i="32"/>
  <c r="AC26" i="32"/>
  <c r="AB26" i="32"/>
  <c r="AI26" i="32"/>
  <c r="AH25" i="32"/>
  <c r="Z25" i="32"/>
  <c r="AG25" i="32"/>
  <c r="Y25" i="32"/>
  <c r="AF25" i="32"/>
  <c r="X25" i="32"/>
  <c r="AE25" i="32"/>
  <c r="AL25" i="32"/>
  <c r="AB25" i="32"/>
  <c r="AI25" i="32"/>
  <c r="AA25" i="32"/>
  <c r="AM25" i="32"/>
  <c r="AD25" i="32"/>
  <c r="AK25" i="32"/>
  <c r="AC25" i="32"/>
  <c r="AJ25" i="32"/>
  <c r="AH24" i="32"/>
  <c r="Z24" i="32"/>
  <c r="AG24" i="32"/>
  <c r="Y24" i="32"/>
  <c r="AF24" i="32"/>
  <c r="X24" i="32"/>
  <c r="AJ24" i="32"/>
  <c r="AM24" i="32"/>
  <c r="AE24" i="32"/>
  <c r="AL24" i="32"/>
  <c r="AD24" i="32"/>
  <c r="AK24" i="32"/>
  <c r="AC24" i="32"/>
  <c r="AB24" i="32"/>
  <c r="AI24" i="32"/>
  <c r="AA24" i="32"/>
  <c r="AH23" i="32"/>
  <c r="Z23" i="32"/>
  <c r="AG23" i="32"/>
  <c r="Y23" i="32"/>
  <c r="AF23" i="32"/>
  <c r="X23" i="32"/>
  <c r="AM23" i="32"/>
  <c r="AE23" i="32"/>
  <c r="AD23" i="32"/>
  <c r="AI23" i="32"/>
  <c r="AL23" i="32"/>
  <c r="AC23" i="32"/>
  <c r="AB23" i="32"/>
  <c r="AA23" i="32"/>
  <c r="AK23" i="32"/>
  <c r="AJ23" i="32"/>
  <c r="AH22" i="32"/>
  <c r="Z22" i="32"/>
  <c r="AG22" i="32"/>
  <c r="Y22" i="32"/>
  <c r="AL22" i="32"/>
  <c r="AB22" i="32"/>
  <c r="AI22" i="32"/>
  <c r="AA22" i="32"/>
  <c r="AF22" i="32"/>
  <c r="X22" i="32"/>
  <c r="AD22" i="32"/>
  <c r="AK22" i="32"/>
  <c r="AC22" i="32"/>
  <c r="AJ22" i="32"/>
  <c r="AM22" i="32"/>
  <c r="AE22" i="32"/>
  <c r="AH21" i="32"/>
  <c r="Z21" i="32"/>
  <c r="AG21" i="32"/>
  <c r="Y21" i="32"/>
  <c r="AF21" i="32"/>
  <c r="X21" i="32"/>
  <c r="AM21" i="32"/>
  <c r="AE21" i="32"/>
  <c r="AB21" i="32"/>
  <c r="AI21" i="32"/>
  <c r="AA21" i="32"/>
  <c r="AL21" i="32"/>
  <c r="AK21" i="32"/>
  <c r="AJ21" i="32"/>
  <c r="AD21" i="32"/>
  <c r="AC21" i="32"/>
  <c r="AH20" i="32"/>
  <c r="Z20" i="32"/>
  <c r="AG20" i="32"/>
  <c r="Y20" i="32"/>
  <c r="AF20" i="32"/>
  <c r="X20" i="32"/>
  <c r="AM20" i="32"/>
  <c r="AE20" i="32"/>
  <c r="AL20" i="32"/>
  <c r="AD20" i="32"/>
  <c r="AK20" i="32"/>
  <c r="AC20" i="32"/>
  <c r="AJ20" i="32"/>
  <c r="AB20" i="32"/>
  <c r="AI20" i="32"/>
  <c r="AA20" i="32"/>
  <c r="AH19" i="32"/>
  <c r="Z19" i="32"/>
  <c r="AG19" i="32"/>
  <c r="Y19" i="32"/>
  <c r="AF19" i="32"/>
  <c r="X19" i="32"/>
  <c r="AL19" i="32"/>
  <c r="AB19" i="32"/>
  <c r="AI19" i="32"/>
  <c r="AA19" i="32"/>
  <c r="AD19" i="32"/>
  <c r="AK19" i="32"/>
  <c r="AC19" i="32"/>
  <c r="AJ19" i="32"/>
  <c r="AM19" i="32"/>
  <c r="AE19" i="32"/>
  <c r="AH18" i="32"/>
  <c r="Z18" i="32"/>
  <c r="AG18" i="32"/>
  <c r="Y18" i="32"/>
  <c r="AF18" i="32"/>
  <c r="X18" i="32"/>
  <c r="AM18" i="32"/>
  <c r="AE18" i="32"/>
  <c r="AL18" i="32"/>
  <c r="AD18" i="32"/>
  <c r="AK18" i="32"/>
  <c r="AC18" i="32"/>
  <c r="AJ18" i="32"/>
  <c r="AB18" i="32"/>
  <c r="AI18" i="32"/>
  <c r="AA18" i="32"/>
  <c r="AH17" i="32"/>
  <c r="Z17" i="32"/>
  <c r="AG17" i="32"/>
  <c r="Y17" i="32"/>
  <c r="AM17" i="32"/>
  <c r="AE17" i="32"/>
  <c r="AL17" i="32"/>
  <c r="AD17" i="32"/>
  <c r="AA17" i="32"/>
  <c r="AF17" i="32"/>
  <c r="X17" i="32"/>
  <c r="AI17" i="32"/>
  <c r="AK17" i="32"/>
  <c r="AC17" i="32"/>
  <c r="AJ17" i="32"/>
  <c r="AB17" i="32"/>
  <c r="AH16" i="32"/>
  <c r="Z16" i="32"/>
  <c r="AG16" i="32"/>
  <c r="Y16" i="32"/>
  <c r="AD16" i="32"/>
  <c r="AK16" i="32"/>
  <c r="AB16" i="32"/>
  <c r="AI16" i="32"/>
  <c r="AA16" i="32"/>
  <c r="AF16" i="32"/>
  <c r="X16" i="32"/>
  <c r="AL16" i="32"/>
  <c r="AC16" i="32"/>
  <c r="AJ16" i="32"/>
  <c r="AM16" i="32"/>
  <c r="AE16" i="32"/>
  <c r="AH15" i="32"/>
  <c r="Z15" i="32"/>
  <c r="AG15" i="32"/>
  <c r="Y15" i="32"/>
  <c r="AF15" i="32"/>
  <c r="X15" i="32"/>
  <c r="AM15" i="32"/>
  <c r="AE15" i="32"/>
  <c r="AL15" i="32"/>
  <c r="AD15" i="32"/>
  <c r="AK15" i="32"/>
  <c r="AC15" i="32"/>
  <c r="AJ15" i="32"/>
  <c r="AB15" i="32"/>
  <c r="AI15" i="32"/>
  <c r="AA15" i="32"/>
  <c r="AH14" i="32"/>
  <c r="Z14" i="32"/>
  <c r="AG14" i="32"/>
  <c r="Y14" i="32"/>
  <c r="AB14" i="32"/>
  <c r="AI14" i="32"/>
  <c r="AA14" i="32"/>
  <c r="AF14" i="32"/>
  <c r="X14" i="32"/>
  <c r="AL14" i="32"/>
  <c r="AD14" i="32"/>
  <c r="AK14" i="32"/>
  <c r="AC14" i="32"/>
  <c r="AJ14" i="32"/>
  <c r="AM14" i="32"/>
  <c r="AE14" i="32"/>
  <c r="AH13" i="32"/>
  <c r="Z13" i="32"/>
  <c r="AG13" i="32"/>
  <c r="Y13" i="32"/>
  <c r="AF13" i="32"/>
  <c r="X13" i="32"/>
  <c r="AM13" i="32"/>
  <c r="AE13" i="32"/>
  <c r="AB13" i="32"/>
  <c r="AA13" i="32"/>
  <c r="AL13" i="32"/>
  <c r="AJ13" i="32"/>
  <c r="AI13" i="32"/>
  <c r="AD13" i="32"/>
  <c r="AK13" i="32"/>
  <c r="AC13" i="32"/>
  <c r="AH12" i="32"/>
  <c r="Z12" i="32"/>
  <c r="AG12" i="32"/>
  <c r="Y12" i="32"/>
  <c r="AF12" i="32"/>
  <c r="X12" i="32"/>
  <c r="AE12" i="32"/>
  <c r="AM12" i="32"/>
  <c r="AA12" i="32"/>
  <c r="AL12" i="32"/>
  <c r="AD12" i="32"/>
  <c r="AK12" i="32"/>
  <c r="AC12" i="32"/>
  <c r="AJ12" i="32"/>
  <c r="AB12" i="32"/>
  <c r="AI12" i="32"/>
  <c r="AH11" i="32"/>
  <c r="Z11" i="32"/>
  <c r="AG11" i="32"/>
  <c r="Y11" i="32"/>
  <c r="AF11" i="32"/>
  <c r="X11" i="32"/>
  <c r="AM11" i="32"/>
  <c r="AE11" i="32"/>
  <c r="AD11" i="32"/>
  <c r="AK11" i="32"/>
  <c r="AC11" i="32"/>
  <c r="AB11" i="32"/>
  <c r="AI11" i="32"/>
  <c r="AA11" i="32"/>
  <c r="AL11" i="32"/>
  <c r="AJ11" i="32"/>
  <c r="AH10" i="32"/>
  <c r="Z10" i="32"/>
  <c r="AG10" i="32"/>
  <c r="Y10" i="32"/>
  <c r="AF10" i="32"/>
  <c r="X10" i="32"/>
  <c r="AM10" i="32"/>
  <c r="AE10" i="32"/>
  <c r="AL10" i="32"/>
  <c r="AB10" i="32"/>
  <c r="AI10" i="32"/>
  <c r="AA10" i="32"/>
  <c r="AD10" i="32"/>
  <c r="AK10" i="32"/>
  <c r="AC10" i="32"/>
  <c r="AJ10" i="32"/>
  <c r="AH9" i="32"/>
  <c r="Z9" i="32"/>
  <c r="AG9" i="32"/>
  <c r="Y9" i="32"/>
  <c r="AF9" i="32"/>
  <c r="X9" i="32"/>
  <c r="AM9" i="32"/>
  <c r="AE9" i="32"/>
  <c r="AL9" i="32"/>
  <c r="AK9" i="32"/>
  <c r="AC9" i="32"/>
  <c r="AD9" i="32"/>
  <c r="AJ9" i="32"/>
  <c r="AB9" i="32"/>
  <c r="AI9" i="32"/>
  <c r="AA9" i="32"/>
  <c r="AH8" i="32"/>
  <c r="Z8" i="32"/>
  <c r="AI8" i="32"/>
  <c r="AG8" i="32"/>
  <c r="Y8" i="32"/>
  <c r="AF8" i="32"/>
  <c r="X8" i="32"/>
  <c r="AE8" i="32"/>
  <c r="AC8" i="32"/>
  <c r="AJ8" i="32"/>
  <c r="AA8" i="32"/>
  <c r="AL8" i="32"/>
  <c r="AD8" i="32"/>
  <c r="AM8" i="32"/>
  <c r="AK8" i="32"/>
  <c r="AB8" i="32"/>
  <c r="AN27" i="31"/>
  <c r="AM27" i="31"/>
  <c r="AO27" i="31"/>
  <c r="AC25" i="31"/>
  <c r="AB25" i="31"/>
  <c r="AK25" i="31"/>
  <c r="AG21" i="31"/>
  <c r="AJ25" i="31"/>
  <c r="AJ23" i="31"/>
  <c r="AI25" i="31"/>
  <c r="AA25" i="31"/>
  <c r="W21" i="31"/>
  <c r="AA23" i="31"/>
  <c r="Z25" i="31"/>
  <c r="AH25" i="31"/>
  <c r="AD21" i="31"/>
  <c r="AF23" i="31"/>
  <c r="AG25" i="31"/>
  <c r="AE25" i="31"/>
  <c r="AO25" i="31" s="1"/>
  <c r="AJ21" i="31"/>
  <c r="X23" i="31"/>
  <c r="AM23" i="31" s="1"/>
  <c r="Y25" i="31"/>
  <c r="W25" i="31"/>
  <c r="AF25" i="31"/>
  <c r="AL25" i="31"/>
  <c r="Y21" i="31"/>
  <c r="X25" i="31"/>
  <c r="AC23" i="31"/>
  <c r="AK21" i="31"/>
  <c r="AF21" i="31"/>
  <c r="AB23" i="31"/>
  <c r="AL23" i="31"/>
  <c r="AC21" i="31"/>
  <c r="X21" i="31"/>
  <c r="AI23" i="31"/>
  <c r="AE23" i="31"/>
  <c r="AB21" i="31"/>
  <c r="AA21" i="31"/>
  <c r="AD23" i="31"/>
  <c r="AG23" i="31"/>
  <c r="Z23" i="31"/>
  <c r="AL26" i="31"/>
  <c r="W26" i="31"/>
  <c r="AE26" i="31"/>
  <c r="AF26" i="31"/>
  <c r="Y26" i="31"/>
  <c r="Z26" i="31"/>
  <c r="AA26" i="31"/>
  <c r="AB26" i="31"/>
  <c r="AC26" i="31"/>
  <c r="AD26" i="31"/>
  <c r="X26" i="31"/>
  <c r="AG26" i="31"/>
  <c r="AH26" i="31"/>
  <c r="AI26" i="31"/>
  <c r="AJ26" i="31"/>
  <c r="AK26" i="31"/>
  <c r="AE21" i="31"/>
  <c r="AH21" i="31"/>
  <c r="AK23" i="31"/>
  <c r="Y23" i="31"/>
  <c r="AJ19" i="31"/>
  <c r="AE19" i="31"/>
  <c r="W19" i="31"/>
  <c r="AM19" i="31" s="1"/>
  <c r="AH23" i="31"/>
  <c r="W24" i="31"/>
  <c r="AE24" i="31"/>
  <c r="AG24" i="31"/>
  <c r="Z24" i="31"/>
  <c r="AA24" i="31"/>
  <c r="AJ24" i="31"/>
  <c r="AC24" i="31"/>
  <c r="AL24" i="31"/>
  <c r="X24" i="31"/>
  <c r="AF24" i="31"/>
  <c r="Y24" i="31"/>
  <c r="AH24" i="31"/>
  <c r="AI24" i="31"/>
  <c r="AB24" i="31"/>
  <c r="AK24" i="31"/>
  <c r="AD24" i="31"/>
  <c r="AK19" i="31"/>
  <c r="AL21" i="31"/>
  <c r="Z21" i="31"/>
  <c r="AB19" i="31"/>
  <c r="AL19" i="31"/>
  <c r="AI19" i="31"/>
  <c r="AD19" i="31"/>
  <c r="AH19" i="31"/>
  <c r="Z19" i="31"/>
  <c r="AA19" i="31"/>
  <c r="AG19" i="31"/>
  <c r="Y19" i="31"/>
  <c r="AF19" i="31"/>
  <c r="AD22" i="31"/>
  <c r="AL22" i="31"/>
  <c r="W22" i="31"/>
  <c r="AE22" i="31"/>
  <c r="X22" i="31"/>
  <c r="Y22" i="31"/>
  <c r="AG22" i="31"/>
  <c r="Z22" i="31"/>
  <c r="AH22" i="31"/>
  <c r="AA22" i="31"/>
  <c r="AB22" i="31"/>
  <c r="AC22" i="31"/>
  <c r="AF22" i="31"/>
  <c r="AI22" i="31"/>
  <c r="AJ22" i="31"/>
  <c r="AK22" i="31"/>
  <c r="AC19" i="31"/>
  <c r="AF17" i="31"/>
  <c r="AJ17" i="31"/>
  <c r="AG17" i="31"/>
  <c r="Y17" i="31"/>
  <c r="AK17" i="31"/>
  <c r="AL20" i="31"/>
  <c r="AE20" i="31"/>
  <c r="X20" i="31"/>
  <c r="AF20" i="31"/>
  <c r="Y20" i="31"/>
  <c r="AG20" i="31"/>
  <c r="Z20" i="31"/>
  <c r="AH20" i="31"/>
  <c r="AA20" i="31"/>
  <c r="AI20" i="31"/>
  <c r="AB20" i="31"/>
  <c r="AJ20" i="31"/>
  <c r="AC20" i="31"/>
  <c r="AK20" i="31"/>
  <c r="AD20" i="31"/>
  <c r="W20" i="31"/>
  <c r="AC17" i="31"/>
  <c r="AB17" i="31"/>
  <c r="X17" i="31"/>
  <c r="AI17" i="31"/>
  <c r="W17" i="31"/>
  <c r="AA17" i="31"/>
  <c r="AL17" i="31"/>
  <c r="AH17" i="31"/>
  <c r="AD17" i="31"/>
  <c r="AE17" i="31"/>
  <c r="AI15" i="31"/>
  <c r="AE15" i="31"/>
  <c r="AJ15" i="31"/>
  <c r="AB15" i="31"/>
  <c r="AN15" i="31" s="1"/>
  <c r="AA11" i="31"/>
  <c r="Z15" i="31"/>
  <c r="W15" i="31"/>
  <c r="AH15" i="31"/>
  <c r="Z11" i="31"/>
  <c r="AG15" i="31"/>
  <c r="AL15" i="31"/>
  <c r="AD18" i="31"/>
  <c r="AL18" i="31"/>
  <c r="AF18" i="31"/>
  <c r="AG18" i="31"/>
  <c r="Z18" i="31"/>
  <c r="AB18" i="31"/>
  <c r="AC18" i="31"/>
  <c r="W18" i="31"/>
  <c r="AE18" i="31"/>
  <c r="X18" i="31"/>
  <c r="Y18" i="31"/>
  <c r="AH18" i="31"/>
  <c r="AI18" i="31"/>
  <c r="AJ18" i="31"/>
  <c r="AK18" i="31"/>
  <c r="AA18" i="31"/>
  <c r="Y15" i="31"/>
  <c r="AF15" i="31"/>
  <c r="AA15" i="31"/>
  <c r="W13" i="31"/>
  <c r="AE13" i="31"/>
  <c r="AO13" i="31" s="1"/>
  <c r="AC13" i="31"/>
  <c r="AB13" i="31"/>
  <c r="AL11" i="31"/>
  <c r="AG13" i="31"/>
  <c r="AI13" i="31"/>
  <c r="AC11" i="31"/>
  <c r="Y13" i="31"/>
  <c r="AA13" i="31"/>
  <c r="AD11" i="31"/>
  <c r="AF13" i="31"/>
  <c r="AH13" i="31"/>
  <c r="AJ11" i="31"/>
  <c r="X13" i="31"/>
  <c r="AL13" i="31"/>
  <c r="X15" i="31"/>
  <c r="AD15" i="31"/>
  <c r="AI11" i="31"/>
  <c r="AH11" i="31"/>
  <c r="Z13" i="31"/>
  <c r="AJ13" i="31"/>
  <c r="AK15" i="31"/>
  <c r="W16" i="31"/>
  <c r="AE16" i="31"/>
  <c r="AG16" i="31"/>
  <c r="Z16" i="31"/>
  <c r="AA16" i="31"/>
  <c r="AB16" i="31"/>
  <c r="AC16" i="31"/>
  <c r="AL16" i="31"/>
  <c r="X16" i="31"/>
  <c r="AF16" i="31"/>
  <c r="Y16" i="31"/>
  <c r="AH16" i="31"/>
  <c r="AI16" i="31"/>
  <c r="AJ16" i="31"/>
  <c r="AK16" i="31"/>
  <c r="AD16" i="31"/>
  <c r="Y11" i="31"/>
  <c r="AB11" i="31"/>
  <c r="AG11" i="31"/>
  <c r="AK13" i="31"/>
  <c r="W14" i="31"/>
  <c r="AE14" i="31"/>
  <c r="AG14" i="31"/>
  <c r="Z14" i="31"/>
  <c r="AA14" i="31"/>
  <c r="AB14" i="31"/>
  <c r="AC14" i="31"/>
  <c r="AD14" i="31"/>
  <c r="AL14" i="31"/>
  <c r="X14" i="31"/>
  <c r="AF14" i="31"/>
  <c r="Y14" i="31"/>
  <c r="AH14" i="31"/>
  <c r="AI14" i="31"/>
  <c r="AJ14" i="31"/>
  <c r="AK14" i="31"/>
  <c r="AK11" i="31"/>
  <c r="AF11" i="31"/>
  <c r="AE11" i="31"/>
  <c r="X11" i="31"/>
  <c r="AM11" i="31" s="1"/>
  <c r="AD12" i="31"/>
  <c r="AL12" i="31"/>
  <c r="AE12" i="31"/>
  <c r="AJ12" i="31"/>
  <c r="AC12" i="31"/>
  <c r="W12" i="31"/>
  <c r="X12" i="31"/>
  <c r="AF12" i="31"/>
  <c r="Y12" i="31"/>
  <c r="AG12" i="31"/>
  <c r="Z12" i="31"/>
  <c r="AH12" i="31"/>
  <c r="AA12" i="31"/>
  <c r="AI12" i="31"/>
  <c r="AB12" i="31"/>
  <c r="AK12" i="31"/>
  <c r="AB7" i="31"/>
  <c r="AI7" i="31"/>
  <c r="AA7" i="31"/>
  <c r="AC9" i="31"/>
  <c r="Y7" i="31"/>
  <c r="AK9" i="31"/>
  <c r="AG7" i="31"/>
  <c r="AF7" i="31"/>
  <c r="AA9" i="31"/>
  <c r="AJ9" i="31"/>
  <c r="X7" i="31"/>
  <c r="AE7" i="31"/>
  <c r="AO7" i="31" s="1"/>
  <c r="Z9" i="31"/>
  <c r="AI9" i="31"/>
  <c r="AK7" i="31"/>
  <c r="AJ7" i="31"/>
  <c r="Z7" i="31"/>
  <c r="W9" i="31"/>
  <c r="AH7" i="31"/>
  <c r="AB9" i="31"/>
  <c r="W7" i="31"/>
  <c r="AL7" i="31"/>
  <c r="Y9" i="31"/>
  <c r="AH9" i="31"/>
  <c r="AC7" i="31"/>
  <c r="AF9" i="31"/>
  <c r="AG9" i="31"/>
  <c r="X9" i="31"/>
  <c r="AL9" i="31"/>
  <c r="AE9" i="31"/>
  <c r="AO9" i="31" s="1"/>
  <c r="AD10" i="31"/>
  <c r="AL10" i="31"/>
  <c r="AE10" i="31"/>
  <c r="AB10" i="31"/>
  <c r="AC10" i="31"/>
  <c r="W10" i="31"/>
  <c r="X10" i="31"/>
  <c r="AF10" i="31"/>
  <c r="Y10" i="31"/>
  <c r="AG10" i="31"/>
  <c r="Z10" i="31"/>
  <c r="AH10" i="31"/>
  <c r="AA10" i="31"/>
  <c r="AI10" i="31"/>
  <c r="AJ10" i="31"/>
  <c r="AK10" i="31"/>
  <c r="AD8" i="31"/>
  <c r="AL8" i="31"/>
  <c r="AE8" i="31"/>
  <c r="AF8" i="31"/>
  <c r="Y8" i="31"/>
  <c r="AG8" i="31"/>
  <c r="Z8" i="31"/>
  <c r="AH8" i="31"/>
  <c r="AA8" i="31"/>
  <c r="AI8" i="31"/>
  <c r="AB8" i="31"/>
  <c r="AJ8" i="31"/>
  <c r="AC8" i="31"/>
  <c r="AK8" i="31"/>
  <c r="W8" i="31"/>
  <c r="X8" i="31"/>
  <c r="O58" i="31" l="1"/>
  <c r="U58" i="31" s="1"/>
  <c r="AB58" i="31"/>
  <c r="AP16" i="32"/>
  <c r="AP15" i="32"/>
  <c r="AP18" i="32"/>
  <c r="AP19" i="32"/>
  <c r="AO16" i="32"/>
  <c r="AP20" i="32"/>
  <c r="AP21" i="32"/>
  <c r="AP23" i="32"/>
  <c r="AP26" i="32"/>
  <c r="AO25" i="32"/>
  <c r="AP22" i="32"/>
  <c r="AP25" i="32"/>
  <c r="AO27" i="32"/>
  <c r="AO23" i="32"/>
  <c r="AP17" i="32"/>
  <c r="AO21" i="32"/>
  <c r="AP28" i="32"/>
  <c r="AM15" i="31"/>
  <c r="AO22" i="32"/>
  <c r="AO24" i="32"/>
  <c r="AN28" i="32"/>
  <c r="AO26" i="32"/>
  <c r="AO28" i="32"/>
  <c r="AN27" i="32"/>
  <c r="AP27" i="32"/>
  <c r="AN26" i="32"/>
  <c r="AN25" i="32"/>
  <c r="AN14" i="32"/>
  <c r="AO15" i="32"/>
  <c r="AO18" i="32"/>
  <c r="AO20" i="32"/>
  <c r="AN22" i="32"/>
  <c r="AN24" i="32"/>
  <c r="AP24" i="32"/>
  <c r="AN23" i="32"/>
  <c r="AN21" i="32"/>
  <c r="AP12" i="32"/>
  <c r="AO14" i="32"/>
  <c r="AO19" i="32"/>
  <c r="AN16" i="32"/>
  <c r="AN17" i="32"/>
  <c r="AN20" i="32"/>
  <c r="AN19" i="32"/>
  <c r="AN18" i="32"/>
  <c r="AP14" i="32"/>
  <c r="AM10" i="31"/>
  <c r="AN13" i="31"/>
  <c r="AO19" i="31"/>
  <c r="AO17" i="32"/>
  <c r="AN15" i="32"/>
  <c r="AN13" i="32"/>
  <c r="AO13" i="32"/>
  <c r="AP13" i="32"/>
  <c r="AN10" i="32"/>
  <c r="AP11" i="32"/>
  <c r="AO12" i="32"/>
  <c r="AN12" i="32"/>
  <c r="AP10" i="32"/>
  <c r="AN11" i="32"/>
  <c r="AO10" i="32"/>
  <c r="AO11" i="32"/>
  <c r="AP9" i="32"/>
  <c r="AN11" i="31"/>
  <c r="AO8" i="32"/>
  <c r="AP8" i="32"/>
  <c r="AN9" i="32"/>
  <c r="AO9" i="32"/>
  <c r="AM16" i="31"/>
  <c r="AN8" i="32"/>
  <c r="AM24" i="31"/>
  <c r="AN9" i="31"/>
  <c r="AN25" i="31"/>
  <c r="AM26" i="31"/>
  <c r="AN21" i="31"/>
  <c r="AM18" i="31"/>
  <c r="AM22" i="31"/>
  <c r="AM25" i="31"/>
  <c r="AN19" i="31"/>
  <c r="AO12" i="31"/>
  <c r="AO20" i="31"/>
  <c r="AN12" i="31"/>
  <c r="AM12" i="31"/>
  <c r="AN10" i="31"/>
  <c r="AN14" i="31"/>
  <c r="AO17" i="31"/>
  <c r="AN8" i="31"/>
  <c r="AM8" i="31"/>
  <c r="AM14" i="31"/>
  <c r="AO16" i="31"/>
  <c r="AM13" i="31"/>
  <c r="AO26" i="31"/>
  <c r="AO8" i="31"/>
  <c r="AO10" i="31"/>
  <c r="AO18" i="31"/>
  <c r="AM21" i="31"/>
  <c r="AN16" i="31"/>
  <c r="AN22" i="31"/>
  <c r="AO24" i="31"/>
  <c r="AN26" i="31"/>
  <c r="AO21" i="31"/>
  <c r="AM9" i="31"/>
  <c r="AO14" i="31"/>
  <c r="AO11" i="31"/>
  <c r="AN18" i="31"/>
  <c r="AM17" i="31"/>
  <c r="AN20" i="31"/>
  <c r="AM20" i="31"/>
  <c r="AO22" i="31"/>
  <c r="AN24" i="31"/>
  <c r="AO23" i="31"/>
  <c r="AN23" i="31"/>
  <c r="AO15" i="31"/>
  <c r="AN17" i="31"/>
  <c r="AN7" i="31"/>
  <c r="AM7" i="31"/>
  <c r="P58" i="31" l="1"/>
  <c r="R58" i="31"/>
  <c r="T58" i="31"/>
  <c r="W58" i="31"/>
  <c r="X58" i="31"/>
  <c r="Z58" i="31"/>
  <c r="Q58" i="31"/>
  <c r="Y58" i="31"/>
  <c r="AA58" i="31"/>
  <c r="S58" i="31"/>
  <c r="V58" i="31"/>
  <c r="C1" i="31"/>
  <c r="N57" i="31" s="1"/>
  <c r="N62" i="31" s="1"/>
  <c r="O63" i="31" l="1"/>
  <c r="A27" i="32" a="1"/>
  <c r="O27" i="32" s="1"/>
  <c r="A28" i="32" a="1"/>
  <c r="A25" i="32" a="1"/>
  <c r="O25" i="32" s="1"/>
  <c r="A26" i="32" a="1"/>
  <c r="A23" i="32" a="1"/>
  <c r="C23" i="32" s="1"/>
  <c r="A24" i="32" a="1"/>
  <c r="A21" i="32" a="1"/>
  <c r="O21" i="32" s="1"/>
  <c r="A22" i="32" a="1"/>
  <c r="A19" i="32" a="1"/>
  <c r="O19" i="32" s="1"/>
  <c r="A20" i="32" a="1"/>
  <c r="A17" i="32" a="1"/>
  <c r="O17" i="32" s="1"/>
  <c r="A18" i="32" a="1"/>
  <c r="A15" i="32" a="1"/>
  <c r="O15" i="32" s="1"/>
  <c r="A16" i="32" a="1"/>
  <c r="A13" i="32" a="1"/>
  <c r="O13" i="32" s="1"/>
  <c r="A14" i="32" a="1"/>
  <c r="A11" i="32" a="1"/>
  <c r="K11" i="32" s="1"/>
  <c r="A12" i="32" a="1"/>
  <c r="A9" i="32" a="1"/>
  <c r="O9" i="32" s="1"/>
  <c r="A10" i="32" a="1"/>
  <c r="A8" i="32" a="1"/>
  <c r="B27" i="31" a="1"/>
  <c r="B27" i="31" s="1"/>
  <c r="B25" i="31" a="1"/>
  <c r="M25" i="31" s="1"/>
  <c r="B26" i="31" a="1"/>
  <c r="B23" i="31" a="1"/>
  <c r="B23" i="31" s="1"/>
  <c r="B24" i="31" a="1"/>
  <c r="B21" i="31" a="1"/>
  <c r="M21" i="31" s="1"/>
  <c r="B22" i="31" a="1"/>
  <c r="B19" i="31" a="1"/>
  <c r="B19" i="31" s="1"/>
  <c r="B20" i="31" a="1"/>
  <c r="B17" i="31" a="1"/>
  <c r="B17" i="31" s="1"/>
  <c r="B18" i="31" a="1"/>
  <c r="B15" i="31" a="1"/>
  <c r="B15" i="31" s="1"/>
  <c r="B16" i="31" a="1"/>
  <c r="B13" i="31" a="1"/>
  <c r="B13" i="31" s="1"/>
  <c r="B14" i="31" a="1"/>
  <c r="B11" i="31" a="1"/>
  <c r="M11" i="31" s="1"/>
  <c r="B12" i="31" a="1"/>
  <c r="B9" i="31" a="1"/>
  <c r="D9" i="31" s="1"/>
  <c r="B10" i="31" a="1"/>
  <c r="B8" i="31" a="1"/>
  <c r="M8" i="31" s="1"/>
  <c r="B7" i="31" a="1"/>
  <c r="C7" i="31" s="1"/>
  <c r="B27" i="32" l="1"/>
  <c r="C27" i="32"/>
  <c r="I27" i="32"/>
  <c r="J27" i="32"/>
  <c r="E27" i="32"/>
  <c r="I25" i="32"/>
  <c r="M27" i="32"/>
  <c r="D27" i="32"/>
  <c r="N27" i="32"/>
  <c r="K27" i="32"/>
  <c r="G27" i="32"/>
  <c r="H27" i="32"/>
  <c r="P27" i="32"/>
  <c r="J25" i="32"/>
  <c r="A27" i="32"/>
  <c r="F27" i="32"/>
  <c r="L27" i="32"/>
  <c r="O28" i="32"/>
  <c r="G28" i="32"/>
  <c r="N28" i="32"/>
  <c r="F28" i="32"/>
  <c r="E28" i="32"/>
  <c r="M28" i="32"/>
  <c r="D28" i="32"/>
  <c r="J28" i="32"/>
  <c r="B28" i="32"/>
  <c r="I28" i="32"/>
  <c r="A28" i="32"/>
  <c r="H28" i="32"/>
  <c r="L28" i="32"/>
  <c r="K28" i="32"/>
  <c r="C28" i="32"/>
  <c r="P28" i="32"/>
  <c r="C25" i="32"/>
  <c r="B25" i="32"/>
  <c r="K25" i="32"/>
  <c r="M25" i="32"/>
  <c r="L23" i="32"/>
  <c r="D25" i="32"/>
  <c r="E25" i="32"/>
  <c r="P23" i="32"/>
  <c r="L25" i="32"/>
  <c r="F25" i="32"/>
  <c r="A23" i="32"/>
  <c r="H25" i="32"/>
  <c r="N25" i="32"/>
  <c r="P25" i="32"/>
  <c r="G25" i="32"/>
  <c r="A25" i="32"/>
  <c r="D23" i="32"/>
  <c r="H21" i="32"/>
  <c r="E23" i="32"/>
  <c r="M23" i="32"/>
  <c r="F23" i="32"/>
  <c r="O26" i="32"/>
  <c r="G26" i="32"/>
  <c r="N26" i="32"/>
  <c r="F26" i="32"/>
  <c r="M26" i="32"/>
  <c r="E26" i="32"/>
  <c r="B26" i="32"/>
  <c r="A26" i="32"/>
  <c r="D26" i="32"/>
  <c r="K26" i="32"/>
  <c r="C26" i="32"/>
  <c r="I26" i="32"/>
  <c r="H26" i="32"/>
  <c r="L26" i="32"/>
  <c r="J26" i="32"/>
  <c r="P26" i="32"/>
  <c r="B23" i="32"/>
  <c r="C21" i="32"/>
  <c r="L21" i="32"/>
  <c r="P21" i="32"/>
  <c r="K23" i="32"/>
  <c r="N23" i="32"/>
  <c r="H23" i="32"/>
  <c r="G23" i="32"/>
  <c r="I23" i="32"/>
  <c r="O23" i="32"/>
  <c r="J23" i="32"/>
  <c r="O24" i="32"/>
  <c r="G24" i="32"/>
  <c r="N24" i="32"/>
  <c r="F24" i="32"/>
  <c r="M24" i="32"/>
  <c r="E24" i="32"/>
  <c r="L24" i="32"/>
  <c r="D24" i="32"/>
  <c r="B24" i="32"/>
  <c r="K24" i="32"/>
  <c r="C24" i="32"/>
  <c r="J24" i="32"/>
  <c r="I24" i="32"/>
  <c r="A24" i="32"/>
  <c r="P24" i="32"/>
  <c r="H24" i="32"/>
  <c r="I21" i="32"/>
  <c r="B21" i="32"/>
  <c r="E21" i="32"/>
  <c r="M21" i="32"/>
  <c r="C19" i="32"/>
  <c r="K19" i="32"/>
  <c r="E19" i="32"/>
  <c r="J21" i="32"/>
  <c r="F21" i="32"/>
  <c r="I19" i="32"/>
  <c r="K21" i="32"/>
  <c r="N21" i="32"/>
  <c r="P17" i="32"/>
  <c r="D21" i="32"/>
  <c r="G21" i="32"/>
  <c r="B17" i="32"/>
  <c r="A21" i="32"/>
  <c r="O22" i="32"/>
  <c r="G22" i="32"/>
  <c r="N22" i="32"/>
  <c r="F22" i="32"/>
  <c r="D22" i="32"/>
  <c r="J22" i="32"/>
  <c r="I22" i="32"/>
  <c r="A22" i="32"/>
  <c r="H22" i="32"/>
  <c r="M22" i="32"/>
  <c r="E22" i="32"/>
  <c r="L22" i="32"/>
  <c r="K22" i="32"/>
  <c r="C22" i="32"/>
  <c r="B22" i="32"/>
  <c r="P22" i="32"/>
  <c r="D19" i="32"/>
  <c r="L19" i="32"/>
  <c r="B19" i="32"/>
  <c r="M19" i="32"/>
  <c r="J19" i="32"/>
  <c r="F19" i="32"/>
  <c r="H17" i="32"/>
  <c r="H19" i="32"/>
  <c r="N19" i="32"/>
  <c r="P19" i="32"/>
  <c r="G19" i="32"/>
  <c r="A19" i="32"/>
  <c r="H15" i="32"/>
  <c r="O20" i="32"/>
  <c r="G20" i="32"/>
  <c r="N20" i="32"/>
  <c r="F20" i="32"/>
  <c r="M20" i="32"/>
  <c r="E20" i="32"/>
  <c r="L20" i="32"/>
  <c r="D20" i="32"/>
  <c r="K20" i="32"/>
  <c r="C20" i="32"/>
  <c r="J20" i="32"/>
  <c r="B20" i="32"/>
  <c r="I20" i="32"/>
  <c r="A20" i="32"/>
  <c r="P20" i="32"/>
  <c r="H20" i="32"/>
  <c r="I15" i="32"/>
  <c r="C15" i="32"/>
  <c r="D15" i="32"/>
  <c r="E17" i="32"/>
  <c r="L15" i="32"/>
  <c r="M17" i="32"/>
  <c r="I13" i="32"/>
  <c r="F15" i="32"/>
  <c r="D17" i="32"/>
  <c r="H13" i="32"/>
  <c r="A15" i="32"/>
  <c r="M15" i="32"/>
  <c r="J17" i="32"/>
  <c r="A17" i="32"/>
  <c r="B13" i="32"/>
  <c r="B15" i="32"/>
  <c r="N15" i="32"/>
  <c r="I17" i="32"/>
  <c r="F17" i="32"/>
  <c r="J13" i="32"/>
  <c r="J15" i="32"/>
  <c r="G15" i="32"/>
  <c r="C17" i="32"/>
  <c r="N17" i="32"/>
  <c r="K17" i="32"/>
  <c r="G17" i="32"/>
  <c r="L17" i="32"/>
  <c r="O18" i="32"/>
  <c r="G18" i="32"/>
  <c r="N18" i="32"/>
  <c r="F18" i="32"/>
  <c r="M18" i="32"/>
  <c r="E18" i="32"/>
  <c r="L18" i="32"/>
  <c r="D18" i="32"/>
  <c r="K18" i="32"/>
  <c r="C18" i="32"/>
  <c r="J18" i="32"/>
  <c r="B18" i="32"/>
  <c r="I18" i="32"/>
  <c r="A18" i="32"/>
  <c r="P18" i="32"/>
  <c r="H18" i="32"/>
  <c r="P15" i="32"/>
  <c r="E15" i="32"/>
  <c r="B11" i="32"/>
  <c r="L11" i="32"/>
  <c r="M11" i="32"/>
  <c r="F11" i="32"/>
  <c r="N11" i="32"/>
  <c r="K15" i="32"/>
  <c r="O16" i="32"/>
  <c r="G16" i="32"/>
  <c r="N16" i="32"/>
  <c r="F16" i="32"/>
  <c r="D16" i="32"/>
  <c r="K16" i="32"/>
  <c r="C16" i="32"/>
  <c r="J16" i="32"/>
  <c r="B16" i="32"/>
  <c r="I16" i="32"/>
  <c r="A16" i="32"/>
  <c r="H16" i="32"/>
  <c r="M16" i="32"/>
  <c r="E16" i="32"/>
  <c r="L16" i="32"/>
  <c r="P16" i="32"/>
  <c r="E13" i="32"/>
  <c r="P11" i="32"/>
  <c r="C13" i="32"/>
  <c r="M13" i="32"/>
  <c r="J11" i="32"/>
  <c r="K13" i="32"/>
  <c r="F13" i="32"/>
  <c r="D11" i="32"/>
  <c r="L13" i="32"/>
  <c r="A11" i="32"/>
  <c r="G11" i="32"/>
  <c r="D13" i="32"/>
  <c r="N13" i="32"/>
  <c r="I11" i="32"/>
  <c r="P13" i="32"/>
  <c r="G13" i="32"/>
  <c r="A13" i="32"/>
  <c r="O14" i="32"/>
  <c r="G14" i="32"/>
  <c r="N14" i="32"/>
  <c r="F14" i="32"/>
  <c r="I14" i="32"/>
  <c r="A14" i="32"/>
  <c r="P14" i="32"/>
  <c r="H14" i="32"/>
  <c r="M14" i="32"/>
  <c r="E14" i="32"/>
  <c r="L14" i="32"/>
  <c r="D14" i="32"/>
  <c r="K14" i="32"/>
  <c r="C14" i="32"/>
  <c r="J14" i="32"/>
  <c r="B14" i="32"/>
  <c r="E11" i="32"/>
  <c r="C11" i="32"/>
  <c r="O11" i="32"/>
  <c r="H11" i="32"/>
  <c r="H9" i="32"/>
  <c r="P9" i="32"/>
  <c r="D9" i="32"/>
  <c r="O12" i="32"/>
  <c r="G12" i="32"/>
  <c r="N12" i="32"/>
  <c r="F12" i="32"/>
  <c r="M12" i="32"/>
  <c r="E12" i="32"/>
  <c r="L12" i="32"/>
  <c r="D12" i="32"/>
  <c r="A12" i="32"/>
  <c r="K12" i="32"/>
  <c r="C12" i="32"/>
  <c r="J12" i="32"/>
  <c r="B12" i="32"/>
  <c r="I12" i="32"/>
  <c r="P12" i="32"/>
  <c r="H12" i="32"/>
  <c r="L9" i="32"/>
  <c r="A9" i="32"/>
  <c r="E9" i="32"/>
  <c r="I9" i="32"/>
  <c r="M9" i="32"/>
  <c r="B9" i="32"/>
  <c r="F9" i="32"/>
  <c r="J9" i="32"/>
  <c r="N9" i="32"/>
  <c r="C9" i="32"/>
  <c r="G9" i="32"/>
  <c r="K9" i="32"/>
  <c r="O10" i="32"/>
  <c r="G10" i="32"/>
  <c r="N10" i="32"/>
  <c r="F10" i="32"/>
  <c r="M10" i="32"/>
  <c r="E10" i="32"/>
  <c r="D10" i="32"/>
  <c r="B10" i="32"/>
  <c r="I10" i="32"/>
  <c r="A10" i="32"/>
  <c r="P10" i="32"/>
  <c r="H10" i="32"/>
  <c r="L10" i="32"/>
  <c r="K10" i="32"/>
  <c r="C10" i="32"/>
  <c r="J10" i="32"/>
  <c r="O8" i="32"/>
  <c r="G8" i="32"/>
  <c r="A8" i="32"/>
  <c r="H8" i="32"/>
  <c r="N8" i="32"/>
  <c r="F8" i="32"/>
  <c r="M8" i="32"/>
  <c r="E8" i="32"/>
  <c r="B8" i="32"/>
  <c r="I8" i="32"/>
  <c r="P8" i="32"/>
  <c r="K8" i="32"/>
  <c r="C8" i="32"/>
  <c r="L8" i="32"/>
  <c r="D8" i="32"/>
  <c r="J8" i="32"/>
  <c r="Q27" i="31"/>
  <c r="I27" i="31"/>
  <c r="M27" i="31"/>
  <c r="E27" i="31"/>
  <c r="P27" i="31"/>
  <c r="L27" i="31"/>
  <c r="H27" i="31"/>
  <c r="D27" i="31"/>
  <c r="O27" i="31"/>
  <c r="K27" i="31"/>
  <c r="G27" i="31"/>
  <c r="C27" i="31"/>
  <c r="R27" i="31" s="1"/>
  <c r="N27" i="31"/>
  <c r="J27" i="31"/>
  <c r="F27" i="31"/>
  <c r="I25" i="31"/>
  <c r="E25" i="31"/>
  <c r="P25" i="31"/>
  <c r="L25" i="31"/>
  <c r="H25" i="31"/>
  <c r="D25" i="31"/>
  <c r="O25" i="31"/>
  <c r="K25" i="31"/>
  <c r="G25" i="31"/>
  <c r="C25" i="31"/>
  <c r="N25" i="31"/>
  <c r="J25" i="31"/>
  <c r="F25" i="31"/>
  <c r="B25" i="31"/>
  <c r="Q25" i="31"/>
  <c r="B26" i="31"/>
  <c r="J26" i="31"/>
  <c r="L26" i="31"/>
  <c r="M26" i="31"/>
  <c r="N26" i="31"/>
  <c r="O26" i="31"/>
  <c r="P26" i="31"/>
  <c r="Q26" i="31"/>
  <c r="C26" i="31"/>
  <c r="K26" i="31"/>
  <c r="D26" i="31"/>
  <c r="E26" i="31"/>
  <c r="F26" i="31"/>
  <c r="G26" i="31"/>
  <c r="H26" i="31"/>
  <c r="I26" i="31"/>
  <c r="C23" i="31"/>
  <c r="R23" i="31" s="1"/>
  <c r="I23" i="31"/>
  <c r="H23" i="31"/>
  <c r="Q23" i="31"/>
  <c r="G23" i="31"/>
  <c r="P23" i="31"/>
  <c r="O23" i="31"/>
  <c r="N23" i="31"/>
  <c r="F23" i="31"/>
  <c r="E23" i="31"/>
  <c r="M23" i="31"/>
  <c r="L23" i="31"/>
  <c r="D23" i="31"/>
  <c r="J23" i="31"/>
  <c r="K23" i="31"/>
  <c r="B24" i="31"/>
  <c r="J24" i="31"/>
  <c r="C24" i="31"/>
  <c r="K24" i="31"/>
  <c r="D24" i="31"/>
  <c r="L24" i="31"/>
  <c r="E24" i="31"/>
  <c r="M24" i="31"/>
  <c r="F24" i="31"/>
  <c r="N24" i="31"/>
  <c r="G24" i="31"/>
  <c r="O24" i="31"/>
  <c r="I24" i="31"/>
  <c r="Q24" i="31"/>
  <c r="H24" i="31"/>
  <c r="P24" i="31"/>
  <c r="I21" i="31"/>
  <c r="E21" i="31"/>
  <c r="P21" i="31"/>
  <c r="L21" i="31"/>
  <c r="H21" i="31"/>
  <c r="D21" i="31"/>
  <c r="O21" i="31"/>
  <c r="K21" i="31"/>
  <c r="G21" i="31"/>
  <c r="C21" i="31"/>
  <c r="N21" i="31"/>
  <c r="J21" i="31"/>
  <c r="F21" i="31"/>
  <c r="B21" i="31"/>
  <c r="Q21" i="31"/>
  <c r="B22" i="31"/>
  <c r="J22" i="31"/>
  <c r="C22" i="31"/>
  <c r="K22" i="31"/>
  <c r="D22" i="31"/>
  <c r="L22" i="31"/>
  <c r="E22" i="31"/>
  <c r="M22" i="31"/>
  <c r="F22" i="31"/>
  <c r="N22" i="31"/>
  <c r="G22" i="31"/>
  <c r="O22" i="31"/>
  <c r="H22" i="31"/>
  <c r="P22" i="31"/>
  <c r="I22" i="31"/>
  <c r="Q22" i="31"/>
  <c r="I19" i="31"/>
  <c r="M19" i="31"/>
  <c r="Q19" i="31"/>
  <c r="E19" i="31"/>
  <c r="P19" i="31"/>
  <c r="L19" i="31"/>
  <c r="H19" i="31"/>
  <c r="D19" i="31"/>
  <c r="O19" i="31"/>
  <c r="K19" i="31"/>
  <c r="G19" i="31"/>
  <c r="C19" i="31"/>
  <c r="R19" i="31" s="1"/>
  <c r="N19" i="31"/>
  <c r="J19" i="31"/>
  <c r="F19" i="31"/>
  <c r="B20" i="31"/>
  <c r="J20" i="31"/>
  <c r="C20" i="31"/>
  <c r="K20" i="31"/>
  <c r="D20" i="31"/>
  <c r="L20" i="31"/>
  <c r="E20" i="31"/>
  <c r="M20" i="31"/>
  <c r="F20" i="31"/>
  <c r="N20" i="31"/>
  <c r="G20" i="31"/>
  <c r="O20" i="31"/>
  <c r="H20" i="31"/>
  <c r="P20" i="31"/>
  <c r="I20" i="31"/>
  <c r="Q20" i="31"/>
  <c r="Q17" i="31"/>
  <c r="I17" i="31"/>
  <c r="M17" i="31"/>
  <c r="E17" i="31"/>
  <c r="H17" i="31"/>
  <c r="D17" i="31"/>
  <c r="O17" i="31"/>
  <c r="K17" i="31"/>
  <c r="P17" i="31"/>
  <c r="L17" i="31"/>
  <c r="G17" i="31"/>
  <c r="C17" i="31"/>
  <c r="R17" i="31" s="1"/>
  <c r="N17" i="31"/>
  <c r="J17" i="31"/>
  <c r="F17" i="31"/>
  <c r="B18" i="31"/>
  <c r="J18" i="31"/>
  <c r="C18" i="31"/>
  <c r="K18" i="31"/>
  <c r="G18" i="31"/>
  <c r="I18" i="31"/>
  <c r="D18" i="31"/>
  <c r="L18" i="31"/>
  <c r="F18" i="31"/>
  <c r="O18" i="31"/>
  <c r="P18" i="31"/>
  <c r="E18" i="31"/>
  <c r="M18" i="31"/>
  <c r="N18" i="31"/>
  <c r="H18" i="31"/>
  <c r="Q18" i="31"/>
  <c r="O13" i="31"/>
  <c r="E13" i="31"/>
  <c r="P15" i="31"/>
  <c r="I15" i="31"/>
  <c r="Q13" i="31"/>
  <c r="L13" i="31"/>
  <c r="O15" i="31"/>
  <c r="I13" i="31"/>
  <c r="D13" i="31"/>
  <c r="Q15" i="31"/>
  <c r="G13" i="31"/>
  <c r="M13" i="31"/>
  <c r="P13" i="31"/>
  <c r="K13" i="31"/>
  <c r="H15" i="31"/>
  <c r="H13" i="31"/>
  <c r="C13" i="31"/>
  <c r="R13" i="31" s="1"/>
  <c r="N15" i="31"/>
  <c r="M15" i="31"/>
  <c r="N13" i="31"/>
  <c r="J13" i="31"/>
  <c r="F15" i="31"/>
  <c r="L15" i="31"/>
  <c r="G15" i="31"/>
  <c r="F13" i="31"/>
  <c r="E15" i="31"/>
  <c r="K15" i="31"/>
  <c r="D15" i="31"/>
  <c r="J15" i="31"/>
  <c r="C15" i="31"/>
  <c r="R15" i="31" s="1"/>
  <c r="B16" i="31"/>
  <c r="J16" i="31"/>
  <c r="C16" i="31"/>
  <c r="K16" i="31"/>
  <c r="H16" i="31"/>
  <c r="I16" i="31"/>
  <c r="D16" i="31"/>
  <c r="L16" i="31"/>
  <c r="E16" i="31"/>
  <c r="M16" i="31"/>
  <c r="F16" i="31"/>
  <c r="N16" i="31"/>
  <c r="G16" i="31"/>
  <c r="O16" i="31"/>
  <c r="P16" i="31"/>
  <c r="Q16" i="31"/>
  <c r="I11" i="31"/>
  <c r="P11" i="31"/>
  <c r="E11" i="31"/>
  <c r="L11" i="31"/>
  <c r="D11" i="31"/>
  <c r="B11" i="31"/>
  <c r="H11" i="31"/>
  <c r="B14" i="31"/>
  <c r="J14" i="31"/>
  <c r="C14" i="31"/>
  <c r="K14" i="31"/>
  <c r="D14" i="31"/>
  <c r="L14" i="31"/>
  <c r="E14" i="31"/>
  <c r="M14" i="31"/>
  <c r="F14" i="31"/>
  <c r="N14" i="31"/>
  <c r="G14" i="31"/>
  <c r="O14" i="31"/>
  <c r="H14" i="31"/>
  <c r="P14" i="31"/>
  <c r="I14" i="31"/>
  <c r="Q14" i="31"/>
  <c r="F11" i="31"/>
  <c r="I8" i="31"/>
  <c r="P8" i="31"/>
  <c r="H8" i="31"/>
  <c r="N9" i="31"/>
  <c r="J9" i="31"/>
  <c r="O11" i="31"/>
  <c r="K11" i="31"/>
  <c r="G9" i="31"/>
  <c r="C9" i="31"/>
  <c r="F9" i="31"/>
  <c r="B9" i="31"/>
  <c r="G11" i="31"/>
  <c r="C11" i="31"/>
  <c r="O9" i="31"/>
  <c r="K9" i="31"/>
  <c r="Q9" i="31"/>
  <c r="M9" i="31"/>
  <c r="N11" i="31"/>
  <c r="J11" i="31"/>
  <c r="I9" i="31"/>
  <c r="E9" i="31"/>
  <c r="P9" i="31"/>
  <c r="L9" i="31"/>
  <c r="Q11" i="31"/>
  <c r="B12" i="31"/>
  <c r="J12" i="31"/>
  <c r="C12" i="31"/>
  <c r="K12" i="31"/>
  <c r="D12" i="31"/>
  <c r="L12" i="31"/>
  <c r="E12" i="31"/>
  <c r="M12" i="31"/>
  <c r="F12" i="31"/>
  <c r="N12" i="31"/>
  <c r="G12" i="31"/>
  <c r="O12" i="31"/>
  <c r="H12" i="31"/>
  <c r="P12" i="31"/>
  <c r="I12" i="31"/>
  <c r="Q12" i="31"/>
  <c r="H9" i="31"/>
  <c r="O8" i="31"/>
  <c r="E8" i="31"/>
  <c r="L8" i="31"/>
  <c r="D8" i="31"/>
  <c r="K8" i="31"/>
  <c r="F8" i="31"/>
  <c r="B8" i="31"/>
  <c r="G8" i="31"/>
  <c r="C8" i="31"/>
  <c r="N8" i="31"/>
  <c r="J8" i="31"/>
  <c r="B10" i="31"/>
  <c r="J10" i="31"/>
  <c r="C10" i="31"/>
  <c r="K10" i="31"/>
  <c r="D10" i="31"/>
  <c r="L10" i="31"/>
  <c r="E10" i="31"/>
  <c r="M10" i="31"/>
  <c r="F10" i="31"/>
  <c r="N10" i="31"/>
  <c r="G10" i="31"/>
  <c r="O10" i="31"/>
  <c r="H10" i="31"/>
  <c r="P10" i="31"/>
  <c r="Q10" i="31"/>
  <c r="I10" i="31"/>
  <c r="Q8" i="31"/>
  <c r="G7" i="31"/>
  <c r="J7" i="31"/>
  <c r="H7" i="31"/>
  <c r="B7" i="31"/>
  <c r="N7" i="31"/>
  <c r="P7" i="31"/>
  <c r="M7" i="31"/>
  <c r="O7" i="31"/>
  <c r="L7" i="31"/>
  <c r="F7" i="31"/>
  <c r="E7" i="31"/>
  <c r="D7" i="31"/>
  <c r="Q7" i="31"/>
  <c r="K7" i="31"/>
  <c r="I7" i="31"/>
  <c r="O57" i="31" l="1"/>
  <c r="S57" i="31" s="1"/>
  <c r="AB57" i="31"/>
  <c r="Q23" i="32"/>
  <c r="Q27" i="32"/>
  <c r="R7" i="31"/>
  <c r="S27" i="32"/>
  <c r="S25" i="32"/>
  <c r="Q19" i="32"/>
  <c r="R27" i="32"/>
  <c r="Q28" i="32"/>
  <c r="R25" i="32"/>
  <c r="R26" i="32"/>
  <c r="S28" i="32"/>
  <c r="R28" i="32"/>
  <c r="Q26" i="32"/>
  <c r="Q25" i="32"/>
  <c r="R23" i="32"/>
  <c r="R24" i="32"/>
  <c r="S21" i="32"/>
  <c r="S26" i="32"/>
  <c r="S13" i="32"/>
  <c r="Q17" i="32"/>
  <c r="S19" i="32"/>
  <c r="S23" i="32"/>
  <c r="Q21" i="32"/>
  <c r="Q24" i="32"/>
  <c r="R21" i="32"/>
  <c r="S24" i="32"/>
  <c r="R17" i="32"/>
  <c r="Q22" i="32"/>
  <c r="S17" i="32"/>
  <c r="S22" i="32"/>
  <c r="R22" i="32"/>
  <c r="S15" i="32"/>
  <c r="Q13" i="32"/>
  <c r="R19" i="32"/>
  <c r="R20" i="32"/>
  <c r="Q20" i="32"/>
  <c r="Q11" i="32"/>
  <c r="R15" i="32"/>
  <c r="S20" i="32"/>
  <c r="Q15" i="32"/>
  <c r="S12" i="32"/>
  <c r="Q14" i="32"/>
  <c r="R18" i="32"/>
  <c r="Q18" i="32"/>
  <c r="S18" i="32"/>
  <c r="S16" i="32"/>
  <c r="R11" i="32"/>
  <c r="R16" i="32"/>
  <c r="Q12" i="32"/>
  <c r="Q16" i="32"/>
  <c r="S9" i="32"/>
  <c r="R12" i="32"/>
  <c r="R14" i="32"/>
  <c r="S11" i="32"/>
  <c r="R13" i="32"/>
  <c r="S14" i="32"/>
  <c r="S10" i="32"/>
  <c r="R10" i="32"/>
  <c r="Q10" i="32"/>
  <c r="Q9" i="32"/>
  <c r="R9" i="32"/>
  <c r="S8" i="32"/>
  <c r="R8" i="32"/>
  <c r="Q8" i="32"/>
  <c r="R10" i="31"/>
  <c r="T12" i="31"/>
  <c r="S19" i="31"/>
  <c r="R22" i="31"/>
  <c r="R21" i="31"/>
  <c r="T16" i="31"/>
  <c r="S21" i="31"/>
  <c r="T18" i="31"/>
  <c r="S24" i="31"/>
  <c r="R24" i="31"/>
  <c r="T23" i="31"/>
  <c r="S25" i="31"/>
  <c r="T25" i="31"/>
  <c r="S9" i="31"/>
  <c r="T17" i="31"/>
  <c r="S10" i="31"/>
  <c r="S22" i="31"/>
  <c r="T21" i="31"/>
  <c r="S18" i="31"/>
  <c r="S16" i="31"/>
  <c r="T14" i="31"/>
  <c r="R12" i="31"/>
  <c r="R16" i="31"/>
  <c r="S23" i="31"/>
  <c r="T19" i="31"/>
  <c r="S15" i="31"/>
  <c r="R20" i="31"/>
  <c r="S13" i="31"/>
  <c r="R18" i="31"/>
  <c r="R26" i="31"/>
  <c r="T15" i="31"/>
  <c r="T26" i="31"/>
  <c r="T10" i="31"/>
  <c r="T9" i="31"/>
  <c r="T22" i="31"/>
  <c r="T13" i="31"/>
  <c r="T20" i="31"/>
  <c r="T24" i="31"/>
  <c r="T27" i="31"/>
  <c r="T8" i="31"/>
  <c r="T11" i="31"/>
  <c r="T7" i="31"/>
  <c r="S17" i="31"/>
  <c r="S20" i="31"/>
  <c r="S11" i="31"/>
  <c r="S26" i="31"/>
  <c r="S12" i="31"/>
  <c r="S27" i="31"/>
  <c r="S14" i="31"/>
  <c r="S8" i="31"/>
  <c r="S7" i="31"/>
  <c r="R11" i="31"/>
  <c r="R8" i="31"/>
  <c r="R14" i="31"/>
  <c r="R9" i="31"/>
  <c r="R25" i="31"/>
  <c r="T57" i="31" l="1"/>
  <c r="Q57" i="31"/>
  <c r="U57" i="31"/>
  <c r="W57" i="31"/>
  <c r="V57" i="31"/>
  <c r="X57" i="31"/>
  <c r="P57" i="31"/>
  <c r="Z57" i="31"/>
  <c r="R57" i="31"/>
  <c r="Y57" i="31"/>
  <c r="AA57" i="31"/>
  <c r="O62" i="31" l="1"/>
  <c r="V61" i="3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4FDEDE-30D8-4C6A-968E-7E9D1F60381A}" keepAlive="1" name="Query - 2000" description="Connection to the '2000' query in the workbook." type="5" refreshedVersion="6" background="1">
    <dbPr connection="Provider=Microsoft.Mashup.OleDb.1;Data Source=$Workbook$;Location=2000;Extended Properties=&quot;&quot;" command="SELECT * FROM [2000]"/>
  </connection>
  <connection id="2" xr16:uid="{AD2026A9-A73F-46A3-AE07-5F716A38F29E}" keepAlive="1" name="Query - 2000 (2)" description="Connection to the '2000 (2)' query in the workbook." type="5" refreshedVersion="6" background="1" saveData="1">
    <dbPr connection="Provider=Microsoft.Mashup.OleDb.1;Data Source=$Workbook$;Location=2000 (2);Extended Properties=&quot;&quot;" command="SELECT * FROM [2000 (2)]"/>
  </connection>
  <connection id="3" xr16:uid="{CB9DE7E4-8F16-4CD3-8F15-CAB13CC487E9}" keepAlive="1" name="Query - 2001" description="Connection to the '2001' query in the workbook." type="5" refreshedVersion="6" background="1" saveData="1">
    <dbPr connection="Provider=Microsoft.Mashup.OleDb.1;Data Source=$Workbook$;Location=2001;Extended Properties=&quot;&quot;" command="SELECT * FROM [2001]"/>
  </connection>
  <connection id="4" xr16:uid="{5E855FF8-B178-48EE-86D8-68F0FD6C2BE0}" keepAlive="1" name="Query - 2002" description="Connection to the '2002' query in the workbook." type="5" refreshedVersion="6" background="1" saveData="1">
    <dbPr connection="Provider=Microsoft.Mashup.OleDb.1;Data Source=$Workbook$;Location=2002;Extended Properties=&quot;&quot;" command="SELECT * FROM [2002]"/>
  </connection>
  <connection id="5" xr16:uid="{1CC6E13D-162A-42F6-A82E-847F7AC69A58}" keepAlive="1" name="Query - 2003" description="Connection to the '2003' query in the workbook." type="5" refreshedVersion="6" background="1" saveData="1">
    <dbPr connection="Provider=Microsoft.Mashup.OleDb.1;Data Source=$Workbook$;Location=2003;Extended Properties=&quot;&quot;" command="SELECT * FROM [2003]"/>
  </connection>
  <connection id="6" xr16:uid="{ADEE6044-62B6-4587-80AB-ED47F2DE5659}" keepAlive="1" name="Query - 2004" description="Connection to the '2004' query in the workbook." type="5" refreshedVersion="6" background="1" saveData="1">
    <dbPr connection="Provider=Microsoft.Mashup.OleDb.1;Data Source=$Workbook$;Location=2004;Extended Properties=&quot;&quot;" command="SELECT * FROM [2004]"/>
  </connection>
  <connection id="7" xr16:uid="{FFC358BA-683A-4466-B2F5-893CAC172044}" keepAlive="1" name="Query - 2005" description="Connection to the '2005' query in the workbook." type="5" refreshedVersion="6" background="1" saveData="1">
    <dbPr connection="Provider=Microsoft.Mashup.OleDb.1;Data Source=$Workbook$;Location=2005;Extended Properties=&quot;&quot;" command="SELECT * FROM [2005]"/>
  </connection>
  <connection id="8" xr16:uid="{5C248513-2336-404C-99A2-D1EE12DCD376}" keepAlive="1" name="Query - 2006" description="Connection to the '2006' query in the workbook." type="5" refreshedVersion="6" background="1" saveData="1">
    <dbPr connection="Provider=Microsoft.Mashup.OleDb.1;Data Source=$Workbook$;Location=2006;Extended Properties=&quot;&quot;" command="SELECT * FROM [2006]"/>
  </connection>
  <connection id="9" xr16:uid="{90CEE7DB-DC1A-47D8-A2BC-6C8ECA15C4C4}" keepAlive="1" name="Query - 2007" description="Connection to the '2007' query in the workbook." type="5" refreshedVersion="6" background="1" saveData="1">
    <dbPr connection="Provider=Microsoft.Mashup.OleDb.1;Data Source=$Workbook$;Location=2007;Extended Properties=&quot;&quot;" command="SELECT * FROM [2007]"/>
  </connection>
  <connection id="10" xr16:uid="{BFF3683F-AD48-44A7-AAE8-2C9BC26F3652}" keepAlive="1" name="Query - 2008" description="Connection to the '2008' query in the workbook." type="5" refreshedVersion="6" background="1" saveData="1">
    <dbPr connection="Provider=Microsoft.Mashup.OleDb.1;Data Source=$Workbook$;Location=2008;Extended Properties=&quot;&quot;" command="SELECT * FROM [2008]"/>
  </connection>
  <connection id="11" xr16:uid="{C99816B9-C65C-4CCC-8419-A084C11B7263}" keepAlive="1" name="Query - 2009" description="Connection to the '2009' query in the workbook." type="5" refreshedVersion="6" background="1" saveData="1">
    <dbPr connection="Provider=Microsoft.Mashup.OleDb.1;Data Source=$Workbook$;Location=2009;Extended Properties=&quot;&quot;" command="SELECT * FROM [2009]"/>
  </connection>
  <connection id="12" xr16:uid="{2184C9AF-0B50-4D92-8898-538E91DC7BF3}" keepAlive="1" name="Query - 2010" description="Connection to the '2010' query in the workbook." type="5" refreshedVersion="6" background="1" saveData="1">
    <dbPr connection="Provider=Microsoft.Mashup.OleDb.1;Data Source=$Workbook$;Location=2010;Extended Properties=&quot;&quot;" command="SELECT * FROM [2010]"/>
  </connection>
  <connection id="13" xr16:uid="{C17D9D72-0E4B-4A07-9F16-857FF71E9570}" keepAlive="1" name="Query - 2011" description="Connection to the '2011' query in the workbook." type="5" refreshedVersion="6" background="1" saveData="1">
    <dbPr connection="Provider=Microsoft.Mashup.OleDb.1;Data Source=$Workbook$;Location=2011;Extended Properties=&quot;&quot;" command="SELECT * FROM [2011]"/>
  </connection>
  <connection id="14" xr16:uid="{FBC2CAB8-A44D-4AFB-ACB0-212C9C17CD37}" keepAlive="1" name="Query - 2012" description="Connection to the '2012' query in the workbook." type="5" refreshedVersion="6" background="1" saveData="1">
    <dbPr connection="Provider=Microsoft.Mashup.OleDb.1;Data Source=$Workbook$;Location=2012;Extended Properties=&quot;&quot;" command="SELECT * FROM [2012]"/>
  </connection>
  <connection id="15" xr16:uid="{6CB6A193-D371-4A89-A8A7-2D607F53343E}" keepAlive="1" name="Query - 2013" description="Connection to the '2013' query in the workbook." type="5" refreshedVersion="6" background="1" saveData="1">
    <dbPr connection="Provider=Microsoft.Mashup.OleDb.1;Data Source=$Workbook$;Location=2013;Extended Properties=&quot;&quot;" command="SELECT * FROM [2013]"/>
  </connection>
  <connection id="16" xr16:uid="{3D35CBDF-BE0B-40DD-9D57-C5967CA7707D}" keepAlive="1" name="Query - 2014" description="Connection to the '2014' query in the workbook." type="5" refreshedVersion="6" background="1" saveData="1">
    <dbPr connection="Provider=Microsoft.Mashup.OleDb.1;Data Source=$Workbook$;Location=2014;Extended Properties=&quot;&quot;" command="SELECT * FROM [2014]"/>
  </connection>
  <connection id="17" xr16:uid="{2B79EA75-682B-4632-890D-133657A4BE63}" keepAlive="1" name="Query - 2015" description="Connection to the '2015' query in the workbook." type="5" refreshedVersion="6" background="1" saveData="1">
    <dbPr connection="Provider=Microsoft.Mashup.OleDb.1;Data Source=$Workbook$;Location=2015;Extended Properties=&quot;&quot;" command="SELECT * FROM [2015]"/>
  </connection>
  <connection id="18" xr16:uid="{4D1630F2-330A-4555-A8AE-AD704C5DAE92}" keepAlive="1" name="Query - 2016" description="Connection to the '2016' query in the workbook." type="5" refreshedVersion="6" background="1" saveData="1">
    <dbPr connection="Provider=Microsoft.Mashup.OleDb.1;Data Source=$Workbook$;Location=2016;Extended Properties=&quot;&quot;" command="SELECT * FROM [2016]"/>
  </connection>
  <connection id="19" xr16:uid="{E7E54CDE-BE4E-4F20-9BCE-E32CDCB8D9F5}" keepAlive="1" name="Query - 2017" description="Connection to the '2017' query in the workbook." type="5" refreshedVersion="6" background="1" saveData="1">
    <dbPr connection="Provider=Microsoft.Mashup.OleDb.1;Data Source=$Workbook$;Location=2017;Extended Properties=&quot;&quot;" command="SELECT * FROM [2017]"/>
  </connection>
  <connection id="20" xr16:uid="{03766640-F253-41EE-8739-2AA4DC55FB47}" keepAlive="1" name="Query - 2018" description="Connection to the '2018' query in the workbook." type="5" refreshedVersion="6" background="1" saveData="1">
    <dbPr connection="Provider=Microsoft.Mashup.OleDb.1;Data Source=$Workbook$;Location=2018;Extended Properties=&quot;&quot;" command="SELECT * FROM [2018]"/>
  </connection>
  <connection id="21" xr16:uid="{7965B5C6-B444-48B8-9105-78BBAC236B2A}" keepAlive="1" name="Query - 2019" description="Connection to the '2019' query in the workbook." type="5" refreshedVersion="6" background="1" saveData="1">
    <dbPr connection="Provider=Microsoft.Mashup.OleDb.1;Data Source=$Workbook$;Location=2019;Extended Properties=&quot;&quot;" command="SELECT * FROM [2019]"/>
  </connection>
  <connection id="22" xr16:uid="{2D66E9FE-6FF7-40AE-B48F-5D36B90E4CEA}" keepAlive="1" name="Query - 2021" description="Connection to the '2021' query in the workbook." type="5" refreshedVersion="6" background="1" saveData="1">
    <dbPr connection="Provider=Microsoft.Mashup.OleDb.1;Data Source=$Workbook$;Location=2021;Extended Properties=&quot;&quot;" command="SELECT * FROM [2021]"/>
  </connection>
  <connection id="23" xr16:uid="{7FF5AA1D-95F9-4C48-A159-211C7C6CC3A4}" keepAlive="1" name="Query - 20212" description="Connection to the '20212' query in the workbook." type="5" refreshedVersion="6" background="1">
    <dbPr connection="Provider=Microsoft.Mashup.OleDb.1;Data Source=$Workbook$;Location=20212;Extended Properties=&quot;&quot;" command="SELECT * FROM [20212]"/>
  </connection>
  <connection id="24" xr16:uid="{3D16EB64-8A2E-42C0-9BC2-56AEA8478DBE}" keepAlive="1" name="Query - 20212 (2)" description="Connection to the '20212 (2)' query in the workbook." type="5" refreshedVersion="6" background="1" saveData="1">
    <dbPr connection="Provider=Microsoft.Mashup.OleDb.1;Data Source=$Workbook$;Location=20212 (2);Extended Properties=&quot;&quot;" command="SELECT * FROM [20212 (2)]"/>
  </connection>
  <connection id="25" xr16:uid="{EFD0EFC5-05A3-4FF4-A0C9-FEAB005049C0}" keepAlive="1" name="Query - Bracket" description="Connection to the 'Bracket' query in the workbook." type="5" refreshedVersion="6" background="1">
    <dbPr connection="Provider=Microsoft.Mashup.OleDb.1;Data Source=$Workbook$;Location=Bracket;Extended Properties=&quot;&quot;" command="SELECT * FROM [Bracket]"/>
  </connection>
  <connection id="26" xr16:uid="{865C0DC3-E8AC-49DA-AC8F-B2438EDF5E14}" keepAlive="1" name="Query - Suggestion Dashboard" description="Connection to the 'Suggestion Dashboard' query in the workbook." type="5" refreshedVersion="6" background="1">
    <dbPr connection="Provider=Microsoft.Mashup.OleDb.1;Data Source=$Workbook$;Location=Suggestion Dashboard;Extended Properties=&quot;&quot;" command="SELECT * FROM [Suggestion Dashboard]"/>
  </connection>
</connections>
</file>

<file path=xl/sharedStrings.xml><?xml version="1.0" encoding="utf-8"?>
<sst xmlns="http://schemas.openxmlformats.org/spreadsheetml/2006/main" count="8095" uniqueCount="420">
  <si>
    <t>School</t>
  </si>
  <si>
    <t>G</t>
  </si>
  <si>
    <t>W</t>
  </si>
  <si>
    <t>L</t>
  </si>
  <si>
    <t>SOS</t>
  </si>
  <si>
    <t>Tm.</t>
  </si>
  <si>
    <t>FG</t>
  </si>
  <si>
    <t>FGA</t>
  </si>
  <si>
    <t>FT</t>
  </si>
  <si>
    <t>FTA</t>
  </si>
  <si>
    <t>ORB</t>
  </si>
  <si>
    <t>TRB</t>
  </si>
  <si>
    <t>AST</t>
  </si>
  <si>
    <t>STL</t>
  </si>
  <si>
    <t>BLK</t>
  </si>
  <si>
    <t>TOV</t>
  </si>
  <si>
    <t>PF</t>
  </si>
  <si>
    <t>Air Force</t>
  </si>
  <si>
    <t>Akron</t>
  </si>
  <si>
    <t>Alabama A&amp;M</t>
  </si>
  <si>
    <t>Alabama-Birmingham</t>
  </si>
  <si>
    <t>Alabama State</t>
  </si>
  <si>
    <t>Alabama</t>
  </si>
  <si>
    <t>Albany (NY)</t>
  </si>
  <si>
    <t>Alcorn State</t>
  </si>
  <si>
    <t>American</t>
  </si>
  <si>
    <t>Arizona State</t>
  </si>
  <si>
    <t>Little Rock</t>
  </si>
  <si>
    <t>Arkansas-Pine Bluff</t>
  </si>
  <si>
    <t>Arkansas State</t>
  </si>
  <si>
    <t>Army</t>
  </si>
  <si>
    <t>Austin Peay</t>
  </si>
  <si>
    <t>Baylor</t>
  </si>
  <si>
    <t>Belmont</t>
  </si>
  <si>
    <t>Bethune-Cookman</t>
  </si>
  <si>
    <t>Boise State</t>
  </si>
  <si>
    <t>Boston College</t>
  </si>
  <si>
    <t>Boston University</t>
  </si>
  <si>
    <t>Bowling Green State</t>
  </si>
  <si>
    <t>Bradley</t>
  </si>
  <si>
    <t>Brigham Young</t>
  </si>
  <si>
    <t>Brown</t>
  </si>
  <si>
    <t>Bucknell</t>
  </si>
  <si>
    <t>Buffalo</t>
  </si>
  <si>
    <t>Cal Poly</t>
  </si>
  <si>
    <t>Cal State Fullerton</t>
  </si>
  <si>
    <t>Cal State Northridge</t>
  </si>
  <si>
    <t>UC-Irvine</t>
  </si>
  <si>
    <t>UC-Santa Barbara</t>
  </si>
  <si>
    <t>University of California</t>
  </si>
  <si>
    <t>Campbell</t>
  </si>
  <si>
    <t>Canisius</t>
  </si>
  <si>
    <t>Centenary (LA)</t>
  </si>
  <si>
    <t>Central Florida</t>
  </si>
  <si>
    <t>Central Michigan</t>
  </si>
  <si>
    <t>Charleston Southern</t>
  </si>
  <si>
    <t>Charlotte</t>
  </si>
  <si>
    <t>Chattanooga</t>
  </si>
  <si>
    <t>Chicago State</t>
  </si>
  <si>
    <t>Citadel</t>
  </si>
  <si>
    <t>Clemson</t>
  </si>
  <si>
    <t>Cleveland State</t>
  </si>
  <si>
    <t>Coastal Carolina</t>
  </si>
  <si>
    <t>Colgate</t>
  </si>
  <si>
    <t>College of Charleston</t>
  </si>
  <si>
    <t>Colorado State</t>
  </si>
  <si>
    <t>Colorado</t>
  </si>
  <si>
    <t>Columbia</t>
  </si>
  <si>
    <t>Coppin State</t>
  </si>
  <si>
    <t>Cornell</t>
  </si>
  <si>
    <t>Dartmouth</t>
  </si>
  <si>
    <t>Davidson</t>
  </si>
  <si>
    <t>Delaware State</t>
  </si>
  <si>
    <t>Delaware</t>
  </si>
  <si>
    <t>Denver</t>
  </si>
  <si>
    <t>Detroit Mercy</t>
  </si>
  <si>
    <t>Drake</t>
  </si>
  <si>
    <t>Drexel</t>
  </si>
  <si>
    <t>Duquesne</t>
  </si>
  <si>
    <t>East Carolina</t>
  </si>
  <si>
    <t>East Tennessee State</t>
  </si>
  <si>
    <t>Eastern Illinois</t>
  </si>
  <si>
    <t>Eastern Kentucky</t>
  </si>
  <si>
    <t>Eastern Michigan</t>
  </si>
  <si>
    <t>Eastern Washington</t>
  </si>
  <si>
    <t>Elon</t>
  </si>
  <si>
    <t>Evansville</t>
  </si>
  <si>
    <t>Fairfield</t>
  </si>
  <si>
    <t>Fairleigh Dickinson</t>
  </si>
  <si>
    <t>Florida A&amp;M</t>
  </si>
  <si>
    <t>Florida Atlantic</t>
  </si>
  <si>
    <t>Florida International</t>
  </si>
  <si>
    <t>Florida State</t>
  </si>
  <si>
    <t>Fordham</t>
  </si>
  <si>
    <t>Furman</t>
  </si>
  <si>
    <t>George Mason</t>
  </si>
  <si>
    <t>George Washington</t>
  </si>
  <si>
    <t>Georgetown</t>
  </si>
  <si>
    <t>Georgia Southern</t>
  </si>
  <si>
    <t>Georgia State</t>
  </si>
  <si>
    <t>Georgia Tech</t>
  </si>
  <si>
    <t>Georgia</t>
  </si>
  <si>
    <t>Grambling</t>
  </si>
  <si>
    <t>Green Bay</t>
  </si>
  <si>
    <t>Hampton</t>
  </si>
  <si>
    <t>Hartford</t>
  </si>
  <si>
    <t>Harvard</t>
  </si>
  <si>
    <t>Hawaii</t>
  </si>
  <si>
    <t>High Point</t>
  </si>
  <si>
    <t>Holy Cross</t>
  </si>
  <si>
    <t>Houston</t>
  </si>
  <si>
    <t>Howard</t>
  </si>
  <si>
    <t>Idaho State</t>
  </si>
  <si>
    <t>Idaho</t>
  </si>
  <si>
    <t>Illinois-Chicago</t>
  </si>
  <si>
    <t>Illinois State</t>
  </si>
  <si>
    <t>Iowa</t>
  </si>
  <si>
    <t>IUPUI</t>
  </si>
  <si>
    <t>Jacksonville State</t>
  </si>
  <si>
    <t>Jacksonville</t>
  </si>
  <si>
    <t>James Madison</t>
  </si>
  <si>
    <t>Kansas State</t>
  </si>
  <si>
    <t>Kent State</t>
  </si>
  <si>
    <t>La Salle</t>
  </si>
  <si>
    <t>Lehigh</t>
  </si>
  <si>
    <t>Liberty</t>
  </si>
  <si>
    <t>Cal State Long Beach</t>
  </si>
  <si>
    <t>Long Island University</t>
  </si>
  <si>
    <t>Louisiana-Monroe</t>
  </si>
  <si>
    <t>Louisiana Tech</t>
  </si>
  <si>
    <t>Loyola (IL)</t>
  </si>
  <si>
    <t>Loyola Marymount</t>
  </si>
  <si>
    <t>Loyola (MD)</t>
  </si>
  <si>
    <t>Maine</t>
  </si>
  <si>
    <t>Manhattan</t>
  </si>
  <si>
    <t>Marist</t>
  </si>
  <si>
    <t>Marquette</t>
  </si>
  <si>
    <t>Marshall</t>
  </si>
  <si>
    <t>Maryland-Baltimore County</t>
  </si>
  <si>
    <t>Maryland-Eastern Shore</t>
  </si>
  <si>
    <t>Massachusetts</t>
  </si>
  <si>
    <t>McNeese State</t>
  </si>
  <si>
    <t>Memphis</t>
  </si>
  <si>
    <t>Mercer</t>
  </si>
  <si>
    <t>Miami (OH)</t>
  </si>
  <si>
    <t>Michigan</t>
  </si>
  <si>
    <t>Middle Tennessee</t>
  </si>
  <si>
    <t>Milwaukee</t>
  </si>
  <si>
    <t>Minnesota</t>
  </si>
  <si>
    <t>Mississippi State</t>
  </si>
  <si>
    <t>Mississippi Valley State</t>
  </si>
  <si>
    <t>Mississippi</t>
  </si>
  <si>
    <t>Missouri-Kansas City</t>
  </si>
  <si>
    <t>Missouri State</t>
  </si>
  <si>
    <t>Monmouth</t>
  </si>
  <si>
    <t>Montana State</t>
  </si>
  <si>
    <t>Montana</t>
  </si>
  <si>
    <t>Morehead State</t>
  </si>
  <si>
    <t>Morgan State</t>
  </si>
  <si>
    <t>Mount St. Mary's</t>
  </si>
  <si>
    <t>Murray State</t>
  </si>
  <si>
    <t>Navy</t>
  </si>
  <si>
    <t>Nebraska</t>
  </si>
  <si>
    <t>Nevada</t>
  </si>
  <si>
    <t>New Hampshire</t>
  </si>
  <si>
    <t>New Mexico State</t>
  </si>
  <si>
    <t>New Mexico</t>
  </si>
  <si>
    <t>New Orleans</t>
  </si>
  <si>
    <t>Niagara</t>
  </si>
  <si>
    <t>Nicholls State</t>
  </si>
  <si>
    <t>Norfolk State</t>
  </si>
  <si>
    <t>North Carolina-Asheville</t>
  </si>
  <si>
    <t>North Carolina A&amp;T</t>
  </si>
  <si>
    <t>North Carolina-Greensboro</t>
  </si>
  <si>
    <t>North Carolina State</t>
  </si>
  <si>
    <t>North Texas</t>
  </si>
  <si>
    <t>Northeastern</t>
  </si>
  <si>
    <t>Northern Illinois</t>
  </si>
  <si>
    <t>Northern Iowa</t>
  </si>
  <si>
    <t>Northwestern State</t>
  </si>
  <si>
    <t>Northwestern</t>
  </si>
  <si>
    <t>Notre Dame</t>
  </si>
  <si>
    <t>Oakland</t>
  </si>
  <si>
    <t>Ohio</t>
  </si>
  <si>
    <t>Old Dominion</t>
  </si>
  <si>
    <t>Oral Roberts</t>
  </si>
  <si>
    <t>Oregon State</t>
  </si>
  <si>
    <t>Pacific</t>
  </si>
  <si>
    <t>Penn State</t>
  </si>
  <si>
    <t>Pittsburgh</t>
  </si>
  <si>
    <t>Portland State</t>
  </si>
  <si>
    <t>Portland</t>
  </si>
  <si>
    <t>Prairie View</t>
  </si>
  <si>
    <t>Princeton</t>
  </si>
  <si>
    <t>Providence</t>
  </si>
  <si>
    <t>Quinnipiac</t>
  </si>
  <si>
    <t>Radford</t>
  </si>
  <si>
    <t>Rhode Island</t>
  </si>
  <si>
    <t>Rice</t>
  </si>
  <si>
    <t>Richmond</t>
  </si>
  <si>
    <t>Rider</t>
  </si>
  <si>
    <t>Robert Morris</t>
  </si>
  <si>
    <t>Rutgers</t>
  </si>
  <si>
    <t>Sacramento State</t>
  </si>
  <si>
    <t>Sacred Heart</t>
  </si>
  <si>
    <t>Saint Francis (PA)</t>
  </si>
  <si>
    <t>Saint Joseph's</t>
  </si>
  <si>
    <t>Saint Mary's (CA)</t>
  </si>
  <si>
    <t>Saint Peter's</t>
  </si>
  <si>
    <t>Sam Houston State</t>
  </si>
  <si>
    <t>San Diego State</t>
  </si>
  <si>
    <t>San Diego</t>
  </si>
  <si>
    <t>San Francisco</t>
  </si>
  <si>
    <t>San Jose State</t>
  </si>
  <si>
    <t>Santa Clara</t>
  </si>
  <si>
    <t>Siena</t>
  </si>
  <si>
    <t>South Alabama</t>
  </si>
  <si>
    <t>South Carolina</t>
  </si>
  <si>
    <t>South Florida</t>
  </si>
  <si>
    <t>Southeastern Louisiana</t>
  </si>
  <si>
    <t>Southern California</t>
  </si>
  <si>
    <t>Southern Illinois</t>
  </si>
  <si>
    <t>Southern Methodist</t>
  </si>
  <si>
    <t>Southern Mississippi</t>
  </si>
  <si>
    <t>Southern Utah</t>
  </si>
  <si>
    <t>Southern</t>
  </si>
  <si>
    <t>St. Francis (NY)</t>
  </si>
  <si>
    <t>Stephen F. Austin</t>
  </si>
  <si>
    <t>Stetson</t>
  </si>
  <si>
    <t>Stony Brook</t>
  </si>
  <si>
    <t>Tennessee-Martin</t>
  </si>
  <si>
    <t>Tennessee State</t>
  </si>
  <si>
    <t>Tennessee Tech</t>
  </si>
  <si>
    <t>Texas A&amp;M</t>
  </si>
  <si>
    <t>Texas-Arlington</t>
  </si>
  <si>
    <t>Texas Christian</t>
  </si>
  <si>
    <t>Texas-El Paso</t>
  </si>
  <si>
    <t>Texas-Rio Grande Valley</t>
  </si>
  <si>
    <t>Texas-San Antonio</t>
  </si>
  <si>
    <t>Texas Southern</t>
  </si>
  <si>
    <t>Texas State</t>
  </si>
  <si>
    <t>Texas Tech</t>
  </si>
  <si>
    <t>Toledo</t>
  </si>
  <si>
    <t>Towson</t>
  </si>
  <si>
    <t>Troy</t>
  </si>
  <si>
    <t>Tulane</t>
  </si>
  <si>
    <t>Vanderbilt</t>
  </si>
  <si>
    <t>Vermont</t>
  </si>
  <si>
    <t>Villanova</t>
  </si>
  <si>
    <t>Virginia Commonwealth</t>
  </si>
  <si>
    <t>VMI</t>
  </si>
  <si>
    <t>Virginia Tech</t>
  </si>
  <si>
    <t>Virginia</t>
  </si>
  <si>
    <t>Wagner</t>
  </si>
  <si>
    <t>Wake Forest</t>
  </si>
  <si>
    <t>Washington State</t>
  </si>
  <si>
    <t>Washington</t>
  </si>
  <si>
    <t>Weber State</t>
  </si>
  <si>
    <t>West Virginia</t>
  </si>
  <si>
    <t>Western Carolina</t>
  </si>
  <si>
    <t>Western Illinois</t>
  </si>
  <si>
    <t>Western Kentucky</t>
  </si>
  <si>
    <t>Western Michigan</t>
  </si>
  <si>
    <t>Wichita State</t>
  </si>
  <si>
    <t>William &amp; Mary</t>
  </si>
  <si>
    <t>Wofford</t>
  </si>
  <si>
    <t>Wright State</t>
  </si>
  <si>
    <t>Wyoming</t>
  </si>
  <si>
    <t>Xavier</t>
  </si>
  <si>
    <t>Yale</t>
  </si>
  <si>
    <t>Youngstown State</t>
  </si>
  <si>
    <t>Appalachian State</t>
  </si>
  <si>
    <t>Auburn</t>
  </si>
  <si>
    <t>Ball State</t>
  </si>
  <si>
    <t>Central Connecticut State</t>
  </si>
  <si>
    <t>Connecticut</t>
  </si>
  <si>
    <t>Dayton</t>
  </si>
  <si>
    <t>DePaul</t>
  </si>
  <si>
    <t>Jackson State</t>
  </si>
  <si>
    <t>Lafayette</t>
  </si>
  <si>
    <t>Lamar</t>
  </si>
  <si>
    <t>Louisiana</t>
  </si>
  <si>
    <t>Louisiana State</t>
  </si>
  <si>
    <t>Louisville</t>
  </si>
  <si>
    <t>Miami (FL)</t>
  </si>
  <si>
    <t>Nevada-Las Vegas</t>
  </si>
  <si>
    <t>North Carolina-Wilmington</t>
  </si>
  <si>
    <t>Northern Arizona</t>
  </si>
  <si>
    <t>Oregon</t>
  </si>
  <si>
    <t>Pennsylvania</t>
  </si>
  <si>
    <t>Pepperdine</t>
  </si>
  <si>
    <t>Purdue</t>
  </si>
  <si>
    <t>Saint Louis</t>
  </si>
  <si>
    <t>Samford</t>
  </si>
  <si>
    <t>Seton Hall</t>
  </si>
  <si>
    <t>South Carolina State</t>
  </si>
  <si>
    <t>Southeast Missouri State</t>
  </si>
  <si>
    <t>St. Bonaventure</t>
  </si>
  <si>
    <t>St. John's (NY)</t>
  </si>
  <si>
    <t>Tulsa</t>
  </si>
  <si>
    <t>Utah</t>
  </si>
  <si>
    <t>Valparaiso</t>
  </si>
  <si>
    <t>Arkansas</t>
  </si>
  <si>
    <t>Binghamton</t>
  </si>
  <si>
    <t>Butler</t>
  </si>
  <si>
    <t>UC-Riverside</t>
  </si>
  <si>
    <t>Fresno State</t>
  </si>
  <si>
    <t>Hofstra</t>
  </si>
  <si>
    <t>Indiana State</t>
  </si>
  <si>
    <t>Iona</t>
  </si>
  <si>
    <t>Iowa State</t>
  </si>
  <si>
    <t>Morris Brown</t>
  </si>
  <si>
    <t>North Carolina</t>
  </si>
  <si>
    <t>Syracuse</t>
  </si>
  <si>
    <t>Temple</t>
  </si>
  <si>
    <t>Tennessee</t>
  </si>
  <si>
    <t>Utah State</t>
  </si>
  <si>
    <t>Birmingham-Southern</t>
  </si>
  <si>
    <t>Gardner-Webb</t>
  </si>
  <si>
    <t>Purdue-Fort Wayne</t>
  </si>
  <si>
    <t>Lipscomb</t>
  </si>
  <si>
    <t>Ohio State</t>
  </si>
  <si>
    <t>Savannah State</t>
  </si>
  <si>
    <t>Texas A&amp;M-Corpus Christi</t>
  </si>
  <si>
    <t>UCLA</t>
  </si>
  <si>
    <t>Winthrop</t>
  </si>
  <si>
    <t>Creighton</t>
  </si>
  <si>
    <t>Indiana</t>
  </si>
  <si>
    <t>Missouri</t>
  </si>
  <si>
    <t>Oklahoma</t>
  </si>
  <si>
    <t>UC-Davis</t>
  </si>
  <si>
    <t>Longwood</t>
  </si>
  <si>
    <t>Maryland</t>
  </si>
  <si>
    <t>Northern Colorado</t>
  </si>
  <si>
    <t>Utah Valley</t>
  </si>
  <si>
    <t>Cincinnati</t>
  </si>
  <si>
    <t>Kennesaw State</t>
  </si>
  <si>
    <t>NJIT</t>
  </si>
  <si>
    <t>North Dakota State</t>
  </si>
  <si>
    <t>North Florida</t>
  </si>
  <si>
    <t>Oklahoma State</t>
  </si>
  <si>
    <t>South Dakota State</t>
  </si>
  <si>
    <t>Stanford</t>
  </si>
  <si>
    <t>Cal State Bakersfield</t>
  </si>
  <si>
    <t>Central Arkansas</t>
  </si>
  <si>
    <t>Winston-Salem</t>
  </si>
  <si>
    <t>Florida Gulf Coast</t>
  </si>
  <si>
    <t>Florida</t>
  </si>
  <si>
    <t>Illinois</t>
  </si>
  <si>
    <t>North Carolina Central</t>
  </si>
  <si>
    <t>Presbyterian</t>
  </si>
  <si>
    <t>South Carolina Upstate</t>
  </si>
  <si>
    <t>Bryant</t>
  </si>
  <si>
    <t>Houston Baptist</t>
  </si>
  <si>
    <t>Kentucky</t>
  </si>
  <si>
    <t>SIU Edwardsville</t>
  </si>
  <si>
    <t>Arizona</t>
  </si>
  <si>
    <t>North Dakota</t>
  </si>
  <si>
    <t>Seattle</t>
  </si>
  <si>
    <t>South Dakota</t>
  </si>
  <si>
    <t>Omaha</t>
  </si>
  <si>
    <t>Northern Kentucky</t>
  </si>
  <si>
    <t>Texas</t>
  </si>
  <si>
    <t>Abilene Christian</t>
  </si>
  <si>
    <t>Grand Canyon</t>
  </si>
  <si>
    <t>Incarnate Word</t>
  </si>
  <si>
    <t>Massachusetts-Lowell</t>
  </si>
  <si>
    <t>Wisconsin</t>
  </si>
  <si>
    <t>California Baptist</t>
  </si>
  <si>
    <t>North Alabama</t>
  </si>
  <si>
    <t>Bellarmine</t>
  </si>
  <si>
    <t>UC-San Diego</t>
  </si>
  <si>
    <t>Dixie State</t>
  </si>
  <si>
    <t>Duke</t>
  </si>
  <si>
    <t>Gonzaga</t>
  </si>
  <si>
    <t>Kansas</t>
  </si>
  <si>
    <t>Merrimack</t>
  </si>
  <si>
    <t>Michigan State</t>
  </si>
  <si>
    <t>Tarleton State</t>
  </si>
  <si>
    <t>Year:</t>
  </si>
  <si>
    <t>PPG</t>
  </si>
  <si>
    <t>FGMG</t>
  </si>
  <si>
    <t>FGAG</t>
  </si>
  <si>
    <t>FTMG</t>
  </si>
  <si>
    <t>FTAG</t>
  </si>
  <si>
    <t>OREBG</t>
  </si>
  <si>
    <t>DREBG</t>
  </si>
  <si>
    <t>STLG</t>
  </si>
  <si>
    <t>ASTG</t>
  </si>
  <si>
    <t>BLKG</t>
  </si>
  <si>
    <t>PFG</t>
  </si>
  <si>
    <t>Projected Winner:</t>
  </si>
  <si>
    <t>FGM</t>
  </si>
  <si>
    <t>TOVG</t>
  </si>
  <si>
    <t>NCAA DIVISION I BASKETBALL TOURNAMENT BRACKET</t>
  </si>
  <si>
    <t>R</t>
  </si>
  <si>
    <t>Win %</t>
  </si>
  <si>
    <t>FG %</t>
  </si>
  <si>
    <t>FT %</t>
  </si>
  <si>
    <t>Team 1</t>
  </si>
  <si>
    <t>xx</t>
  </si>
  <si>
    <t>Team 2</t>
  </si>
  <si>
    <t>Weights:</t>
  </si>
  <si>
    <t>PTS</t>
  </si>
  <si>
    <t>FT misses</t>
  </si>
  <si>
    <t>Off RB</t>
  </si>
  <si>
    <t>Def RB</t>
  </si>
  <si>
    <t>Stl</t>
  </si>
  <si>
    <t>Ast</t>
  </si>
  <si>
    <t>Blk</t>
  </si>
  <si>
    <t>Turnovers</t>
  </si>
  <si>
    <t>Schedule</t>
  </si>
  <si>
    <t>Predicted Score:</t>
  </si>
  <si>
    <t>1st Round</t>
  </si>
  <si>
    <t>2nd Round</t>
  </si>
  <si>
    <t>3rd Round</t>
  </si>
  <si>
    <t>4th Round</t>
  </si>
  <si>
    <t>5th Round</t>
  </si>
  <si>
    <t>6th Round</t>
  </si>
  <si>
    <t>Note: The standard setup for the bracket is all of the teams from the 2000 bracket. Please change them to the team's in the year you are looking for.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</si>
</sst>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3"/>
      <color indexed="9"/>
      <name val="Century Gothic"/>
      <family val="1"/>
    </font>
    <font>
      <sz val="8"/>
      <color indexed="63"/>
      <name val="Tw Cen MT Condensed"/>
      <family val="2"/>
    </font>
    <font>
      <sz val="9"/>
      <color indexed="63"/>
      <name val="Tw Cen MT Condensed"/>
      <family val="2"/>
    </font>
    <font>
      <b/>
      <sz val="9"/>
      <color indexed="63"/>
      <name val="Tw Cen MT Condensed"/>
      <family val="2"/>
    </font>
    <font>
      <sz val="12"/>
      <color indexed="9"/>
      <name val="Tw Cen MT Condensed"/>
      <family val="2"/>
    </font>
    <font>
      <sz val="8.5"/>
      <color indexed="9"/>
      <name val="Century Gothic"/>
      <family val="1"/>
    </font>
    <font>
      <sz val="10"/>
      <color indexed="9"/>
      <name val="Tw Cen MT Condensed"/>
      <family val="2"/>
    </font>
    <font>
      <sz val="7"/>
      <color indexed="63"/>
      <name val="Tw Cen MT Condensed"/>
      <family val="2"/>
    </font>
    <font>
      <sz val="18"/>
      <color indexed="63"/>
      <name val="Tw Cen MT Condensed"/>
      <family val="2"/>
    </font>
    <font>
      <sz val="8"/>
      <color indexed="46"/>
      <name val="Century Gothic"/>
      <family val="2"/>
    </font>
    <font>
      <sz val="8"/>
      <color indexed="63"/>
      <name val="Century Gothic"/>
      <family val="2"/>
    </font>
    <font>
      <b/>
      <sz val="8"/>
      <color indexed="8"/>
      <name val="Century Gothic"/>
      <family val="2"/>
    </font>
    <font>
      <sz val="10"/>
      <color indexed="63"/>
      <name val="Tw Cen MT Condensed"/>
      <family val="2"/>
    </font>
    <font>
      <sz val="7.5"/>
      <color indexed="63"/>
      <name val="Tw Cen MT Condensed"/>
      <family val="2"/>
    </font>
    <font>
      <sz val="8"/>
      <color indexed="63"/>
      <name val="Tw Cen MT Condensed"/>
      <family val="1"/>
    </font>
    <font>
      <sz val="8"/>
      <color indexed="49"/>
      <name val="Century Gothic"/>
      <family val="2"/>
    </font>
    <font>
      <sz val="10"/>
      <name val="Arial"/>
      <family val="2"/>
    </font>
    <font>
      <sz val="10"/>
      <color indexed="30"/>
      <name val="Tw Cen MT Condensed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rgb="FF000000"/>
      <name val="Calibri"/>
      <family val="2"/>
      <scheme val="minor"/>
    </font>
    <font>
      <sz val="24"/>
      <color indexed="63"/>
      <name val="Tw Cen MT Condensed"/>
      <family val="2"/>
    </font>
    <font>
      <sz val="16"/>
      <color indexed="63"/>
      <name val="Tw Cen MT Condensed"/>
      <family val="2"/>
    </font>
    <font>
      <sz val="13"/>
      <color rgb="FF000000"/>
      <name val="Lucida Grande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7FB957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46"/>
      </bottom>
      <diagonal/>
    </border>
    <border>
      <left/>
      <right style="thin">
        <color indexed="46"/>
      </right>
      <top style="thin">
        <color indexed="46"/>
      </top>
      <bottom/>
      <diagonal/>
    </border>
    <border>
      <left/>
      <right style="thin">
        <color indexed="46"/>
      </right>
      <top/>
      <bottom/>
      <diagonal/>
    </border>
    <border>
      <left style="thin">
        <color indexed="46"/>
      </left>
      <right/>
      <top style="thin">
        <color indexed="46"/>
      </top>
      <bottom/>
      <diagonal/>
    </border>
    <border>
      <left/>
      <right style="thin">
        <color indexed="46"/>
      </right>
      <top/>
      <bottom style="thin">
        <color indexed="46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/>
      <diagonal/>
    </border>
    <border>
      <left style="thin">
        <color indexed="46"/>
      </left>
      <right/>
      <top/>
      <bottom style="thin">
        <color indexed="46"/>
      </bottom>
      <diagonal/>
    </border>
    <border>
      <left style="thin">
        <color indexed="46"/>
      </left>
      <right/>
      <top/>
      <bottom/>
      <diagonal/>
    </border>
    <border>
      <left style="thin">
        <color indexed="46"/>
      </left>
      <right style="thin">
        <color indexed="46"/>
      </right>
      <top/>
      <bottom style="thin">
        <color indexed="46"/>
      </bottom>
      <diagonal/>
    </border>
    <border>
      <left style="thin">
        <color indexed="49"/>
      </left>
      <right/>
      <top/>
      <bottom/>
      <diagonal/>
    </border>
    <border>
      <left/>
      <right style="thin">
        <color indexed="49"/>
      </right>
      <top/>
      <bottom/>
      <diagonal/>
    </border>
    <border>
      <left/>
      <right/>
      <top style="thin">
        <color rgb="FFCC00CC"/>
      </top>
      <bottom/>
      <diagonal/>
    </border>
    <border>
      <left/>
      <right/>
      <top/>
      <bottom style="thin">
        <color rgb="FFCC00CC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8" fillId="0" borderId="0"/>
    <xf numFmtId="9" fontId="20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NumberFormat="1"/>
    <xf numFmtId="0" fontId="0" fillId="2" borderId="1" xfId="0" applyFill="1" applyBorder="1"/>
    <xf numFmtId="0" fontId="14" fillId="0" borderId="0" xfId="1" applyFont="1"/>
    <xf numFmtId="0" fontId="3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0" fontId="5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/>
    </xf>
    <xf numFmtId="0" fontId="6" fillId="4" borderId="0" xfId="1" applyFont="1" applyFill="1" applyAlignment="1">
      <alignment horizontal="center" vertical="center" wrapText="1"/>
    </xf>
    <xf numFmtId="0" fontId="7" fillId="4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/>
    </xf>
    <xf numFmtId="49" fontId="3" fillId="0" borderId="0" xfId="1" applyNumberFormat="1" applyFont="1" applyAlignment="1">
      <alignment horizontal="center" vertical="top"/>
    </xf>
    <xf numFmtId="49" fontId="8" fillId="5" borderId="0" xfId="1" applyNumberFormat="1" applyFont="1" applyFill="1" applyAlignment="1">
      <alignment horizontal="center" vertical="top"/>
    </xf>
    <xf numFmtId="0" fontId="8" fillId="5" borderId="0" xfId="1" applyFont="1" applyFill="1" applyAlignment="1">
      <alignment horizontal="center" vertical="center"/>
    </xf>
    <xf numFmtId="0" fontId="3" fillId="0" borderId="0" xfId="1" applyFont="1"/>
    <xf numFmtId="0" fontId="9" fillId="0" borderId="0" xfId="1" applyFont="1" applyAlignment="1">
      <alignment horizontal="center" vertical="center"/>
    </xf>
    <xf numFmtId="49" fontId="10" fillId="0" borderId="0" xfId="1" applyNumberFormat="1" applyFont="1" applyAlignment="1">
      <alignment horizontal="center" vertical="center" wrapText="1"/>
    </xf>
    <xf numFmtId="0" fontId="19" fillId="0" borderId="0" xfId="1" applyFont="1"/>
    <xf numFmtId="0" fontId="11" fillId="0" borderId="0" xfId="1" applyFont="1" applyAlignment="1">
      <alignment horizontal="center" vertical="center"/>
    </xf>
    <xf numFmtId="0" fontId="3" fillId="0" borderId="0" xfId="1" applyFont="1" applyAlignment="1" applyProtection="1">
      <alignment horizontal="center" vertical="center"/>
      <protection locked="0"/>
    </xf>
    <xf numFmtId="0" fontId="9" fillId="0" borderId="3" xfId="1" applyFont="1" applyBorder="1" applyAlignment="1">
      <alignment horizontal="center" vertical="center"/>
    </xf>
    <xf numFmtId="0" fontId="3" fillId="0" borderId="4" xfId="1" applyFont="1" applyBorder="1" applyAlignment="1" applyProtection="1">
      <alignment horizontal="center" vertical="center"/>
      <protection locked="0"/>
    </xf>
    <xf numFmtId="0" fontId="9" fillId="0" borderId="5" xfId="1" applyFont="1" applyBorder="1" applyAlignment="1">
      <alignment horizontal="center" vertical="center"/>
    </xf>
    <xf numFmtId="0" fontId="3" fillId="0" borderId="6" xfId="1" applyFont="1" applyBorder="1" applyAlignment="1" applyProtection="1">
      <alignment horizontal="center" vertical="center"/>
      <protection locked="0"/>
    </xf>
    <xf numFmtId="0" fontId="9" fillId="0" borderId="7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49" fontId="9" fillId="0" borderId="0" xfId="1" applyNumberFormat="1" applyFont="1" applyAlignment="1">
      <alignment horizontal="center" vertical="center" wrapText="1"/>
    </xf>
    <xf numFmtId="0" fontId="9" fillId="0" borderId="9" xfId="1" applyFont="1" applyBorder="1" applyAlignment="1">
      <alignment horizontal="center" vertical="center"/>
    </xf>
    <xf numFmtId="0" fontId="3" fillId="0" borderId="10" xfId="1" applyFont="1" applyBorder="1" applyAlignment="1" applyProtection="1">
      <alignment horizontal="center" vertical="center"/>
      <protection locked="0"/>
    </xf>
    <xf numFmtId="0" fontId="14" fillId="0" borderId="0" xfId="1" applyFont="1" applyAlignment="1">
      <alignment horizontal="center" vertical="center"/>
    </xf>
    <xf numFmtId="0" fontId="3" fillId="0" borderId="3" xfId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0" fontId="3" fillId="0" borderId="9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16" fillId="0" borderId="10" xfId="1" applyFont="1" applyBorder="1" applyAlignment="1" applyProtection="1">
      <alignment horizontal="center" vertical="center"/>
      <protection locked="0"/>
    </xf>
    <xf numFmtId="0" fontId="17" fillId="0" borderId="0" xfId="1" applyFont="1" applyAlignment="1">
      <alignment horizontal="right"/>
    </xf>
    <xf numFmtId="0" fontId="17" fillId="0" borderId="0" xfId="1" applyFont="1" applyAlignment="1">
      <alignment horizontal="center"/>
    </xf>
    <xf numFmtId="0" fontId="3" fillId="0" borderId="2" xfId="1" applyFont="1" applyBorder="1" applyAlignment="1" applyProtection="1">
      <alignment horizontal="center" vertical="center"/>
      <protection locked="0"/>
    </xf>
    <xf numFmtId="0" fontId="3" fillId="0" borderId="8" xfId="1" applyFont="1" applyBorder="1" applyAlignment="1" applyProtection="1">
      <alignment horizontal="center" vertical="center"/>
      <protection locked="0"/>
    </xf>
    <xf numFmtId="0" fontId="12" fillId="0" borderId="0" xfId="1" applyFont="1" applyAlignment="1">
      <alignment vertical="center" wrapText="1"/>
    </xf>
    <xf numFmtId="0" fontId="12" fillId="0" borderId="4" xfId="1" applyFont="1" applyBorder="1" applyAlignment="1">
      <alignment vertical="center" wrapText="1"/>
    </xf>
    <xf numFmtId="0" fontId="12" fillId="0" borderId="9" xfId="1" applyFont="1" applyBorder="1" applyAlignment="1">
      <alignment vertical="center" wrapText="1"/>
    </xf>
    <xf numFmtId="0" fontId="3" fillId="0" borderId="2" xfId="1" applyFont="1" applyBorder="1" applyAlignment="1" applyProtection="1">
      <alignment vertical="center"/>
      <protection locked="0"/>
    </xf>
    <xf numFmtId="0" fontId="3" fillId="0" borderId="6" xfId="1" applyFont="1" applyBorder="1" applyAlignment="1" applyProtection="1">
      <alignment vertical="center"/>
      <protection locked="0"/>
    </xf>
    <xf numFmtId="0" fontId="3" fillId="0" borderId="8" xfId="1" applyFont="1" applyBorder="1" applyAlignment="1" applyProtection="1">
      <alignment vertical="center"/>
      <protection locked="0"/>
    </xf>
    <xf numFmtId="0" fontId="3" fillId="0" borderId="13" xfId="1" applyFont="1" applyBorder="1" applyAlignment="1">
      <alignment horizontal="center"/>
    </xf>
    <xf numFmtId="0" fontId="3" fillId="0" borderId="14" xfId="1" applyFont="1" applyBorder="1" applyAlignment="1" applyProtection="1">
      <alignment vertical="center"/>
      <protection locked="0"/>
    </xf>
    <xf numFmtId="0" fontId="13" fillId="0" borderId="5" xfId="1" applyFont="1" applyBorder="1" applyAlignment="1">
      <alignment vertical="center"/>
    </xf>
    <xf numFmtId="0" fontId="13" fillId="0" borderId="3" xfId="1" applyFont="1" applyBorder="1" applyAlignment="1">
      <alignment vertical="center"/>
    </xf>
    <xf numFmtId="0" fontId="13" fillId="0" borderId="9" xfId="1" applyFont="1" applyBorder="1" applyAlignment="1">
      <alignment vertical="center"/>
    </xf>
    <xf numFmtId="0" fontId="13" fillId="0" borderId="4" xfId="1" applyFont="1" applyBorder="1" applyAlignment="1">
      <alignment vertical="center"/>
    </xf>
    <xf numFmtId="0" fontId="13" fillId="0" borderId="8" xfId="1" applyFont="1" applyBorder="1" applyAlignment="1">
      <alignment vertical="center"/>
    </xf>
    <xf numFmtId="0" fontId="13" fillId="0" borderId="6" xfId="1" applyFont="1" applyBorder="1" applyAlignment="1">
      <alignment vertical="center"/>
    </xf>
    <xf numFmtId="0" fontId="21" fillId="6" borderId="15" xfId="0" applyFont="1" applyFill="1" applyBorder="1"/>
    <xf numFmtId="0" fontId="21" fillId="6" borderId="16" xfId="0" applyFont="1" applyFill="1" applyBorder="1"/>
    <xf numFmtId="0" fontId="21" fillId="6" borderId="0" xfId="0" applyFont="1" applyFill="1" applyBorder="1"/>
    <xf numFmtId="0" fontId="5" fillId="0" borderId="0" xfId="1" applyFont="1" applyAlignment="1">
      <alignment horizontal="center"/>
    </xf>
    <xf numFmtId="0" fontId="7" fillId="4" borderId="0" xfId="1" applyFont="1" applyFill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0" fillId="2" borderId="17" xfId="0" applyFill="1" applyBorder="1"/>
    <xf numFmtId="0" fontId="26" fillId="0" borderId="0" xfId="0" applyFont="1"/>
    <xf numFmtId="0" fontId="27" fillId="6" borderId="15" xfId="0" applyFont="1" applyFill="1" applyBorder="1"/>
    <xf numFmtId="0" fontId="27" fillId="6" borderId="16" xfId="0" applyFont="1" applyFill="1" applyBorder="1"/>
    <xf numFmtId="0" fontId="27" fillId="6" borderId="0" xfId="0" applyFont="1" applyFill="1" applyBorder="1"/>
    <xf numFmtId="2" fontId="26" fillId="0" borderId="0" xfId="2" applyNumberFormat="1" applyFont="1"/>
    <xf numFmtId="2" fontId="28" fillId="0" borderId="0" xfId="2" applyNumberFormat="1" applyFont="1"/>
    <xf numFmtId="0" fontId="22" fillId="0" borderId="0" xfId="0" applyFont="1" applyAlignment="1"/>
    <xf numFmtId="0" fontId="30" fillId="0" borderId="0" xfId="1" applyFont="1" applyAlignment="1"/>
    <xf numFmtId="0" fontId="18" fillId="0" borderId="0" xfId="1"/>
    <xf numFmtId="0" fontId="0" fillId="0" borderId="0" xfId="0" applyAlignment="1">
      <alignment horizontal="right"/>
    </xf>
    <xf numFmtId="0" fontId="2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0" fontId="32" fillId="9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/>
    </xf>
    <xf numFmtId="9" fontId="29" fillId="0" borderId="0" xfId="1" applyNumberFormat="1" applyFont="1" applyAlignment="1">
      <alignment horizontal="center"/>
    </xf>
    <xf numFmtId="0" fontId="2" fillId="3" borderId="0" xfId="1" applyFont="1" applyFill="1" applyAlignment="1">
      <alignment horizontal="center" vertical="center"/>
    </xf>
    <xf numFmtId="0" fontId="5" fillId="0" borderId="0" xfId="1" applyFont="1" applyAlignment="1">
      <alignment horizontal="center"/>
    </xf>
    <xf numFmtId="0" fontId="7" fillId="4" borderId="0" xfId="1" applyFont="1" applyFill="1" applyAlignment="1">
      <alignment horizontal="center" vertical="center"/>
    </xf>
    <xf numFmtId="0" fontId="8" fillId="5" borderId="0" xfId="1" applyFont="1" applyFill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</cellXfs>
  <cellStyles count="3">
    <cellStyle name="Normal" xfId="0" builtinId="0"/>
    <cellStyle name="Normal 2" xfId="1" xr:uid="{90465662-BEAD-45AE-A09F-F4AA39C6484A}"/>
    <cellStyle name="Percent" xfId="2" builtinId="5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7FB957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Team 1 Trends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FT %</c:v>
          </c:tx>
          <c:marker>
            <c:symbol val="none"/>
          </c:marker>
          <c:cat>
            <c:numRef>
              <c:f>Junk!$W$8:$W$28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2021</c:v>
                </c:pt>
              </c:numCache>
            </c:numRef>
          </c:cat>
          <c:val>
            <c:numRef>
              <c:f>Junk!$S$8:$S$28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BE-4B6F-A47C-F87F7ED79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8429599"/>
        <c:axId val="539000943"/>
      </c:lineChart>
      <c:catAx>
        <c:axId val="1808429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9000943"/>
        <c:crosses val="autoZero"/>
        <c:auto val="1"/>
        <c:lblAlgn val="ctr"/>
        <c:lblOffset val="100"/>
        <c:noMultiLvlLbl val="0"/>
      </c:catAx>
      <c:valAx>
        <c:axId val="5390009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84295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Team 2 Trends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FT %</c:v>
          </c:tx>
          <c:marker>
            <c:symbol val="none"/>
          </c:marker>
          <c:cat>
            <c:numRef>
              <c:f>Junk!$W$8:$W$28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2021</c:v>
                </c:pt>
              </c:numCache>
            </c:numRef>
          </c:cat>
          <c:val>
            <c:numRef>
              <c:f>Junk!$AP$8:$AP$28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E9-40B6-A8A2-572067FEE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8349999"/>
        <c:axId val="538999695"/>
      </c:lineChart>
      <c:catAx>
        <c:axId val="18083499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8999695"/>
        <c:crosses val="autoZero"/>
        <c:auto val="1"/>
        <c:lblAlgn val="ctr"/>
        <c:lblOffset val="100"/>
        <c:noMultiLvlLbl val="0"/>
      </c:catAx>
      <c:valAx>
        <c:axId val="5389996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83499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Team 1 Trends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341999"/>
        <c:axId val="539008431"/>
      </c:barChart>
      <c:catAx>
        <c:axId val="1808341999"/>
        <c:scaling>
          <c:orientation val="minMax"/>
        </c:scaling>
        <c:delete val="0"/>
        <c:axPos val="b"/>
        <c:majorTickMark val="out"/>
        <c:minorTickMark val="none"/>
        <c:tickLblPos val="nextTo"/>
        <c:crossAx val="539008431"/>
        <c:crosses val="autoZero"/>
        <c:auto val="1"/>
        <c:lblAlgn val="ctr"/>
        <c:lblOffset val="100"/>
        <c:noMultiLvlLbl val="0"/>
      </c:catAx>
      <c:valAx>
        <c:axId val="539008431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8083419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Team 2 Trends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325599"/>
        <c:axId val="538988463"/>
      </c:barChart>
      <c:catAx>
        <c:axId val="1808325599"/>
        <c:scaling>
          <c:orientation val="minMax"/>
        </c:scaling>
        <c:delete val="0"/>
        <c:axPos val="b"/>
        <c:majorTickMark val="out"/>
        <c:minorTickMark val="none"/>
        <c:tickLblPos val="nextTo"/>
        <c:crossAx val="538988463"/>
        <c:crosses val="autoZero"/>
        <c:auto val="1"/>
        <c:lblAlgn val="ctr"/>
        <c:lblOffset val="100"/>
        <c:noMultiLvlLbl val="0"/>
      </c:catAx>
      <c:valAx>
        <c:axId val="538988463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8083255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15" fmlaLink="Junk!$A$1" fmlaRange="'2021'!$A$1:$A$357" noThreeD="1" sel="1" val="0"/>
</file>

<file path=xl/ctrlProps/ctrlProp2.xml><?xml version="1.0" encoding="utf-8"?>
<formControlPr xmlns="http://schemas.microsoft.com/office/spreadsheetml/2009/9/main" objectType="Drop" dropStyle="combo" dx="15" fmlaLink="Junk!$A$2" fmlaRange="'2021'!$A$1:$A$357" noThreeD="1" sel="1" val="0"/>
</file>

<file path=xl/ctrlProps/ctrlProp3.xml><?xml version="1.0" encoding="utf-8"?>
<formControlPr xmlns="http://schemas.microsoft.com/office/spreadsheetml/2009/9/main" objectType="CheckBox" fmlaLink="Junk!$D$1" lockText="1" noThreeD="1"/>
</file>

<file path=xl/ctrlProps/ctrlProp4.xml><?xml version="1.0" encoding="utf-8"?>
<formControlPr xmlns="http://schemas.microsoft.com/office/spreadsheetml/2009/9/main" objectType="CheckBox" fmlaLink="Junk!$E$1" lockText="1" noThreeD="1"/>
</file>

<file path=xl/ctrlProps/ctrlProp5.xml><?xml version="1.0" encoding="utf-8"?>
<formControlPr xmlns="http://schemas.microsoft.com/office/spreadsheetml/2009/9/main" objectType="CheckBox" fmlaLink="Junk!$F$1" lockText="1" noThreeD="1"/>
</file>

<file path=xl/ctrlProps/ctrlProp6.xml><?xml version="1.0" encoding="utf-8"?>
<formControlPr xmlns="http://schemas.microsoft.com/office/spreadsheetml/2009/9/main" objectType="CheckBox" fmlaLink="Junk!$G$1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142875</xdr:rowOff>
        </xdr:from>
        <xdr:to>
          <xdr:col>13</xdr:col>
          <xdr:colOff>1219200</xdr:colOff>
          <xdr:row>2</xdr:row>
          <xdr:rowOff>152400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409575</xdr:colOff>
          <xdr:row>1</xdr:row>
          <xdr:rowOff>76200</xdr:rowOff>
        </xdr:from>
        <xdr:to>
          <xdr:col>31</xdr:col>
          <xdr:colOff>295275</xdr:colOff>
          <xdr:row>2</xdr:row>
          <xdr:rowOff>180975</xdr:rowOff>
        </xdr:to>
        <xdr:sp macro="" textlink="">
          <xdr:nvSpPr>
            <xdr:cNvPr id="26626" name="Drop Dow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619125</xdr:colOff>
          <xdr:row>30</xdr:row>
          <xdr:rowOff>180975</xdr:rowOff>
        </xdr:from>
        <xdr:to>
          <xdr:col>20</xdr:col>
          <xdr:colOff>200025</xdr:colOff>
          <xdr:row>32</xdr:row>
          <xdr:rowOff>180975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0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923925</xdr:colOff>
          <xdr:row>30</xdr:row>
          <xdr:rowOff>180975</xdr:rowOff>
        </xdr:from>
        <xdr:to>
          <xdr:col>21</xdr:col>
          <xdr:colOff>542925</xdr:colOff>
          <xdr:row>32</xdr:row>
          <xdr:rowOff>180975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0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/>
                </a:rPr>
                <a:t>Win 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219075</xdr:colOff>
          <xdr:row>31</xdr:row>
          <xdr:rowOff>0</xdr:rowOff>
        </xdr:from>
        <xdr:to>
          <xdr:col>23</xdr:col>
          <xdr:colOff>161925</xdr:colOff>
          <xdr:row>33</xdr:row>
          <xdr:rowOff>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0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FG 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914400</xdr:colOff>
          <xdr:row>30</xdr:row>
          <xdr:rowOff>180975</xdr:rowOff>
        </xdr:from>
        <xdr:to>
          <xdr:col>24</xdr:col>
          <xdr:colOff>457200</xdr:colOff>
          <xdr:row>32</xdr:row>
          <xdr:rowOff>180975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0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FT 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27</xdr:row>
          <xdr:rowOff>85725</xdr:rowOff>
        </xdr:from>
        <xdr:to>
          <xdr:col>21</xdr:col>
          <xdr:colOff>257175</xdr:colOff>
          <xdr:row>30</xdr:row>
          <xdr:rowOff>123825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0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Current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485775</xdr:colOff>
          <xdr:row>27</xdr:row>
          <xdr:rowOff>152400</xdr:rowOff>
        </xdr:from>
        <xdr:to>
          <xdr:col>19</xdr:col>
          <xdr:colOff>676275</xdr:colOff>
          <xdr:row>30</xdr:row>
          <xdr:rowOff>123825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0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Team 1 Trends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495300</xdr:colOff>
          <xdr:row>27</xdr:row>
          <xdr:rowOff>47625</xdr:rowOff>
        </xdr:from>
        <xdr:to>
          <xdr:col>23</xdr:col>
          <xdr:colOff>219075</xdr:colOff>
          <xdr:row>30</xdr:row>
          <xdr:rowOff>142875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0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Team 2 Trends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171450</xdr:colOff>
          <xdr:row>69</xdr:row>
          <xdr:rowOff>95250</xdr:rowOff>
        </xdr:from>
        <xdr:to>
          <xdr:col>23</xdr:col>
          <xdr:colOff>733425</xdr:colOff>
          <xdr:row>78</xdr:row>
          <xdr:rowOff>161925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0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104775</xdr:colOff>
      <xdr:row>33</xdr:row>
      <xdr:rowOff>0</xdr:rowOff>
    </xdr:from>
    <xdr:to>
      <xdr:col>20</xdr:col>
      <xdr:colOff>114300</xdr:colOff>
      <xdr:row>53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257175</xdr:colOff>
      <xdr:row>33</xdr:row>
      <xdr:rowOff>0</xdr:rowOff>
    </xdr:from>
    <xdr:to>
      <xdr:col>36</xdr:col>
      <xdr:colOff>285750</xdr:colOff>
      <xdr:row>53</xdr:row>
      <xdr:rowOff>0</xdr:rowOff>
    </xdr:to>
    <xdr:graphicFrame macro="">
      <xdr:nvGraphicFramePr>
        <xdr:cNvPr id="17" name="Team A Trend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104775</xdr:colOff>
      <xdr:row>33</xdr:row>
      <xdr:rowOff>0</xdr:rowOff>
    </xdr:from>
    <xdr:to>
      <xdr:col>20</xdr:col>
      <xdr:colOff>114300</xdr:colOff>
      <xdr:row>53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257175</xdr:colOff>
      <xdr:row>33</xdr:row>
      <xdr:rowOff>0</xdr:rowOff>
    </xdr:from>
    <xdr:to>
      <xdr:col>36</xdr:col>
      <xdr:colOff>285750</xdr:colOff>
      <xdr:row>53</xdr:row>
      <xdr:rowOff>0</xdr:rowOff>
    </xdr:to>
    <xdr:graphicFrame macro="">
      <xdr:nvGraphicFramePr>
        <xdr:cNvPr id="19" name="Team A Trends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</xdr:row>
          <xdr:rowOff>0</xdr:rowOff>
        </xdr:from>
        <xdr:to>
          <xdr:col>23</xdr:col>
          <xdr:colOff>85725</xdr:colOff>
          <xdr:row>6</xdr:row>
          <xdr:rowOff>47625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2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Auto-Predict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276225</xdr:colOff>
          <xdr:row>8</xdr:row>
          <xdr:rowOff>57150</xdr:rowOff>
        </xdr:from>
        <xdr:to>
          <xdr:col>22</xdr:col>
          <xdr:colOff>609600</xdr:colOff>
          <xdr:row>13</xdr:row>
          <xdr:rowOff>66675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2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F63D64C-B9E5-475F-8DC9-8AF1D2361C24}" autoFormatId="16" applyNumberFormats="0" applyBorderFormats="0" applyFontFormats="0" applyPatternFormats="0" applyAlignmentFormats="0" applyWidthHeightFormats="0">
  <queryTableRefresh nextId="40" unboundColumnsRight="1">
    <queryTableFields count="18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  <queryTableField id="39" dataBound="0" tableColumnId="1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A17D200-2383-4871-82A3-9AF8039CBA7D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787BC5D-C29F-437B-99FD-72B9176DC7E6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A35112D-1CE4-4695-9C16-D924F6B2FB95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C6CFE60-CF0D-4F26-8CB6-B64EE135D4B9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89E0E724-3AC7-4B4C-A94E-261A590B056F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3CB7A49A-5D46-4BA8-9DE3-D40A20FAFCDB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F6293958-B183-4A55-9C05-8275EEC0EDEC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203733A9-F70E-47B4-B725-0C7D8FF033B8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39A0D980-ECDF-4F71-9A24-3FE0225E1B8E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49409367-3F7E-49D3-93CF-9EDD3B8C295D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EF1827CB-3C09-49E9-9919-7CB0441EF219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CB957F15-33B0-4490-AF85-37122B3937DA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57A41311-1BE5-4EAD-AD42-5D7734C294A6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619AC8D3-29B0-4E9A-89F7-DDC057EF3991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68F9F134-DE83-41EF-8159-A45F80D550D5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13660A35-07CF-413D-AA07-C637BCB40999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8B65CFDA-1725-435A-9794-C66DDEE857E8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DBFDBBBB-9F1F-4462-91DC-401D72095BC2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52BA2853-5F12-4EE8-A62C-4C84BDEE7D51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2" xr16:uid="{7A396963-FEEE-41DD-84F3-F7EBE118012F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4" xr16:uid="{3941BBF6-A5BF-49B2-9EAC-CE006218BB64}" autoFormatId="16" applyNumberFormats="0" applyBorderFormats="0" applyFontFormats="0" applyPatternFormats="0" applyAlignmentFormats="0" applyWidthHeightFormats="0">
  <queryTableRefresh nextId="40" unboundColumnsRight="1">
    <queryTableFields count="18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  <queryTableField id="39" dataBound="0" tableColumnId="1"/>
    </queryTableFields>
    <queryTableDeletedFields count="21"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Rk"/>
      <deletedField name="W-L%"/>
      <deletedField name="FT%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EBCB77-856B-4D45-B674-E0078004BD25}" name="_2000__2" displayName="_2000__2" ref="A1:R319" tableType="queryTable" totalsRowShown="0">
  <autoFilter ref="A1:R319" xr:uid="{C980BE31-602A-440E-846B-50D7D02CABDF}"/>
  <tableColumns count="18">
    <tableColumn id="2" xr3:uid="{DDAB64ED-AD19-4C32-888D-FDE591723587}" uniqueName="2" name="School" queryTableFieldId="2" dataDxfId="21"/>
    <tableColumn id="3" xr3:uid="{6A01757D-B690-4999-9E70-412CEFEEB505}" uniqueName="3" name="G" queryTableFieldId="3"/>
    <tableColumn id="4" xr3:uid="{0BDF8564-0BB2-4F6D-8E37-DBD9A35D7D92}" uniqueName="4" name="W" queryTableFieldId="4"/>
    <tableColumn id="5" xr3:uid="{8F488A18-AC4D-4A2E-A807-772E63A393F0}" uniqueName="5" name="L" queryTableFieldId="5"/>
    <tableColumn id="8" xr3:uid="{7EC605D5-3D92-4C71-8568-1FF689A14687}" uniqueName="8" name="SOS" queryTableFieldId="8"/>
    <tableColumn id="19" xr3:uid="{353235FB-97F4-4576-B68F-72FA2DC706AF}" uniqueName="19" name="Tm." queryTableFieldId="19"/>
    <tableColumn id="23" xr3:uid="{F3A8F7C1-41CB-4668-A73C-0D7F16668FE3}" uniqueName="23" name="FG" queryTableFieldId="23"/>
    <tableColumn id="24" xr3:uid="{3A72691D-C7DD-4CFD-8BC0-9E50B86EE58E}" uniqueName="24" name="FGA" queryTableFieldId="24"/>
    <tableColumn id="29" xr3:uid="{98C26FDB-E5C5-4587-B75E-3ABE341090B9}" uniqueName="29" name="FT" queryTableFieldId="29"/>
    <tableColumn id="30" xr3:uid="{F05B02E8-9EFA-4FA4-8A86-000F4C63D712}" uniqueName="30" name="FTA" queryTableFieldId="30"/>
    <tableColumn id="32" xr3:uid="{A9C05397-79AE-4224-9DB7-BF8A8ADE10CE}" uniqueName="32" name="ORB" queryTableFieldId="32"/>
    <tableColumn id="33" xr3:uid="{46D6FFB4-CF4D-43E4-8FBA-4B71A8C6EC8C}" uniqueName="33" name="TRB" queryTableFieldId="33"/>
    <tableColumn id="34" xr3:uid="{6DF846CD-7D38-4DF1-B090-693B48950857}" uniqueName="34" name="AST" queryTableFieldId="34"/>
    <tableColumn id="35" xr3:uid="{F6C7194A-4C81-4914-B16E-AD0368FF43AF}" uniqueName="35" name="STL" queryTableFieldId="35"/>
    <tableColumn id="36" xr3:uid="{6A0FE37D-D8E8-49E0-8C33-571F99D00BF5}" uniqueName="36" name="BLK" queryTableFieldId="36"/>
    <tableColumn id="37" xr3:uid="{88099EA2-E1EF-409A-81CC-3327D65FD426}" uniqueName="37" name="TOV" queryTableFieldId="37"/>
    <tableColumn id="38" xr3:uid="{57AA42AA-960D-4BA7-AA13-A4BC9FA262FF}" uniqueName="38" name="PF" queryTableFieldId="38"/>
    <tableColumn id="1" xr3:uid="{FFFCD2C5-588C-C34D-A4EB-C5F67F648D4C}" uniqueName="1" name="R" queryTableFieldId="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EA638D-B011-44D1-B7E5-39E6D54121A9}" name="_2001" displayName="_2001" ref="A1:Q319" tableType="queryTable" totalsRowShown="0">
  <autoFilter ref="A1:Q319" xr:uid="{FA75FD63-9712-4C9F-B930-5E02D9078B46}"/>
  <tableColumns count="17">
    <tableColumn id="2" xr3:uid="{89100AAF-7958-4C0F-8C5D-08ECCFF8E007}" uniqueName="2" name="School" queryTableFieldId="2" dataDxfId="20"/>
    <tableColumn id="3" xr3:uid="{FCD24AE0-0218-498D-B51D-4CAB179658E8}" uniqueName="3" name="G" queryTableFieldId="3"/>
    <tableColumn id="4" xr3:uid="{E1CE852B-56C5-47EC-8C8A-B7FBDF60D5D3}" uniqueName="4" name="W" queryTableFieldId="4"/>
    <tableColumn id="5" xr3:uid="{146A5DE2-3088-4172-9206-AA3B4FC212F8}" uniqueName="5" name="L" queryTableFieldId="5"/>
    <tableColumn id="8" xr3:uid="{AAA7E506-1AD7-4234-A5BD-30965BF2427A}" uniqueName="8" name="SOS" queryTableFieldId="8"/>
    <tableColumn id="19" xr3:uid="{E4137CFC-F75D-49E8-89D3-5CE9B4C2C994}" uniqueName="19" name="Tm." queryTableFieldId="19"/>
    <tableColumn id="23" xr3:uid="{6236B376-08A3-4EA8-B6A1-7081CA36E87D}" uniqueName="23" name="FG" queryTableFieldId="23"/>
    <tableColumn id="24" xr3:uid="{B955D2A0-3EAC-4BF1-B9FF-ABAB4FDE1FA5}" uniqueName="24" name="FGA" queryTableFieldId="24"/>
    <tableColumn id="29" xr3:uid="{2E93DA92-A67A-4A65-81D0-E7D596348590}" uniqueName="29" name="FT" queryTableFieldId="29"/>
    <tableColumn id="30" xr3:uid="{BDA65C9E-8BAD-44BD-B89E-0A6D489C3D26}" uniqueName="30" name="FTA" queryTableFieldId="30"/>
    <tableColumn id="32" xr3:uid="{6A5EE81E-E32C-45E1-AD7C-3A0C2DCA5929}" uniqueName="32" name="ORB" queryTableFieldId="32"/>
    <tableColumn id="33" xr3:uid="{25719F92-4859-4044-B5AE-245A045EEDE3}" uniqueName="33" name="TRB" queryTableFieldId="33"/>
    <tableColumn id="34" xr3:uid="{44A6A8E2-DBBE-4A1C-9B95-2A91B274EA8A}" uniqueName="34" name="AST" queryTableFieldId="34"/>
    <tableColumn id="35" xr3:uid="{3168290D-28C6-44EB-8A75-2782F1B8F8BB}" uniqueName="35" name="STL" queryTableFieldId="35"/>
    <tableColumn id="36" xr3:uid="{ADDDDFD0-6AEC-4B1C-8507-8AB6760B5300}" uniqueName="36" name="BLK" queryTableFieldId="36"/>
    <tableColumn id="37" xr3:uid="{1A234E9F-6691-444A-9B2F-EBAF851AA19C}" uniqueName="37" name="TOV" queryTableFieldId="37"/>
    <tableColumn id="38" xr3:uid="{7577CFEC-FA70-423C-909B-4F62D177062B}" uniqueName="38" name="PF" queryTableFieldId="3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B3162C-DC44-4BED-AC7B-4E8DBE40A3C9}" name="_2002" displayName="_2002" ref="A1:Q322" tableType="queryTable" totalsRowShown="0">
  <autoFilter ref="A1:Q322" xr:uid="{47CB9F90-EA60-47A9-AB35-57824D47B80F}"/>
  <tableColumns count="17">
    <tableColumn id="2" xr3:uid="{1C172E62-8C0E-44A0-A2CB-D0394DF9F1C1}" uniqueName="2" name="School" queryTableFieldId="2" dataDxfId="19"/>
    <tableColumn id="3" xr3:uid="{1D399866-505E-4963-BB26-380A28651E59}" uniqueName="3" name="G" queryTableFieldId="3"/>
    <tableColumn id="4" xr3:uid="{E30B26AE-0551-4703-B7D0-97CEAB764CB5}" uniqueName="4" name="W" queryTableFieldId="4"/>
    <tableColumn id="5" xr3:uid="{A61F45AD-07F8-49B4-9E0A-975AC748FD9A}" uniqueName="5" name="L" queryTableFieldId="5"/>
    <tableColumn id="8" xr3:uid="{9ADD584D-AECF-46E5-AF70-E76D6C15F8E4}" uniqueName="8" name="SOS" queryTableFieldId="8"/>
    <tableColumn id="19" xr3:uid="{1C877518-CFAF-46D0-80AC-6FB9A7DFB10E}" uniqueName="19" name="Tm." queryTableFieldId="19"/>
    <tableColumn id="23" xr3:uid="{366D2728-3CB5-4111-990E-2CF0D8FF1EC6}" uniqueName="23" name="FG" queryTableFieldId="23"/>
    <tableColumn id="24" xr3:uid="{7C9DB5D5-E433-4721-B026-EF704A260A3E}" uniqueName="24" name="FGA" queryTableFieldId="24"/>
    <tableColumn id="29" xr3:uid="{304779A6-AFDB-40AF-8FA9-6CF7DA7AF9EF}" uniqueName="29" name="FT" queryTableFieldId="29"/>
    <tableColumn id="30" xr3:uid="{DD717AF3-08DD-4428-973F-C396BAA2BF20}" uniqueName="30" name="FTA" queryTableFieldId="30"/>
    <tableColumn id="32" xr3:uid="{07B99D4E-1F8F-4615-B545-0B2A307790A6}" uniqueName="32" name="ORB" queryTableFieldId="32"/>
    <tableColumn id="33" xr3:uid="{B28DE44D-BEBB-4FDA-A6A8-C9CC58E80B94}" uniqueName="33" name="TRB" queryTableFieldId="33"/>
    <tableColumn id="34" xr3:uid="{B3D41EE8-E64B-437D-9B15-EC789CF531F0}" uniqueName="34" name="AST" queryTableFieldId="34"/>
    <tableColumn id="35" xr3:uid="{249CDDCE-D02D-42FB-92A4-445BDE9573C6}" uniqueName="35" name="STL" queryTableFieldId="35"/>
    <tableColumn id="36" xr3:uid="{51549A0E-90AC-49EB-9968-7E3E60F8A875}" uniqueName="36" name="BLK" queryTableFieldId="36"/>
    <tableColumn id="37" xr3:uid="{CF4D01C1-ABC0-42DE-9E1A-64981FEF55B9}" uniqueName="37" name="TOV" queryTableFieldId="37"/>
    <tableColumn id="38" xr3:uid="{A88E528B-E87B-494A-A3F3-A4191DC316FA}" uniqueName="38" name="PF" queryTableField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79955-8259-4A60-AA46-E0336CE1E2BE}" name="_2003" displayName="_2003" ref="A1:Q328" tableType="queryTable" totalsRowShown="0">
  <autoFilter ref="A1:Q328" xr:uid="{9265D8D2-27EA-4C1F-90D9-8F6586BDF468}"/>
  <tableColumns count="17">
    <tableColumn id="2" xr3:uid="{311B80DF-496E-47B7-9670-8D29ABF3358F}" uniqueName="2" name="School" queryTableFieldId="2" dataDxfId="18"/>
    <tableColumn id="3" xr3:uid="{FA3173A9-15EF-4DAE-BA02-B66CC88A2906}" uniqueName="3" name="G" queryTableFieldId="3"/>
    <tableColumn id="4" xr3:uid="{9B26AD9A-99F8-4EDD-9A82-A498ADF75EF5}" uniqueName="4" name="W" queryTableFieldId="4"/>
    <tableColumn id="5" xr3:uid="{406BF291-0E85-4EF3-933F-11C49245009C}" uniqueName="5" name="L" queryTableFieldId="5"/>
    <tableColumn id="8" xr3:uid="{91A16C23-46BF-4769-A0F0-D653657E72DD}" uniqueName="8" name="SOS" queryTableFieldId="8"/>
    <tableColumn id="19" xr3:uid="{F3B94792-90AE-4F53-BD35-66B2AE118F1A}" uniqueName="19" name="Tm." queryTableFieldId="19"/>
    <tableColumn id="23" xr3:uid="{0F17C65E-213A-4C0B-9203-1DFCB9C1FADC}" uniqueName="23" name="FG" queryTableFieldId="23"/>
    <tableColumn id="24" xr3:uid="{353F3672-ACB4-415A-BF19-6366A90F65AC}" uniqueName="24" name="FGA" queryTableFieldId="24"/>
    <tableColumn id="29" xr3:uid="{F49151F6-5719-4364-BC09-D74CB02DE119}" uniqueName="29" name="FT" queryTableFieldId="29"/>
    <tableColumn id="30" xr3:uid="{DF286C7E-6817-4970-B949-5EE1AA02FB56}" uniqueName="30" name="FTA" queryTableFieldId="30"/>
    <tableColumn id="32" xr3:uid="{FAD37E93-7FF2-436C-BE11-6D38F13191D2}" uniqueName="32" name="ORB" queryTableFieldId="32"/>
    <tableColumn id="33" xr3:uid="{F4018A15-D1B9-4553-8426-E8AB823CD517}" uniqueName="33" name="TRB" queryTableFieldId="33"/>
    <tableColumn id="34" xr3:uid="{0E322B36-2249-4B5A-94D0-B9B525EA44A3}" uniqueName="34" name="AST" queryTableFieldId="34"/>
    <tableColumn id="35" xr3:uid="{DD37FF25-F23D-4AA2-A9EA-09DD639CD7A8}" uniqueName="35" name="STL" queryTableFieldId="35"/>
    <tableColumn id="36" xr3:uid="{83BE26B8-94CE-4A47-B79B-F4B91ECCD7C5}" uniqueName="36" name="BLK" queryTableFieldId="36"/>
    <tableColumn id="37" xr3:uid="{C0B223EA-372B-4B80-B5C4-34F4D718B1CF}" uniqueName="37" name="TOV" queryTableFieldId="37"/>
    <tableColumn id="38" xr3:uid="{1789B3C7-7F5F-450A-A378-D3295B3C6F00}" uniqueName="38" name="PF" queryTableFieldId="3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48FE8D9-8919-4447-A1A0-C92F326E1628}" name="_2004" displayName="_2004" ref="A1:Q327" tableType="queryTable" totalsRowShown="0">
  <autoFilter ref="A1:Q327" xr:uid="{6ADEF4F2-B94D-4CD9-A2CD-84D9EA002D40}"/>
  <tableColumns count="17">
    <tableColumn id="2" xr3:uid="{2C5A4CEA-98BD-4EBB-A5ED-2858256834FF}" uniqueName="2" name="School" queryTableFieldId="2" dataDxfId="17"/>
    <tableColumn id="3" xr3:uid="{C0DD43CF-4A46-4287-80CE-DDA92D1A8E75}" uniqueName="3" name="G" queryTableFieldId="3"/>
    <tableColumn id="4" xr3:uid="{55B5F697-1A60-4215-AB19-118D9913259A}" uniqueName="4" name="W" queryTableFieldId="4"/>
    <tableColumn id="5" xr3:uid="{72D93A2F-88F9-4A5F-9652-506F47319FDA}" uniqueName="5" name="L" queryTableFieldId="5"/>
    <tableColumn id="8" xr3:uid="{997345CD-B84A-4418-B782-2A2A42FAE43E}" uniqueName="8" name="SOS" queryTableFieldId="8"/>
    <tableColumn id="19" xr3:uid="{CCFCDAAA-E0CC-49B9-9CF0-1678F2B40B37}" uniqueName="19" name="Tm." queryTableFieldId="19"/>
    <tableColumn id="23" xr3:uid="{257BBD5E-C665-4E89-A96D-027FDD394DA5}" uniqueName="23" name="FG" queryTableFieldId="23"/>
    <tableColumn id="24" xr3:uid="{E488CFA6-3682-4435-AD8A-722F05F27827}" uniqueName="24" name="FGA" queryTableFieldId="24"/>
    <tableColumn id="29" xr3:uid="{89C9A3D9-DC2C-4757-8B78-116EB3873CB4}" uniqueName="29" name="FT" queryTableFieldId="29"/>
    <tableColumn id="30" xr3:uid="{E1F49599-F703-4842-9D11-FCE644981211}" uniqueName="30" name="FTA" queryTableFieldId="30"/>
    <tableColumn id="32" xr3:uid="{AB9F627F-8E5E-4EAF-AE73-8A923E69F836}" uniqueName="32" name="ORB" queryTableFieldId="32"/>
    <tableColumn id="33" xr3:uid="{AC130CBC-6693-4CE6-905D-7BD8D4946B58}" uniqueName="33" name="TRB" queryTableFieldId="33"/>
    <tableColumn id="34" xr3:uid="{7AB180B1-603A-43EE-B134-D33986881C83}" uniqueName="34" name="AST" queryTableFieldId="34"/>
    <tableColumn id="35" xr3:uid="{6287C91D-4101-4B3B-96B0-718ECE4ED729}" uniqueName="35" name="STL" queryTableFieldId="35"/>
    <tableColumn id="36" xr3:uid="{00C68327-3748-406C-BB22-CB1FB0EB585B}" uniqueName="36" name="BLK" queryTableFieldId="36"/>
    <tableColumn id="37" xr3:uid="{7B2532EB-4D53-41FC-BEA4-2595976721EC}" uniqueName="37" name="TOV" queryTableFieldId="37"/>
    <tableColumn id="38" xr3:uid="{42F1B70D-5B55-4FFD-B707-98C8C94B9B48}" uniqueName="38" name="PF" queryTableFieldId="3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BD37DC-92BF-4BDB-B6E6-6ACDFB00D3A7}" name="_2005" displayName="_2005" ref="A1:Q331" tableType="queryTable" totalsRowShown="0">
  <autoFilter ref="A1:Q331" xr:uid="{260ECE6B-672C-4E14-BDE7-6B96F90A4654}"/>
  <tableColumns count="17">
    <tableColumn id="2" xr3:uid="{507B3E54-62A5-404A-92BF-5DDCC90DFBA5}" uniqueName="2" name="School" queryTableFieldId="2" dataDxfId="16"/>
    <tableColumn id="3" xr3:uid="{2019A7D1-0235-41F1-8056-7B7C4C9CE9A0}" uniqueName="3" name="G" queryTableFieldId="3"/>
    <tableColumn id="4" xr3:uid="{B828252C-FCCA-4F46-8484-154E62A796AB}" uniqueName="4" name="W" queryTableFieldId="4"/>
    <tableColumn id="5" xr3:uid="{735EA535-38CD-426C-8D99-704F0CB807F4}" uniqueName="5" name="L" queryTableFieldId="5"/>
    <tableColumn id="8" xr3:uid="{6FFB5226-A2AE-4BDE-9807-54ED1CA8961A}" uniqueName="8" name="SOS" queryTableFieldId="8"/>
    <tableColumn id="19" xr3:uid="{025DF2BA-5F34-4D94-9516-EDC677DF2B15}" uniqueName="19" name="Tm." queryTableFieldId="19"/>
    <tableColumn id="23" xr3:uid="{0EA63084-F7A2-43B7-9FC9-313B131E28F5}" uniqueName="23" name="FG" queryTableFieldId="23"/>
    <tableColumn id="24" xr3:uid="{712CE644-3E32-496D-B731-BD576B56C712}" uniqueName="24" name="FGA" queryTableFieldId="24"/>
    <tableColumn id="29" xr3:uid="{5BEA1503-782C-4AB4-AD80-B80B943849E4}" uniqueName="29" name="FT" queryTableFieldId="29"/>
    <tableColumn id="30" xr3:uid="{A5517EB4-4FC0-4D8A-BE13-2D9A7B56FC1A}" uniqueName="30" name="FTA" queryTableFieldId="30"/>
    <tableColumn id="32" xr3:uid="{3D1E7B15-0997-4FA4-A469-65868D72F3B3}" uniqueName="32" name="ORB" queryTableFieldId="32"/>
    <tableColumn id="33" xr3:uid="{F191474F-A2C5-40AC-B6A8-D6C05734E149}" uniqueName="33" name="TRB" queryTableFieldId="33"/>
    <tableColumn id="34" xr3:uid="{1D11177C-D717-40B0-AEE6-06E439A6AAB9}" uniqueName="34" name="AST" queryTableFieldId="34"/>
    <tableColumn id="35" xr3:uid="{47693640-87EB-4E17-9068-AC4623ACCA0F}" uniqueName="35" name="STL" queryTableFieldId="35"/>
    <tableColumn id="36" xr3:uid="{05335469-0ABA-4ECA-B2CB-78BB2897BF41}" uniqueName="36" name="BLK" queryTableFieldId="36"/>
    <tableColumn id="37" xr3:uid="{A636E957-BC56-4085-BB5F-962982C413EC}" uniqueName="37" name="TOV" queryTableFieldId="37"/>
    <tableColumn id="38" xr3:uid="{21A95EA2-CED7-46DA-AA61-579A06CD89B1}" uniqueName="38" name="PF" queryTableFieldId="3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DB613EE-E431-4E6F-A005-4C0D490CBBA3}" name="_2006" displayName="_2006" ref="A1:Q336" tableType="queryTable" totalsRowShown="0">
  <autoFilter ref="A1:Q336" xr:uid="{EFFE2CD1-5544-488C-8225-E9CB27F47F6E}"/>
  <tableColumns count="17">
    <tableColumn id="2" xr3:uid="{694D4376-32BF-48B1-88FC-C3A3F73A8760}" uniqueName="2" name="School" queryTableFieldId="2" dataDxfId="15"/>
    <tableColumn id="3" xr3:uid="{1BDEBC34-9138-42ED-944E-F28BDC3473D8}" uniqueName="3" name="G" queryTableFieldId="3"/>
    <tableColumn id="4" xr3:uid="{119B6CEA-9090-4B21-83F8-53F9E42CE468}" uniqueName="4" name="W" queryTableFieldId="4"/>
    <tableColumn id="5" xr3:uid="{66DE9AB3-836B-47AC-B23C-3B9173982BCD}" uniqueName="5" name="L" queryTableFieldId="5"/>
    <tableColumn id="8" xr3:uid="{C12449E7-006F-46F1-AB41-9499D81C3C86}" uniqueName="8" name="SOS" queryTableFieldId="8"/>
    <tableColumn id="19" xr3:uid="{4A923DD1-52F9-4F13-AA52-6C3A5493F441}" uniqueName="19" name="Tm." queryTableFieldId="19"/>
    <tableColumn id="23" xr3:uid="{36174F1E-F776-4A68-9C3E-29B6AB57B563}" uniqueName="23" name="FG" queryTableFieldId="23"/>
    <tableColumn id="24" xr3:uid="{EF1B70A2-130E-4E26-9F59-63AA27E5215F}" uniqueName="24" name="FGA" queryTableFieldId="24"/>
    <tableColumn id="29" xr3:uid="{8A5C778C-14DF-446E-BDB8-DFA9221C34B4}" uniqueName="29" name="FT" queryTableFieldId="29"/>
    <tableColumn id="30" xr3:uid="{36FB5B2C-6B87-451A-9D36-4B8E33A4306C}" uniqueName="30" name="FTA" queryTableFieldId="30"/>
    <tableColumn id="32" xr3:uid="{56858B7F-93BF-406D-92E3-5265A6B53614}" uniqueName="32" name="ORB" queryTableFieldId="32"/>
    <tableColumn id="33" xr3:uid="{9B8714C3-34AF-4344-8D38-0EB5FA00DEDE}" uniqueName="33" name="TRB" queryTableFieldId="33"/>
    <tableColumn id="34" xr3:uid="{ED771BDE-EC27-492F-8B44-0B07E9BAF382}" uniqueName="34" name="AST" queryTableFieldId="34"/>
    <tableColumn id="35" xr3:uid="{0DB65FEC-C13B-41B1-8999-C58FEEF35A36}" uniqueName="35" name="STL" queryTableFieldId="35"/>
    <tableColumn id="36" xr3:uid="{BCFA7898-CB70-47CF-ACE6-B8EFD84FB49F}" uniqueName="36" name="BLK" queryTableFieldId="36"/>
    <tableColumn id="37" xr3:uid="{83DFEB0E-BEE1-4AC7-8F6A-1366AD23105C}" uniqueName="37" name="TOV" queryTableFieldId="37"/>
    <tableColumn id="38" xr3:uid="{DE79E798-E3B5-41E9-B679-C3A35D0E6D83}" uniqueName="38" name="PF" queryTableFieldId="3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C498C1-3FB6-4B80-85D1-8A5F3A0104B8}" name="_2007" displayName="_2007" ref="A1:Q338" tableType="queryTable" totalsRowShown="0">
  <autoFilter ref="A1:Q338" xr:uid="{8855AB7D-4A2C-4B78-90F9-8B502D67522B}"/>
  <tableColumns count="17">
    <tableColumn id="2" xr3:uid="{58E59074-9A96-426F-8F5F-A0094E6F35F1}" uniqueName="2" name="School" queryTableFieldId="2" dataDxfId="14"/>
    <tableColumn id="3" xr3:uid="{EF1F1425-AC9D-43A3-99F2-DF292F8B0903}" uniqueName="3" name="G" queryTableFieldId="3"/>
    <tableColumn id="4" xr3:uid="{3BD8623A-2FC6-4EDD-B858-3586906F2904}" uniqueName="4" name="W" queryTableFieldId="4"/>
    <tableColumn id="5" xr3:uid="{0AFA7F5C-335C-465F-A13B-D703FCD1E399}" uniqueName="5" name="L" queryTableFieldId="5"/>
    <tableColumn id="8" xr3:uid="{A368CF6E-85F1-49A7-A674-24FB19F7DA06}" uniqueName="8" name="SOS" queryTableFieldId="8"/>
    <tableColumn id="19" xr3:uid="{C794896C-7675-4C5F-817F-BEAB268F4C07}" uniqueName="19" name="Tm." queryTableFieldId="19"/>
    <tableColumn id="23" xr3:uid="{4B67F831-B5C1-4482-B6E8-7DFDE7D873F1}" uniqueName="23" name="FG" queryTableFieldId="23"/>
    <tableColumn id="24" xr3:uid="{936CEC2E-B1FE-4853-AAF5-B5F9073A3DC4}" uniqueName="24" name="FGA" queryTableFieldId="24"/>
    <tableColumn id="29" xr3:uid="{42CE4D33-F43D-4569-A294-A34B2E25C973}" uniqueName="29" name="FT" queryTableFieldId="29"/>
    <tableColumn id="30" xr3:uid="{0BB7BF91-F873-4623-B904-5201A391AF5B}" uniqueName="30" name="FTA" queryTableFieldId="30"/>
    <tableColumn id="32" xr3:uid="{7A29DBDD-CE5A-481F-BD4D-F4595B7C71A2}" uniqueName="32" name="ORB" queryTableFieldId="32"/>
    <tableColumn id="33" xr3:uid="{CEF46565-71E7-4E76-9064-D050EAFD749E}" uniqueName="33" name="TRB" queryTableFieldId="33"/>
    <tableColumn id="34" xr3:uid="{893B070A-6B28-4756-BE9F-928D296D0A92}" uniqueName="34" name="AST" queryTableFieldId="34"/>
    <tableColumn id="35" xr3:uid="{14473387-8654-44ED-A8FA-F80509E1E2E3}" uniqueName="35" name="STL" queryTableFieldId="35"/>
    <tableColumn id="36" xr3:uid="{DE7F295E-ACC1-45AE-BE9D-14B67E75BA31}" uniqueName="36" name="BLK" queryTableFieldId="36"/>
    <tableColumn id="37" xr3:uid="{3F4802DE-280D-48B8-8B41-C70DECE777EC}" uniqueName="37" name="TOV" queryTableFieldId="37"/>
    <tableColumn id="38" xr3:uid="{7A5EF847-8067-4AA4-85E9-A0999780039F}" uniqueName="38" name="PF" queryTableFieldId="3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56744AA-54BE-44A8-936A-0741C6AD2BCB}" name="_2008" displayName="_2008" ref="A1:Q342" tableType="queryTable" totalsRowShown="0">
  <autoFilter ref="A1:Q342" xr:uid="{C3011276-E622-4B3B-A4E3-FAF7ACFCD314}"/>
  <tableColumns count="17">
    <tableColumn id="2" xr3:uid="{906DB43B-F653-49C9-AD62-9022519A7C12}" uniqueName="2" name="School" queryTableFieldId="2" dataDxfId="13"/>
    <tableColumn id="3" xr3:uid="{41F0A9D9-4A9D-4726-973D-BE7B0E2B15CC}" uniqueName="3" name="G" queryTableFieldId="3"/>
    <tableColumn id="4" xr3:uid="{BC0C5362-7E3C-4592-9CCA-DD69AC30E7FD}" uniqueName="4" name="W" queryTableFieldId="4"/>
    <tableColumn id="5" xr3:uid="{8B841E11-F2FB-4C05-88DC-A5D0E4A8D286}" uniqueName="5" name="L" queryTableFieldId="5"/>
    <tableColumn id="8" xr3:uid="{D32CDFAE-0EE7-414D-AB83-A58BB44FF9ED}" uniqueName="8" name="SOS" queryTableFieldId="8"/>
    <tableColumn id="19" xr3:uid="{B4FE767F-40C1-4E47-BA56-1DC0A1C67E2D}" uniqueName="19" name="Tm." queryTableFieldId="19"/>
    <tableColumn id="23" xr3:uid="{F4DBA27E-C6BB-41A7-8BCD-34AE95BC66C6}" uniqueName="23" name="FG" queryTableFieldId="23"/>
    <tableColumn id="24" xr3:uid="{8AF24057-50F9-44DE-8683-8303A4E348DB}" uniqueName="24" name="FGA" queryTableFieldId="24"/>
    <tableColumn id="29" xr3:uid="{9021E757-874F-4E15-940F-2878D59BB9AA}" uniqueName="29" name="FT" queryTableFieldId="29"/>
    <tableColumn id="30" xr3:uid="{3DC5EE93-356B-4AE9-9314-B9BF0D3F34C5}" uniqueName="30" name="FTA" queryTableFieldId="30"/>
    <tableColumn id="32" xr3:uid="{00E5C191-0A35-429F-939A-D0CC2604A434}" uniqueName="32" name="ORB" queryTableFieldId="32"/>
    <tableColumn id="33" xr3:uid="{2AAA2C0C-BFFA-4772-871B-9E1AE6B74C53}" uniqueName="33" name="TRB" queryTableFieldId="33"/>
    <tableColumn id="34" xr3:uid="{9AB5A2B6-A514-42E3-B904-DB9F8F981D92}" uniqueName="34" name="AST" queryTableFieldId="34"/>
    <tableColumn id="35" xr3:uid="{60592552-98C8-4099-98DF-84CF576051EF}" uniqueName="35" name="STL" queryTableFieldId="35"/>
    <tableColumn id="36" xr3:uid="{046D0AFB-A3DC-4C9A-9423-3F0B9800EBBB}" uniqueName="36" name="BLK" queryTableFieldId="36"/>
    <tableColumn id="37" xr3:uid="{BA8C7474-A5FD-4EF8-9EC6-1224F6AC8CBF}" uniqueName="37" name="TOV" queryTableFieldId="37"/>
    <tableColumn id="38" xr3:uid="{F8DF41A5-016F-4999-AB58-7CF5CB8D611C}" uniqueName="38" name="PF" queryTableFieldId="3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A4326D5-09DB-48DB-BE9D-A15587FADD3B}" name="_2009" displayName="_2009" ref="A1:Q345" tableType="queryTable" totalsRowShown="0">
  <autoFilter ref="A1:Q345" xr:uid="{AC4D45CF-11DA-455B-9BA6-1181795A2434}"/>
  <tableColumns count="17">
    <tableColumn id="2" xr3:uid="{A83C0E1F-BFC2-41FA-BD11-CA1F9C08E919}" uniqueName="2" name="School" queryTableFieldId="2" dataDxfId="12"/>
    <tableColumn id="3" xr3:uid="{3147F821-C8F8-4EC4-B719-D17C67D9538A}" uniqueName="3" name="G" queryTableFieldId="3"/>
    <tableColumn id="4" xr3:uid="{A5258D37-75E2-4344-BFFF-9EFBB3623CD9}" uniqueName="4" name="W" queryTableFieldId="4"/>
    <tableColumn id="5" xr3:uid="{54FEBBE2-46BA-49DC-8446-EA19D2130A91}" uniqueName="5" name="L" queryTableFieldId="5"/>
    <tableColumn id="8" xr3:uid="{E91CA6F3-199A-4B88-8012-E04BEE63D1BD}" uniqueName="8" name="SOS" queryTableFieldId="8"/>
    <tableColumn id="19" xr3:uid="{0DE84429-3F11-41B8-A9EA-37FF1D7A38F8}" uniqueName="19" name="Tm." queryTableFieldId="19"/>
    <tableColumn id="23" xr3:uid="{8C668EBC-C9A8-47A2-B3C2-24C31D3B981C}" uniqueName="23" name="FG" queryTableFieldId="23"/>
    <tableColumn id="24" xr3:uid="{DC44B309-EEDD-4F88-A680-7C2581BD0EF3}" uniqueName="24" name="FGA" queryTableFieldId="24"/>
    <tableColumn id="29" xr3:uid="{0117FF0E-2FF7-43AC-A593-A678164612A4}" uniqueName="29" name="FT" queryTableFieldId="29"/>
    <tableColumn id="30" xr3:uid="{E73685B8-7A86-47D3-A4C8-96F2CF8CCE23}" uniqueName="30" name="FTA" queryTableFieldId="30"/>
    <tableColumn id="32" xr3:uid="{08971282-82C0-41F8-B5F7-1C67DBF01F62}" uniqueName="32" name="ORB" queryTableFieldId="32"/>
    <tableColumn id="33" xr3:uid="{693A6896-3C14-4021-B714-3B31E765E725}" uniqueName="33" name="TRB" queryTableFieldId="33"/>
    <tableColumn id="34" xr3:uid="{5880FD45-A042-4B08-B4C6-7B68C020E9B4}" uniqueName="34" name="AST" queryTableFieldId="34"/>
    <tableColumn id="35" xr3:uid="{A11CD2EA-2466-43FB-9A3D-3A90FA75A6E3}" uniqueName="35" name="STL" queryTableFieldId="35"/>
    <tableColumn id="36" xr3:uid="{878D68B9-EEBC-443E-98EA-6A9F83937C8C}" uniqueName="36" name="BLK" queryTableFieldId="36"/>
    <tableColumn id="37" xr3:uid="{4F90D5E7-00F5-4E79-BE1E-872DDE2A8456}" uniqueName="37" name="TOV" queryTableFieldId="37"/>
    <tableColumn id="38" xr3:uid="{E78A0CE5-D72B-4234-BFB9-4B7439577F66}" uniqueName="38" name="PF" queryTableFieldId="3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95823B3-9D8D-44C8-A02E-C010CC0D72E4}" name="_2010" displayName="_2010" ref="A1:Q348" tableType="queryTable" totalsRowShown="0">
  <autoFilter ref="A1:Q348" xr:uid="{9635CF13-1ADD-499B-A7D5-0E9E353479D1}"/>
  <tableColumns count="17">
    <tableColumn id="2" xr3:uid="{8832EEEE-9BD0-4913-93D4-C8794D77D948}" uniqueName="2" name="School" queryTableFieldId="2" dataDxfId="11"/>
    <tableColumn id="3" xr3:uid="{879500D0-BB0D-41BA-8EF8-66FE78A5BAD5}" uniqueName="3" name="G" queryTableFieldId="3"/>
    <tableColumn id="4" xr3:uid="{475E4395-7C18-4458-8A60-9FCF1A933498}" uniqueName="4" name="W" queryTableFieldId="4"/>
    <tableColumn id="5" xr3:uid="{4AA5EF0C-7E32-4151-9533-66929485F432}" uniqueName="5" name="L" queryTableFieldId="5"/>
    <tableColumn id="8" xr3:uid="{6DFC074E-A43F-49F9-90D8-5B0D91A02D0F}" uniqueName="8" name="SOS" queryTableFieldId="8"/>
    <tableColumn id="19" xr3:uid="{6C41831E-9324-4371-85A0-22CBF9436343}" uniqueName="19" name="Tm." queryTableFieldId="19"/>
    <tableColumn id="23" xr3:uid="{B96596D6-BEC0-4C27-B6FD-D6B62AF432A5}" uniqueName="23" name="FG" queryTableFieldId="23"/>
    <tableColumn id="24" xr3:uid="{C8D7B15C-FDFF-40DD-AB11-75AE11D0DA3C}" uniqueName="24" name="FGA" queryTableFieldId="24"/>
    <tableColumn id="29" xr3:uid="{9819EB06-6890-4FE5-AE1D-002C10186122}" uniqueName="29" name="FT" queryTableFieldId="29"/>
    <tableColumn id="30" xr3:uid="{FC1F5056-9B57-47FB-84F4-FC420201DE0D}" uniqueName="30" name="FTA" queryTableFieldId="30"/>
    <tableColumn id="32" xr3:uid="{42D8E725-5516-4A7D-BB66-ACB85962FD2A}" uniqueName="32" name="ORB" queryTableFieldId="32"/>
    <tableColumn id="33" xr3:uid="{F21F387C-EE7D-4077-ABF0-46F88A887496}" uniqueName="33" name="TRB" queryTableFieldId="33"/>
    <tableColumn id="34" xr3:uid="{0840995E-0C71-4EEE-B2D2-832FBD510B55}" uniqueName="34" name="AST" queryTableFieldId="34"/>
    <tableColumn id="35" xr3:uid="{5365F7AF-C407-4243-87D9-D61D4A91BDF7}" uniqueName="35" name="STL" queryTableFieldId="35"/>
    <tableColumn id="36" xr3:uid="{B481224F-BE09-4EC3-8559-CEB89AB2834C}" uniqueName="36" name="BLK" queryTableFieldId="36"/>
    <tableColumn id="37" xr3:uid="{53222301-AAE2-48DD-BBA5-808FAC59266A}" uniqueName="37" name="TOV" queryTableFieldId="37"/>
    <tableColumn id="38" xr3:uid="{DF774F8E-6CA5-4D92-B7FD-862AB43CA622}" uniqueName="38" name="PF" queryTableFieldId="38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F30CA42-0B2C-41D8-A9CF-A2990AA7191F}" name="_2011" displayName="_2011" ref="A1:Q346" tableType="queryTable" totalsRowShown="0">
  <autoFilter ref="A1:Q346" xr:uid="{85A0CABE-7761-499D-831F-FFDC8D0D1A32}"/>
  <tableColumns count="17">
    <tableColumn id="2" xr3:uid="{6B8CBF6D-6BB2-45DE-9AAE-C7C833C6811F}" uniqueName="2" name="School" queryTableFieldId="2" dataDxfId="10"/>
    <tableColumn id="3" xr3:uid="{77F15BCA-9C52-40F3-B747-C4AB7EE5AD43}" uniqueName="3" name="G" queryTableFieldId="3"/>
    <tableColumn id="4" xr3:uid="{7B680E52-D6F5-415E-B4B6-C570E9595B73}" uniqueName="4" name="W" queryTableFieldId="4"/>
    <tableColumn id="5" xr3:uid="{085A02C8-72C5-4706-A775-EE0F558D36B2}" uniqueName="5" name="L" queryTableFieldId="5"/>
    <tableColumn id="8" xr3:uid="{DC6B5DD2-B5E4-4D48-BEAE-DC4A853FE59D}" uniqueName="8" name="SOS" queryTableFieldId="8"/>
    <tableColumn id="19" xr3:uid="{F1F9FD22-28AA-415F-AC88-1E3A6DCA578F}" uniqueName="19" name="Tm." queryTableFieldId="19"/>
    <tableColumn id="23" xr3:uid="{A3A0E685-00CB-4171-A16F-D0DAEDF3255A}" uniqueName="23" name="FG" queryTableFieldId="23"/>
    <tableColumn id="24" xr3:uid="{36F5A65F-2855-455D-A4AC-4AE3F0799918}" uniqueName="24" name="FGA" queryTableFieldId="24"/>
    <tableColumn id="29" xr3:uid="{8E3670BB-5701-4F45-96E3-0C40BB28BB2B}" uniqueName="29" name="FT" queryTableFieldId="29"/>
    <tableColumn id="30" xr3:uid="{9867C5F7-55F0-47AB-9078-4BD3A529FEDA}" uniqueName="30" name="FTA" queryTableFieldId="30"/>
    <tableColumn id="32" xr3:uid="{8B722868-ED7C-46CA-8C29-7881155C673E}" uniqueName="32" name="ORB" queryTableFieldId="32"/>
    <tableColumn id="33" xr3:uid="{22F19617-9ABC-48A9-A066-871BB59485EF}" uniqueName="33" name="TRB" queryTableFieldId="33"/>
    <tableColumn id="34" xr3:uid="{4D82A281-1701-463B-84F0-96D91539FE7D}" uniqueName="34" name="AST" queryTableFieldId="34"/>
    <tableColumn id="35" xr3:uid="{40A63B1F-3158-4E0B-AFBA-91EDA7AF3F23}" uniqueName="35" name="STL" queryTableFieldId="35"/>
    <tableColumn id="36" xr3:uid="{1F2DC1EC-EAB3-4EFD-A609-C043BFE9F911}" uniqueName="36" name="BLK" queryTableFieldId="36"/>
    <tableColumn id="37" xr3:uid="{AE67104F-B181-4CEB-8E75-2DEB2A2D9D60}" uniqueName="37" name="TOV" queryTableFieldId="37"/>
    <tableColumn id="38" xr3:uid="{4552BD88-F2EC-4A25-B96A-E7DC5D829696}" uniqueName="38" name="PF" queryTableFieldId="3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89892C9-C556-4B52-8AF1-28B325B4FB96}" name="_2012" displayName="_2012" ref="A1:Q345" tableType="queryTable" totalsRowShown="0">
  <autoFilter ref="A1:Q345" xr:uid="{9D2EE1DA-84BC-413C-B126-C9429868A67F}"/>
  <tableColumns count="17">
    <tableColumn id="2" xr3:uid="{A279D5AF-ED3D-47FF-B58A-7D580514E907}" uniqueName="2" name="School" queryTableFieldId="2" dataDxfId="9"/>
    <tableColumn id="3" xr3:uid="{74E881F8-01B5-4656-B418-960936E88F5C}" uniqueName="3" name="G" queryTableFieldId="3"/>
    <tableColumn id="4" xr3:uid="{C1E5C369-17F5-4036-831D-985FDCE26E7F}" uniqueName="4" name="W" queryTableFieldId="4"/>
    <tableColumn id="5" xr3:uid="{E6BC62D6-EE86-4152-ABB4-802219A29193}" uniqueName="5" name="L" queryTableFieldId="5"/>
    <tableColumn id="8" xr3:uid="{210540CF-28F8-4740-83FD-4AC01A58040B}" uniqueName="8" name="SOS" queryTableFieldId="8"/>
    <tableColumn id="19" xr3:uid="{5056AC43-EAF2-4D5C-88D9-B70D369B53D7}" uniqueName="19" name="Tm." queryTableFieldId="19"/>
    <tableColumn id="23" xr3:uid="{7CD2A5CD-D5C2-4FCA-A8D2-D165098B1E8B}" uniqueName="23" name="FG" queryTableFieldId="23"/>
    <tableColumn id="24" xr3:uid="{24723222-F817-4198-B962-2D6EEABBF537}" uniqueName="24" name="FGA" queryTableFieldId="24"/>
    <tableColumn id="29" xr3:uid="{A3655C13-2577-4947-905A-E6CD268C7D8D}" uniqueName="29" name="FT" queryTableFieldId="29"/>
    <tableColumn id="30" xr3:uid="{D147BC8D-6ED8-45E6-AD70-A87BCAC3DE9E}" uniqueName="30" name="FTA" queryTableFieldId="30"/>
    <tableColumn id="32" xr3:uid="{7FF2F2B9-EB46-43BD-9CD8-058807EC7867}" uniqueName="32" name="ORB" queryTableFieldId="32"/>
    <tableColumn id="33" xr3:uid="{B32463A8-1EA1-473A-AF85-FB0D504D614C}" uniqueName="33" name="TRB" queryTableFieldId="33"/>
    <tableColumn id="34" xr3:uid="{E5FBDE50-0EBD-4C60-839E-1C591BDBA697}" uniqueName="34" name="AST" queryTableFieldId="34"/>
    <tableColumn id="35" xr3:uid="{0D48AA76-3FB9-4558-AECE-4C9557CF107B}" uniqueName="35" name="STL" queryTableFieldId="35"/>
    <tableColumn id="36" xr3:uid="{61F3BF12-8E7E-4786-A03A-3AAA7C732C3C}" uniqueName="36" name="BLK" queryTableFieldId="36"/>
    <tableColumn id="37" xr3:uid="{6C37EA9E-517B-4EF8-ADD1-CBA769B5D88E}" uniqueName="37" name="TOV" queryTableFieldId="37"/>
    <tableColumn id="38" xr3:uid="{22707F9B-86C2-48E5-A3C3-46F9DF2DDE87}" uniqueName="38" name="PF" queryTableFieldId="3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6EE2A14-00EB-43FE-A698-3020A3904CDD}" name="_2013" displayName="_2013" ref="A1:Q348" tableType="queryTable" totalsRowShown="0">
  <autoFilter ref="A1:Q348" xr:uid="{3151B50A-D3C5-4769-BB06-9344DCFAB25C}"/>
  <tableColumns count="17">
    <tableColumn id="2" xr3:uid="{8ECD089F-A544-42FC-8A4E-7081F7D2D9DB}" uniqueName="2" name="School" queryTableFieldId="2" dataDxfId="8"/>
    <tableColumn id="3" xr3:uid="{57F4470D-F872-4633-9A18-D9E36C451A6B}" uniqueName="3" name="G" queryTableFieldId="3"/>
    <tableColumn id="4" xr3:uid="{D130DBD1-06FF-4C02-A865-8BB740A84FFA}" uniqueName="4" name="W" queryTableFieldId="4"/>
    <tableColumn id="5" xr3:uid="{F4039152-DDDB-4696-95CC-8869A16F7C36}" uniqueName="5" name="L" queryTableFieldId="5"/>
    <tableColumn id="8" xr3:uid="{BBAF204D-76C7-4ADB-80F2-03BCD3C1921E}" uniqueName="8" name="SOS" queryTableFieldId="8"/>
    <tableColumn id="19" xr3:uid="{F08A3680-F07C-46E9-AD83-0579E446D9C2}" uniqueName="19" name="Tm." queryTableFieldId="19"/>
    <tableColumn id="23" xr3:uid="{CBA3F687-F973-4CFD-AFAA-77B605E0AD70}" uniqueName="23" name="FG" queryTableFieldId="23"/>
    <tableColumn id="24" xr3:uid="{78F1DC8D-F760-44DE-98C6-3DFC9D0384E1}" uniqueName="24" name="FGA" queryTableFieldId="24"/>
    <tableColumn id="29" xr3:uid="{252A7502-8B1D-4A88-96C2-7A6F0B3A28DE}" uniqueName="29" name="FT" queryTableFieldId="29"/>
    <tableColumn id="30" xr3:uid="{C16FB733-F162-43F5-9F20-735D283E5DCA}" uniqueName="30" name="FTA" queryTableFieldId="30"/>
    <tableColumn id="32" xr3:uid="{3240AF96-8284-4C22-BC6A-9DD95E1D269E}" uniqueName="32" name="ORB" queryTableFieldId="32"/>
    <tableColumn id="33" xr3:uid="{C3B4A708-9C26-4A00-9F58-210FCA4BF085}" uniqueName="33" name="TRB" queryTableFieldId="33"/>
    <tableColumn id="34" xr3:uid="{FF42EB88-F94C-4FB0-A062-866C275297D0}" uniqueName="34" name="AST" queryTableFieldId="34"/>
    <tableColumn id="35" xr3:uid="{E8C5BC97-DC64-44AD-92B4-C4C7BDC599DB}" uniqueName="35" name="STL" queryTableFieldId="35"/>
    <tableColumn id="36" xr3:uid="{6A3FC8CA-634A-4D15-967B-5248B3625EF9}" uniqueName="36" name="BLK" queryTableFieldId="36"/>
    <tableColumn id="37" xr3:uid="{057E3816-85B7-4FBB-8094-C0B80D766C1E}" uniqueName="37" name="TOV" queryTableFieldId="37"/>
    <tableColumn id="38" xr3:uid="{C0978A0C-D3BB-429C-9412-B108E8A3815D}" uniqueName="38" name="PF" queryTableFieldId="3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27B6AB8-3BDE-4B81-BD7B-5DD60C8BDA91}" name="_2014" displayName="_2014" ref="A1:Q352" tableType="queryTable" totalsRowShown="0">
  <autoFilter ref="A1:Q352" xr:uid="{6D25A51B-4094-475B-8FA6-319532CB6187}"/>
  <tableColumns count="17">
    <tableColumn id="2" xr3:uid="{8462DA2A-0956-4DF6-BE58-FC979F4B2708}" uniqueName="2" name="School" queryTableFieldId="2" dataDxfId="7"/>
    <tableColumn id="3" xr3:uid="{8FB7BBF9-8464-4E1D-A082-6F1FDAD2EAA0}" uniqueName="3" name="G" queryTableFieldId="3"/>
    <tableColumn id="4" xr3:uid="{555D9242-26DC-4EA3-A54F-D42681D4AE13}" uniqueName="4" name="W" queryTableFieldId="4"/>
    <tableColumn id="5" xr3:uid="{57FB2DD6-9348-4EDB-8F76-5B63895991D5}" uniqueName="5" name="L" queryTableFieldId="5"/>
    <tableColumn id="8" xr3:uid="{DFCE63F3-A4A5-4A65-A0BC-3677658515F3}" uniqueName="8" name="SOS" queryTableFieldId="8"/>
    <tableColumn id="19" xr3:uid="{419CDC8E-4433-47B4-B36B-592AFEF9DB5A}" uniqueName="19" name="Tm." queryTableFieldId="19"/>
    <tableColumn id="23" xr3:uid="{40B10A5D-0EF0-41DE-92E9-A5150293D3F9}" uniqueName="23" name="FG" queryTableFieldId="23"/>
    <tableColumn id="24" xr3:uid="{365D9A1D-CA5A-4117-8BB3-C5B0CF8133E1}" uniqueName="24" name="FGA" queryTableFieldId="24"/>
    <tableColumn id="29" xr3:uid="{6F2C0F3A-ABF0-447D-A893-11E98A790F7E}" uniqueName="29" name="FT" queryTableFieldId="29"/>
    <tableColumn id="30" xr3:uid="{20E9B9D3-BC88-4252-BBE4-63F164A7F40E}" uniqueName="30" name="FTA" queryTableFieldId="30"/>
    <tableColumn id="32" xr3:uid="{9FCDE0E8-0AB4-4BDB-85B4-43BE1E19FEF9}" uniqueName="32" name="ORB" queryTableFieldId="32"/>
    <tableColumn id="33" xr3:uid="{26B3A5A3-E8E9-4CF8-98E6-62D25B22C4F3}" uniqueName="33" name="TRB" queryTableFieldId="33"/>
    <tableColumn id="34" xr3:uid="{E909E0D2-8A49-4AB4-9E93-FC79E5826799}" uniqueName="34" name="AST" queryTableFieldId="34"/>
    <tableColumn id="35" xr3:uid="{4C79CE5A-8CE8-4AD9-890A-A7E1A3338BBE}" uniqueName="35" name="STL" queryTableFieldId="35"/>
    <tableColumn id="36" xr3:uid="{F9BDEA9D-FC51-4B91-835B-FCFB86222A5B}" uniqueName="36" name="BLK" queryTableFieldId="36"/>
    <tableColumn id="37" xr3:uid="{2D40C194-B78F-4363-9D1E-8B2A4D13FC8F}" uniqueName="37" name="TOV" queryTableFieldId="37"/>
    <tableColumn id="38" xr3:uid="{9CA40E9C-008D-46F7-BB55-03EE9F21FBB8}" uniqueName="38" name="PF" queryTableFieldId="38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51984EC-D141-4D65-A4FA-B7AE72D18A5D}" name="_2015" displayName="_2015" ref="A1:Q352" tableType="queryTable" totalsRowShown="0">
  <autoFilter ref="A1:Q352" xr:uid="{975D4919-67CE-432A-8AE1-A8BA72D592EB}"/>
  <tableColumns count="17">
    <tableColumn id="2" xr3:uid="{F9FBECED-A6E1-4E30-8F60-1126192571F2}" uniqueName="2" name="School" queryTableFieldId="2" dataDxfId="6"/>
    <tableColumn id="3" xr3:uid="{C0717E15-0CAB-47EA-AFEB-B9EE1501C256}" uniqueName="3" name="G" queryTableFieldId="3"/>
    <tableColumn id="4" xr3:uid="{D42842A6-CF06-4409-860C-443FE1822F90}" uniqueName="4" name="W" queryTableFieldId="4"/>
    <tableColumn id="5" xr3:uid="{FACC281E-F07D-4C2C-9284-AB711D2947DF}" uniqueName="5" name="L" queryTableFieldId="5"/>
    <tableColumn id="8" xr3:uid="{7BB04D66-64BE-469F-9C08-2A1B7879810C}" uniqueName="8" name="SOS" queryTableFieldId="8"/>
    <tableColumn id="19" xr3:uid="{2FA334D5-CB43-4C68-98C4-A0DE325BC525}" uniqueName="19" name="Tm." queryTableFieldId="19"/>
    <tableColumn id="23" xr3:uid="{8FDD8D3A-FCF4-471D-93D1-9C8A484233C3}" uniqueName="23" name="FG" queryTableFieldId="23"/>
    <tableColumn id="24" xr3:uid="{3876C6A2-C0E8-439C-B993-BB8D7CD40489}" uniqueName="24" name="FGA" queryTableFieldId="24"/>
    <tableColumn id="29" xr3:uid="{1B178BDF-7113-4FB2-8F8D-434C33805F39}" uniqueName="29" name="FT" queryTableFieldId="29"/>
    <tableColumn id="30" xr3:uid="{8AF233CB-86B9-41B1-AE67-B812372AA1AC}" uniqueName="30" name="FTA" queryTableFieldId="30"/>
    <tableColumn id="32" xr3:uid="{9768F7E3-5F26-40B3-9423-183D1741F8D3}" uniqueName="32" name="ORB" queryTableFieldId="32"/>
    <tableColumn id="33" xr3:uid="{8D7B1005-63BD-4386-ADB1-186D060E4447}" uniqueName="33" name="TRB" queryTableFieldId="33"/>
    <tableColumn id="34" xr3:uid="{5740897A-3C86-46AF-AB2C-E2DAC611780E}" uniqueName="34" name="AST" queryTableFieldId="34"/>
    <tableColumn id="35" xr3:uid="{8A23DE30-7FB2-40A9-8294-6322C09EF1F8}" uniqueName="35" name="STL" queryTableFieldId="35"/>
    <tableColumn id="36" xr3:uid="{66BAFA3D-1522-42A1-9CEB-6D40CE09C193}" uniqueName="36" name="BLK" queryTableFieldId="36"/>
    <tableColumn id="37" xr3:uid="{8E1B27B9-33D3-484A-BED8-24072CCC7119}" uniqueName="37" name="TOV" queryTableFieldId="37"/>
    <tableColumn id="38" xr3:uid="{1D4427B2-98DC-4C61-8A39-2160535D5E9E}" uniqueName="38" name="PF" queryTableFieldId="38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D4F9130-051C-428E-BE5B-A39AFE319803}" name="_2016" displayName="_2016" ref="A1:Q352" tableType="queryTable" totalsRowShown="0">
  <autoFilter ref="A1:Q352" xr:uid="{5D011E9D-1221-4613-A52E-0E328C5105D9}"/>
  <tableColumns count="17">
    <tableColumn id="2" xr3:uid="{EDC36831-ADA2-4478-8678-4AB2504288EA}" uniqueName="2" name="School" queryTableFieldId="2" dataDxfId="5"/>
    <tableColumn id="3" xr3:uid="{8ABDA58D-6AF2-4770-964C-D84795A54700}" uniqueName="3" name="G" queryTableFieldId="3"/>
    <tableColumn id="4" xr3:uid="{5BB66B6F-853A-41F0-A31A-8B7463508427}" uniqueName="4" name="W" queryTableFieldId="4"/>
    <tableColumn id="5" xr3:uid="{853774A5-58C5-4449-B1B3-0A3371A922AF}" uniqueName="5" name="L" queryTableFieldId="5"/>
    <tableColumn id="8" xr3:uid="{89179130-8737-42AD-A285-C558AD900D21}" uniqueName="8" name="SOS" queryTableFieldId="8"/>
    <tableColumn id="19" xr3:uid="{67379460-D3ED-4913-9E47-8AA41E374F99}" uniqueName="19" name="Tm." queryTableFieldId="19"/>
    <tableColumn id="23" xr3:uid="{0C9D7695-A400-4C29-BF3A-B2A6FF988138}" uniqueName="23" name="FG" queryTableFieldId="23"/>
    <tableColumn id="24" xr3:uid="{C1594092-4CAB-47BE-83E5-A37EF5E81943}" uniqueName="24" name="FGA" queryTableFieldId="24"/>
    <tableColumn id="29" xr3:uid="{2AFE1E94-F2F3-49A2-BEBE-CC153202A609}" uniqueName="29" name="FT" queryTableFieldId="29"/>
    <tableColumn id="30" xr3:uid="{3BF1E887-51D2-4ACD-B2C9-FA9C3F56C95E}" uniqueName="30" name="FTA" queryTableFieldId="30"/>
    <tableColumn id="32" xr3:uid="{C7F4A585-0A68-4288-BE03-0C53E6798C7F}" uniqueName="32" name="ORB" queryTableFieldId="32"/>
    <tableColumn id="33" xr3:uid="{3EC18778-D46D-4AEE-ABF6-9BF187FCB022}" uniqueName="33" name="TRB" queryTableFieldId="33"/>
    <tableColumn id="34" xr3:uid="{1F2FC0A2-0C8B-4873-9A5F-AD8FA2833FB2}" uniqueName="34" name="AST" queryTableFieldId="34"/>
    <tableColumn id="35" xr3:uid="{DD2CEE01-127A-42CD-971A-5B4B5509867D}" uniqueName="35" name="STL" queryTableFieldId="35"/>
    <tableColumn id="36" xr3:uid="{64A1D3FF-1AE3-4EA6-9D54-E65140A82EB6}" uniqueName="36" name="BLK" queryTableFieldId="36"/>
    <tableColumn id="37" xr3:uid="{D4F9C7BA-2119-44B1-BB10-727D4A0BF78F}" uniqueName="37" name="TOV" queryTableFieldId="37"/>
    <tableColumn id="38" xr3:uid="{A730B2B8-A609-43C8-9231-BEA045C8378D}" uniqueName="38" name="PF" queryTableFieldId="38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025BCD6-2CC7-428B-A524-BB79407360C8}" name="_2017" displayName="_2017" ref="A1:Q352" tableType="queryTable" totalsRowShown="0">
  <autoFilter ref="A1:Q352" xr:uid="{FCF1D8DD-ACAE-4182-85D5-61C3FA5A83AF}"/>
  <tableColumns count="17">
    <tableColumn id="2" xr3:uid="{A673EEB3-5E13-4ACD-A8D1-FB3913281DF5}" uniqueName="2" name="School" queryTableFieldId="2" dataDxfId="4"/>
    <tableColumn id="3" xr3:uid="{8A304F20-9B33-4DD6-BCE9-06ED57D804A8}" uniqueName="3" name="G" queryTableFieldId="3"/>
    <tableColumn id="4" xr3:uid="{C90D9F67-3E3C-45CB-9601-535ACA9BBDE3}" uniqueName="4" name="W" queryTableFieldId="4"/>
    <tableColumn id="5" xr3:uid="{7704DCB5-FF09-4DAD-B737-3C6BD2CC3656}" uniqueName="5" name="L" queryTableFieldId="5"/>
    <tableColumn id="8" xr3:uid="{AEA989A5-F0B6-4A7F-9E25-BADB28034337}" uniqueName="8" name="SOS" queryTableFieldId="8"/>
    <tableColumn id="19" xr3:uid="{D947FC8E-BDF7-4CC4-ACC7-4881C504E36F}" uniqueName="19" name="Tm." queryTableFieldId="19"/>
    <tableColumn id="23" xr3:uid="{89123B3E-0919-4CDB-A0D9-AC616CDA1A3F}" uniqueName="23" name="FG" queryTableFieldId="23"/>
    <tableColumn id="24" xr3:uid="{06A788AC-02E4-4E11-8645-5344B803A95D}" uniqueName="24" name="FGA" queryTableFieldId="24"/>
    <tableColumn id="29" xr3:uid="{46A2DF2F-621B-4886-A825-2C21F5A0802B}" uniqueName="29" name="FT" queryTableFieldId="29"/>
    <tableColumn id="30" xr3:uid="{C776CA53-DE4F-4D1F-ADF5-B68E5E2D698A}" uniqueName="30" name="FTA" queryTableFieldId="30"/>
    <tableColumn id="32" xr3:uid="{1E7F695B-D48D-4D43-A4DF-2CFF1D338A4D}" uniqueName="32" name="ORB" queryTableFieldId="32"/>
    <tableColumn id="33" xr3:uid="{C57EBFD0-03AC-47C5-84B5-93FC867F09EE}" uniqueName="33" name="TRB" queryTableFieldId="33"/>
    <tableColumn id="34" xr3:uid="{D8DE4323-46AE-4B46-B1D0-A82D95F10E6E}" uniqueName="34" name="AST" queryTableFieldId="34"/>
    <tableColumn id="35" xr3:uid="{23203607-D125-4D36-8FC0-9BCBF4BBE136}" uniqueName="35" name="STL" queryTableFieldId="35"/>
    <tableColumn id="36" xr3:uid="{3A7CA8C5-4D51-4E43-B39C-1B7CA0A78035}" uniqueName="36" name="BLK" queryTableFieldId="36"/>
    <tableColumn id="37" xr3:uid="{19A3DCDB-3FE9-4F49-BA50-49F00FF2A887}" uniqueName="37" name="TOV" queryTableFieldId="37"/>
    <tableColumn id="38" xr3:uid="{5E3ADF2D-D4B1-4B39-8024-0A0DD26022F1}" uniqueName="38" name="PF" queryTableFieldId="38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31634DA-5858-4055-A12E-1931AE5D1098}" name="_2018" displayName="_2018" ref="A1:Q352" tableType="queryTable" totalsRowShown="0">
  <autoFilter ref="A1:Q352" xr:uid="{833F7196-A630-46CA-B911-D94974DCDD3B}"/>
  <tableColumns count="17">
    <tableColumn id="2" xr3:uid="{B001ECF4-99D4-4937-96D5-BEB2FCE0786A}" uniqueName="2" name="School" queryTableFieldId="2" dataDxfId="3"/>
    <tableColumn id="3" xr3:uid="{17204EF8-3368-4639-A449-B1FDEC395F86}" uniqueName="3" name="G" queryTableFieldId="3"/>
    <tableColumn id="4" xr3:uid="{1624FE13-0343-494B-A61E-3861B717FB43}" uniqueName="4" name="W" queryTableFieldId="4"/>
    <tableColumn id="5" xr3:uid="{E84669A6-9597-4764-8AD0-F7700038ACFA}" uniqueName="5" name="L" queryTableFieldId="5"/>
    <tableColumn id="8" xr3:uid="{89B625E8-98BE-474B-BF65-876A80C8B306}" uniqueName="8" name="SOS" queryTableFieldId="8"/>
    <tableColumn id="19" xr3:uid="{EFE9AE5E-C133-44AA-92EC-23B3C443336A}" uniqueName="19" name="Tm." queryTableFieldId="19"/>
    <tableColumn id="23" xr3:uid="{A94D024A-2EC5-4502-A69A-4911296B20DA}" uniqueName="23" name="FG" queryTableFieldId="23"/>
    <tableColumn id="24" xr3:uid="{EF674452-F50A-464B-88C5-C44C55EED762}" uniqueName="24" name="FGA" queryTableFieldId="24"/>
    <tableColumn id="29" xr3:uid="{5E237112-6727-402B-B2B5-61F940A5800E}" uniqueName="29" name="FT" queryTableFieldId="29"/>
    <tableColumn id="30" xr3:uid="{7191F13B-865C-4FBD-989B-4E5520DC57CE}" uniqueName="30" name="FTA" queryTableFieldId="30"/>
    <tableColumn id="32" xr3:uid="{C31F8922-BF2D-43AE-B53D-464897592E20}" uniqueName="32" name="ORB" queryTableFieldId="32"/>
    <tableColumn id="33" xr3:uid="{19DF8D07-3F3E-4EC2-94B8-2FDB7D351F08}" uniqueName="33" name="TRB" queryTableFieldId="33"/>
    <tableColumn id="34" xr3:uid="{22EA57CF-E9BA-44C8-90F4-E3DCE70C69E4}" uniqueName="34" name="AST" queryTableFieldId="34"/>
    <tableColumn id="35" xr3:uid="{1489239F-33AC-4903-8CFA-2D201F9AAF54}" uniqueName="35" name="STL" queryTableFieldId="35"/>
    <tableColumn id="36" xr3:uid="{CFDB90FB-AFB7-4C13-8A37-6194E353777C}" uniqueName="36" name="BLK" queryTableFieldId="36"/>
    <tableColumn id="37" xr3:uid="{FA9B4F33-CACE-4B68-90CB-9CC802012A7F}" uniqueName="37" name="TOV" queryTableFieldId="37"/>
    <tableColumn id="38" xr3:uid="{BB6E812B-CD0C-4C8F-B90E-1B07E5C3B3E9}" uniqueName="38" name="PF" queryTableFieldId="38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3C47AE3-71E4-427C-9CE0-D44C39FC26E3}" name="_2019" displayName="_2019" ref="A1:Q354" tableType="queryTable" totalsRowShown="0">
  <autoFilter ref="A1:Q354" xr:uid="{26F24342-0B24-4713-826C-18C6CA203FE3}"/>
  <tableColumns count="17">
    <tableColumn id="2" xr3:uid="{B7D1DFE9-376F-4E58-A6B3-87D6A4785B44}" uniqueName="2" name="School" queryTableFieldId="2" dataDxfId="2"/>
    <tableColumn id="3" xr3:uid="{2C512DEB-F42F-4425-BEB7-B43FB8E46E4A}" uniqueName="3" name="G" queryTableFieldId="3"/>
    <tableColumn id="4" xr3:uid="{F9518FC1-2FCC-4B67-A451-13B1AFADCAE0}" uniqueName="4" name="W" queryTableFieldId="4"/>
    <tableColumn id="5" xr3:uid="{0C47D36D-5BCF-4728-A302-2BA7FE19DD8D}" uniqueName="5" name="L" queryTableFieldId="5"/>
    <tableColumn id="8" xr3:uid="{15E1A053-411D-4431-808E-98E863A03ECC}" uniqueName="8" name="SOS" queryTableFieldId="8"/>
    <tableColumn id="19" xr3:uid="{3B2D49CF-8448-4478-9D69-69F51DDA1D82}" uniqueName="19" name="Tm." queryTableFieldId="19"/>
    <tableColumn id="23" xr3:uid="{10555EC3-135C-4C38-85E0-C7448C225C16}" uniqueName="23" name="FG" queryTableFieldId="23"/>
    <tableColumn id="24" xr3:uid="{22E7FFE6-496C-4BC9-B0A5-8DA82021BE81}" uniqueName="24" name="FGA" queryTableFieldId="24"/>
    <tableColumn id="29" xr3:uid="{9FFE7FA7-E703-49EE-BE5E-2AAAAD7FCF25}" uniqueName="29" name="FT" queryTableFieldId="29"/>
    <tableColumn id="30" xr3:uid="{C5FCD91A-69C8-43B3-8A86-5F882AA3451F}" uniqueName="30" name="FTA" queryTableFieldId="30"/>
    <tableColumn id="32" xr3:uid="{6EDCAF73-EA1F-406B-8818-870EE2C68A5F}" uniqueName="32" name="ORB" queryTableFieldId="32"/>
    <tableColumn id="33" xr3:uid="{B6848BC9-2B8D-471E-92FA-F7B1A80F9788}" uniqueName="33" name="TRB" queryTableFieldId="33"/>
    <tableColumn id="34" xr3:uid="{F2B7EA94-9303-444D-852C-5477146E3BD4}" uniqueName="34" name="AST" queryTableFieldId="34"/>
    <tableColumn id="35" xr3:uid="{0DED4EF8-0F52-458A-B6E0-99FE940CD4E6}" uniqueName="35" name="STL" queryTableFieldId="35"/>
    <tableColumn id="36" xr3:uid="{BA1084A1-B513-48DE-B647-1DEDA8792CB9}" uniqueName="36" name="BLK" queryTableFieldId="36"/>
    <tableColumn id="37" xr3:uid="{81CB90D6-42B3-4FB8-BDF5-ACE61637CAA0}" uniqueName="37" name="TOV" queryTableFieldId="37"/>
    <tableColumn id="38" xr3:uid="{ED7BA9A0-3DA7-4C4C-A2C3-87EBC89472C7}" uniqueName="38" name="PF" queryTableFieldId="38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DD5169B-0F82-465D-ACCC-EB48FF9D25F9}" name="_2021" displayName="_2021" ref="A1:Q357" tableType="queryTable" totalsRowShown="0">
  <autoFilter ref="A1:Q357" xr:uid="{C05106D3-11A2-4417-BE19-BC0B7638162A}"/>
  <tableColumns count="17">
    <tableColumn id="2" xr3:uid="{3591970F-7E3C-4517-8D58-0D9584B04AF5}" uniqueName="2" name="School" queryTableFieldId="2" dataDxfId="1"/>
    <tableColumn id="3" xr3:uid="{8E4AA549-62FE-4948-A471-421B7A96563D}" uniqueName="3" name="G" queryTableFieldId="3"/>
    <tableColumn id="4" xr3:uid="{888E388F-9DE0-44A8-B274-3E84784F2AC3}" uniqueName="4" name="W" queryTableFieldId="4"/>
    <tableColumn id="5" xr3:uid="{ADBA6769-4542-44F1-908A-1A874F0E5F6B}" uniqueName="5" name="L" queryTableFieldId="5"/>
    <tableColumn id="8" xr3:uid="{9A7137A0-2E93-4080-801E-175716364470}" uniqueName="8" name="SOS" queryTableFieldId="8"/>
    <tableColumn id="19" xr3:uid="{CFE67A9B-84CD-4688-9A5C-096F8F171A6D}" uniqueName="19" name="Tm." queryTableFieldId="19"/>
    <tableColumn id="23" xr3:uid="{7259BC92-E505-4F95-9ED5-62D29551DB0B}" uniqueName="23" name="FG" queryTableFieldId="23"/>
    <tableColumn id="24" xr3:uid="{4029D776-421E-4632-AFC2-03C66A29CE64}" uniqueName="24" name="FGA" queryTableFieldId="24"/>
    <tableColumn id="29" xr3:uid="{17477FA4-E357-4F19-A9E5-7CD7578F2CC2}" uniqueName="29" name="FT" queryTableFieldId="29"/>
    <tableColumn id="30" xr3:uid="{C33EF719-56F9-4BAC-B093-A0B7910E7B89}" uniqueName="30" name="FTA" queryTableFieldId="30"/>
    <tableColumn id="32" xr3:uid="{A57191B3-328C-4EDD-A757-03C6BFFC91D8}" uniqueName="32" name="ORB" queryTableFieldId="32"/>
    <tableColumn id="33" xr3:uid="{5A9A1C1E-A0B2-40D7-AF85-D7FE135B466A}" uniqueName="33" name="TRB" queryTableFieldId="33"/>
    <tableColumn id="34" xr3:uid="{1AC163C1-2091-4755-BEC3-BEA349815925}" uniqueName="34" name="AST" queryTableFieldId="34"/>
    <tableColumn id="35" xr3:uid="{C0D05DA9-6926-43C9-80D7-F50419E9468B}" uniqueName="35" name="STL" queryTableFieldId="35"/>
    <tableColumn id="36" xr3:uid="{1D5745F6-DC00-4BB4-8858-B0D9098797F7}" uniqueName="36" name="BLK" queryTableFieldId="36"/>
    <tableColumn id="37" xr3:uid="{D57C03C5-AEBD-407D-8EEC-1A1841CC0FC7}" uniqueName="37" name="TOV" queryTableFieldId="37"/>
    <tableColumn id="38" xr3:uid="{B8010F9E-C1D5-43FF-93B4-C1223FF2AAA4}" uniqueName="38" name="PF" queryTableFieldId="38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E3A9899-EE3F-40F1-9429-C4C68953C5E3}" name="_20212__2" displayName="_20212__2" ref="A1:R357" tableType="queryTable" totalsRowShown="0">
  <autoFilter ref="A1:R357" xr:uid="{6F6D8F13-D41C-46BC-A556-1DE0C60EA49E}"/>
  <tableColumns count="18">
    <tableColumn id="2" xr3:uid="{679B9CBB-A2C5-47D2-9B02-7A598BDEEDCD}" uniqueName="2" name="School" queryTableFieldId="2" dataDxfId="0"/>
    <tableColumn id="3" xr3:uid="{82CC4BC8-7564-4723-82C8-7303E5D92942}" uniqueName="3" name="G" queryTableFieldId="3"/>
    <tableColumn id="4" xr3:uid="{3B1C207B-BB89-45D2-B4A8-9334F5B0CCD6}" uniqueName="4" name="W" queryTableFieldId="4"/>
    <tableColumn id="5" xr3:uid="{FAD1FE3A-EF18-434C-847E-1FFFB58A7D85}" uniqueName="5" name="L" queryTableFieldId="5"/>
    <tableColumn id="8" xr3:uid="{F53D1C69-8EFB-4C42-8CA5-88AF9E145BCB}" uniqueName="8" name="SOS" queryTableFieldId="8"/>
    <tableColumn id="19" xr3:uid="{498E316D-FDC8-43F3-8BEC-18056E304872}" uniqueName="19" name="Tm." queryTableFieldId="19"/>
    <tableColumn id="23" xr3:uid="{53DBF870-B035-4F7D-A6C5-73CD7BA68DFC}" uniqueName="23" name="FG" queryTableFieldId="23"/>
    <tableColumn id="24" xr3:uid="{76204378-B55A-4885-9FA7-0CC4FFD96C8C}" uniqueName="24" name="FGA" queryTableFieldId="24"/>
    <tableColumn id="29" xr3:uid="{F8D8D4CA-5298-4236-8B68-20B9E7F808E4}" uniqueName="29" name="FT" queryTableFieldId="29"/>
    <tableColumn id="30" xr3:uid="{681F5583-7A90-403D-9D8D-804527F28DF8}" uniqueName="30" name="FTA" queryTableFieldId="30"/>
    <tableColumn id="32" xr3:uid="{70936AD7-1367-48A9-A5C6-A9B5B587987B}" uniqueName="32" name="ORB" queryTableFieldId="32"/>
    <tableColumn id="33" xr3:uid="{6B08A601-79EC-4A32-9628-4DFEF45E4992}" uniqueName="33" name="TRB" queryTableFieldId="33"/>
    <tableColumn id="34" xr3:uid="{96BFF9E0-B450-4403-8672-7486A36A02AB}" uniqueName="34" name="AST" queryTableFieldId="34"/>
    <tableColumn id="35" xr3:uid="{A5D85D61-6805-47F8-BDD0-B7D680916799}" uniqueName="35" name="STL" queryTableFieldId="35"/>
    <tableColumn id="36" xr3:uid="{B90180FF-172D-4D3C-8367-A6B45C493D1E}" uniqueName="36" name="BLK" queryTableFieldId="36"/>
    <tableColumn id="37" xr3:uid="{EB8FB019-CEA3-4D7A-B131-0E42C0570347}" uniqueName="37" name="TOV" queryTableFieldId="37"/>
    <tableColumn id="38" xr3:uid="{C18A35C6-6EEB-49D4-8AB0-865688CDE2AE}" uniqueName="38" name="PF" queryTableFieldId="38"/>
    <tableColumn id="1" xr3:uid="{7ED45538-A9CD-5A4D-91BC-8DEA36AE8F83}" uniqueName="1" name="R" queryTableFieldId="3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C35D0-21C9-6646-80E6-D73A97F6125B}">
  <sheetPr codeName="Sheet26"/>
  <dimension ref="A1:AU68"/>
  <sheetViews>
    <sheetView tabSelected="1" zoomScale="78" zoomScaleNormal="78" workbookViewId="0">
      <selection activeCell="O1" sqref="O1"/>
    </sheetView>
  </sheetViews>
  <sheetFormatPr defaultColWidth="11.42578125" defaultRowHeight="15"/>
  <cols>
    <col min="1" max="1" width="4.85546875" bestFit="1" customWidth="1"/>
    <col min="2" max="2" width="3" bestFit="1" customWidth="1"/>
    <col min="3" max="3" width="3.140625" bestFit="1" customWidth="1"/>
    <col min="4" max="4" width="3" bestFit="1" customWidth="1"/>
    <col min="5" max="5" width="5.42578125" bestFit="1" customWidth="1"/>
    <col min="6" max="6" width="5" bestFit="1" customWidth="1"/>
    <col min="7" max="7" width="4.28515625" bestFit="1" customWidth="1"/>
    <col min="8" max="8" width="5.7109375" bestFit="1" customWidth="1"/>
    <col min="9" max="9" width="4.140625" bestFit="1" customWidth="1"/>
    <col min="10" max="10" width="5.42578125" bestFit="1" customWidth="1"/>
    <col min="11" max="11" width="5.85546875" bestFit="1" customWidth="1"/>
    <col min="12" max="12" width="5.7109375" bestFit="1" customWidth="1"/>
    <col min="13" max="13" width="16.7109375" customWidth="1"/>
    <col min="14" max="14" width="19.42578125" bestFit="1" customWidth="1"/>
    <col min="15" max="21" width="13" bestFit="1" customWidth="1"/>
    <col min="22" max="22" width="7.7109375" bestFit="1" customWidth="1"/>
    <col min="23" max="25" width="13" bestFit="1" customWidth="1"/>
    <col min="26" max="26" width="6.42578125" bestFit="1" customWidth="1"/>
    <col min="27" max="27" width="13" bestFit="1" customWidth="1"/>
    <col min="28" max="28" width="6.28515625" bestFit="1" customWidth="1"/>
    <col min="29" max="29" width="10.85546875" bestFit="1" customWidth="1"/>
    <col min="30" max="31" width="5.42578125" bestFit="1" customWidth="1"/>
    <col min="32" max="32" width="5.85546875" bestFit="1" customWidth="1"/>
    <col min="33" max="33" width="5.7109375" bestFit="1" customWidth="1"/>
    <col min="34" max="34" width="5.42578125" bestFit="1" customWidth="1"/>
    <col min="35" max="35" width="5.140625" bestFit="1" customWidth="1"/>
    <col min="36" max="36" width="5.28515625" bestFit="1" customWidth="1"/>
    <col min="37" max="37" width="5.42578125" bestFit="1" customWidth="1"/>
    <col min="38" max="38" width="4.28515625" bestFit="1" customWidth="1"/>
    <col min="39" max="39" width="6.7109375" bestFit="1" customWidth="1"/>
    <col min="40" max="40" width="6.28515625" bestFit="1" customWidth="1"/>
    <col min="41" max="41" width="6" bestFit="1" customWidth="1"/>
  </cols>
  <sheetData>
    <row r="1" spans="1:41" ht="15" customHeight="1">
      <c r="C1" s="77" t="str">
        <f ca="1">OFFSET(_20212__2[[#Headers],[School]],Junk!A1-1,0,1,1)</f>
        <v>School</v>
      </c>
      <c r="D1" s="77"/>
      <c r="E1" s="77"/>
      <c r="F1" s="77"/>
      <c r="G1" s="77"/>
      <c r="H1" s="77"/>
      <c r="I1" s="77"/>
      <c r="J1" s="72"/>
      <c r="K1" s="72"/>
      <c r="R1" s="80" t="s">
        <v>379</v>
      </c>
      <c r="S1" s="80"/>
      <c r="T1" s="79">
        <v>2000</v>
      </c>
      <c r="U1" s="79"/>
      <c r="V1" s="79"/>
    </row>
    <row r="2" spans="1:41" ht="15" customHeight="1">
      <c r="C2" s="77"/>
      <c r="D2" s="77"/>
      <c r="E2" s="77"/>
      <c r="F2" s="77"/>
      <c r="G2" s="77"/>
      <c r="H2" s="77"/>
      <c r="I2" s="77"/>
      <c r="J2" s="72"/>
      <c r="K2" s="72"/>
      <c r="R2" s="80"/>
      <c r="S2" s="80"/>
      <c r="T2" s="79"/>
      <c r="U2" s="79"/>
      <c r="V2" s="79"/>
      <c r="X2" s="77" t="str">
        <f ca="1">OFFSET(_20212__2[[#Headers],[School]],Junk!A2-1,0,1,1)</f>
        <v>School</v>
      </c>
      <c r="Y2" s="77"/>
      <c r="Z2" s="77"/>
    </row>
    <row r="3" spans="1:41" ht="15" customHeight="1">
      <c r="C3" s="77"/>
      <c r="D3" s="77"/>
      <c r="E3" s="77"/>
      <c r="F3" s="77"/>
      <c r="G3" s="77"/>
      <c r="H3" s="77"/>
      <c r="I3" s="77"/>
      <c r="J3" s="72"/>
      <c r="K3" s="72"/>
      <c r="R3" s="80"/>
      <c r="S3" s="80"/>
      <c r="T3" s="79"/>
      <c r="U3" s="79"/>
      <c r="V3" s="79"/>
      <c r="X3" s="77"/>
      <c r="Y3" s="77"/>
      <c r="Z3" s="77"/>
    </row>
    <row r="4" spans="1:41" ht="15" customHeight="1">
      <c r="C4" s="72"/>
      <c r="D4" s="72"/>
      <c r="E4" s="72"/>
      <c r="F4" s="72"/>
      <c r="G4" s="72"/>
      <c r="H4" s="72"/>
      <c r="I4" s="72"/>
      <c r="J4" s="72"/>
      <c r="K4" s="72"/>
      <c r="Y4" s="72"/>
      <c r="Z4" s="72"/>
    </row>
    <row r="6" spans="1:41">
      <c r="A6" s="66"/>
      <c r="B6" s="67" t="s">
        <v>1</v>
      </c>
      <c r="C6" s="67" t="s">
        <v>2</v>
      </c>
      <c r="D6" s="67" t="s">
        <v>3</v>
      </c>
      <c r="E6" s="67" t="s">
        <v>4</v>
      </c>
      <c r="F6" s="67" t="s">
        <v>5</v>
      </c>
      <c r="G6" s="67" t="s">
        <v>6</v>
      </c>
      <c r="H6" s="67" t="s">
        <v>7</v>
      </c>
      <c r="I6" s="67" t="s">
        <v>8</v>
      </c>
      <c r="J6" s="67" t="s">
        <v>9</v>
      </c>
      <c r="K6" s="67" t="s">
        <v>10</v>
      </c>
      <c r="L6" s="67" t="s">
        <v>11</v>
      </c>
      <c r="M6" s="67" t="s">
        <v>12</v>
      </c>
      <c r="N6" s="67" t="s">
        <v>13</v>
      </c>
      <c r="O6" s="67" t="s">
        <v>14</v>
      </c>
      <c r="P6" s="67" t="s">
        <v>15</v>
      </c>
      <c r="Q6" s="68" t="s">
        <v>16</v>
      </c>
      <c r="R6" s="69" t="s">
        <v>396</v>
      </c>
      <c r="S6" s="69" t="s">
        <v>397</v>
      </c>
      <c r="T6" s="69" t="s">
        <v>398</v>
      </c>
      <c r="U6" s="66"/>
      <c r="V6" s="66"/>
      <c r="W6" s="67" t="s">
        <v>1</v>
      </c>
      <c r="X6" s="67" t="s">
        <v>2</v>
      </c>
      <c r="Y6" s="67" t="s">
        <v>3</v>
      </c>
      <c r="Z6" s="67" t="s">
        <v>4</v>
      </c>
      <c r="AA6" s="67" t="s">
        <v>5</v>
      </c>
      <c r="AB6" s="67" t="s">
        <v>6</v>
      </c>
      <c r="AC6" s="67" t="s">
        <v>7</v>
      </c>
      <c r="AD6" s="67" t="s">
        <v>8</v>
      </c>
      <c r="AE6" s="67" t="s">
        <v>9</v>
      </c>
      <c r="AF6" s="67" t="s">
        <v>10</v>
      </c>
      <c r="AG6" s="67" t="s">
        <v>11</v>
      </c>
      <c r="AH6" s="67" t="s">
        <v>12</v>
      </c>
      <c r="AI6" s="67" t="s">
        <v>13</v>
      </c>
      <c r="AJ6" s="67" t="s">
        <v>14</v>
      </c>
      <c r="AK6" s="67" t="s">
        <v>15</v>
      </c>
      <c r="AL6" s="68" t="s">
        <v>16</v>
      </c>
      <c r="AM6" s="69" t="s">
        <v>396</v>
      </c>
      <c r="AN6" s="69" t="s">
        <v>397</v>
      </c>
      <c r="AO6" s="69" t="s">
        <v>398</v>
      </c>
    </row>
    <row r="7" spans="1:41">
      <c r="A7" s="66">
        <v>2021</v>
      </c>
      <c r="B7" s="66" t="e">
        <f t="array" aca="1" ref="B7:Q7" ca="1">OFFSET('2021'!$A$1,VLOOKUP(Dashboard!$C$1,'2021'!$A$1:$R$357,18,FALSE),1,1,16)</f>
        <v>#VALUE!</v>
      </c>
      <c r="C7" s="66" t="e">
        <f ca="1"/>
        <v>#VALUE!</v>
      </c>
      <c r="D7" s="66" t="e">
        <f ca="1"/>
        <v>#VALUE!</v>
      </c>
      <c r="E7" s="66" t="e">
        <f ca="1"/>
        <v>#VALUE!</v>
      </c>
      <c r="F7" s="66" t="e">
        <f ca="1"/>
        <v>#VALUE!</v>
      </c>
      <c r="G7" s="66" t="e">
        <f ca="1"/>
        <v>#VALUE!</v>
      </c>
      <c r="H7" s="66" t="e">
        <f ca="1"/>
        <v>#VALUE!</v>
      </c>
      <c r="I7" s="66" t="e">
        <f ca="1"/>
        <v>#VALUE!</v>
      </c>
      <c r="J7" s="66" t="e">
        <f ca="1"/>
        <v>#VALUE!</v>
      </c>
      <c r="K7" s="66" t="e">
        <f ca="1"/>
        <v>#VALUE!</v>
      </c>
      <c r="L7" s="66" t="e">
        <f ca="1"/>
        <v>#VALUE!</v>
      </c>
      <c r="M7" s="66" t="e">
        <f ca="1"/>
        <v>#VALUE!</v>
      </c>
      <c r="N7" s="66" t="e">
        <f ca="1"/>
        <v>#VALUE!</v>
      </c>
      <c r="O7" s="66" t="e">
        <f ca="1"/>
        <v>#VALUE!</v>
      </c>
      <c r="P7" s="66" t="e">
        <f ca="1"/>
        <v>#VALUE!</v>
      </c>
      <c r="Q7" s="66" t="e">
        <f ca="1"/>
        <v>#VALUE!</v>
      </c>
      <c r="R7" s="70" t="e">
        <f ca="1">C7/B7</f>
        <v>#VALUE!</v>
      </c>
      <c r="S7" s="70" t="e">
        <f ca="1">G7/H7</f>
        <v>#VALUE!</v>
      </c>
      <c r="T7" s="70" t="e">
        <f ca="1">I7/J7</f>
        <v>#VALUE!</v>
      </c>
      <c r="U7" s="66"/>
      <c r="V7" s="66">
        <v>2021</v>
      </c>
      <c r="W7" s="66" t="e">
        <f t="array" aca="1" ref="W7:AL7" ca="1">OFFSET('2021'!$A$1,VLOOKUP(Dashboard!$X$2,'2021'!$A$1:$R$357,18,FALSE),1,1,16)</f>
        <v>#VALUE!</v>
      </c>
      <c r="X7" s="66" t="e">
        <f ca="1"/>
        <v>#VALUE!</v>
      </c>
      <c r="Y7" s="66" t="e">
        <f ca="1"/>
        <v>#VALUE!</v>
      </c>
      <c r="Z7" s="66" t="e">
        <f ca="1"/>
        <v>#VALUE!</v>
      </c>
      <c r="AA7" s="66" t="e">
        <f ca="1"/>
        <v>#VALUE!</v>
      </c>
      <c r="AB7" s="66" t="e">
        <f ca="1"/>
        <v>#VALUE!</v>
      </c>
      <c r="AC7" s="66" t="e">
        <f ca="1"/>
        <v>#VALUE!</v>
      </c>
      <c r="AD7" s="66" t="e">
        <f ca="1"/>
        <v>#VALUE!</v>
      </c>
      <c r="AE7" s="66" t="e">
        <f ca="1"/>
        <v>#VALUE!</v>
      </c>
      <c r="AF7" s="66" t="e">
        <f ca="1"/>
        <v>#VALUE!</v>
      </c>
      <c r="AG7" s="66" t="e">
        <f ca="1"/>
        <v>#VALUE!</v>
      </c>
      <c r="AH7" s="66" t="e">
        <f ca="1"/>
        <v>#VALUE!</v>
      </c>
      <c r="AI7" s="66" t="e">
        <f ca="1"/>
        <v>#VALUE!</v>
      </c>
      <c r="AJ7" s="66" t="e">
        <f ca="1"/>
        <v>#VALUE!</v>
      </c>
      <c r="AK7" s="66" t="e">
        <f ca="1"/>
        <v>#VALUE!</v>
      </c>
      <c r="AL7" s="66" t="e">
        <f ca="1"/>
        <v>#VALUE!</v>
      </c>
      <c r="AM7" s="71" t="e">
        <f ca="1">X7/W7</f>
        <v>#VALUE!</v>
      </c>
      <c r="AN7" s="71" t="e">
        <f ca="1">AB7/AC7</f>
        <v>#VALUE!</v>
      </c>
      <c r="AO7" s="71" t="e">
        <f ca="1">AD7/AE7</f>
        <v>#VALUE!</v>
      </c>
    </row>
    <row r="8" spans="1:41">
      <c r="A8" s="66">
        <v>2019</v>
      </c>
      <c r="B8" s="66" t="e">
        <f t="array" aca="1" ref="B8:Q8" ca="1">OFFSET('2019'!$A$1,VLOOKUP(Dashboard!$C$1,'2019'!$A$1:$R$357,18,FALSE),1,1,16)</f>
        <v>#VALUE!</v>
      </c>
      <c r="C8" s="66" t="e">
        <f ca="1"/>
        <v>#VALUE!</v>
      </c>
      <c r="D8" s="66" t="e">
        <f ca="1"/>
        <v>#VALUE!</v>
      </c>
      <c r="E8" s="66" t="e">
        <f ca="1"/>
        <v>#VALUE!</v>
      </c>
      <c r="F8" s="66" t="e">
        <f ca="1"/>
        <v>#VALUE!</v>
      </c>
      <c r="G8" s="66" t="e">
        <f ca="1"/>
        <v>#VALUE!</v>
      </c>
      <c r="H8" s="66" t="e">
        <f ca="1"/>
        <v>#VALUE!</v>
      </c>
      <c r="I8" s="66" t="e">
        <f ca="1"/>
        <v>#VALUE!</v>
      </c>
      <c r="J8" s="66" t="e">
        <f ca="1"/>
        <v>#VALUE!</v>
      </c>
      <c r="K8" s="66" t="e">
        <f ca="1"/>
        <v>#VALUE!</v>
      </c>
      <c r="L8" s="66" t="e">
        <f ca="1"/>
        <v>#VALUE!</v>
      </c>
      <c r="M8" s="66" t="e">
        <f ca="1"/>
        <v>#VALUE!</v>
      </c>
      <c r="N8" s="66" t="e">
        <f ca="1"/>
        <v>#VALUE!</v>
      </c>
      <c r="O8" s="66" t="e">
        <f ca="1"/>
        <v>#VALUE!</v>
      </c>
      <c r="P8" s="66" t="e">
        <f ca="1"/>
        <v>#VALUE!</v>
      </c>
      <c r="Q8" s="66" t="e">
        <f ca="1"/>
        <v>#VALUE!</v>
      </c>
      <c r="R8" s="70" t="e">
        <f t="shared" ref="R8:R27" ca="1" si="0">C8/B8</f>
        <v>#VALUE!</v>
      </c>
      <c r="S8" s="70" t="e">
        <f t="shared" ref="S8:S27" ca="1" si="1">G8/H8</f>
        <v>#VALUE!</v>
      </c>
      <c r="T8" s="70" t="e">
        <f t="shared" ref="T8:T27" ca="1" si="2">I8/J8</f>
        <v>#VALUE!</v>
      </c>
      <c r="U8" s="66"/>
      <c r="V8" s="66">
        <v>2019</v>
      </c>
      <c r="W8" s="66" t="e">
        <f t="array" aca="1" ref="W8:AL8" ca="1">OFFSET('2019'!$A$1,VLOOKUP(Dashboard!$X$2,'2019'!$A$1:$R$357,18,FALSE),1,1,16)</f>
        <v>#VALUE!</v>
      </c>
      <c r="X8" s="66" t="e">
        <f ca="1"/>
        <v>#VALUE!</v>
      </c>
      <c r="Y8" s="66" t="e">
        <f ca="1"/>
        <v>#VALUE!</v>
      </c>
      <c r="Z8" s="66" t="e">
        <f ca="1"/>
        <v>#VALUE!</v>
      </c>
      <c r="AA8" s="66" t="e">
        <f ca="1"/>
        <v>#VALUE!</v>
      </c>
      <c r="AB8" s="66" t="e">
        <f ca="1"/>
        <v>#VALUE!</v>
      </c>
      <c r="AC8" s="66" t="e">
        <f ca="1"/>
        <v>#VALUE!</v>
      </c>
      <c r="AD8" s="66" t="e">
        <f ca="1"/>
        <v>#VALUE!</v>
      </c>
      <c r="AE8" s="66" t="e">
        <f ca="1"/>
        <v>#VALUE!</v>
      </c>
      <c r="AF8" s="66" t="e">
        <f ca="1"/>
        <v>#VALUE!</v>
      </c>
      <c r="AG8" s="66" t="e">
        <f ca="1"/>
        <v>#VALUE!</v>
      </c>
      <c r="AH8" s="66" t="e">
        <f ca="1"/>
        <v>#VALUE!</v>
      </c>
      <c r="AI8" s="66" t="e">
        <f ca="1"/>
        <v>#VALUE!</v>
      </c>
      <c r="AJ8" s="66" t="e">
        <f ca="1"/>
        <v>#VALUE!</v>
      </c>
      <c r="AK8" s="66" t="e">
        <f ca="1"/>
        <v>#VALUE!</v>
      </c>
      <c r="AL8" s="66" t="e">
        <f ca="1"/>
        <v>#VALUE!</v>
      </c>
      <c r="AM8" s="71" t="e">
        <f t="shared" ref="AM8:AM27" ca="1" si="3">X8/W8</f>
        <v>#VALUE!</v>
      </c>
      <c r="AN8" s="71" t="e">
        <f t="shared" ref="AN8:AN27" ca="1" si="4">AB8/AC8</f>
        <v>#VALUE!</v>
      </c>
      <c r="AO8" s="71" t="e">
        <f t="shared" ref="AO8:AO27" ca="1" si="5">AD8/AE8</f>
        <v>#VALUE!</v>
      </c>
    </row>
    <row r="9" spans="1:41">
      <c r="A9" s="66">
        <v>2018</v>
      </c>
      <c r="B9" s="66" t="e">
        <f t="array" aca="1" ref="B9:Q9" ca="1">OFFSET('2018'!$A$1,VLOOKUP(Dashboard!$C$1,'2018'!$A$1:$R$357,18,FALSE),1,1,16)</f>
        <v>#VALUE!</v>
      </c>
      <c r="C9" s="66" t="e">
        <f ca="1"/>
        <v>#VALUE!</v>
      </c>
      <c r="D9" s="66" t="e">
        <f ca="1"/>
        <v>#VALUE!</v>
      </c>
      <c r="E9" s="66" t="e">
        <f ca="1"/>
        <v>#VALUE!</v>
      </c>
      <c r="F9" s="66" t="e">
        <f ca="1"/>
        <v>#VALUE!</v>
      </c>
      <c r="G9" s="66" t="e">
        <f ca="1"/>
        <v>#VALUE!</v>
      </c>
      <c r="H9" s="66" t="e">
        <f ca="1"/>
        <v>#VALUE!</v>
      </c>
      <c r="I9" s="66" t="e">
        <f ca="1"/>
        <v>#VALUE!</v>
      </c>
      <c r="J9" s="66" t="e">
        <f ca="1"/>
        <v>#VALUE!</v>
      </c>
      <c r="K9" s="66" t="e">
        <f ca="1"/>
        <v>#VALUE!</v>
      </c>
      <c r="L9" s="66" t="e">
        <f ca="1"/>
        <v>#VALUE!</v>
      </c>
      <c r="M9" s="66" t="e">
        <f ca="1"/>
        <v>#VALUE!</v>
      </c>
      <c r="N9" s="66" t="e">
        <f ca="1"/>
        <v>#VALUE!</v>
      </c>
      <c r="O9" s="66" t="e">
        <f ca="1"/>
        <v>#VALUE!</v>
      </c>
      <c r="P9" s="66" t="e">
        <f ca="1"/>
        <v>#VALUE!</v>
      </c>
      <c r="Q9" s="66" t="e">
        <f ca="1"/>
        <v>#VALUE!</v>
      </c>
      <c r="R9" s="70" t="e">
        <f t="shared" ca="1" si="0"/>
        <v>#VALUE!</v>
      </c>
      <c r="S9" s="70" t="e">
        <f t="shared" ca="1" si="1"/>
        <v>#VALUE!</v>
      </c>
      <c r="T9" s="70" t="e">
        <f t="shared" ca="1" si="2"/>
        <v>#VALUE!</v>
      </c>
      <c r="U9" s="66"/>
      <c r="V9" s="66">
        <v>2018</v>
      </c>
      <c r="W9" s="66" t="e">
        <f t="array" aca="1" ref="W9:AL9" ca="1">OFFSET('2018'!$A$1,VLOOKUP(Dashboard!$X$2,'2018'!$A$1:$R$357,18,FALSE),1,1,16)</f>
        <v>#VALUE!</v>
      </c>
      <c r="X9" s="66" t="e">
        <f ca="1"/>
        <v>#VALUE!</v>
      </c>
      <c r="Y9" s="66" t="e">
        <f ca="1"/>
        <v>#VALUE!</v>
      </c>
      <c r="Z9" s="66" t="e">
        <f ca="1"/>
        <v>#VALUE!</v>
      </c>
      <c r="AA9" s="66" t="e">
        <f ca="1"/>
        <v>#VALUE!</v>
      </c>
      <c r="AB9" s="66" t="e">
        <f ca="1"/>
        <v>#VALUE!</v>
      </c>
      <c r="AC9" s="66" t="e">
        <f ca="1"/>
        <v>#VALUE!</v>
      </c>
      <c r="AD9" s="66" t="e">
        <f ca="1"/>
        <v>#VALUE!</v>
      </c>
      <c r="AE9" s="66" t="e">
        <f ca="1"/>
        <v>#VALUE!</v>
      </c>
      <c r="AF9" s="66" t="e">
        <f ca="1"/>
        <v>#VALUE!</v>
      </c>
      <c r="AG9" s="66" t="e">
        <f ca="1"/>
        <v>#VALUE!</v>
      </c>
      <c r="AH9" s="66" t="e">
        <f ca="1"/>
        <v>#VALUE!</v>
      </c>
      <c r="AI9" s="66" t="e">
        <f ca="1"/>
        <v>#VALUE!</v>
      </c>
      <c r="AJ9" s="66" t="e">
        <f ca="1"/>
        <v>#VALUE!</v>
      </c>
      <c r="AK9" s="66" t="e">
        <f ca="1"/>
        <v>#VALUE!</v>
      </c>
      <c r="AL9" s="66" t="e">
        <f ca="1"/>
        <v>#VALUE!</v>
      </c>
      <c r="AM9" s="71" t="e">
        <f t="shared" ca="1" si="3"/>
        <v>#VALUE!</v>
      </c>
      <c r="AN9" s="71" t="e">
        <f t="shared" ca="1" si="4"/>
        <v>#VALUE!</v>
      </c>
      <c r="AO9" s="71" t="e">
        <f t="shared" ca="1" si="5"/>
        <v>#VALUE!</v>
      </c>
    </row>
    <row r="10" spans="1:41">
      <c r="A10" s="66">
        <v>2017</v>
      </c>
      <c r="B10" s="66" t="e">
        <f t="array" aca="1" ref="B10:Q10" ca="1">OFFSET('2017'!$A$1,VLOOKUP(Dashboard!$C$1,'2017'!$A$1:$R$357,18,FALSE),1,1,16)</f>
        <v>#VALUE!</v>
      </c>
      <c r="C10" s="66" t="e">
        <f ca="1"/>
        <v>#VALUE!</v>
      </c>
      <c r="D10" s="66" t="e">
        <f ca="1"/>
        <v>#VALUE!</v>
      </c>
      <c r="E10" s="66" t="e">
        <f ca="1"/>
        <v>#VALUE!</v>
      </c>
      <c r="F10" s="66" t="e">
        <f ca="1"/>
        <v>#VALUE!</v>
      </c>
      <c r="G10" s="66" t="e">
        <f ca="1"/>
        <v>#VALUE!</v>
      </c>
      <c r="H10" s="66" t="e">
        <f ca="1"/>
        <v>#VALUE!</v>
      </c>
      <c r="I10" s="66" t="e">
        <f ca="1"/>
        <v>#VALUE!</v>
      </c>
      <c r="J10" s="66" t="e">
        <f ca="1"/>
        <v>#VALUE!</v>
      </c>
      <c r="K10" s="66" t="e">
        <f ca="1"/>
        <v>#VALUE!</v>
      </c>
      <c r="L10" s="66" t="e">
        <f ca="1"/>
        <v>#VALUE!</v>
      </c>
      <c r="M10" s="66" t="e">
        <f ca="1"/>
        <v>#VALUE!</v>
      </c>
      <c r="N10" s="66" t="e">
        <f ca="1"/>
        <v>#VALUE!</v>
      </c>
      <c r="O10" s="66" t="e">
        <f ca="1"/>
        <v>#VALUE!</v>
      </c>
      <c r="P10" s="66" t="e">
        <f ca="1"/>
        <v>#VALUE!</v>
      </c>
      <c r="Q10" s="66" t="e">
        <f ca="1"/>
        <v>#VALUE!</v>
      </c>
      <c r="R10" s="70" t="e">
        <f t="shared" ca="1" si="0"/>
        <v>#VALUE!</v>
      </c>
      <c r="S10" s="70" t="e">
        <f t="shared" ca="1" si="1"/>
        <v>#VALUE!</v>
      </c>
      <c r="T10" s="70" t="e">
        <f t="shared" ca="1" si="2"/>
        <v>#VALUE!</v>
      </c>
      <c r="U10" s="66"/>
      <c r="V10" s="66">
        <v>2017</v>
      </c>
      <c r="W10" s="66" t="e">
        <f t="array" aca="1" ref="W10:AL10" ca="1">OFFSET('2017'!$A$1,VLOOKUP(Dashboard!$X$2,'2017'!$A$1:$R$357,18,FALSE),1,1,16)</f>
        <v>#VALUE!</v>
      </c>
      <c r="X10" s="66" t="e">
        <f ca="1"/>
        <v>#VALUE!</v>
      </c>
      <c r="Y10" s="66" t="e">
        <f ca="1"/>
        <v>#VALUE!</v>
      </c>
      <c r="Z10" s="66" t="e">
        <f ca="1"/>
        <v>#VALUE!</v>
      </c>
      <c r="AA10" s="66" t="e">
        <f ca="1"/>
        <v>#VALUE!</v>
      </c>
      <c r="AB10" s="66" t="e">
        <f ca="1"/>
        <v>#VALUE!</v>
      </c>
      <c r="AC10" s="66" t="e">
        <f ca="1"/>
        <v>#VALUE!</v>
      </c>
      <c r="AD10" s="66" t="e">
        <f ca="1"/>
        <v>#VALUE!</v>
      </c>
      <c r="AE10" s="66" t="e">
        <f ca="1"/>
        <v>#VALUE!</v>
      </c>
      <c r="AF10" s="66" t="e">
        <f ca="1"/>
        <v>#VALUE!</v>
      </c>
      <c r="AG10" s="66" t="e">
        <f ca="1"/>
        <v>#VALUE!</v>
      </c>
      <c r="AH10" s="66" t="e">
        <f ca="1"/>
        <v>#VALUE!</v>
      </c>
      <c r="AI10" s="66" t="e">
        <f ca="1"/>
        <v>#VALUE!</v>
      </c>
      <c r="AJ10" s="66" t="e">
        <f ca="1"/>
        <v>#VALUE!</v>
      </c>
      <c r="AK10" s="66" t="e">
        <f ca="1"/>
        <v>#VALUE!</v>
      </c>
      <c r="AL10" s="66" t="e">
        <f ca="1"/>
        <v>#VALUE!</v>
      </c>
      <c r="AM10" s="71" t="e">
        <f t="shared" ca="1" si="3"/>
        <v>#VALUE!</v>
      </c>
      <c r="AN10" s="71" t="e">
        <f t="shared" ca="1" si="4"/>
        <v>#VALUE!</v>
      </c>
      <c r="AO10" s="71" t="e">
        <f t="shared" ca="1" si="5"/>
        <v>#VALUE!</v>
      </c>
    </row>
    <row r="11" spans="1:41">
      <c r="A11" s="66">
        <v>2016</v>
      </c>
      <c r="B11" s="66" t="e">
        <f t="array" aca="1" ref="B11:Q11" ca="1">OFFSET('2016'!$A$1,VLOOKUP(Dashboard!$C$1,'2016'!$A$1:$R$357,18,FALSE),1,1,16)</f>
        <v>#VALUE!</v>
      </c>
      <c r="C11" s="66" t="e">
        <f ca="1"/>
        <v>#VALUE!</v>
      </c>
      <c r="D11" s="66" t="e">
        <f ca="1"/>
        <v>#VALUE!</v>
      </c>
      <c r="E11" s="66" t="e">
        <f ca="1"/>
        <v>#VALUE!</v>
      </c>
      <c r="F11" s="66" t="e">
        <f ca="1"/>
        <v>#VALUE!</v>
      </c>
      <c r="G11" s="66" t="e">
        <f ca="1"/>
        <v>#VALUE!</v>
      </c>
      <c r="H11" s="66" t="e">
        <f ca="1"/>
        <v>#VALUE!</v>
      </c>
      <c r="I11" s="66" t="e">
        <f ca="1"/>
        <v>#VALUE!</v>
      </c>
      <c r="J11" s="66" t="e">
        <f ca="1"/>
        <v>#VALUE!</v>
      </c>
      <c r="K11" s="66" t="e">
        <f ca="1"/>
        <v>#VALUE!</v>
      </c>
      <c r="L11" s="66" t="e">
        <f ca="1"/>
        <v>#VALUE!</v>
      </c>
      <c r="M11" s="66" t="e">
        <f ca="1"/>
        <v>#VALUE!</v>
      </c>
      <c r="N11" s="66" t="e">
        <f ca="1"/>
        <v>#VALUE!</v>
      </c>
      <c r="O11" s="66" t="e">
        <f ca="1"/>
        <v>#VALUE!</v>
      </c>
      <c r="P11" s="66" t="e">
        <f ca="1"/>
        <v>#VALUE!</v>
      </c>
      <c r="Q11" s="66" t="e">
        <f ca="1"/>
        <v>#VALUE!</v>
      </c>
      <c r="R11" s="70" t="e">
        <f t="shared" ca="1" si="0"/>
        <v>#VALUE!</v>
      </c>
      <c r="S11" s="70" t="e">
        <f t="shared" ca="1" si="1"/>
        <v>#VALUE!</v>
      </c>
      <c r="T11" s="70" t="e">
        <f t="shared" ca="1" si="2"/>
        <v>#VALUE!</v>
      </c>
      <c r="U11" s="66"/>
      <c r="V11" s="66">
        <v>2016</v>
      </c>
      <c r="W11" s="66" t="e">
        <f t="array" aca="1" ref="W11:AL11" ca="1">OFFSET('2016'!$A$1,VLOOKUP(Dashboard!$X$2,'2016'!$A$1:$R$357,18,FALSE),1,1,16)</f>
        <v>#VALUE!</v>
      </c>
      <c r="X11" s="66" t="e">
        <f ca="1"/>
        <v>#VALUE!</v>
      </c>
      <c r="Y11" s="66" t="e">
        <f ca="1"/>
        <v>#VALUE!</v>
      </c>
      <c r="Z11" s="66" t="e">
        <f ca="1"/>
        <v>#VALUE!</v>
      </c>
      <c r="AA11" s="66" t="e">
        <f ca="1"/>
        <v>#VALUE!</v>
      </c>
      <c r="AB11" s="66" t="e">
        <f ca="1"/>
        <v>#VALUE!</v>
      </c>
      <c r="AC11" s="66" t="e">
        <f ca="1"/>
        <v>#VALUE!</v>
      </c>
      <c r="AD11" s="66" t="e">
        <f ca="1"/>
        <v>#VALUE!</v>
      </c>
      <c r="AE11" s="66" t="e">
        <f ca="1"/>
        <v>#VALUE!</v>
      </c>
      <c r="AF11" s="66" t="e">
        <f ca="1"/>
        <v>#VALUE!</v>
      </c>
      <c r="AG11" s="66" t="e">
        <f ca="1"/>
        <v>#VALUE!</v>
      </c>
      <c r="AH11" s="66" t="e">
        <f ca="1"/>
        <v>#VALUE!</v>
      </c>
      <c r="AI11" s="66" t="e">
        <f ca="1"/>
        <v>#VALUE!</v>
      </c>
      <c r="AJ11" s="66" t="e">
        <f ca="1"/>
        <v>#VALUE!</v>
      </c>
      <c r="AK11" s="66" t="e">
        <f ca="1"/>
        <v>#VALUE!</v>
      </c>
      <c r="AL11" s="66" t="e">
        <f ca="1"/>
        <v>#VALUE!</v>
      </c>
      <c r="AM11" s="71" t="e">
        <f t="shared" ca="1" si="3"/>
        <v>#VALUE!</v>
      </c>
      <c r="AN11" s="71" t="e">
        <f t="shared" ca="1" si="4"/>
        <v>#VALUE!</v>
      </c>
      <c r="AO11" s="71" t="e">
        <f t="shared" ca="1" si="5"/>
        <v>#VALUE!</v>
      </c>
    </row>
    <row r="12" spans="1:41">
      <c r="A12" s="66">
        <v>2015</v>
      </c>
      <c r="B12" s="66" t="e">
        <f t="array" aca="1" ref="B12:Q12" ca="1">OFFSET('2015'!$A$1,VLOOKUP(Dashboard!$C$1,'2015'!$A$1:$R$357,18,FALSE),1,1,16)</f>
        <v>#VALUE!</v>
      </c>
      <c r="C12" s="66" t="e">
        <f ca="1"/>
        <v>#VALUE!</v>
      </c>
      <c r="D12" s="66" t="e">
        <f ca="1"/>
        <v>#VALUE!</v>
      </c>
      <c r="E12" s="66" t="e">
        <f ca="1"/>
        <v>#VALUE!</v>
      </c>
      <c r="F12" s="66" t="e">
        <f ca="1"/>
        <v>#VALUE!</v>
      </c>
      <c r="G12" s="66" t="e">
        <f ca="1"/>
        <v>#VALUE!</v>
      </c>
      <c r="H12" s="66" t="e">
        <f ca="1"/>
        <v>#VALUE!</v>
      </c>
      <c r="I12" s="66" t="e">
        <f ca="1"/>
        <v>#VALUE!</v>
      </c>
      <c r="J12" s="66" t="e">
        <f ca="1"/>
        <v>#VALUE!</v>
      </c>
      <c r="K12" s="66" t="e">
        <f ca="1"/>
        <v>#VALUE!</v>
      </c>
      <c r="L12" s="66" t="e">
        <f ca="1"/>
        <v>#VALUE!</v>
      </c>
      <c r="M12" s="66" t="e">
        <f ca="1"/>
        <v>#VALUE!</v>
      </c>
      <c r="N12" s="66" t="e">
        <f ca="1"/>
        <v>#VALUE!</v>
      </c>
      <c r="O12" s="66" t="e">
        <f ca="1"/>
        <v>#VALUE!</v>
      </c>
      <c r="P12" s="66" t="e">
        <f ca="1"/>
        <v>#VALUE!</v>
      </c>
      <c r="Q12" s="66" t="e">
        <f ca="1"/>
        <v>#VALUE!</v>
      </c>
      <c r="R12" s="70" t="e">
        <f t="shared" ca="1" si="0"/>
        <v>#VALUE!</v>
      </c>
      <c r="S12" s="70" t="e">
        <f t="shared" ca="1" si="1"/>
        <v>#VALUE!</v>
      </c>
      <c r="T12" s="70" t="e">
        <f t="shared" ca="1" si="2"/>
        <v>#VALUE!</v>
      </c>
      <c r="U12" s="66"/>
      <c r="V12" s="66">
        <v>2015</v>
      </c>
      <c r="W12" s="66" t="e">
        <f t="array" aca="1" ref="W12:AL12" ca="1">OFFSET('2015'!$A$1,VLOOKUP(Dashboard!$X$2,'2015'!$A$1:$R$357,18,FALSE),1,1,16)</f>
        <v>#VALUE!</v>
      </c>
      <c r="X12" s="66" t="e">
        <f ca="1"/>
        <v>#VALUE!</v>
      </c>
      <c r="Y12" s="66" t="e">
        <f ca="1"/>
        <v>#VALUE!</v>
      </c>
      <c r="Z12" s="66" t="e">
        <f ca="1"/>
        <v>#VALUE!</v>
      </c>
      <c r="AA12" s="66" t="e">
        <f ca="1"/>
        <v>#VALUE!</v>
      </c>
      <c r="AB12" s="66" t="e">
        <f ca="1"/>
        <v>#VALUE!</v>
      </c>
      <c r="AC12" s="66" t="e">
        <f ca="1"/>
        <v>#VALUE!</v>
      </c>
      <c r="AD12" s="66" t="e">
        <f ca="1"/>
        <v>#VALUE!</v>
      </c>
      <c r="AE12" s="66" t="e">
        <f ca="1"/>
        <v>#VALUE!</v>
      </c>
      <c r="AF12" s="66" t="e">
        <f ca="1"/>
        <v>#VALUE!</v>
      </c>
      <c r="AG12" s="66" t="e">
        <f ca="1"/>
        <v>#VALUE!</v>
      </c>
      <c r="AH12" s="66" t="e">
        <f ca="1"/>
        <v>#VALUE!</v>
      </c>
      <c r="AI12" s="66" t="e">
        <f ca="1"/>
        <v>#VALUE!</v>
      </c>
      <c r="AJ12" s="66" t="e">
        <f ca="1"/>
        <v>#VALUE!</v>
      </c>
      <c r="AK12" s="66" t="e">
        <f ca="1"/>
        <v>#VALUE!</v>
      </c>
      <c r="AL12" s="66" t="e">
        <f ca="1"/>
        <v>#VALUE!</v>
      </c>
      <c r="AM12" s="71" t="e">
        <f t="shared" ca="1" si="3"/>
        <v>#VALUE!</v>
      </c>
      <c r="AN12" s="71" t="e">
        <f t="shared" ca="1" si="4"/>
        <v>#VALUE!</v>
      </c>
      <c r="AO12" s="71" t="e">
        <f t="shared" ca="1" si="5"/>
        <v>#VALUE!</v>
      </c>
    </row>
    <row r="13" spans="1:41">
      <c r="A13" s="66">
        <v>2014</v>
      </c>
      <c r="B13" s="66" t="e">
        <f t="array" aca="1" ref="B13:Q13" ca="1">OFFSET('2014'!$A$1,VLOOKUP(Dashboard!$C$1,'2014'!$A$1:$R$357,18,FALSE),1,1,16)</f>
        <v>#VALUE!</v>
      </c>
      <c r="C13" s="66" t="e">
        <f ca="1"/>
        <v>#VALUE!</v>
      </c>
      <c r="D13" s="66" t="e">
        <f ca="1"/>
        <v>#VALUE!</v>
      </c>
      <c r="E13" s="66" t="e">
        <f ca="1"/>
        <v>#VALUE!</v>
      </c>
      <c r="F13" s="66" t="e">
        <f ca="1"/>
        <v>#VALUE!</v>
      </c>
      <c r="G13" s="66" t="e">
        <f ca="1"/>
        <v>#VALUE!</v>
      </c>
      <c r="H13" s="66" t="e">
        <f ca="1"/>
        <v>#VALUE!</v>
      </c>
      <c r="I13" s="66" t="e">
        <f ca="1"/>
        <v>#VALUE!</v>
      </c>
      <c r="J13" s="66" t="e">
        <f ca="1"/>
        <v>#VALUE!</v>
      </c>
      <c r="K13" s="66" t="e">
        <f ca="1"/>
        <v>#VALUE!</v>
      </c>
      <c r="L13" s="66" t="e">
        <f ca="1"/>
        <v>#VALUE!</v>
      </c>
      <c r="M13" s="66" t="e">
        <f ca="1"/>
        <v>#VALUE!</v>
      </c>
      <c r="N13" s="66" t="e">
        <f ca="1"/>
        <v>#VALUE!</v>
      </c>
      <c r="O13" s="66" t="e">
        <f ca="1"/>
        <v>#VALUE!</v>
      </c>
      <c r="P13" s="66" t="e">
        <f ca="1"/>
        <v>#VALUE!</v>
      </c>
      <c r="Q13" s="66" t="e">
        <f ca="1"/>
        <v>#VALUE!</v>
      </c>
      <c r="R13" s="70" t="e">
        <f t="shared" ca="1" si="0"/>
        <v>#VALUE!</v>
      </c>
      <c r="S13" s="70" t="e">
        <f t="shared" ca="1" si="1"/>
        <v>#VALUE!</v>
      </c>
      <c r="T13" s="70" t="e">
        <f t="shared" ca="1" si="2"/>
        <v>#VALUE!</v>
      </c>
      <c r="U13" s="66"/>
      <c r="V13" s="66">
        <v>2014</v>
      </c>
      <c r="W13" s="66" t="e">
        <f t="array" aca="1" ref="W13:AL13" ca="1">OFFSET('2014'!$A$1,VLOOKUP(Dashboard!$X$2,'2014'!$A$1:$R$357,18,FALSE),1,1,16)</f>
        <v>#VALUE!</v>
      </c>
      <c r="X13" s="66" t="e">
        <f ca="1"/>
        <v>#VALUE!</v>
      </c>
      <c r="Y13" s="66" t="e">
        <f ca="1"/>
        <v>#VALUE!</v>
      </c>
      <c r="Z13" s="66" t="e">
        <f ca="1"/>
        <v>#VALUE!</v>
      </c>
      <c r="AA13" s="66" t="e">
        <f ca="1"/>
        <v>#VALUE!</v>
      </c>
      <c r="AB13" s="66" t="e">
        <f ca="1"/>
        <v>#VALUE!</v>
      </c>
      <c r="AC13" s="66" t="e">
        <f ca="1"/>
        <v>#VALUE!</v>
      </c>
      <c r="AD13" s="66" t="e">
        <f ca="1"/>
        <v>#VALUE!</v>
      </c>
      <c r="AE13" s="66" t="e">
        <f ca="1"/>
        <v>#VALUE!</v>
      </c>
      <c r="AF13" s="66" t="e">
        <f ca="1"/>
        <v>#VALUE!</v>
      </c>
      <c r="AG13" s="66" t="e">
        <f ca="1"/>
        <v>#VALUE!</v>
      </c>
      <c r="AH13" s="66" t="e">
        <f ca="1"/>
        <v>#VALUE!</v>
      </c>
      <c r="AI13" s="66" t="e">
        <f ca="1"/>
        <v>#VALUE!</v>
      </c>
      <c r="AJ13" s="66" t="e">
        <f ca="1"/>
        <v>#VALUE!</v>
      </c>
      <c r="AK13" s="66" t="e">
        <f ca="1"/>
        <v>#VALUE!</v>
      </c>
      <c r="AL13" s="66" t="e">
        <f ca="1"/>
        <v>#VALUE!</v>
      </c>
      <c r="AM13" s="71" t="e">
        <f t="shared" ca="1" si="3"/>
        <v>#VALUE!</v>
      </c>
      <c r="AN13" s="71" t="e">
        <f t="shared" ca="1" si="4"/>
        <v>#VALUE!</v>
      </c>
      <c r="AO13" s="71" t="e">
        <f t="shared" ca="1" si="5"/>
        <v>#VALUE!</v>
      </c>
    </row>
    <row r="14" spans="1:41">
      <c r="A14" s="66">
        <v>2013</v>
      </c>
      <c r="B14" s="66" t="e">
        <f t="array" aca="1" ref="B14:Q14" ca="1">OFFSET('2013'!$A$1,VLOOKUP(Dashboard!$C$1,'2013'!$A$1:$R$357,18,FALSE),1,1,16)</f>
        <v>#VALUE!</v>
      </c>
      <c r="C14" s="66" t="e">
        <f ca="1"/>
        <v>#VALUE!</v>
      </c>
      <c r="D14" s="66" t="e">
        <f ca="1"/>
        <v>#VALUE!</v>
      </c>
      <c r="E14" s="66" t="e">
        <f ca="1"/>
        <v>#VALUE!</v>
      </c>
      <c r="F14" s="66" t="e">
        <f ca="1"/>
        <v>#VALUE!</v>
      </c>
      <c r="G14" s="66" t="e">
        <f ca="1"/>
        <v>#VALUE!</v>
      </c>
      <c r="H14" s="66" t="e">
        <f ca="1"/>
        <v>#VALUE!</v>
      </c>
      <c r="I14" s="66" t="e">
        <f ca="1"/>
        <v>#VALUE!</v>
      </c>
      <c r="J14" s="66" t="e">
        <f ca="1"/>
        <v>#VALUE!</v>
      </c>
      <c r="K14" s="66" t="e">
        <f ca="1"/>
        <v>#VALUE!</v>
      </c>
      <c r="L14" s="66" t="e">
        <f ca="1"/>
        <v>#VALUE!</v>
      </c>
      <c r="M14" s="66" t="e">
        <f ca="1"/>
        <v>#VALUE!</v>
      </c>
      <c r="N14" s="66" t="e">
        <f ca="1"/>
        <v>#VALUE!</v>
      </c>
      <c r="O14" s="66" t="e">
        <f ca="1"/>
        <v>#VALUE!</v>
      </c>
      <c r="P14" s="66" t="e">
        <f ca="1"/>
        <v>#VALUE!</v>
      </c>
      <c r="Q14" s="66" t="e">
        <f ca="1"/>
        <v>#VALUE!</v>
      </c>
      <c r="R14" s="70" t="e">
        <f t="shared" ca="1" si="0"/>
        <v>#VALUE!</v>
      </c>
      <c r="S14" s="70" t="e">
        <f t="shared" ca="1" si="1"/>
        <v>#VALUE!</v>
      </c>
      <c r="T14" s="70" t="e">
        <f t="shared" ca="1" si="2"/>
        <v>#VALUE!</v>
      </c>
      <c r="U14" s="66"/>
      <c r="V14" s="66">
        <v>2013</v>
      </c>
      <c r="W14" s="66" t="e">
        <f t="array" aca="1" ref="W14:AL14" ca="1">OFFSET('2013'!$A$1,VLOOKUP(Dashboard!$X$2,'2013'!$A$1:$R$357,18,FALSE),1,1,16)</f>
        <v>#VALUE!</v>
      </c>
      <c r="X14" s="66" t="e">
        <f ca="1"/>
        <v>#VALUE!</v>
      </c>
      <c r="Y14" s="66" t="e">
        <f ca="1"/>
        <v>#VALUE!</v>
      </c>
      <c r="Z14" s="66" t="e">
        <f ca="1"/>
        <v>#VALUE!</v>
      </c>
      <c r="AA14" s="66" t="e">
        <f ca="1"/>
        <v>#VALUE!</v>
      </c>
      <c r="AB14" s="66" t="e">
        <f ca="1"/>
        <v>#VALUE!</v>
      </c>
      <c r="AC14" s="66" t="e">
        <f ca="1"/>
        <v>#VALUE!</v>
      </c>
      <c r="AD14" s="66" t="e">
        <f ca="1"/>
        <v>#VALUE!</v>
      </c>
      <c r="AE14" s="66" t="e">
        <f ca="1"/>
        <v>#VALUE!</v>
      </c>
      <c r="AF14" s="66" t="e">
        <f ca="1"/>
        <v>#VALUE!</v>
      </c>
      <c r="AG14" s="66" t="e">
        <f ca="1"/>
        <v>#VALUE!</v>
      </c>
      <c r="AH14" s="66" t="e">
        <f ca="1"/>
        <v>#VALUE!</v>
      </c>
      <c r="AI14" s="66" t="e">
        <f ca="1"/>
        <v>#VALUE!</v>
      </c>
      <c r="AJ14" s="66" t="e">
        <f ca="1"/>
        <v>#VALUE!</v>
      </c>
      <c r="AK14" s="66" t="e">
        <f ca="1"/>
        <v>#VALUE!</v>
      </c>
      <c r="AL14" s="66" t="e">
        <f ca="1"/>
        <v>#VALUE!</v>
      </c>
      <c r="AM14" s="71" t="e">
        <f t="shared" ca="1" si="3"/>
        <v>#VALUE!</v>
      </c>
      <c r="AN14" s="71" t="e">
        <f t="shared" ca="1" si="4"/>
        <v>#VALUE!</v>
      </c>
      <c r="AO14" s="71" t="e">
        <f t="shared" ca="1" si="5"/>
        <v>#VALUE!</v>
      </c>
    </row>
    <row r="15" spans="1:41">
      <c r="A15" s="66">
        <v>2012</v>
      </c>
      <c r="B15" s="66" t="e">
        <f t="array" aca="1" ref="B15:Q15" ca="1">OFFSET('2012'!$A$1,VLOOKUP(Dashboard!$C$1,'2012'!$A$1:$R$357,18,FALSE),1,1,16)</f>
        <v>#VALUE!</v>
      </c>
      <c r="C15" s="66" t="e">
        <f ca="1"/>
        <v>#VALUE!</v>
      </c>
      <c r="D15" s="66" t="e">
        <f ca="1"/>
        <v>#VALUE!</v>
      </c>
      <c r="E15" s="66" t="e">
        <f ca="1"/>
        <v>#VALUE!</v>
      </c>
      <c r="F15" s="66" t="e">
        <f ca="1"/>
        <v>#VALUE!</v>
      </c>
      <c r="G15" s="66" t="e">
        <f ca="1"/>
        <v>#VALUE!</v>
      </c>
      <c r="H15" s="66" t="e">
        <f ca="1"/>
        <v>#VALUE!</v>
      </c>
      <c r="I15" s="66" t="e">
        <f ca="1"/>
        <v>#VALUE!</v>
      </c>
      <c r="J15" s="66" t="e">
        <f ca="1"/>
        <v>#VALUE!</v>
      </c>
      <c r="K15" s="66" t="e">
        <f ca="1"/>
        <v>#VALUE!</v>
      </c>
      <c r="L15" s="66" t="e">
        <f ca="1"/>
        <v>#VALUE!</v>
      </c>
      <c r="M15" s="66" t="e">
        <f ca="1"/>
        <v>#VALUE!</v>
      </c>
      <c r="N15" s="66" t="e">
        <f ca="1"/>
        <v>#VALUE!</v>
      </c>
      <c r="O15" s="66" t="e">
        <f ca="1"/>
        <v>#VALUE!</v>
      </c>
      <c r="P15" s="66" t="e">
        <f ca="1"/>
        <v>#VALUE!</v>
      </c>
      <c r="Q15" s="66" t="e">
        <f ca="1"/>
        <v>#VALUE!</v>
      </c>
      <c r="R15" s="70" t="e">
        <f t="shared" ca="1" si="0"/>
        <v>#VALUE!</v>
      </c>
      <c r="S15" s="70" t="e">
        <f t="shared" ca="1" si="1"/>
        <v>#VALUE!</v>
      </c>
      <c r="T15" s="70" t="e">
        <f t="shared" ca="1" si="2"/>
        <v>#VALUE!</v>
      </c>
      <c r="U15" s="66"/>
      <c r="V15" s="66">
        <v>2012</v>
      </c>
      <c r="W15" s="66" t="e">
        <f t="array" aca="1" ref="W15:AL15" ca="1">OFFSET('2012'!$A$1,VLOOKUP(Dashboard!$X$2,'2012'!$A$1:$R$357,18,FALSE),1,1,16)</f>
        <v>#VALUE!</v>
      </c>
      <c r="X15" s="66" t="e">
        <f ca="1"/>
        <v>#VALUE!</v>
      </c>
      <c r="Y15" s="66" t="e">
        <f ca="1"/>
        <v>#VALUE!</v>
      </c>
      <c r="Z15" s="66" t="e">
        <f ca="1"/>
        <v>#VALUE!</v>
      </c>
      <c r="AA15" s="66" t="e">
        <f ca="1"/>
        <v>#VALUE!</v>
      </c>
      <c r="AB15" s="66" t="e">
        <f ca="1"/>
        <v>#VALUE!</v>
      </c>
      <c r="AC15" s="66" t="e">
        <f ca="1"/>
        <v>#VALUE!</v>
      </c>
      <c r="AD15" s="66" t="e">
        <f ca="1"/>
        <v>#VALUE!</v>
      </c>
      <c r="AE15" s="66" t="e">
        <f ca="1"/>
        <v>#VALUE!</v>
      </c>
      <c r="AF15" s="66" t="e">
        <f ca="1"/>
        <v>#VALUE!</v>
      </c>
      <c r="AG15" s="66" t="e">
        <f ca="1"/>
        <v>#VALUE!</v>
      </c>
      <c r="AH15" s="66" t="e">
        <f ca="1"/>
        <v>#VALUE!</v>
      </c>
      <c r="AI15" s="66" t="e">
        <f ca="1"/>
        <v>#VALUE!</v>
      </c>
      <c r="AJ15" s="66" t="e">
        <f ca="1"/>
        <v>#VALUE!</v>
      </c>
      <c r="AK15" s="66" t="e">
        <f ca="1"/>
        <v>#VALUE!</v>
      </c>
      <c r="AL15" s="66" t="e">
        <f ca="1"/>
        <v>#VALUE!</v>
      </c>
      <c r="AM15" s="71" t="e">
        <f t="shared" ca="1" si="3"/>
        <v>#VALUE!</v>
      </c>
      <c r="AN15" s="71" t="e">
        <f t="shared" ca="1" si="4"/>
        <v>#VALUE!</v>
      </c>
      <c r="AO15" s="71" t="e">
        <f t="shared" ca="1" si="5"/>
        <v>#VALUE!</v>
      </c>
    </row>
    <row r="16" spans="1:41">
      <c r="A16" s="66">
        <v>2011</v>
      </c>
      <c r="B16" s="66" t="e">
        <f t="array" aca="1" ref="B16:Q16" ca="1">OFFSET('2011'!$A$1,VLOOKUP(Dashboard!$C$1,'2011'!$A$1:$R$357,18,FALSE),1,1,16)</f>
        <v>#VALUE!</v>
      </c>
      <c r="C16" s="66" t="e">
        <f ca="1"/>
        <v>#VALUE!</v>
      </c>
      <c r="D16" s="66" t="e">
        <f ca="1"/>
        <v>#VALUE!</v>
      </c>
      <c r="E16" s="66" t="e">
        <f ca="1"/>
        <v>#VALUE!</v>
      </c>
      <c r="F16" s="66" t="e">
        <f ca="1"/>
        <v>#VALUE!</v>
      </c>
      <c r="G16" s="66" t="e">
        <f ca="1"/>
        <v>#VALUE!</v>
      </c>
      <c r="H16" s="66" t="e">
        <f ca="1"/>
        <v>#VALUE!</v>
      </c>
      <c r="I16" s="66" t="e">
        <f ca="1"/>
        <v>#VALUE!</v>
      </c>
      <c r="J16" s="66" t="e">
        <f ca="1"/>
        <v>#VALUE!</v>
      </c>
      <c r="K16" s="66" t="e">
        <f ca="1"/>
        <v>#VALUE!</v>
      </c>
      <c r="L16" s="66" t="e">
        <f ca="1"/>
        <v>#VALUE!</v>
      </c>
      <c r="M16" s="66" t="e">
        <f ca="1"/>
        <v>#VALUE!</v>
      </c>
      <c r="N16" s="66" t="e">
        <f ca="1"/>
        <v>#VALUE!</v>
      </c>
      <c r="O16" s="66" t="e">
        <f ca="1"/>
        <v>#VALUE!</v>
      </c>
      <c r="P16" s="66" t="e">
        <f ca="1"/>
        <v>#VALUE!</v>
      </c>
      <c r="Q16" s="66" t="e">
        <f ca="1"/>
        <v>#VALUE!</v>
      </c>
      <c r="R16" s="70" t="e">
        <f t="shared" ca="1" si="0"/>
        <v>#VALUE!</v>
      </c>
      <c r="S16" s="70" t="e">
        <f t="shared" ca="1" si="1"/>
        <v>#VALUE!</v>
      </c>
      <c r="T16" s="70" t="e">
        <f t="shared" ca="1" si="2"/>
        <v>#VALUE!</v>
      </c>
      <c r="U16" s="66"/>
      <c r="V16" s="66">
        <v>2011</v>
      </c>
      <c r="W16" s="66" t="e">
        <f t="array" aca="1" ref="W16:AL16" ca="1">OFFSET('2011'!$A$1,VLOOKUP(Dashboard!$X$2,'2011'!$A$1:$R$357,18,FALSE),1,1,16)</f>
        <v>#VALUE!</v>
      </c>
      <c r="X16" s="66" t="e">
        <f ca="1"/>
        <v>#VALUE!</v>
      </c>
      <c r="Y16" s="66" t="e">
        <f ca="1"/>
        <v>#VALUE!</v>
      </c>
      <c r="Z16" s="66" t="e">
        <f ca="1"/>
        <v>#VALUE!</v>
      </c>
      <c r="AA16" s="66" t="e">
        <f ca="1"/>
        <v>#VALUE!</v>
      </c>
      <c r="AB16" s="66" t="e">
        <f ca="1"/>
        <v>#VALUE!</v>
      </c>
      <c r="AC16" s="66" t="e">
        <f ca="1"/>
        <v>#VALUE!</v>
      </c>
      <c r="AD16" s="66" t="e">
        <f ca="1"/>
        <v>#VALUE!</v>
      </c>
      <c r="AE16" s="66" t="e">
        <f ca="1"/>
        <v>#VALUE!</v>
      </c>
      <c r="AF16" s="66" t="e">
        <f ca="1"/>
        <v>#VALUE!</v>
      </c>
      <c r="AG16" s="66" t="e">
        <f ca="1"/>
        <v>#VALUE!</v>
      </c>
      <c r="AH16" s="66" t="e">
        <f ca="1"/>
        <v>#VALUE!</v>
      </c>
      <c r="AI16" s="66" t="e">
        <f ca="1"/>
        <v>#VALUE!</v>
      </c>
      <c r="AJ16" s="66" t="e">
        <f ca="1"/>
        <v>#VALUE!</v>
      </c>
      <c r="AK16" s="66" t="e">
        <f ca="1"/>
        <v>#VALUE!</v>
      </c>
      <c r="AL16" s="66" t="e">
        <f ca="1"/>
        <v>#VALUE!</v>
      </c>
      <c r="AM16" s="71" t="e">
        <f t="shared" ca="1" si="3"/>
        <v>#VALUE!</v>
      </c>
      <c r="AN16" s="71" t="e">
        <f t="shared" ca="1" si="4"/>
        <v>#VALUE!</v>
      </c>
      <c r="AO16" s="71" t="e">
        <f t="shared" ca="1" si="5"/>
        <v>#VALUE!</v>
      </c>
    </row>
    <row r="17" spans="1:47">
      <c r="A17" s="66">
        <v>2010</v>
      </c>
      <c r="B17" s="66" t="e">
        <f t="array" aca="1" ref="B17:Q17" ca="1">OFFSET('2010'!$A$1,VLOOKUP(Dashboard!$C$1,'2010'!$A$1:$R$357,18,FALSE),1,1,16)</f>
        <v>#VALUE!</v>
      </c>
      <c r="C17" s="66" t="e">
        <f ca="1"/>
        <v>#VALUE!</v>
      </c>
      <c r="D17" s="66" t="e">
        <f ca="1"/>
        <v>#VALUE!</v>
      </c>
      <c r="E17" s="66" t="e">
        <f ca="1"/>
        <v>#VALUE!</v>
      </c>
      <c r="F17" s="66" t="e">
        <f ca="1"/>
        <v>#VALUE!</v>
      </c>
      <c r="G17" s="66" t="e">
        <f ca="1"/>
        <v>#VALUE!</v>
      </c>
      <c r="H17" s="66" t="e">
        <f ca="1"/>
        <v>#VALUE!</v>
      </c>
      <c r="I17" s="66" t="e">
        <f ca="1"/>
        <v>#VALUE!</v>
      </c>
      <c r="J17" s="66" t="e">
        <f ca="1"/>
        <v>#VALUE!</v>
      </c>
      <c r="K17" s="66" t="e">
        <f ca="1"/>
        <v>#VALUE!</v>
      </c>
      <c r="L17" s="66" t="e">
        <f ca="1"/>
        <v>#VALUE!</v>
      </c>
      <c r="M17" s="66" t="e">
        <f ca="1"/>
        <v>#VALUE!</v>
      </c>
      <c r="N17" s="66" t="e">
        <f ca="1"/>
        <v>#VALUE!</v>
      </c>
      <c r="O17" s="66" t="e">
        <f ca="1"/>
        <v>#VALUE!</v>
      </c>
      <c r="P17" s="66" t="e">
        <f ca="1"/>
        <v>#VALUE!</v>
      </c>
      <c r="Q17" s="66" t="e">
        <f ca="1"/>
        <v>#VALUE!</v>
      </c>
      <c r="R17" s="70" t="e">
        <f t="shared" ca="1" si="0"/>
        <v>#VALUE!</v>
      </c>
      <c r="S17" s="70" t="e">
        <f t="shared" ca="1" si="1"/>
        <v>#VALUE!</v>
      </c>
      <c r="T17" s="70" t="e">
        <f t="shared" ca="1" si="2"/>
        <v>#VALUE!</v>
      </c>
      <c r="U17" s="66"/>
      <c r="V17" s="66">
        <v>2010</v>
      </c>
      <c r="W17" s="66" t="e">
        <f t="array" aca="1" ref="W17:AL17" ca="1">OFFSET('2010'!$A$1,VLOOKUP(Dashboard!$X$2,'2010'!$A$1:$R$357,18,FALSE),1,1,16)</f>
        <v>#VALUE!</v>
      </c>
      <c r="X17" s="66" t="e">
        <f ca="1"/>
        <v>#VALUE!</v>
      </c>
      <c r="Y17" s="66" t="e">
        <f ca="1"/>
        <v>#VALUE!</v>
      </c>
      <c r="Z17" s="66" t="e">
        <f ca="1"/>
        <v>#VALUE!</v>
      </c>
      <c r="AA17" s="66" t="e">
        <f ca="1"/>
        <v>#VALUE!</v>
      </c>
      <c r="AB17" s="66" t="e">
        <f ca="1"/>
        <v>#VALUE!</v>
      </c>
      <c r="AC17" s="66" t="e">
        <f ca="1"/>
        <v>#VALUE!</v>
      </c>
      <c r="AD17" s="66" t="e">
        <f ca="1"/>
        <v>#VALUE!</v>
      </c>
      <c r="AE17" s="66" t="e">
        <f ca="1"/>
        <v>#VALUE!</v>
      </c>
      <c r="AF17" s="66" t="e">
        <f ca="1"/>
        <v>#VALUE!</v>
      </c>
      <c r="AG17" s="66" t="e">
        <f ca="1"/>
        <v>#VALUE!</v>
      </c>
      <c r="AH17" s="66" t="e">
        <f ca="1"/>
        <v>#VALUE!</v>
      </c>
      <c r="AI17" s="66" t="e">
        <f ca="1"/>
        <v>#VALUE!</v>
      </c>
      <c r="AJ17" s="66" t="e">
        <f ca="1"/>
        <v>#VALUE!</v>
      </c>
      <c r="AK17" s="66" t="e">
        <f ca="1"/>
        <v>#VALUE!</v>
      </c>
      <c r="AL17" s="66" t="e">
        <f ca="1"/>
        <v>#VALUE!</v>
      </c>
      <c r="AM17" s="71" t="e">
        <f t="shared" ca="1" si="3"/>
        <v>#VALUE!</v>
      </c>
      <c r="AN17" s="71" t="e">
        <f t="shared" ca="1" si="4"/>
        <v>#VALUE!</v>
      </c>
      <c r="AO17" s="71" t="e">
        <f t="shared" ca="1" si="5"/>
        <v>#VALUE!</v>
      </c>
    </row>
    <row r="18" spans="1:47">
      <c r="A18" s="66">
        <v>2009</v>
      </c>
      <c r="B18" s="66" t="e">
        <f t="array" aca="1" ref="B18:Q18" ca="1">OFFSET('2009'!$A$1,VLOOKUP(Dashboard!$C$1,'2009'!$A$1:$R$357,18,FALSE),1,1,16)</f>
        <v>#VALUE!</v>
      </c>
      <c r="C18" s="66" t="e">
        <f ca="1"/>
        <v>#VALUE!</v>
      </c>
      <c r="D18" s="66" t="e">
        <f ca="1"/>
        <v>#VALUE!</v>
      </c>
      <c r="E18" s="66" t="e">
        <f ca="1"/>
        <v>#VALUE!</v>
      </c>
      <c r="F18" s="66" t="e">
        <f ca="1"/>
        <v>#VALUE!</v>
      </c>
      <c r="G18" s="66" t="e">
        <f ca="1"/>
        <v>#VALUE!</v>
      </c>
      <c r="H18" s="66" t="e">
        <f ca="1"/>
        <v>#VALUE!</v>
      </c>
      <c r="I18" s="66" t="e">
        <f ca="1"/>
        <v>#VALUE!</v>
      </c>
      <c r="J18" s="66" t="e">
        <f ca="1"/>
        <v>#VALUE!</v>
      </c>
      <c r="K18" s="66" t="e">
        <f ca="1"/>
        <v>#VALUE!</v>
      </c>
      <c r="L18" s="66" t="e">
        <f ca="1"/>
        <v>#VALUE!</v>
      </c>
      <c r="M18" s="66" t="e">
        <f ca="1"/>
        <v>#VALUE!</v>
      </c>
      <c r="N18" s="66" t="e">
        <f ca="1"/>
        <v>#VALUE!</v>
      </c>
      <c r="O18" s="66" t="e">
        <f ca="1"/>
        <v>#VALUE!</v>
      </c>
      <c r="P18" s="66" t="e">
        <f ca="1"/>
        <v>#VALUE!</v>
      </c>
      <c r="Q18" s="66" t="e">
        <f ca="1"/>
        <v>#VALUE!</v>
      </c>
      <c r="R18" s="70" t="e">
        <f t="shared" ca="1" si="0"/>
        <v>#VALUE!</v>
      </c>
      <c r="S18" s="70" t="e">
        <f t="shared" ca="1" si="1"/>
        <v>#VALUE!</v>
      </c>
      <c r="T18" s="70" t="e">
        <f t="shared" ca="1" si="2"/>
        <v>#VALUE!</v>
      </c>
      <c r="U18" s="66"/>
      <c r="V18" s="66">
        <v>2009</v>
      </c>
      <c r="W18" s="66" t="e">
        <f t="array" aca="1" ref="W18:AL18" ca="1">OFFSET('2009'!$A$1,VLOOKUP(Dashboard!$X$2,'2009'!$A$1:$R$357,18,FALSE),1,1,16)</f>
        <v>#VALUE!</v>
      </c>
      <c r="X18" s="66" t="e">
        <f ca="1"/>
        <v>#VALUE!</v>
      </c>
      <c r="Y18" s="66" t="e">
        <f ca="1"/>
        <v>#VALUE!</v>
      </c>
      <c r="Z18" s="66" t="e">
        <f ca="1"/>
        <v>#VALUE!</v>
      </c>
      <c r="AA18" s="66" t="e">
        <f ca="1"/>
        <v>#VALUE!</v>
      </c>
      <c r="AB18" s="66" t="e">
        <f ca="1"/>
        <v>#VALUE!</v>
      </c>
      <c r="AC18" s="66" t="e">
        <f ca="1"/>
        <v>#VALUE!</v>
      </c>
      <c r="AD18" s="66" t="e">
        <f ca="1"/>
        <v>#VALUE!</v>
      </c>
      <c r="AE18" s="66" t="e">
        <f ca="1"/>
        <v>#VALUE!</v>
      </c>
      <c r="AF18" s="66" t="e">
        <f ca="1"/>
        <v>#VALUE!</v>
      </c>
      <c r="AG18" s="66" t="e">
        <f ca="1"/>
        <v>#VALUE!</v>
      </c>
      <c r="AH18" s="66" t="e">
        <f ca="1"/>
        <v>#VALUE!</v>
      </c>
      <c r="AI18" s="66" t="e">
        <f ca="1"/>
        <v>#VALUE!</v>
      </c>
      <c r="AJ18" s="66" t="e">
        <f ca="1"/>
        <v>#VALUE!</v>
      </c>
      <c r="AK18" s="66" t="e">
        <f ca="1"/>
        <v>#VALUE!</v>
      </c>
      <c r="AL18" s="66" t="e">
        <f ca="1"/>
        <v>#VALUE!</v>
      </c>
      <c r="AM18" s="71" t="e">
        <f t="shared" ca="1" si="3"/>
        <v>#VALUE!</v>
      </c>
      <c r="AN18" s="71" t="e">
        <f t="shared" ca="1" si="4"/>
        <v>#VALUE!</v>
      </c>
      <c r="AO18" s="71" t="e">
        <f t="shared" ca="1" si="5"/>
        <v>#VALUE!</v>
      </c>
    </row>
    <row r="19" spans="1:47">
      <c r="A19" s="66">
        <v>2008</v>
      </c>
      <c r="B19" s="66" t="e">
        <f t="array" aca="1" ref="B19:Q19" ca="1">OFFSET('2008'!$A$1,VLOOKUP(Dashboard!$C$1,'2008'!$A$1:$R$357,18,FALSE),1,1,16)</f>
        <v>#VALUE!</v>
      </c>
      <c r="C19" s="66" t="e">
        <f ca="1"/>
        <v>#VALUE!</v>
      </c>
      <c r="D19" s="66" t="e">
        <f ca="1"/>
        <v>#VALUE!</v>
      </c>
      <c r="E19" s="66" t="e">
        <f ca="1"/>
        <v>#VALUE!</v>
      </c>
      <c r="F19" s="66" t="e">
        <f ca="1"/>
        <v>#VALUE!</v>
      </c>
      <c r="G19" s="66" t="e">
        <f ca="1"/>
        <v>#VALUE!</v>
      </c>
      <c r="H19" s="66" t="e">
        <f ca="1"/>
        <v>#VALUE!</v>
      </c>
      <c r="I19" s="66" t="e">
        <f ca="1"/>
        <v>#VALUE!</v>
      </c>
      <c r="J19" s="66" t="e">
        <f ca="1"/>
        <v>#VALUE!</v>
      </c>
      <c r="K19" s="66" t="e">
        <f ca="1"/>
        <v>#VALUE!</v>
      </c>
      <c r="L19" s="66" t="e">
        <f ca="1"/>
        <v>#VALUE!</v>
      </c>
      <c r="M19" s="66" t="e">
        <f ca="1"/>
        <v>#VALUE!</v>
      </c>
      <c r="N19" s="66" t="e">
        <f ca="1"/>
        <v>#VALUE!</v>
      </c>
      <c r="O19" s="66" t="e">
        <f ca="1"/>
        <v>#VALUE!</v>
      </c>
      <c r="P19" s="66" t="e">
        <f ca="1"/>
        <v>#VALUE!</v>
      </c>
      <c r="Q19" s="66" t="e">
        <f ca="1"/>
        <v>#VALUE!</v>
      </c>
      <c r="R19" s="70" t="e">
        <f t="shared" ca="1" si="0"/>
        <v>#VALUE!</v>
      </c>
      <c r="S19" s="70" t="e">
        <f t="shared" ca="1" si="1"/>
        <v>#VALUE!</v>
      </c>
      <c r="T19" s="70" t="e">
        <f t="shared" ca="1" si="2"/>
        <v>#VALUE!</v>
      </c>
      <c r="U19" s="66"/>
      <c r="V19" s="66">
        <v>2008</v>
      </c>
      <c r="W19" s="66" t="e">
        <f t="array" aca="1" ref="W19:AL19" ca="1">OFFSET('2008'!$A$1,VLOOKUP(Dashboard!$X$2,'2008'!$A$1:$R$357,18,FALSE),1,1,16)</f>
        <v>#VALUE!</v>
      </c>
      <c r="X19" s="66" t="e">
        <f ca="1"/>
        <v>#VALUE!</v>
      </c>
      <c r="Y19" s="66" t="e">
        <f ca="1"/>
        <v>#VALUE!</v>
      </c>
      <c r="Z19" s="66" t="e">
        <f ca="1"/>
        <v>#VALUE!</v>
      </c>
      <c r="AA19" s="66" t="e">
        <f ca="1"/>
        <v>#VALUE!</v>
      </c>
      <c r="AB19" s="66" t="e">
        <f ca="1"/>
        <v>#VALUE!</v>
      </c>
      <c r="AC19" s="66" t="e">
        <f ca="1"/>
        <v>#VALUE!</v>
      </c>
      <c r="AD19" s="66" t="e">
        <f ca="1"/>
        <v>#VALUE!</v>
      </c>
      <c r="AE19" s="66" t="e">
        <f ca="1"/>
        <v>#VALUE!</v>
      </c>
      <c r="AF19" s="66" t="e">
        <f ca="1"/>
        <v>#VALUE!</v>
      </c>
      <c r="AG19" s="66" t="e">
        <f ca="1"/>
        <v>#VALUE!</v>
      </c>
      <c r="AH19" s="66" t="e">
        <f ca="1"/>
        <v>#VALUE!</v>
      </c>
      <c r="AI19" s="66" t="e">
        <f ca="1"/>
        <v>#VALUE!</v>
      </c>
      <c r="AJ19" s="66" t="e">
        <f ca="1"/>
        <v>#VALUE!</v>
      </c>
      <c r="AK19" s="66" t="e">
        <f ca="1"/>
        <v>#VALUE!</v>
      </c>
      <c r="AL19" s="66" t="e">
        <f ca="1"/>
        <v>#VALUE!</v>
      </c>
      <c r="AM19" s="71" t="e">
        <f t="shared" ca="1" si="3"/>
        <v>#VALUE!</v>
      </c>
      <c r="AN19" s="71" t="e">
        <f t="shared" ca="1" si="4"/>
        <v>#VALUE!</v>
      </c>
      <c r="AO19" s="71" t="e">
        <f t="shared" ca="1" si="5"/>
        <v>#VALUE!</v>
      </c>
    </row>
    <row r="20" spans="1:47">
      <c r="A20" s="66">
        <v>2007</v>
      </c>
      <c r="B20" s="66" t="e">
        <f t="array" aca="1" ref="B20:Q20" ca="1">OFFSET('2007'!$A$1,VLOOKUP(Dashboard!$C$1,'2007'!$A$1:$R$357,18,FALSE),1,1,16)</f>
        <v>#VALUE!</v>
      </c>
      <c r="C20" s="66" t="e">
        <f ca="1"/>
        <v>#VALUE!</v>
      </c>
      <c r="D20" s="66" t="e">
        <f ca="1"/>
        <v>#VALUE!</v>
      </c>
      <c r="E20" s="66" t="e">
        <f ca="1"/>
        <v>#VALUE!</v>
      </c>
      <c r="F20" s="66" t="e">
        <f ca="1"/>
        <v>#VALUE!</v>
      </c>
      <c r="G20" s="66" t="e">
        <f ca="1"/>
        <v>#VALUE!</v>
      </c>
      <c r="H20" s="66" t="e">
        <f ca="1"/>
        <v>#VALUE!</v>
      </c>
      <c r="I20" s="66" t="e">
        <f ca="1"/>
        <v>#VALUE!</v>
      </c>
      <c r="J20" s="66" t="e">
        <f ca="1"/>
        <v>#VALUE!</v>
      </c>
      <c r="K20" s="66" t="e">
        <f ca="1"/>
        <v>#VALUE!</v>
      </c>
      <c r="L20" s="66" t="e">
        <f ca="1"/>
        <v>#VALUE!</v>
      </c>
      <c r="M20" s="66" t="e">
        <f ca="1"/>
        <v>#VALUE!</v>
      </c>
      <c r="N20" s="66" t="e">
        <f ca="1"/>
        <v>#VALUE!</v>
      </c>
      <c r="O20" s="66" t="e">
        <f ca="1"/>
        <v>#VALUE!</v>
      </c>
      <c r="P20" s="66" t="e">
        <f ca="1"/>
        <v>#VALUE!</v>
      </c>
      <c r="Q20" s="66" t="e">
        <f ca="1"/>
        <v>#VALUE!</v>
      </c>
      <c r="R20" s="70" t="e">
        <f t="shared" ca="1" si="0"/>
        <v>#VALUE!</v>
      </c>
      <c r="S20" s="70" t="e">
        <f t="shared" ca="1" si="1"/>
        <v>#VALUE!</v>
      </c>
      <c r="T20" s="70" t="e">
        <f t="shared" ca="1" si="2"/>
        <v>#VALUE!</v>
      </c>
      <c r="U20" s="66"/>
      <c r="V20" s="66">
        <v>2007</v>
      </c>
      <c r="W20" s="66" t="e">
        <f t="array" aca="1" ref="W20:AL20" ca="1">OFFSET('2007'!$A$1,VLOOKUP(Dashboard!$X$2,'2007'!$A$1:$R$357,18,FALSE),1,1,16)</f>
        <v>#VALUE!</v>
      </c>
      <c r="X20" s="66" t="e">
        <f ca="1"/>
        <v>#VALUE!</v>
      </c>
      <c r="Y20" s="66" t="e">
        <f ca="1"/>
        <v>#VALUE!</v>
      </c>
      <c r="Z20" s="66" t="e">
        <f ca="1"/>
        <v>#VALUE!</v>
      </c>
      <c r="AA20" s="66" t="e">
        <f ca="1"/>
        <v>#VALUE!</v>
      </c>
      <c r="AB20" s="66" t="e">
        <f ca="1"/>
        <v>#VALUE!</v>
      </c>
      <c r="AC20" s="66" t="e">
        <f ca="1"/>
        <v>#VALUE!</v>
      </c>
      <c r="AD20" s="66" t="e">
        <f ca="1"/>
        <v>#VALUE!</v>
      </c>
      <c r="AE20" s="66" t="e">
        <f ca="1"/>
        <v>#VALUE!</v>
      </c>
      <c r="AF20" s="66" t="e">
        <f ca="1"/>
        <v>#VALUE!</v>
      </c>
      <c r="AG20" s="66" t="e">
        <f ca="1"/>
        <v>#VALUE!</v>
      </c>
      <c r="AH20" s="66" t="e">
        <f ca="1"/>
        <v>#VALUE!</v>
      </c>
      <c r="AI20" s="66" t="e">
        <f ca="1"/>
        <v>#VALUE!</v>
      </c>
      <c r="AJ20" s="66" t="e">
        <f ca="1"/>
        <v>#VALUE!</v>
      </c>
      <c r="AK20" s="66" t="e">
        <f ca="1"/>
        <v>#VALUE!</v>
      </c>
      <c r="AL20" s="66" t="e">
        <f ca="1"/>
        <v>#VALUE!</v>
      </c>
      <c r="AM20" s="71" t="e">
        <f t="shared" ca="1" si="3"/>
        <v>#VALUE!</v>
      </c>
      <c r="AN20" s="71" t="e">
        <f t="shared" ca="1" si="4"/>
        <v>#VALUE!</v>
      </c>
      <c r="AO20" s="71" t="e">
        <f t="shared" ca="1" si="5"/>
        <v>#VALUE!</v>
      </c>
    </row>
    <row r="21" spans="1:47">
      <c r="A21" s="66">
        <v>2006</v>
      </c>
      <c r="B21" s="66" t="e">
        <f t="array" aca="1" ref="B21:Q21" ca="1">OFFSET('2006'!$A$1,VLOOKUP(Dashboard!$C$1,'2006'!$A$1:$R$357,18,FALSE),1,1,16)</f>
        <v>#VALUE!</v>
      </c>
      <c r="C21" s="66" t="e">
        <f ca="1"/>
        <v>#VALUE!</v>
      </c>
      <c r="D21" s="66" t="e">
        <f ca="1"/>
        <v>#VALUE!</v>
      </c>
      <c r="E21" s="66" t="e">
        <f ca="1"/>
        <v>#VALUE!</v>
      </c>
      <c r="F21" s="66" t="e">
        <f ca="1"/>
        <v>#VALUE!</v>
      </c>
      <c r="G21" s="66" t="e">
        <f ca="1"/>
        <v>#VALUE!</v>
      </c>
      <c r="H21" s="66" t="e">
        <f ca="1"/>
        <v>#VALUE!</v>
      </c>
      <c r="I21" s="66" t="e">
        <f ca="1"/>
        <v>#VALUE!</v>
      </c>
      <c r="J21" s="66" t="e">
        <f ca="1"/>
        <v>#VALUE!</v>
      </c>
      <c r="K21" s="66" t="e">
        <f ca="1"/>
        <v>#VALUE!</v>
      </c>
      <c r="L21" s="66" t="e">
        <f ca="1"/>
        <v>#VALUE!</v>
      </c>
      <c r="M21" s="66" t="e">
        <f ca="1"/>
        <v>#VALUE!</v>
      </c>
      <c r="N21" s="66" t="e">
        <f ca="1"/>
        <v>#VALUE!</v>
      </c>
      <c r="O21" s="66" t="e">
        <f ca="1"/>
        <v>#VALUE!</v>
      </c>
      <c r="P21" s="66" t="e">
        <f ca="1"/>
        <v>#VALUE!</v>
      </c>
      <c r="Q21" s="66" t="e">
        <f ca="1"/>
        <v>#VALUE!</v>
      </c>
      <c r="R21" s="70" t="e">
        <f t="shared" ca="1" si="0"/>
        <v>#VALUE!</v>
      </c>
      <c r="S21" s="70" t="e">
        <f t="shared" ca="1" si="1"/>
        <v>#VALUE!</v>
      </c>
      <c r="T21" s="70" t="e">
        <f t="shared" ca="1" si="2"/>
        <v>#VALUE!</v>
      </c>
      <c r="U21" s="66"/>
      <c r="V21" s="66">
        <v>2006</v>
      </c>
      <c r="W21" s="66" t="e">
        <f t="array" aca="1" ref="W21:AL21" ca="1">OFFSET('2006'!$A$1,VLOOKUP(Dashboard!$X$2,'2006'!$A$1:$R$357,18,FALSE),1,1,16)</f>
        <v>#VALUE!</v>
      </c>
      <c r="X21" s="66" t="e">
        <f ca="1"/>
        <v>#VALUE!</v>
      </c>
      <c r="Y21" s="66" t="e">
        <f ca="1"/>
        <v>#VALUE!</v>
      </c>
      <c r="Z21" s="66" t="e">
        <f ca="1"/>
        <v>#VALUE!</v>
      </c>
      <c r="AA21" s="66" t="e">
        <f ca="1"/>
        <v>#VALUE!</v>
      </c>
      <c r="AB21" s="66" t="e">
        <f ca="1"/>
        <v>#VALUE!</v>
      </c>
      <c r="AC21" s="66" t="e">
        <f ca="1"/>
        <v>#VALUE!</v>
      </c>
      <c r="AD21" s="66" t="e">
        <f ca="1"/>
        <v>#VALUE!</v>
      </c>
      <c r="AE21" s="66" t="e">
        <f ca="1"/>
        <v>#VALUE!</v>
      </c>
      <c r="AF21" s="66" t="e">
        <f ca="1"/>
        <v>#VALUE!</v>
      </c>
      <c r="AG21" s="66" t="e">
        <f ca="1"/>
        <v>#VALUE!</v>
      </c>
      <c r="AH21" s="66" t="e">
        <f ca="1"/>
        <v>#VALUE!</v>
      </c>
      <c r="AI21" s="66" t="e">
        <f ca="1"/>
        <v>#VALUE!</v>
      </c>
      <c r="AJ21" s="66" t="e">
        <f ca="1"/>
        <v>#VALUE!</v>
      </c>
      <c r="AK21" s="66" t="e">
        <f ca="1"/>
        <v>#VALUE!</v>
      </c>
      <c r="AL21" s="66" t="e">
        <f ca="1"/>
        <v>#VALUE!</v>
      </c>
      <c r="AM21" s="71" t="e">
        <f t="shared" ca="1" si="3"/>
        <v>#VALUE!</v>
      </c>
      <c r="AN21" s="71" t="e">
        <f t="shared" ca="1" si="4"/>
        <v>#VALUE!</v>
      </c>
      <c r="AO21" s="71" t="e">
        <f t="shared" ca="1" si="5"/>
        <v>#VALUE!</v>
      </c>
    </row>
    <row r="22" spans="1:47">
      <c r="A22" s="66">
        <v>2005</v>
      </c>
      <c r="B22" s="66" t="e">
        <f t="array" aca="1" ref="B22:Q22" ca="1">OFFSET('2005'!$A$1,VLOOKUP(Dashboard!$C$1,'2005'!$A$1:$R$357,18,FALSE),1,1,16)</f>
        <v>#VALUE!</v>
      </c>
      <c r="C22" s="66" t="e">
        <f ca="1"/>
        <v>#VALUE!</v>
      </c>
      <c r="D22" s="66" t="e">
        <f ca="1"/>
        <v>#VALUE!</v>
      </c>
      <c r="E22" s="66" t="e">
        <f ca="1"/>
        <v>#VALUE!</v>
      </c>
      <c r="F22" s="66" t="e">
        <f ca="1"/>
        <v>#VALUE!</v>
      </c>
      <c r="G22" s="66" t="e">
        <f ca="1"/>
        <v>#VALUE!</v>
      </c>
      <c r="H22" s="66" t="e">
        <f ca="1"/>
        <v>#VALUE!</v>
      </c>
      <c r="I22" s="66" t="e">
        <f ca="1"/>
        <v>#VALUE!</v>
      </c>
      <c r="J22" s="66" t="e">
        <f ca="1"/>
        <v>#VALUE!</v>
      </c>
      <c r="K22" s="66" t="e">
        <f ca="1"/>
        <v>#VALUE!</v>
      </c>
      <c r="L22" s="66" t="e">
        <f ca="1"/>
        <v>#VALUE!</v>
      </c>
      <c r="M22" s="66" t="e">
        <f ca="1"/>
        <v>#VALUE!</v>
      </c>
      <c r="N22" s="66" t="e">
        <f ca="1"/>
        <v>#VALUE!</v>
      </c>
      <c r="O22" s="66" t="e">
        <f ca="1"/>
        <v>#VALUE!</v>
      </c>
      <c r="P22" s="66" t="e">
        <f ca="1"/>
        <v>#VALUE!</v>
      </c>
      <c r="Q22" s="66" t="e">
        <f ca="1"/>
        <v>#VALUE!</v>
      </c>
      <c r="R22" s="70" t="e">
        <f t="shared" ca="1" si="0"/>
        <v>#VALUE!</v>
      </c>
      <c r="S22" s="70" t="e">
        <f t="shared" ca="1" si="1"/>
        <v>#VALUE!</v>
      </c>
      <c r="T22" s="70" t="e">
        <f t="shared" ca="1" si="2"/>
        <v>#VALUE!</v>
      </c>
      <c r="U22" s="66"/>
      <c r="V22" s="66">
        <v>2005</v>
      </c>
      <c r="W22" s="66" t="e">
        <f t="array" aca="1" ref="W22:AL22" ca="1">OFFSET('2005'!$A$1,VLOOKUP(Dashboard!$X$2,'2005'!$A$1:$R$357,18,FALSE),1,1,16)</f>
        <v>#VALUE!</v>
      </c>
      <c r="X22" s="66" t="e">
        <f ca="1"/>
        <v>#VALUE!</v>
      </c>
      <c r="Y22" s="66" t="e">
        <f ca="1"/>
        <v>#VALUE!</v>
      </c>
      <c r="Z22" s="66" t="e">
        <f ca="1"/>
        <v>#VALUE!</v>
      </c>
      <c r="AA22" s="66" t="e">
        <f ca="1"/>
        <v>#VALUE!</v>
      </c>
      <c r="AB22" s="66" t="e">
        <f ca="1"/>
        <v>#VALUE!</v>
      </c>
      <c r="AC22" s="66" t="e">
        <f ca="1"/>
        <v>#VALUE!</v>
      </c>
      <c r="AD22" s="66" t="e">
        <f ca="1"/>
        <v>#VALUE!</v>
      </c>
      <c r="AE22" s="66" t="e">
        <f ca="1"/>
        <v>#VALUE!</v>
      </c>
      <c r="AF22" s="66" t="e">
        <f ca="1"/>
        <v>#VALUE!</v>
      </c>
      <c r="AG22" s="66" t="e">
        <f ca="1"/>
        <v>#VALUE!</v>
      </c>
      <c r="AH22" s="66" t="e">
        <f ca="1"/>
        <v>#VALUE!</v>
      </c>
      <c r="AI22" s="66" t="e">
        <f ca="1"/>
        <v>#VALUE!</v>
      </c>
      <c r="AJ22" s="66" t="e">
        <f ca="1"/>
        <v>#VALUE!</v>
      </c>
      <c r="AK22" s="66" t="e">
        <f ca="1"/>
        <v>#VALUE!</v>
      </c>
      <c r="AL22" s="66" t="e">
        <f ca="1"/>
        <v>#VALUE!</v>
      </c>
      <c r="AM22" s="71" t="e">
        <f t="shared" ca="1" si="3"/>
        <v>#VALUE!</v>
      </c>
      <c r="AN22" s="71" t="e">
        <f t="shared" ca="1" si="4"/>
        <v>#VALUE!</v>
      </c>
      <c r="AO22" s="71" t="e">
        <f t="shared" ca="1" si="5"/>
        <v>#VALUE!</v>
      </c>
    </row>
    <row r="23" spans="1:47">
      <c r="A23" s="66">
        <v>2004</v>
      </c>
      <c r="B23" s="66" t="e">
        <f t="array" aca="1" ref="B23:Q23" ca="1">OFFSET('2004'!$A$1,VLOOKUP(Dashboard!$C$1,'2004'!$A$1:$R$357,18,FALSE),1,1,16)</f>
        <v>#VALUE!</v>
      </c>
      <c r="C23" s="66" t="e">
        <f ca="1"/>
        <v>#VALUE!</v>
      </c>
      <c r="D23" s="66" t="e">
        <f ca="1"/>
        <v>#VALUE!</v>
      </c>
      <c r="E23" s="66" t="e">
        <f ca="1"/>
        <v>#VALUE!</v>
      </c>
      <c r="F23" s="66" t="e">
        <f ca="1"/>
        <v>#VALUE!</v>
      </c>
      <c r="G23" s="66" t="e">
        <f ca="1"/>
        <v>#VALUE!</v>
      </c>
      <c r="H23" s="66" t="e">
        <f ca="1"/>
        <v>#VALUE!</v>
      </c>
      <c r="I23" s="66" t="e">
        <f ca="1"/>
        <v>#VALUE!</v>
      </c>
      <c r="J23" s="66" t="e">
        <f ca="1"/>
        <v>#VALUE!</v>
      </c>
      <c r="K23" s="66" t="e">
        <f ca="1"/>
        <v>#VALUE!</v>
      </c>
      <c r="L23" s="66" t="e">
        <f ca="1"/>
        <v>#VALUE!</v>
      </c>
      <c r="M23" s="66" t="e">
        <f ca="1"/>
        <v>#VALUE!</v>
      </c>
      <c r="N23" s="66" t="e">
        <f ca="1"/>
        <v>#VALUE!</v>
      </c>
      <c r="O23" s="66" t="e">
        <f ca="1"/>
        <v>#VALUE!</v>
      </c>
      <c r="P23" s="66" t="e">
        <f ca="1"/>
        <v>#VALUE!</v>
      </c>
      <c r="Q23" s="66" t="e">
        <f ca="1"/>
        <v>#VALUE!</v>
      </c>
      <c r="R23" s="70" t="e">
        <f t="shared" ca="1" si="0"/>
        <v>#VALUE!</v>
      </c>
      <c r="S23" s="70" t="e">
        <f t="shared" ca="1" si="1"/>
        <v>#VALUE!</v>
      </c>
      <c r="T23" s="70" t="e">
        <f t="shared" ca="1" si="2"/>
        <v>#VALUE!</v>
      </c>
      <c r="U23" s="66"/>
      <c r="V23" s="66">
        <v>2004</v>
      </c>
      <c r="W23" s="66" t="e">
        <f t="array" aca="1" ref="W23:AL23" ca="1">OFFSET('2004'!$A$1,VLOOKUP(Dashboard!$X$2,'2004'!$A$1:$R$357,18,FALSE),1,1,16)</f>
        <v>#VALUE!</v>
      </c>
      <c r="X23" s="66" t="e">
        <f ca="1"/>
        <v>#VALUE!</v>
      </c>
      <c r="Y23" s="66" t="e">
        <f ca="1"/>
        <v>#VALUE!</v>
      </c>
      <c r="Z23" s="66" t="e">
        <f ca="1"/>
        <v>#VALUE!</v>
      </c>
      <c r="AA23" s="66" t="e">
        <f ca="1"/>
        <v>#VALUE!</v>
      </c>
      <c r="AB23" s="66" t="e">
        <f ca="1"/>
        <v>#VALUE!</v>
      </c>
      <c r="AC23" s="66" t="e">
        <f ca="1"/>
        <v>#VALUE!</v>
      </c>
      <c r="AD23" s="66" t="e">
        <f ca="1"/>
        <v>#VALUE!</v>
      </c>
      <c r="AE23" s="66" t="e">
        <f ca="1"/>
        <v>#VALUE!</v>
      </c>
      <c r="AF23" s="66" t="e">
        <f ca="1"/>
        <v>#VALUE!</v>
      </c>
      <c r="AG23" s="66" t="e">
        <f ca="1"/>
        <v>#VALUE!</v>
      </c>
      <c r="AH23" s="66" t="e">
        <f ca="1"/>
        <v>#VALUE!</v>
      </c>
      <c r="AI23" s="66" t="e">
        <f ca="1"/>
        <v>#VALUE!</v>
      </c>
      <c r="AJ23" s="66" t="e">
        <f ca="1"/>
        <v>#VALUE!</v>
      </c>
      <c r="AK23" s="66" t="e">
        <f ca="1"/>
        <v>#VALUE!</v>
      </c>
      <c r="AL23" s="66" t="e">
        <f ca="1"/>
        <v>#VALUE!</v>
      </c>
      <c r="AM23" s="71" t="e">
        <f t="shared" ca="1" si="3"/>
        <v>#VALUE!</v>
      </c>
      <c r="AN23" s="71" t="e">
        <f t="shared" ca="1" si="4"/>
        <v>#VALUE!</v>
      </c>
      <c r="AO23" s="71" t="e">
        <f t="shared" ca="1" si="5"/>
        <v>#VALUE!</v>
      </c>
    </row>
    <row r="24" spans="1:47">
      <c r="A24" s="66">
        <v>2003</v>
      </c>
      <c r="B24" s="66" t="e">
        <f t="array" aca="1" ref="B24:Q24" ca="1">OFFSET('2003'!$A$1,VLOOKUP(Dashboard!$C$1,'2003'!$A$1:$R$357,18,FALSE),1,1,16)</f>
        <v>#VALUE!</v>
      </c>
      <c r="C24" s="66" t="e">
        <f ca="1"/>
        <v>#VALUE!</v>
      </c>
      <c r="D24" s="66" t="e">
        <f ca="1"/>
        <v>#VALUE!</v>
      </c>
      <c r="E24" s="66" t="e">
        <f ca="1"/>
        <v>#VALUE!</v>
      </c>
      <c r="F24" s="66" t="e">
        <f ca="1"/>
        <v>#VALUE!</v>
      </c>
      <c r="G24" s="66" t="e">
        <f ca="1"/>
        <v>#VALUE!</v>
      </c>
      <c r="H24" s="66" t="e">
        <f ca="1"/>
        <v>#VALUE!</v>
      </c>
      <c r="I24" s="66" t="e">
        <f ca="1"/>
        <v>#VALUE!</v>
      </c>
      <c r="J24" s="66" t="e">
        <f ca="1"/>
        <v>#VALUE!</v>
      </c>
      <c r="K24" s="66" t="e">
        <f ca="1"/>
        <v>#VALUE!</v>
      </c>
      <c r="L24" s="66" t="e">
        <f ca="1"/>
        <v>#VALUE!</v>
      </c>
      <c r="M24" s="66" t="e">
        <f ca="1"/>
        <v>#VALUE!</v>
      </c>
      <c r="N24" s="66" t="e">
        <f ca="1"/>
        <v>#VALUE!</v>
      </c>
      <c r="O24" s="66" t="e">
        <f ca="1"/>
        <v>#VALUE!</v>
      </c>
      <c r="P24" s="66" t="e">
        <f ca="1"/>
        <v>#VALUE!</v>
      </c>
      <c r="Q24" s="66" t="e">
        <f ca="1"/>
        <v>#VALUE!</v>
      </c>
      <c r="R24" s="70" t="e">
        <f t="shared" ca="1" si="0"/>
        <v>#VALUE!</v>
      </c>
      <c r="S24" s="70" t="e">
        <f t="shared" ca="1" si="1"/>
        <v>#VALUE!</v>
      </c>
      <c r="T24" s="70" t="e">
        <f t="shared" ca="1" si="2"/>
        <v>#VALUE!</v>
      </c>
      <c r="U24" s="66"/>
      <c r="V24" s="66">
        <v>2003</v>
      </c>
      <c r="W24" s="66" t="e">
        <f t="array" aca="1" ref="W24:AL24" ca="1">OFFSET('2003'!$A$1,VLOOKUP(Dashboard!$X$2,'2003'!$A$1:$R$357,18,FALSE),1,1,16)</f>
        <v>#VALUE!</v>
      </c>
      <c r="X24" s="66" t="e">
        <f ca="1"/>
        <v>#VALUE!</v>
      </c>
      <c r="Y24" s="66" t="e">
        <f ca="1"/>
        <v>#VALUE!</v>
      </c>
      <c r="Z24" s="66" t="e">
        <f ca="1"/>
        <v>#VALUE!</v>
      </c>
      <c r="AA24" s="66" t="e">
        <f ca="1"/>
        <v>#VALUE!</v>
      </c>
      <c r="AB24" s="66" t="e">
        <f ca="1"/>
        <v>#VALUE!</v>
      </c>
      <c r="AC24" s="66" t="e">
        <f ca="1"/>
        <v>#VALUE!</v>
      </c>
      <c r="AD24" s="66" t="e">
        <f ca="1"/>
        <v>#VALUE!</v>
      </c>
      <c r="AE24" s="66" t="e">
        <f ca="1"/>
        <v>#VALUE!</v>
      </c>
      <c r="AF24" s="66" t="e">
        <f ca="1"/>
        <v>#VALUE!</v>
      </c>
      <c r="AG24" s="66" t="e">
        <f ca="1"/>
        <v>#VALUE!</v>
      </c>
      <c r="AH24" s="66" t="e">
        <f ca="1"/>
        <v>#VALUE!</v>
      </c>
      <c r="AI24" s="66" t="e">
        <f ca="1"/>
        <v>#VALUE!</v>
      </c>
      <c r="AJ24" s="66" t="e">
        <f ca="1"/>
        <v>#VALUE!</v>
      </c>
      <c r="AK24" s="66" t="e">
        <f ca="1"/>
        <v>#VALUE!</v>
      </c>
      <c r="AL24" s="66" t="e">
        <f ca="1"/>
        <v>#VALUE!</v>
      </c>
      <c r="AM24" s="71" t="e">
        <f t="shared" ca="1" si="3"/>
        <v>#VALUE!</v>
      </c>
      <c r="AN24" s="71" t="e">
        <f t="shared" ca="1" si="4"/>
        <v>#VALUE!</v>
      </c>
      <c r="AO24" s="71" t="e">
        <f t="shared" ca="1" si="5"/>
        <v>#VALUE!</v>
      </c>
    </row>
    <row r="25" spans="1:47">
      <c r="A25" s="66">
        <v>2002</v>
      </c>
      <c r="B25" s="66" t="e">
        <f t="array" aca="1" ref="B25:Q25" ca="1">OFFSET('2002'!$A$1,VLOOKUP(Dashboard!$C$1,'2002'!$A$1:$R$357,18,FALSE),1,1,16)</f>
        <v>#VALUE!</v>
      </c>
      <c r="C25" s="66" t="e">
        <f ca="1"/>
        <v>#VALUE!</v>
      </c>
      <c r="D25" s="66" t="e">
        <f ca="1"/>
        <v>#VALUE!</v>
      </c>
      <c r="E25" s="66" t="e">
        <f ca="1"/>
        <v>#VALUE!</v>
      </c>
      <c r="F25" s="66" t="e">
        <f ca="1"/>
        <v>#VALUE!</v>
      </c>
      <c r="G25" s="66" t="e">
        <f ca="1"/>
        <v>#VALUE!</v>
      </c>
      <c r="H25" s="66" t="e">
        <f ca="1"/>
        <v>#VALUE!</v>
      </c>
      <c r="I25" s="66" t="e">
        <f ca="1"/>
        <v>#VALUE!</v>
      </c>
      <c r="J25" s="66" t="e">
        <f ca="1"/>
        <v>#VALUE!</v>
      </c>
      <c r="K25" s="66" t="e">
        <f ca="1"/>
        <v>#VALUE!</v>
      </c>
      <c r="L25" s="66" t="e">
        <f ca="1"/>
        <v>#VALUE!</v>
      </c>
      <c r="M25" s="66" t="e">
        <f ca="1"/>
        <v>#VALUE!</v>
      </c>
      <c r="N25" s="66" t="e">
        <f ca="1"/>
        <v>#VALUE!</v>
      </c>
      <c r="O25" s="66" t="e">
        <f ca="1"/>
        <v>#VALUE!</v>
      </c>
      <c r="P25" s="66" t="e">
        <f ca="1"/>
        <v>#VALUE!</v>
      </c>
      <c r="Q25" s="66" t="e">
        <f ca="1"/>
        <v>#VALUE!</v>
      </c>
      <c r="R25" s="70" t="e">
        <f t="shared" ca="1" si="0"/>
        <v>#VALUE!</v>
      </c>
      <c r="S25" s="70" t="e">
        <f t="shared" ca="1" si="1"/>
        <v>#VALUE!</v>
      </c>
      <c r="T25" s="70" t="e">
        <f t="shared" ca="1" si="2"/>
        <v>#VALUE!</v>
      </c>
      <c r="U25" s="66"/>
      <c r="V25" s="66">
        <v>2002</v>
      </c>
      <c r="W25" s="66" t="e">
        <f t="array" aca="1" ref="W25:AL25" ca="1">OFFSET('2002'!$A$1,VLOOKUP(Dashboard!$X$2,'2002'!$A$1:$R$357,18,FALSE),1,1,16)</f>
        <v>#VALUE!</v>
      </c>
      <c r="X25" s="66" t="e">
        <f ca="1"/>
        <v>#VALUE!</v>
      </c>
      <c r="Y25" s="66" t="e">
        <f ca="1"/>
        <v>#VALUE!</v>
      </c>
      <c r="Z25" s="66" t="e">
        <f ca="1"/>
        <v>#VALUE!</v>
      </c>
      <c r="AA25" s="66" t="e">
        <f ca="1"/>
        <v>#VALUE!</v>
      </c>
      <c r="AB25" s="66" t="e">
        <f ca="1"/>
        <v>#VALUE!</v>
      </c>
      <c r="AC25" s="66" t="e">
        <f ca="1"/>
        <v>#VALUE!</v>
      </c>
      <c r="AD25" s="66" t="e">
        <f ca="1"/>
        <v>#VALUE!</v>
      </c>
      <c r="AE25" s="66" t="e">
        <f ca="1"/>
        <v>#VALUE!</v>
      </c>
      <c r="AF25" s="66" t="e">
        <f ca="1"/>
        <v>#VALUE!</v>
      </c>
      <c r="AG25" s="66" t="e">
        <f ca="1"/>
        <v>#VALUE!</v>
      </c>
      <c r="AH25" s="66" t="e">
        <f ca="1"/>
        <v>#VALUE!</v>
      </c>
      <c r="AI25" s="66" t="e">
        <f ca="1"/>
        <v>#VALUE!</v>
      </c>
      <c r="AJ25" s="66" t="e">
        <f ca="1"/>
        <v>#VALUE!</v>
      </c>
      <c r="AK25" s="66" t="e">
        <f ca="1"/>
        <v>#VALUE!</v>
      </c>
      <c r="AL25" s="66" t="e">
        <f ca="1"/>
        <v>#VALUE!</v>
      </c>
      <c r="AM25" s="71" t="e">
        <f t="shared" ca="1" si="3"/>
        <v>#VALUE!</v>
      </c>
      <c r="AN25" s="71" t="e">
        <f t="shared" ca="1" si="4"/>
        <v>#VALUE!</v>
      </c>
      <c r="AO25" s="71" t="e">
        <f t="shared" ca="1" si="5"/>
        <v>#VALUE!</v>
      </c>
    </row>
    <row r="26" spans="1:47">
      <c r="A26" s="66">
        <v>2001</v>
      </c>
      <c r="B26" s="66" t="e">
        <f t="array" aca="1" ref="B26:Q26" ca="1">OFFSET('2001'!$A$1,VLOOKUP(Dashboard!$C$1,'2001'!$A$1:$R$357,18,FALSE),1,1,16)</f>
        <v>#VALUE!</v>
      </c>
      <c r="C26" s="66" t="e">
        <f ca="1"/>
        <v>#VALUE!</v>
      </c>
      <c r="D26" s="66" t="e">
        <f ca="1"/>
        <v>#VALUE!</v>
      </c>
      <c r="E26" s="66" t="e">
        <f ca="1"/>
        <v>#VALUE!</v>
      </c>
      <c r="F26" s="66" t="e">
        <f ca="1"/>
        <v>#VALUE!</v>
      </c>
      <c r="G26" s="66" t="e">
        <f ca="1"/>
        <v>#VALUE!</v>
      </c>
      <c r="H26" s="66" t="e">
        <f ca="1"/>
        <v>#VALUE!</v>
      </c>
      <c r="I26" s="66" t="e">
        <f ca="1"/>
        <v>#VALUE!</v>
      </c>
      <c r="J26" s="66" t="e">
        <f ca="1"/>
        <v>#VALUE!</v>
      </c>
      <c r="K26" s="66" t="e">
        <f ca="1"/>
        <v>#VALUE!</v>
      </c>
      <c r="L26" s="66" t="e">
        <f ca="1"/>
        <v>#VALUE!</v>
      </c>
      <c r="M26" s="66" t="e">
        <f ca="1"/>
        <v>#VALUE!</v>
      </c>
      <c r="N26" s="66" t="e">
        <f ca="1"/>
        <v>#VALUE!</v>
      </c>
      <c r="O26" s="66" t="e">
        <f ca="1"/>
        <v>#VALUE!</v>
      </c>
      <c r="P26" s="66" t="e">
        <f ca="1"/>
        <v>#VALUE!</v>
      </c>
      <c r="Q26" s="66" t="e">
        <f ca="1"/>
        <v>#VALUE!</v>
      </c>
      <c r="R26" s="70" t="e">
        <f t="shared" ca="1" si="0"/>
        <v>#VALUE!</v>
      </c>
      <c r="S26" s="70" t="e">
        <f t="shared" ca="1" si="1"/>
        <v>#VALUE!</v>
      </c>
      <c r="T26" s="70" t="e">
        <f t="shared" ca="1" si="2"/>
        <v>#VALUE!</v>
      </c>
      <c r="U26" s="66"/>
      <c r="V26" s="66">
        <v>2001</v>
      </c>
      <c r="W26" s="66" t="e">
        <f t="array" aca="1" ref="W26:AL26" ca="1">OFFSET('2001'!$A$1,VLOOKUP(Dashboard!$X$2,'2001'!$A$1:$R$357,18,FALSE),1,1,16)</f>
        <v>#VALUE!</v>
      </c>
      <c r="X26" s="66" t="e">
        <f ca="1"/>
        <v>#VALUE!</v>
      </c>
      <c r="Y26" s="66" t="e">
        <f ca="1"/>
        <v>#VALUE!</v>
      </c>
      <c r="Z26" s="66" t="e">
        <f ca="1"/>
        <v>#VALUE!</v>
      </c>
      <c r="AA26" s="66" t="e">
        <f ca="1"/>
        <v>#VALUE!</v>
      </c>
      <c r="AB26" s="66" t="e">
        <f ca="1"/>
        <v>#VALUE!</v>
      </c>
      <c r="AC26" s="66" t="e">
        <f ca="1"/>
        <v>#VALUE!</v>
      </c>
      <c r="AD26" s="66" t="e">
        <f ca="1"/>
        <v>#VALUE!</v>
      </c>
      <c r="AE26" s="66" t="e">
        <f ca="1"/>
        <v>#VALUE!</v>
      </c>
      <c r="AF26" s="66" t="e">
        <f ca="1"/>
        <v>#VALUE!</v>
      </c>
      <c r="AG26" s="66" t="e">
        <f ca="1"/>
        <v>#VALUE!</v>
      </c>
      <c r="AH26" s="66" t="e">
        <f ca="1"/>
        <v>#VALUE!</v>
      </c>
      <c r="AI26" s="66" t="e">
        <f ca="1"/>
        <v>#VALUE!</v>
      </c>
      <c r="AJ26" s="66" t="e">
        <f ca="1"/>
        <v>#VALUE!</v>
      </c>
      <c r="AK26" s="66" t="e">
        <f ca="1"/>
        <v>#VALUE!</v>
      </c>
      <c r="AL26" s="66" t="e">
        <f ca="1"/>
        <v>#VALUE!</v>
      </c>
      <c r="AM26" s="71" t="e">
        <f t="shared" ca="1" si="3"/>
        <v>#VALUE!</v>
      </c>
      <c r="AN26" s="71" t="e">
        <f t="shared" ca="1" si="4"/>
        <v>#VALUE!</v>
      </c>
      <c r="AO26" s="71" t="e">
        <f t="shared" ca="1" si="5"/>
        <v>#VALUE!</v>
      </c>
    </row>
    <row r="27" spans="1:47">
      <c r="A27" s="66">
        <v>2000</v>
      </c>
      <c r="B27" s="66" t="e">
        <f t="array" aca="1" ref="B27:Q27" ca="1">OFFSET('2000'!$A$1,VLOOKUP(Dashboard!$C$1,'2000'!$A$1:$R$357,18,FALSE),1,1,16)</f>
        <v>#VALUE!</v>
      </c>
      <c r="C27" s="66" t="e">
        <f ca="1"/>
        <v>#VALUE!</v>
      </c>
      <c r="D27" s="66" t="e">
        <f ca="1"/>
        <v>#VALUE!</v>
      </c>
      <c r="E27" s="66" t="e">
        <f ca="1"/>
        <v>#VALUE!</v>
      </c>
      <c r="F27" s="66" t="e">
        <f ca="1"/>
        <v>#VALUE!</v>
      </c>
      <c r="G27" s="66" t="e">
        <f ca="1"/>
        <v>#VALUE!</v>
      </c>
      <c r="H27" s="66" t="e">
        <f ca="1"/>
        <v>#VALUE!</v>
      </c>
      <c r="I27" s="66" t="e">
        <f ca="1"/>
        <v>#VALUE!</v>
      </c>
      <c r="J27" s="66" t="e">
        <f ca="1"/>
        <v>#VALUE!</v>
      </c>
      <c r="K27" s="66" t="e">
        <f ca="1"/>
        <v>#VALUE!</v>
      </c>
      <c r="L27" s="66" t="e">
        <f ca="1"/>
        <v>#VALUE!</v>
      </c>
      <c r="M27" s="66" t="e">
        <f ca="1"/>
        <v>#VALUE!</v>
      </c>
      <c r="N27" s="66" t="e">
        <f ca="1"/>
        <v>#VALUE!</v>
      </c>
      <c r="O27" s="66" t="e">
        <f ca="1"/>
        <v>#VALUE!</v>
      </c>
      <c r="P27" s="66" t="e">
        <f ca="1"/>
        <v>#VALUE!</v>
      </c>
      <c r="Q27" s="66" t="e">
        <f ca="1"/>
        <v>#VALUE!</v>
      </c>
      <c r="R27" s="70" t="e">
        <f t="shared" ca="1" si="0"/>
        <v>#VALUE!</v>
      </c>
      <c r="S27" s="70" t="e">
        <f t="shared" ca="1" si="1"/>
        <v>#VALUE!</v>
      </c>
      <c r="T27" s="70" t="e">
        <f t="shared" ca="1" si="2"/>
        <v>#VALUE!</v>
      </c>
      <c r="U27" s="66"/>
      <c r="V27" s="66">
        <v>2000</v>
      </c>
      <c r="W27" s="66" t="e">
        <f t="array" aca="1" ref="W27:AL27" ca="1">OFFSET('2000'!$A$1,VLOOKUP(Dashboard!$X$2,'2000'!$A$1:$R$357,18,FALSE),1,1,16)</f>
        <v>#VALUE!</v>
      </c>
      <c r="X27" s="66" t="e">
        <f ca="1"/>
        <v>#VALUE!</v>
      </c>
      <c r="Y27" s="66" t="e">
        <f ca="1"/>
        <v>#VALUE!</v>
      </c>
      <c r="Z27" s="66" t="e">
        <f ca="1"/>
        <v>#VALUE!</v>
      </c>
      <c r="AA27" s="66" t="e">
        <f ca="1"/>
        <v>#VALUE!</v>
      </c>
      <c r="AB27" s="66" t="e">
        <f ca="1"/>
        <v>#VALUE!</v>
      </c>
      <c r="AC27" s="66" t="e">
        <f ca="1"/>
        <v>#VALUE!</v>
      </c>
      <c r="AD27" s="66" t="e">
        <f ca="1"/>
        <v>#VALUE!</v>
      </c>
      <c r="AE27" s="66" t="e">
        <f ca="1"/>
        <v>#VALUE!</v>
      </c>
      <c r="AF27" s="66" t="e">
        <f ca="1"/>
        <v>#VALUE!</v>
      </c>
      <c r="AG27" s="66" t="e">
        <f ca="1"/>
        <v>#VALUE!</v>
      </c>
      <c r="AH27" s="66" t="e">
        <f ca="1"/>
        <v>#VALUE!</v>
      </c>
      <c r="AI27" s="66" t="e">
        <f ca="1"/>
        <v>#VALUE!</v>
      </c>
      <c r="AJ27" s="66" t="e">
        <f ca="1"/>
        <v>#VALUE!</v>
      </c>
      <c r="AK27" s="66" t="e">
        <f ca="1"/>
        <v>#VALUE!</v>
      </c>
      <c r="AL27" s="66" t="e">
        <f ca="1"/>
        <v>#VALUE!</v>
      </c>
      <c r="AM27" s="71" t="e">
        <f t="shared" ca="1" si="3"/>
        <v>#VALUE!</v>
      </c>
      <c r="AN27" s="71" t="e">
        <f t="shared" ca="1" si="4"/>
        <v>#VALUE!</v>
      </c>
      <c r="AO27" s="71" t="e">
        <f t="shared" ca="1" si="5"/>
        <v>#VALUE!</v>
      </c>
    </row>
    <row r="32" spans="1:47"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</row>
    <row r="33" spans="30:47"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</row>
    <row r="55" spans="13:30">
      <c r="M55" s="75" t="s">
        <v>379</v>
      </c>
      <c r="N55">
        <f>T1</f>
        <v>2000</v>
      </c>
    </row>
    <row r="56" spans="13:30">
      <c r="O56" s="2" t="s">
        <v>1</v>
      </c>
      <c r="P56" s="2" t="s">
        <v>380</v>
      </c>
      <c r="Q56" s="2" t="s">
        <v>381</v>
      </c>
      <c r="R56" s="2" t="s">
        <v>382</v>
      </c>
      <c r="S56" s="2" t="s">
        <v>383</v>
      </c>
      <c r="T56" s="2" t="s">
        <v>384</v>
      </c>
      <c r="U56" s="2" t="s">
        <v>385</v>
      </c>
      <c r="V56" s="2" t="s">
        <v>386</v>
      </c>
      <c r="W56" s="2" t="s">
        <v>388</v>
      </c>
      <c r="X56" s="2" t="s">
        <v>387</v>
      </c>
      <c r="Y56" s="2" t="s">
        <v>389</v>
      </c>
      <c r="Z56" s="2" t="s">
        <v>393</v>
      </c>
      <c r="AA56" s="2" t="s">
        <v>390</v>
      </c>
      <c r="AB56" s="65" t="s">
        <v>4</v>
      </c>
      <c r="AC56" s="63" t="s">
        <v>402</v>
      </c>
      <c r="AD56" s="64"/>
    </row>
    <row r="57" spans="13:30">
      <c r="N57" t="str">
        <f ca="1">C1</f>
        <v>School</v>
      </c>
      <c r="O57" t="e">
        <f ca="1">VLOOKUP($N$55,A7:T27,2,FALSE)</f>
        <v>#VALUE!</v>
      </c>
      <c r="P57" t="e">
        <f ca="1">VLOOKUP($N$55,$A$7:$T$27,6,FALSE)/$O$57</f>
        <v>#VALUE!</v>
      </c>
      <c r="Q57" t="e">
        <f ca="1">VLOOKUP($N$55,$A$7:$T$27,7,FALSE)/$O$57</f>
        <v>#VALUE!</v>
      </c>
      <c r="R57" t="e">
        <f ca="1">VLOOKUP($N$55,$A$7:$T$27,8,FALSE)/$O$57</f>
        <v>#VALUE!</v>
      </c>
      <c r="S57" t="e">
        <f ca="1">VLOOKUP($N$55,$A$7:$T$27,9,FALSE)/$O$57</f>
        <v>#VALUE!</v>
      </c>
      <c r="T57" t="e">
        <f ca="1">VLOOKUP($N$55,$A$7:$T$27,10,FALSE)/$O$57</f>
        <v>#VALUE!</v>
      </c>
      <c r="U57" t="e">
        <f ca="1">VLOOKUP($N$55,$A$7:$T$27,11,FALSE)/$O$57</f>
        <v>#VALUE!</v>
      </c>
      <c r="V57" t="e">
        <f ca="1">(VLOOKUP($N$55,$A$7:$T$27,12,FALSE)-VLOOKUP($N$55,$A$7:$T$27,11,FALSE))/$O$57</f>
        <v>#VALUE!</v>
      </c>
      <c r="W57" t="e">
        <f ca="1">VLOOKUP($N$55,$A$7:$T$27,13,FALSE)/$O$57</f>
        <v>#VALUE!</v>
      </c>
      <c r="X57" t="e">
        <f ca="1">VLOOKUP($N$55,$A$7:$T$27,14,FALSE)/$O$57</f>
        <v>#VALUE!</v>
      </c>
      <c r="Y57" t="e">
        <f ca="1">VLOOKUP($N$55,$A$7:$T$27,15,FALSE)/$O$57</f>
        <v>#VALUE!</v>
      </c>
      <c r="Z57" t="e">
        <f ca="1">VLOOKUP($N$55,$A$7:$T$27,16,FALSE)/$O$57</f>
        <v>#VALUE!</v>
      </c>
      <c r="AA57" t="e">
        <f ca="1">VLOOKUP($N$55,$A$7:$T$27,17,FALSE)/$O$57</f>
        <v>#VALUE!</v>
      </c>
      <c r="AB57" t="e">
        <f ca="1">VLOOKUP($N$55,$A$7:$T$27,5,FALSE)</f>
        <v>#VALUE!</v>
      </c>
      <c r="AC57" t="s">
        <v>403</v>
      </c>
      <c r="AD57" s="63">
        <v>1</v>
      </c>
    </row>
    <row r="58" spans="13:30">
      <c r="N58" t="str">
        <f ca="1">X2</f>
        <v>School</v>
      </c>
      <c r="O58" t="e">
        <f ca="1">VLOOKUP(N55,V7:AO27,2,FALSE)</f>
        <v>#VALUE!</v>
      </c>
      <c r="P58" t="e">
        <f ca="1">VLOOKUP($N$55,$V$7:$AL$27,6,FALSE)/$O$58</f>
        <v>#VALUE!</v>
      </c>
      <c r="Q58" t="e">
        <f ca="1">VLOOKUP($N$55,$V$7:$AL$27,7,FALSE)/$O$58</f>
        <v>#VALUE!</v>
      </c>
      <c r="R58" t="e">
        <f ca="1">VLOOKUP($N$55,$V$7:$AL$27,8,FALSE)/$O$58</f>
        <v>#VALUE!</v>
      </c>
      <c r="S58" t="e">
        <f ca="1">VLOOKUP($N$55,$V$7:$AL$27,9,FALSE)/$O$58</f>
        <v>#VALUE!</v>
      </c>
      <c r="T58" t="e">
        <f ca="1">VLOOKUP($N$55,$V$7:$AL$27,10,FALSE)/$O$58</f>
        <v>#VALUE!</v>
      </c>
      <c r="U58" t="e">
        <f ca="1">VLOOKUP($N$55,$V$7:$AL$27,11,FALSE)/$O$58</f>
        <v>#VALUE!</v>
      </c>
      <c r="V58" t="e">
        <f ca="1">(VLOOKUP($N$55,$V$7:$AL$27,12,FALSE)-VLOOKUP($N$55,$V$7:$AL$27,11,FALSE))/$O$58</f>
        <v>#VALUE!</v>
      </c>
      <c r="W58" t="e">
        <f ca="1">VLOOKUP($N$55,$V$7:$AL$27,13,FALSE)/$O$58</f>
        <v>#VALUE!</v>
      </c>
      <c r="X58" t="e">
        <f ca="1">VLOOKUP($N$55,$V$7:$AL$27,14,FALSE)/$O$58</f>
        <v>#VALUE!</v>
      </c>
      <c r="Y58" t="e">
        <f ca="1">VLOOKUP($N$55,$V$7:$AL$27,15,FALSE)/$O$58</f>
        <v>#VALUE!</v>
      </c>
      <c r="Z58" t="e">
        <f ca="1">VLOOKUP($N$55,$V$7:$AL$27,16,FALSE)/$O$58</f>
        <v>#VALUE!</v>
      </c>
      <c r="AA58" t="e">
        <f ca="1">VLOOKUP($N$55,$V$7:$AL$27,17,FALSE)/$O$58</f>
        <v>#VALUE!</v>
      </c>
      <c r="AB58" t="e">
        <f ca="1">VLOOKUP($N$55,$V$7:$AL$27,5,FALSE)</f>
        <v>#VALUE!</v>
      </c>
      <c r="AC58" t="s">
        <v>392</v>
      </c>
      <c r="AD58" s="63">
        <v>0.4</v>
      </c>
    </row>
    <row r="59" spans="13:30">
      <c r="AC59" t="s">
        <v>7</v>
      </c>
      <c r="AD59" s="63">
        <v>-0.7</v>
      </c>
    </row>
    <row r="60" spans="13:30">
      <c r="AC60" t="s">
        <v>404</v>
      </c>
      <c r="AD60" s="63">
        <v>-0.4</v>
      </c>
    </row>
    <row r="61" spans="13:30">
      <c r="M61" s="75" t="s">
        <v>412</v>
      </c>
      <c r="V61" s="78" t="e">
        <f ca="1">IF(O62&gt;O63,N62,N63)</f>
        <v>#VALUE!</v>
      </c>
      <c r="W61" s="78"/>
      <c r="X61" s="78"/>
      <c r="AC61" t="s">
        <v>405</v>
      </c>
      <c r="AD61" s="63">
        <v>0.7</v>
      </c>
    </row>
    <row r="62" spans="13:30" ht="15" customHeight="1">
      <c r="N62" t="str">
        <f ca="1">N57</f>
        <v>School</v>
      </c>
      <c r="O62" t="e">
        <f ca="1">P57*$AD$57+Q57*$AD$58+R57*$AD$59+(T57-S57)*$AD$60+U57*$AD$61+V57*$AD$62+X57*$AD$63+W57*$AD$64+Y57*$AD$65+AA57*$AD$66+Z57*$AD$67+AB57*$AD$68</f>
        <v>#VALUE!</v>
      </c>
      <c r="T62" s="76" t="s">
        <v>391</v>
      </c>
      <c r="U62" s="76"/>
      <c r="V62" s="78"/>
      <c r="W62" s="78"/>
      <c r="X62" s="78"/>
      <c r="AC62" t="s">
        <v>406</v>
      </c>
      <c r="AD62" s="63">
        <v>0.3</v>
      </c>
    </row>
    <row r="63" spans="13:30" ht="15" customHeight="1">
      <c r="N63" t="str">
        <f ca="1">N58</f>
        <v>School</v>
      </c>
      <c r="O63" t="e">
        <f ca="1">P58*$AD$57+Q58*$AD$58+R58*$AD$59+(T58-S58)*$AD$60+U58*$AD$61+V58*$AD$62+X58*$AD$63+W58*$AD$64+Y58*$AD$65+AA58*$AD$66+Z58*$AD$67+AB58*$AD$68</f>
        <v>#VALUE!</v>
      </c>
      <c r="T63" s="76"/>
      <c r="U63" s="76"/>
      <c r="V63" s="78"/>
      <c r="W63" s="78"/>
      <c r="X63" s="78"/>
      <c r="AC63" t="s">
        <v>407</v>
      </c>
      <c r="AD63" s="63">
        <v>1</v>
      </c>
    </row>
    <row r="64" spans="13:30">
      <c r="V64" s="78"/>
      <c r="W64" s="78"/>
      <c r="X64" s="78"/>
      <c r="AC64" t="s">
        <v>408</v>
      </c>
      <c r="AD64" s="63">
        <v>0.7</v>
      </c>
    </row>
    <row r="65" spans="22:30">
      <c r="V65" s="78"/>
      <c r="W65" s="78"/>
      <c r="X65" s="78"/>
      <c r="AC65" t="s">
        <v>409</v>
      </c>
      <c r="AD65" s="63">
        <v>0.7</v>
      </c>
    </row>
    <row r="66" spans="22:30">
      <c r="AC66" t="s">
        <v>16</v>
      </c>
      <c r="AD66" s="63">
        <v>-0.4</v>
      </c>
    </row>
    <row r="67" spans="22:30">
      <c r="AC67" t="s">
        <v>410</v>
      </c>
      <c r="AD67" s="63">
        <v>-1</v>
      </c>
    </row>
    <row r="68" spans="22:30">
      <c r="AC68" t="s">
        <v>411</v>
      </c>
      <c r="AD68" s="63">
        <v>1</v>
      </c>
    </row>
  </sheetData>
  <sheetProtection autoFilter="0" pivotTables="0"/>
  <mergeCells count="6">
    <mergeCell ref="T62:U63"/>
    <mergeCell ref="C1:I3"/>
    <mergeCell ref="X2:Z3"/>
    <mergeCell ref="V61:X65"/>
    <mergeCell ref="T1:V3"/>
    <mergeCell ref="R1:S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Drop Down 1">
              <controlPr defaultSize="0" autoLine="0" autoPict="0">
                <anchor moveWithCells="1">
                  <from>
                    <xdr:col>12</xdr:col>
                    <xdr:colOff>66675</xdr:colOff>
                    <xdr:row>1</xdr:row>
                    <xdr:rowOff>142875</xdr:rowOff>
                  </from>
                  <to>
                    <xdr:col>13</xdr:col>
                    <xdr:colOff>1219200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Drop Down 2">
              <controlPr defaultSize="0" autoLine="0" autoPict="0">
                <anchor moveWithCells="1">
                  <from>
                    <xdr:col>26</xdr:col>
                    <xdr:colOff>409575</xdr:colOff>
                    <xdr:row>1</xdr:row>
                    <xdr:rowOff>76200</xdr:rowOff>
                  </from>
                  <to>
                    <xdr:col>31</xdr:col>
                    <xdr:colOff>295275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18</xdr:col>
                    <xdr:colOff>619125</xdr:colOff>
                    <xdr:row>30</xdr:row>
                    <xdr:rowOff>180975</xdr:rowOff>
                  </from>
                  <to>
                    <xdr:col>20</xdr:col>
                    <xdr:colOff>200025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19</xdr:col>
                    <xdr:colOff>923925</xdr:colOff>
                    <xdr:row>30</xdr:row>
                    <xdr:rowOff>180975</xdr:rowOff>
                  </from>
                  <to>
                    <xdr:col>21</xdr:col>
                    <xdr:colOff>542925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21</xdr:col>
                    <xdr:colOff>219075</xdr:colOff>
                    <xdr:row>31</xdr:row>
                    <xdr:rowOff>0</xdr:rowOff>
                  </from>
                  <to>
                    <xdr:col>23</xdr:col>
                    <xdr:colOff>161925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22</xdr:col>
                    <xdr:colOff>914400</xdr:colOff>
                    <xdr:row>30</xdr:row>
                    <xdr:rowOff>180975</xdr:rowOff>
                  </from>
                  <to>
                    <xdr:col>24</xdr:col>
                    <xdr:colOff>457200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0" name="Button 11">
              <controlPr defaultSize="0" print="0" autoFill="0" autoPict="0" macro="[0]!Delchart">
                <anchor moveWithCells="1" sizeWithCells="1">
                  <from>
                    <xdr:col>19</xdr:col>
                    <xdr:colOff>952500</xdr:colOff>
                    <xdr:row>27</xdr:row>
                    <xdr:rowOff>85725</xdr:rowOff>
                  </from>
                  <to>
                    <xdr:col>21</xdr:col>
                    <xdr:colOff>257175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1" name="Button 12">
              <controlPr defaultSize="0" print="0" autoFill="0" autoPict="0" macro="[0]!Graph1">
                <anchor moveWithCells="1" sizeWithCells="1">
                  <from>
                    <xdr:col>18</xdr:col>
                    <xdr:colOff>485775</xdr:colOff>
                    <xdr:row>27</xdr:row>
                    <xdr:rowOff>152400</xdr:rowOff>
                  </from>
                  <to>
                    <xdr:col>19</xdr:col>
                    <xdr:colOff>676275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2" name="Button 13">
              <controlPr defaultSize="0" print="0" autoFill="0" autoPict="0" macro="[0]!Graph2">
                <anchor moveWithCells="1" sizeWithCells="1">
                  <from>
                    <xdr:col>21</xdr:col>
                    <xdr:colOff>495300</xdr:colOff>
                    <xdr:row>27</xdr:row>
                    <xdr:rowOff>47625</xdr:rowOff>
                  </from>
                  <to>
                    <xdr:col>23</xdr:col>
                    <xdr:colOff>219075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3" name="Button 14">
              <controlPr defaultSize="0" print="0" autoFill="0" autoPict="0" macro="[0]!Instructions">
                <anchor moveWithCells="1" sizeWithCells="1">
                  <from>
                    <xdr:col>19</xdr:col>
                    <xdr:colOff>171450</xdr:colOff>
                    <xdr:row>69</xdr:row>
                    <xdr:rowOff>95250</xdr:rowOff>
                  </from>
                  <to>
                    <xdr:col>23</xdr:col>
                    <xdr:colOff>733425</xdr:colOff>
                    <xdr:row>78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CE7D49-38FA-453F-9885-63624F00486A}">
          <x14:formula1>
            <xm:f>Sheet1!$B$2:$B$23</xm:f>
          </x14:formula1>
          <xm:sqref>T1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6810A-ACC6-4A96-82D1-6FC2B3343F12}">
  <sheetPr codeName="Sheet22"/>
  <dimension ref="B2:B23"/>
  <sheetViews>
    <sheetView workbookViewId="0">
      <selection activeCell="D21" sqref="D21"/>
    </sheetView>
  </sheetViews>
  <sheetFormatPr defaultRowHeight="15"/>
  <sheetData>
    <row r="2" spans="2:2">
      <c r="B2">
        <v>2000</v>
      </c>
    </row>
    <row r="3" spans="2:2">
      <c r="B3">
        <v>2001</v>
      </c>
    </row>
    <row r="4" spans="2:2">
      <c r="B4">
        <v>2002</v>
      </c>
    </row>
    <row r="5" spans="2:2">
      <c r="B5">
        <v>2003</v>
      </c>
    </row>
    <row r="6" spans="2:2">
      <c r="B6">
        <v>2004</v>
      </c>
    </row>
    <row r="7" spans="2:2">
      <c r="B7">
        <v>2005</v>
      </c>
    </row>
    <row r="8" spans="2:2">
      <c r="B8">
        <v>2006</v>
      </c>
    </row>
    <row r="9" spans="2:2">
      <c r="B9">
        <v>2007</v>
      </c>
    </row>
    <row r="10" spans="2:2">
      <c r="B10">
        <v>2008</v>
      </c>
    </row>
    <row r="11" spans="2:2">
      <c r="B11">
        <v>2009</v>
      </c>
    </row>
    <row r="12" spans="2:2">
      <c r="B12">
        <v>2010</v>
      </c>
    </row>
    <row r="13" spans="2:2">
      <c r="B13">
        <v>2011</v>
      </c>
    </row>
    <row r="14" spans="2:2">
      <c r="B14">
        <v>2012</v>
      </c>
    </row>
    <row r="15" spans="2:2">
      <c r="B15">
        <v>2013</v>
      </c>
    </row>
    <row r="16" spans="2:2">
      <c r="B16">
        <v>2014</v>
      </c>
    </row>
    <row r="17" spans="2:2">
      <c r="B17">
        <v>2015</v>
      </c>
    </row>
    <row r="18" spans="2:2">
      <c r="B18">
        <v>2016</v>
      </c>
    </row>
    <row r="19" spans="2:2">
      <c r="B19">
        <v>2017</v>
      </c>
    </row>
    <row r="20" spans="2:2">
      <c r="B20">
        <v>2018</v>
      </c>
    </row>
    <row r="21" spans="2:2">
      <c r="B21">
        <v>2019</v>
      </c>
    </row>
    <row r="22" spans="2:2">
      <c r="B22">
        <v>2020</v>
      </c>
    </row>
    <row r="23" spans="2:2">
      <c r="B23">
        <v>2021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2504-3FD3-4A49-BA58-7EB77B3A7FD2}">
  <sheetPr codeName="Sheet31"/>
  <dimension ref="A1:AB71"/>
  <sheetViews>
    <sheetView showGridLines="0" zoomScale="109" zoomScaleNormal="100" workbookViewId="0">
      <selection activeCell="Y32" sqref="Y32"/>
    </sheetView>
  </sheetViews>
  <sheetFormatPr defaultColWidth="9.140625" defaultRowHeight="12.75"/>
  <cols>
    <col min="1" max="1" width="0.85546875" style="3" customWidth="1"/>
    <col min="2" max="2" width="2.85546875" style="4" customWidth="1"/>
    <col min="3" max="6" width="10" style="3" customWidth="1"/>
    <col min="7" max="7" width="0.85546875" style="3" customWidth="1"/>
    <col min="8" max="8" width="10" style="3" customWidth="1"/>
    <col min="9" max="9" width="0.85546875" style="3" customWidth="1"/>
    <col min="10" max="11" width="10" style="3" customWidth="1"/>
    <col min="12" max="12" width="0.85546875" style="3" customWidth="1"/>
    <col min="13" max="13" width="10" style="3" customWidth="1"/>
    <col min="14" max="14" width="0.85546875" style="3" customWidth="1"/>
    <col min="15" max="18" width="10" style="3" customWidth="1"/>
    <col min="19" max="19" width="2.85546875" style="4" customWidth="1"/>
    <col min="20" max="16384" width="9.140625" style="3"/>
  </cols>
  <sheetData>
    <row r="1" spans="1:19" ht="5.0999999999999996" customHeight="1"/>
    <row r="2" spans="1:19" ht="26.1" customHeight="1">
      <c r="B2" s="82" t="s">
        <v>394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</row>
    <row r="3" spans="1:19" s="5" customFormat="1" ht="2.1" customHeight="1">
      <c r="B3" s="4"/>
      <c r="C3" s="6"/>
      <c r="D3" s="6"/>
      <c r="E3" s="83"/>
      <c r="F3" s="83"/>
      <c r="G3" s="7"/>
      <c r="H3" s="61"/>
      <c r="I3" s="7"/>
      <c r="J3" s="83"/>
      <c r="K3" s="83"/>
      <c r="L3" s="7"/>
      <c r="M3" s="61"/>
      <c r="N3" s="7"/>
      <c r="O3" s="83"/>
      <c r="P3" s="83"/>
      <c r="Q3" s="6"/>
      <c r="R3" s="6"/>
      <c r="S3" s="4"/>
    </row>
    <row r="4" spans="1:19" s="8" customFormat="1" ht="15.95" customHeight="1">
      <c r="B4" s="9"/>
      <c r="C4" s="62" t="s">
        <v>413</v>
      </c>
      <c r="D4" s="62" t="s">
        <v>414</v>
      </c>
      <c r="E4" s="62" t="s">
        <v>415</v>
      </c>
      <c r="F4" s="62" t="s">
        <v>416</v>
      </c>
      <c r="G4" s="62"/>
      <c r="H4" s="62" t="s">
        <v>417</v>
      </c>
      <c r="I4" s="62"/>
      <c r="J4" s="84" t="s">
        <v>418</v>
      </c>
      <c r="K4" s="84"/>
      <c r="L4" s="62"/>
      <c r="M4" s="62" t="s">
        <v>417</v>
      </c>
      <c r="N4" s="62"/>
      <c r="O4" s="62" t="s">
        <v>416</v>
      </c>
      <c r="P4" s="62" t="s">
        <v>415</v>
      </c>
      <c r="Q4" s="62" t="s">
        <v>414</v>
      </c>
      <c r="R4" s="62" t="s">
        <v>413</v>
      </c>
      <c r="S4" s="10"/>
    </row>
    <row r="5" spans="1:19" s="8" customFormat="1" ht="2.1" customHeight="1"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</row>
    <row r="6" spans="1:19" s="12" customFormat="1" ht="15.75" customHeight="1">
      <c r="B6" s="13"/>
      <c r="C6" s="14"/>
      <c r="D6" s="14"/>
      <c r="E6" s="14"/>
      <c r="F6" s="14"/>
      <c r="G6" s="14"/>
      <c r="H6" s="14"/>
      <c r="I6" s="14"/>
      <c r="J6" s="85"/>
      <c r="K6" s="85"/>
      <c r="L6" s="14"/>
      <c r="M6" s="14"/>
      <c r="N6" s="14"/>
      <c r="O6" s="14"/>
      <c r="P6" s="14"/>
      <c r="Q6" s="14"/>
      <c r="R6" s="14"/>
      <c r="S6" s="13"/>
    </row>
    <row r="7" spans="1:19" s="15" customFormat="1" ht="8.1" customHeight="1">
      <c r="B7" s="11"/>
      <c r="C7" s="16"/>
      <c r="D7" s="16"/>
      <c r="E7" s="11"/>
      <c r="F7" s="17"/>
      <c r="G7" s="17"/>
      <c r="H7" s="17"/>
      <c r="I7" s="17"/>
      <c r="J7" s="17"/>
      <c r="K7" s="17"/>
      <c r="L7" s="17"/>
      <c r="M7" s="17"/>
      <c r="N7" s="17"/>
      <c r="O7" s="17"/>
      <c r="P7" s="11"/>
      <c r="Q7" s="16"/>
      <c r="R7" s="16"/>
      <c r="S7" s="11"/>
    </row>
    <row r="8" spans="1:19" s="15" customFormat="1" ht="8.1" customHeight="1">
      <c r="A8" s="18"/>
      <c r="B8" s="19">
        <v>1</v>
      </c>
      <c r="C8" s="20" t="s">
        <v>356</v>
      </c>
      <c r="D8" s="16"/>
      <c r="E8" s="11"/>
      <c r="F8" s="17"/>
      <c r="G8" s="17"/>
      <c r="H8" s="17"/>
      <c r="I8" s="17"/>
      <c r="J8" s="17"/>
      <c r="K8" s="17"/>
      <c r="L8" s="17"/>
      <c r="M8" s="17"/>
      <c r="N8" s="17"/>
      <c r="O8" s="17"/>
      <c r="P8" s="11"/>
      <c r="Q8" s="16"/>
      <c r="R8" s="42" t="s">
        <v>373</v>
      </c>
      <c r="S8" s="19">
        <v>1</v>
      </c>
    </row>
    <row r="9" spans="1:19" s="15" customFormat="1" ht="8.1" customHeight="1">
      <c r="A9" s="18"/>
      <c r="B9" s="19"/>
      <c r="C9" s="21"/>
      <c r="D9" s="20"/>
      <c r="E9" s="11"/>
      <c r="F9" s="17"/>
      <c r="G9" s="17"/>
      <c r="H9" s="17"/>
      <c r="I9" s="17"/>
      <c r="J9" s="17"/>
      <c r="K9" s="17"/>
      <c r="L9" s="17"/>
      <c r="M9" s="17"/>
      <c r="N9" s="17"/>
      <c r="O9" s="17"/>
      <c r="P9" s="11"/>
      <c r="Q9" s="22"/>
      <c r="R9" s="23"/>
      <c r="S9" s="19"/>
    </row>
    <row r="10" spans="1:19" s="15" customFormat="1" ht="8.1" customHeight="1">
      <c r="A10" s="18"/>
      <c r="B10" s="19">
        <v>16</v>
      </c>
      <c r="C10" s="24" t="s">
        <v>278</v>
      </c>
      <c r="D10" s="25"/>
      <c r="E10" s="11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1"/>
      <c r="Q10" s="23"/>
      <c r="R10" s="43" t="s">
        <v>280</v>
      </c>
      <c r="S10" s="19">
        <v>16</v>
      </c>
    </row>
    <row r="11" spans="1:19" s="15" customFormat="1" ht="8.1" customHeight="1">
      <c r="A11" s="18"/>
      <c r="B11" s="19"/>
      <c r="C11" s="16"/>
      <c r="D11" s="26"/>
      <c r="E11" s="43"/>
      <c r="F11" s="27"/>
      <c r="G11" s="17"/>
      <c r="H11" s="17"/>
      <c r="I11" s="17"/>
      <c r="J11" s="17"/>
      <c r="K11" s="17"/>
      <c r="L11" s="17"/>
      <c r="M11" s="17"/>
      <c r="N11" s="17"/>
      <c r="O11" s="27"/>
      <c r="P11" s="42"/>
      <c r="Q11" s="28"/>
      <c r="R11" s="16"/>
      <c r="S11" s="19"/>
    </row>
    <row r="12" spans="1:19" s="15" customFormat="1" ht="8.1" customHeight="1">
      <c r="A12" s="18"/>
      <c r="B12" s="19">
        <v>8</v>
      </c>
      <c r="C12" s="20" t="s">
        <v>367</v>
      </c>
      <c r="D12" s="26"/>
      <c r="E12" s="21"/>
      <c r="F12" s="27"/>
      <c r="G12" s="17"/>
      <c r="H12" s="17"/>
      <c r="I12" s="17"/>
      <c r="J12" s="17"/>
      <c r="K12" s="17"/>
      <c r="L12" s="17"/>
      <c r="M12" s="17"/>
      <c r="N12" s="17"/>
      <c r="O12" s="27"/>
      <c r="P12" s="23"/>
      <c r="Q12" s="28"/>
      <c r="R12" s="42" t="s">
        <v>375</v>
      </c>
      <c r="S12" s="19">
        <v>8</v>
      </c>
    </row>
    <row r="13" spans="1:19" s="15" customFormat="1" ht="8.1" customHeight="1">
      <c r="A13" s="18"/>
      <c r="B13" s="19"/>
      <c r="C13" s="21"/>
      <c r="D13" s="29"/>
      <c r="E13" s="26"/>
      <c r="F13" s="27"/>
      <c r="G13" s="17"/>
      <c r="H13" s="17"/>
      <c r="I13" s="17"/>
      <c r="J13" s="17"/>
      <c r="K13" s="17"/>
      <c r="L13" s="17"/>
      <c r="M13" s="17"/>
      <c r="N13" s="17"/>
      <c r="O13" s="27"/>
      <c r="P13" s="28"/>
      <c r="Q13" s="29"/>
      <c r="R13" s="23"/>
      <c r="S13" s="19"/>
    </row>
    <row r="14" spans="1:19" s="15" customFormat="1" ht="8.1" customHeight="1">
      <c r="A14" s="18"/>
      <c r="B14" s="19">
        <v>9</v>
      </c>
      <c r="C14" s="24" t="s">
        <v>306</v>
      </c>
      <c r="D14" s="16"/>
      <c r="E14" s="26"/>
      <c r="F14" s="16"/>
      <c r="G14" s="11"/>
      <c r="H14" s="11"/>
      <c r="I14" s="11"/>
      <c r="J14" s="11"/>
      <c r="K14" s="11"/>
      <c r="L14" s="11"/>
      <c r="M14" s="11"/>
      <c r="N14" s="11"/>
      <c r="O14" s="16"/>
      <c r="P14" s="28"/>
      <c r="Q14" s="16"/>
      <c r="R14" s="43" t="s">
        <v>277</v>
      </c>
      <c r="S14" s="19">
        <v>9</v>
      </c>
    </row>
    <row r="15" spans="1:19" s="15" customFormat="1" ht="8.1" customHeight="1">
      <c r="A15" s="18"/>
      <c r="B15" s="19"/>
      <c r="C15" s="16"/>
      <c r="D15" s="16"/>
      <c r="E15" s="26"/>
      <c r="F15" s="43"/>
      <c r="G15" s="11"/>
      <c r="H15" s="11"/>
      <c r="I15" s="11"/>
      <c r="J15" s="11"/>
      <c r="K15" s="11"/>
      <c r="L15" s="11"/>
      <c r="M15" s="11"/>
      <c r="N15" s="11"/>
      <c r="O15" s="42"/>
      <c r="P15" s="28"/>
      <c r="Q15" s="16"/>
      <c r="R15" s="16"/>
      <c r="S15" s="19"/>
    </row>
    <row r="16" spans="1:19" s="15" customFormat="1" ht="8.1" customHeight="1">
      <c r="A16" s="18"/>
      <c r="B16" s="19">
        <v>5</v>
      </c>
      <c r="C16" s="20" t="s">
        <v>362</v>
      </c>
      <c r="D16" s="16"/>
      <c r="E16" s="26"/>
      <c r="F16" s="25"/>
      <c r="G16" s="11"/>
      <c r="H16" s="11"/>
      <c r="I16" s="11"/>
      <c r="J16" s="11"/>
      <c r="K16" s="11"/>
      <c r="L16" s="11"/>
      <c r="M16" s="11"/>
      <c r="N16" s="11"/>
      <c r="O16" s="23"/>
      <c r="P16" s="28"/>
      <c r="Q16" s="16"/>
      <c r="R16" s="42" t="s">
        <v>347</v>
      </c>
      <c r="S16" s="19">
        <v>5</v>
      </c>
    </row>
    <row r="17" spans="1:28" s="15" customFormat="1" ht="8.1" customHeight="1">
      <c r="A17" s="18"/>
      <c r="B17" s="19"/>
      <c r="C17" s="21"/>
      <c r="D17" s="43"/>
      <c r="E17" s="26"/>
      <c r="F17" s="26"/>
      <c r="G17" s="11"/>
      <c r="H17" s="11"/>
      <c r="I17" s="11"/>
      <c r="J17" s="11"/>
      <c r="K17" s="11"/>
      <c r="L17" s="11"/>
      <c r="M17" s="11"/>
      <c r="N17" s="11"/>
      <c r="O17" s="28"/>
      <c r="P17" s="28"/>
      <c r="Q17" s="22"/>
      <c r="R17" s="23"/>
      <c r="S17" s="19"/>
    </row>
    <row r="18" spans="1:28" s="15" customFormat="1" ht="8.1" customHeight="1">
      <c r="A18" s="18"/>
      <c r="B18" s="19">
        <v>12</v>
      </c>
      <c r="C18" s="24" t="s">
        <v>308</v>
      </c>
      <c r="D18" s="25"/>
      <c r="E18" s="26"/>
      <c r="F18" s="26"/>
      <c r="G18" s="11"/>
      <c r="H18" s="11"/>
      <c r="I18" s="11"/>
      <c r="J18" s="11"/>
      <c r="K18" s="11"/>
      <c r="L18" s="11"/>
      <c r="M18" s="11"/>
      <c r="N18" s="11"/>
      <c r="O18" s="28"/>
      <c r="P18" s="28"/>
      <c r="Q18" s="23"/>
      <c r="R18" s="43" t="s">
        <v>304</v>
      </c>
      <c r="S18" s="19">
        <v>12</v>
      </c>
    </row>
    <row r="19" spans="1:28" s="15" customFormat="1" ht="8.1" customHeight="1">
      <c r="A19" s="18"/>
      <c r="B19" s="19"/>
      <c r="C19" s="16"/>
      <c r="D19" s="26"/>
      <c r="E19" s="29"/>
      <c r="F19" s="26"/>
      <c r="G19" s="11"/>
      <c r="H19" s="11"/>
      <c r="I19" s="11"/>
      <c r="J19" s="44"/>
      <c r="K19" s="44"/>
      <c r="L19" s="11"/>
      <c r="M19" s="11"/>
      <c r="N19" s="11"/>
      <c r="O19" s="28"/>
      <c r="P19" s="29"/>
      <c r="Q19" s="28"/>
      <c r="R19" s="16"/>
      <c r="S19" s="19"/>
    </row>
    <row r="20" spans="1:28" s="15" customFormat="1" ht="8.1" customHeight="1">
      <c r="A20" s="18"/>
      <c r="B20" s="19">
        <v>4</v>
      </c>
      <c r="C20" s="20" t="s">
        <v>282</v>
      </c>
      <c r="D20" s="26"/>
      <c r="E20" s="16"/>
      <c r="F20" s="26"/>
      <c r="G20" s="11"/>
      <c r="H20" s="11"/>
      <c r="I20" s="11"/>
      <c r="J20" s="44"/>
      <c r="K20" s="44"/>
      <c r="L20" s="11"/>
      <c r="M20" s="11"/>
      <c r="N20" s="11"/>
      <c r="O20" s="28"/>
      <c r="P20" s="16"/>
      <c r="Q20" s="28"/>
      <c r="R20" s="42" t="s">
        <v>348</v>
      </c>
      <c r="S20" s="19">
        <v>4</v>
      </c>
    </row>
    <row r="21" spans="1:28" s="15" customFormat="1" ht="8.1" customHeight="1">
      <c r="A21" s="18"/>
      <c r="B21" s="19"/>
      <c r="C21" s="21"/>
      <c r="D21" s="29"/>
      <c r="E21" s="16"/>
      <c r="F21" s="26"/>
      <c r="G21" s="11"/>
      <c r="H21" s="11"/>
      <c r="I21" s="11"/>
      <c r="J21" s="44"/>
      <c r="K21" s="44"/>
      <c r="L21" s="11"/>
      <c r="M21" s="11"/>
      <c r="N21" s="11"/>
      <c r="O21" s="28"/>
      <c r="P21" s="16"/>
      <c r="Q21" s="29"/>
      <c r="R21" s="23"/>
      <c r="S21" s="19"/>
      <c r="V21" s="86" t="s">
        <v>419</v>
      </c>
      <c r="W21" s="86"/>
      <c r="X21" s="86"/>
    </row>
    <row r="22" spans="1:28" s="15" customFormat="1" ht="8.1" customHeight="1">
      <c r="A22" s="18"/>
      <c r="B22" s="19">
        <v>13</v>
      </c>
      <c r="C22" s="24" t="s">
        <v>296</v>
      </c>
      <c r="D22" s="16"/>
      <c r="E22" s="44"/>
      <c r="F22" s="45"/>
      <c r="G22" s="30"/>
      <c r="H22" s="11"/>
      <c r="I22" s="11"/>
      <c r="J22" s="44"/>
      <c r="K22" s="44"/>
      <c r="L22" s="11"/>
      <c r="M22" s="11"/>
      <c r="N22" s="11"/>
      <c r="O22" s="46"/>
      <c r="P22" s="44"/>
      <c r="Q22" s="16"/>
      <c r="R22" s="43" t="s">
        <v>289</v>
      </c>
      <c r="S22" s="19">
        <v>13</v>
      </c>
      <c r="V22" s="86"/>
      <c r="W22" s="86"/>
      <c r="X22" s="86"/>
    </row>
    <row r="23" spans="1:28" s="15" customFormat="1" ht="8.1" customHeight="1">
      <c r="A23" s="18"/>
      <c r="B23" s="19"/>
      <c r="C23" s="16"/>
      <c r="D23" s="16"/>
      <c r="E23" s="44"/>
      <c r="F23" s="45"/>
      <c r="G23" s="47"/>
      <c r="H23" s="47"/>
      <c r="I23" s="11"/>
      <c r="J23" s="11"/>
      <c r="K23" s="11"/>
      <c r="L23" s="11"/>
      <c r="M23" s="47"/>
      <c r="N23" s="47"/>
      <c r="O23" s="46"/>
      <c r="P23" s="44"/>
      <c r="Q23" s="16"/>
      <c r="R23" s="16"/>
      <c r="S23" s="19"/>
      <c r="V23" s="86"/>
      <c r="W23" s="86"/>
      <c r="X23" s="86"/>
      <c r="Z23" s="81"/>
    </row>
    <row r="24" spans="1:28" s="15" customFormat="1" ht="8.1" customHeight="1">
      <c r="A24" s="18"/>
      <c r="B24" s="19">
        <v>6</v>
      </c>
      <c r="C24" s="20" t="s">
        <v>291</v>
      </c>
      <c r="D24" s="16"/>
      <c r="E24" s="44"/>
      <c r="F24" s="45"/>
      <c r="G24" s="30"/>
      <c r="H24" s="31"/>
      <c r="I24" s="16"/>
      <c r="J24" s="16"/>
      <c r="K24" s="16"/>
      <c r="L24" s="16"/>
      <c r="M24" s="32"/>
      <c r="N24" s="11"/>
      <c r="O24" s="46"/>
      <c r="P24" s="44"/>
      <c r="Q24" s="16"/>
      <c r="R24" s="42" t="s">
        <v>327</v>
      </c>
      <c r="S24" s="19">
        <v>6</v>
      </c>
      <c r="V24" s="86"/>
      <c r="W24" s="86"/>
      <c r="X24" s="86"/>
      <c r="Z24" s="81"/>
    </row>
    <row r="25" spans="1:28" s="15" customFormat="1" ht="8.1" customHeight="1">
      <c r="A25" s="18"/>
      <c r="B25" s="19"/>
      <c r="C25" s="21"/>
      <c r="D25" s="43"/>
      <c r="E25" s="44"/>
      <c r="F25" s="45"/>
      <c r="G25" s="11"/>
      <c r="H25" s="33"/>
      <c r="I25" s="16"/>
      <c r="J25" s="16"/>
      <c r="K25" s="16"/>
      <c r="L25" s="16"/>
      <c r="M25" s="34"/>
      <c r="N25" s="11"/>
      <c r="O25" s="46"/>
      <c r="P25" s="44"/>
      <c r="Q25" s="22"/>
      <c r="R25" s="23"/>
      <c r="S25" s="19"/>
      <c r="V25" s="86"/>
      <c r="W25" s="86"/>
      <c r="X25" s="86"/>
      <c r="Z25" s="81"/>
    </row>
    <row r="26" spans="1:28" s="15" customFormat="1" ht="8.1" customHeight="1">
      <c r="A26" s="18"/>
      <c r="B26" s="19">
        <v>11</v>
      </c>
      <c r="C26" s="24" t="s">
        <v>276</v>
      </c>
      <c r="D26" s="25"/>
      <c r="E26" s="16"/>
      <c r="F26" s="26"/>
      <c r="G26" s="11"/>
      <c r="H26" s="33"/>
      <c r="I26" s="16"/>
      <c r="J26" s="16"/>
      <c r="K26" s="16"/>
      <c r="L26" s="16"/>
      <c r="M26" s="34"/>
      <c r="N26" s="11"/>
      <c r="O26" s="35"/>
      <c r="P26" s="16"/>
      <c r="Q26" s="23"/>
      <c r="R26" s="43" t="s">
        <v>290</v>
      </c>
      <c r="S26" s="19">
        <v>11</v>
      </c>
      <c r="V26" s="86"/>
      <c r="W26" s="86"/>
      <c r="X26" s="86"/>
      <c r="Z26" s="81"/>
    </row>
    <row r="27" spans="1:28" s="15" customFormat="1" ht="8.1" customHeight="1">
      <c r="A27" s="18"/>
      <c r="B27" s="19"/>
      <c r="C27" s="16"/>
      <c r="D27" s="26"/>
      <c r="E27" s="43"/>
      <c r="F27" s="26"/>
      <c r="G27" s="11"/>
      <c r="H27" s="33"/>
      <c r="I27" s="16"/>
      <c r="J27" s="16"/>
      <c r="K27" s="16"/>
      <c r="L27" s="16"/>
      <c r="M27" s="34"/>
      <c r="N27" s="11"/>
      <c r="O27" s="28"/>
      <c r="P27" s="24"/>
      <c r="Q27" s="28"/>
      <c r="R27" s="16"/>
      <c r="S27" s="19"/>
      <c r="V27" s="86"/>
      <c r="W27" s="86"/>
      <c r="X27" s="86"/>
      <c r="Z27" s="81"/>
    </row>
    <row r="28" spans="1:28" s="15" customFormat="1" ht="8.1" customHeight="1">
      <c r="A28" s="18"/>
      <c r="B28" s="19">
        <v>3</v>
      </c>
      <c r="C28" s="20" t="s">
        <v>329</v>
      </c>
      <c r="D28" s="26"/>
      <c r="E28" s="21"/>
      <c r="F28" s="26"/>
      <c r="G28" s="11"/>
      <c r="H28" s="33"/>
      <c r="I28" s="16"/>
      <c r="J28" s="16"/>
      <c r="K28" s="16"/>
      <c r="L28" s="16"/>
      <c r="M28" s="34"/>
      <c r="N28" s="11"/>
      <c r="O28" s="28"/>
      <c r="P28" s="23"/>
      <c r="Q28" s="28"/>
      <c r="R28" s="42" t="s">
        <v>340</v>
      </c>
      <c r="S28" s="19">
        <v>3</v>
      </c>
      <c r="V28" s="86"/>
      <c r="W28" s="86"/>
      <c r="X28" s="86"/>
      <c r="Z28" s="81"/>
    </row>
    <row r="29" spans="1:28" s="15" customFormat="1" ht="8.1" customHeight="1">
      <c r="A29" s="18"/>
      <c r="B29" s="19"/>
      <c r="C29" s="21"/>
      <c r="D29" s="29"/>
      <c r="E29" s="26"/>
      <c r="F29" s="26"/>
      <c r="G29" s="11"/>
      <c r="H29" s="33"/>
      <c r="I29" s="16"/>
      <c r="J29" s="16"/>
      <c r="K29" s="16"/>
      <c r="L29" s="16"/>
      <c r="M29" s="34"/>
      <c r="N29" s="11"/>
      <c r="O29" s="28"/>
      <c r="P29" s="28"/>
      <c r="Q29" s="29"/>
      <c r="R29" s="23"/>
      <c r="S29" s="19"/>
      <c r="Z29" s="81"/>
    </row>
    <row r="30" spans="1:28" s="15" customFormat="1" ht="8.1" customHeight="1">
      <c r="A30" s="18"/>
      <c r="B30" s="19">
        <v>14</v>
      </c>
      <c r="C30" s="24" t="s">
        <v>325</v>
      </c>
      <c r="D30" s="16"/>
      <c r="E30" s="26"/>
      <c r="F30" s="26"/>
      <c r="G30" s="11"/>
      <c r="H30" s="33"/>
      <c r="I30" s="49"/>
      <c r="J30" s="47"/>
      <c r="K30" s="16"/>
      <c r="L30" s="16"/>
      <c r="M30" s="34"/>
      <c r="N30" s="11"/>
      <c r="O30" s="28"/>
      <c r="P30" s="28"/>
      <c r="Q30" s="16"/>
      <c r="R30" s="43" t="s">
        <v>307</v>
      </c>
      <c r="S30" s="19">
        <v>14</v>
      </c>
      <c r="Z30" s="81"/>
      <c r="AA30" s="73"/>
      <c r="AB30" s="73"/>
    </row>
    <row r="31" spans="1:28" s="15" customFormat="1" ht="8.1" customHeight="1">
      <c r="A31" s="18"/>
      <c r="B31" s="19"/>
      <c r="C31" s="16"/>
      <c r="D31" s="16"/>
      <c r="E31" s="26"/>
      <c r="F31" s="29"/>
      <c r="G31" s="11"/>
      <c r="H31" s="33"/>
      <c r="I31" s="16"/>
      <c r="J31" s="16"/>
      <c r="K31" s="16"/>
      <c r="L31" s="16"/>
      <c r="M31" s="34"/>
      <c r="N31" s="11"/>
      <c r="O31" s="29"/>
      <c r="P31" s="28"/>
      <c r="Q31" s="16"/>
      <c r="R31" s="16"/>
      <c r="S31" s="19"/>
      <c r="Z31" s="81"/>
      <c r="AA31" s="73"/>
      <c r="AB31" s="73"/>
    </row>
    <row r="32" spans="1:28" s="15" customFormat="1" ht="8.1" customHeight="1">
      <c r="A32" s="18"/>
      <c r="B32" s="19">
        <v>7</v>
      </c>
      <c r="C32" s="20" t="s">
        <v>283</v>
      </c>
      <c r="D32" s="16"/>
      <c r="E32" s="26"/>
      <c r="F32" s="16"/>
      <c r="G32" s="11"/>
      <c r="H32" s="33"/>
      <c r="I32" s="16"/>
      <c r="J32" s="16"/>
      <c r="K32" s="16"/>
      <c r="L32" s="16"/>
      <c r="M32" s="34"/>
      <c r="N32" s="11"/>
      <c r="O32" s="16"/>
      <c r="P32" s="28"/>
      <c r="Q32" s="16"/>
      <c r="R32" s="42" t="s">
        <v>288</v>
      </c>
      <c r="S32" s="19">
        <v>7</v>
      </c>
      <c r="Z32" s="81"/>
      <c r="AA32" s="73"/>
      <c r="AB32" s="73"/>
    </row>
    <row r="33" spans="1:26" s="15" customFormat="1" ht="8.1" customHeight="1">
      <c r="A33" s="18"/>
      <c r="B33" s="19"/>
      <c r="C33" s="21"/>
      <c r="D33" s="43"/>
      <c r="E33" s="26"/>
      <c r="F33" s="16"/>
      <c r="G33" s="11"/>
      <c r="H33" s="33"/>
      <c r="I33" s="16"/>
      <c r="J33" s="16"/>
      <c r="K33" s="16"/>
      <c r="L33" s="16"/>
      <c r="M33" s="34"/>
      <c r="N33" s="11"/>
      <c r="O33" s="16"/>
      <c r="P33" s="28"/>
      <c r="Q33" s="22"/>
      <c r="R33" s="23"/>
      <c r="S33" s="19"/>
      <c r="Z33" s="81"/>
    </row>
    <row r="34" spans="1:26" s="15" customFormat="1" ht="8.1" customHeight="1">
      <c r="A34" s="18"/>
      <c r="B34" s="19">
        <v>10</v>
      </c>
      <c r="C34" s="24" t="s">
        <v>374</v>
      </c>
      <c r="D34" s="25"/>
      <c r="E34" s="26"/>
      <c r="F34" s="16"/>
      <c r="G34" s="11"/>
      <c r="H34" s="33"/>
      <c r="I34" s="16"/>
      <c r="J34" s="16"/>
      <c r="K34" s="16"/>
      <c r="L34" s="16"/>
      <c r="M34" s="34"/>
      <c r="N34" s="11"/>
      <c r="O34" s="16"/>
      <c r="P34" s="28"/>
      <c r="Q34" s="23"/>
      <c r="R34" s="43" t="s">
        <v>294</v>
      </c>
      <c r="S34" s="19">
        <v>10</v>
      </c>
    </row>
    <row r="35" spans="1:26" s="15" customFormat="1" ht="8.1" customHeight="1">
      <c r="A35" s="18"/>
      <c r="B35" s="19"/>
      <c r="C35" s="16"/>
      <c r="D35" s="26"/>
      <c r="E35" s="29"/>
      <c r="F35" s="16"/>
      <c r="G35" s="11"/>
      <c r="H35" s="33"/>
      <c r="I35" s="16"/>
      <c r="J35" s="16"/>
      <c r="K35" s="16"/>
      <c r="L35" s="16"/>
      <c r="M35" s="34"/>
      <c r="N35" s="11"/>
      <c r="O35" s="16"/>
      <c r="P35" s="29"/>
      <c r="Q35" s="28"/>
      <c r="R35" s="16"/>
      <c r="S35" s="19"/>
    </row>
    <row r="36" spans="1:26" s="15" customFormat="1" ht="8.1" customHeight="1">
      <c r="A36" s="18"/>
      <c r="B36" s="19">
        <v>2</v>
      </c>
      <c r="C36" s="20" t="s">
        <v>298</v>
      </c>
      <c r="D36" s="26"/>
      <c r="E36" s="11"/>
      <c r="F36" s="11"/>
      <c r="G36" s="11"/>
      <c r="H36" s="33"/>
      <c r="I36" s="11"/>
      <c r="J36" s="11"/>
      <c r="K36" s="11"/>
      <c r="L36" s="11"/>
      <c r="M36" s="34"/>
      <c r="N36" s="11"/>
      <c r="O36" s="11"/>
      <c r="P36" s="11"/>
      <c r="Q36" s="28"/>
      <c r="R36" s="42" t="s">
        <v>314</v>
      </c>
      <c r="S36" s="19">
        <v>2</v>
      </c>
    </row>
    <row r="37" spans="1:26" s="15" customFormat="1" ht="8.1" customHeight="1">
      <c r="A37" s="18"/>
      <c r="B37" s="19"/>
      <c r="C37" s="21"/>
      <c r="D37" s="29"/>
      <c r="E37" s="11"/>
      <c r="F37" s="44"/>
      <c r="G37" s="44"/>
      <c r="H37" s="45"/>
      <c r="I37" s="11"/>
      <c r="J37" s="52"/>
      <c r="K37" s="53"/>
      <c r="L37" s="11"/>
      <c r="M37" s="46"/>
      <c r="N37" s="44"/>
      <c r="O37" s="44"/>
      <c r="P37" s="11"/>
      <c r="Q37" s="29"/>
      <c r="R37" s="23"/>
      <c r="S37" s="19"/>
    </row>
    <row r="38" spans="1:26" s="15" customFormat="1" ht="8.1" customHeight="1">
      <c r="A38" s="18"/>
      <c r="B38" s="19">
        <v>15</v>
      </c>
      <c r="C38" s="24" t="s">
        <v>287</v>
      </c>
      <c r="D38" s="16"/>
      <c r="E38" s="11"/>
      <c r="F38" s="44"/>
      <c r="G38" s="44"/>
      <c r="H38" s="45"/>
      <c r="I38" s="11"/>
      <c r="J38" s="54"/>
      <c r="K38" s="55"/>
      <c r="L38" s="11"/>
      <c r="M38" s="46"/>
      <c r="N38" s="44"/>
      <c r="O38" s="44"/>
      <c r="P38" s="11"/>
      <c r="Q38" s="16"/>
      <c r="R38" s="43" t="s">
        <v>279</v>
      </c>
      <c r="S38" s="19">
        <v>15</v>
      </c>
    </row>
    <row r="39" spans="1:26" s="15" customFormat="1" ht="8.1" customHeight="1">
      <c r="A39" s="18"/>
      <c r="B39" s="19"/>
      <c r="C39" s="16"/>
      <c r="D39" s="16"/>
      <c r="E39" s="11"/>
      <c r="F39" s="44"/>
      <c r="G39" s="44"/>
      <c r="H39" s="45"/>
      <c r="I39" s="11"/>
      <c r="J39" s="54"/>
      <c r="K39" s="55"/>
      <c r="L39" s="11"/>
      <c r="M39" s="46"/>
      <c r="N39" s="44"/>
      <c r="O39" s="44"/>
      <c r="P39" s="11"/>
      <c r="Q39" s="16"/>
      <c r="R39" s="16"/>
      <c r="S39" s="19"/>
    </row>
    <row r="40" spans="1:26" s="15" customFormat="1" ht="8.1" customHeight="1">
      <c r="A40" s="18"/>
      <c r="B40" s="19">
        <v>1</v>
      </c>
      <c r="C40" s="20" t="s">
        <v>377</v>
      </c>
      <c r="D40" s="16"/>
      <c r="E40" s="11"/>
      <c r="F40" s="44"/>
      <c r="G40" s="44"/>
      <c r="H40" s="45"/>
      <c r="I40" s="11"/>
      <c r="J40" s="54"/>
      <c r="K40" s="55"/>
      <c r="L40" s="11"/>
      <c r="M40" s="46"/>
      <c r="N40" s="44"/>
      <c r="O40" s="44"/>
      <c r="P40" s="11"/>
      <c r="Q40" s="16"/>
      <c r="R40" s="42" t="s">
        <v>342</v>
      </c>
      <c r="S40" s="19">
        <v>1</v>
      </c>
    </row>
    <row r="41" spans="1:26" s="15" customFormat="1" ht="8.1" customHeight="1">
      <c r="A41" s="18"/>
      <c r="B41" s="19"/>
      <c r="C41" s="21"/>
      <c r="D41" s="43"/>
      <c r="E41" s="11"/>
      <c r="F41" s="44"/>
      <c r="G41" s="44"/>
      <c r="H41" s="45"/>
      <c r="I41" s="11"/>
      <c r="J41" s="54"/>
      <c r="K41" s="55"/>
      <c r="L41" s="11"/>
      <c r="M41" s="46"/>
      <c r="N41" s="44"/>
      <c r="O41" s="44"/>
      <c r="P41" s="11"/>
      <c r="Q41" s="22"/>
      <c r="R41" s="23"/>
      <c r="S41" s="19"/>
    </row>
    <row r="42" spans="1:26" s="15" customFormat="1" ht="8.1" customHeight="1">
      <c r="A42" s="18"/>
      <c r="B42" s="19">
        <v>16</v>
      </c>
      <c r="C42" s="24" t="s">
        <v>301</v>
      </c>
      <c r="D42" s="25"/>
      <c r="E42" s="11"/>
      <c r="F42" s="44"/>
      <c r="G42" s="44"/>
      <c r="H42" s="45"/>
      <c r="I42" s="11"/>
      <c r="J42" s="56"/>
      <c r="K42" s="57"/>
      <c r="L42" s="11"/>
      <c r="M42" s="46"/>
      <c r="N42" s="44"/>
      <c r="O42" s="44"/>
      <c r="P42" s="11"/>
      <c r="Q42" s="23"/>
      <c r="R42" s="43" t="s">
        <v>295</v>
      </c>
      <c r="S42" s="19">
        <v>16</v>
      </c>
    </row>
    <row r="43" spans="1:26" s="15" customFormat="1" ht="8.1" customHeight="1">
      <c r="A43" s="18"/>
      <c r="B43" s="19"/>
      <c r="C43" s="16"/>
      <c r="D43" s="26"/>
      <c r="E43" s="43"/>
      <c r="F43" s="16"/>
      <c r="G43" s="11"/>
      <c r="H43" s="36"/>
      <c r="I43" s="11"/>
      <c r="J43" s="37"/>
      <c r="K43" s="37"/>
      <c r="L43" s="11"/>
      <c r="M43" s="34"/>
      <c r="N43" s="11"/>
      <c r="O43" s="16"/>
      <c r="P43" s="24"/>
      <c r="Q43" s="28"/>
      <c r="R43" s="16"/>
      <c r="S43" s="19"/>
    </row>
    <row r="44" spans="1:26" s="15" customFormat="1" ht="8.1" customHeight="1">
      <c r="A44" s="18"/>
      <c r="B44" s="19">
        <v>8</v>
      </c>
      <c r="C44" s="20" t="s">
        <v>300</v>
      </c>
      <c r="D44" s="26"/>
      <c r="E44" s="21"/>
      <c r="F44" s="16"/>
      <c r="G44" s="11"/>
      <c r="H44" s="33"/>
      <c r="I44" s="11"/>
      <c r="J44" s="37"/>
      <c r="K44" s="37"/>
      <c r="L44" s="11"/>
      <c r="M44" s="34"/>
      <c r="N44" s="11"/>
      <c r="O44" s="16"/>
      <c r="P44" s="23"/>
      <c r="Q44" s="28"/>
      <c r="R44" s="42" t="s">
        <v>312</v>
      </c>
      <c r="S44" s="19">
        <v>8</v>
      </c>
    </row>
    <row r="45" spans="1:26" s="15" customFormat="1" ht="8.1" customHeight="1">
      <c r="A45" s="18"/>
      <c r="B45" s="19"/>
      <c r="C45" s="21"/>
      <c r="D45" s="29"/>
      <c r="E45" s="26"/>
      <c r="F45" s="16"/>
      <c r="G45" s="11"/>
      <c r="H45" s="33"/>
      <c r="I45" s="11"/>
      <c r="J45" s="37"/>
      <c r="K45" s="37"/>
      <c r="L45" s="11"/>
      <c r="M45" s="34"/>
      <c r="N45" s="11"/>
      <c r="O45" s="16"/>
      <c r="P45" s="28"/>
      <c r="Q45" s="29"/>
      <c r="R45" s="23"/>
      <c r="S45" s="19"/>
    </row>
    <row r="46" spans="1:26" s="15" customFormat="1" ht="8.1" customHeight="1">
      <c r="A46" s="18"/>
      <c r="B46" s="19">
        <v>9</v>
      </c>
      <c r="C46" s="24" t="s">
        <v>292</v>
      </c>
      <c r="D46" s="16"/>
      <c r="E46" s="26"/>
      <c r="F46" s="16"/>
      <c r="G46" s="11"/>
      <c r="H46" s="33"/>
      <c r="I46" s="11"/>
      <c r="J46" s="37"/>
      <c r="K46" s="37"/>
      <c r="L46" s="11"/>
      <c r="M46" s="34"/>
      <c r="N46" s="11"/>
      <c r="O46" s="16"/>
      <c r="P46" s="28"/>
      <c r="Q46" s="16"/>
      <c r="R46" s="43" t="s">
        <v>328</v>
      </c>
      <c r="S46" s="19">
        <v>9</v>
      </c>
    </row>
    <row r="47" spans="1:26" s="15" customFormat="1" ht="8.1" customHeight="1">
      <c r="A47" s="18"/>
      <c r="B47" s="19"/>
      <c r="C47" s="16"/>
      <c r="D47" s="16"/>
      <c r="E47" s="26"/>
      <c r="F47" s="43"/>
      <c r="G47" s="11"/>
      <c r="H47" s="33"/>
      <c r="I47" s="11"/>
      <c r="J47" s="37"/>
      <c r="K47" s="37"/>
      <c r="L47" s="11"/>
      <c r="M47" s="34"/>
      <c r="N47" s="11"/>
      <c r="O47" s="24"/>
      <c r="P47" s="28"/>
      <c r="Q47" s="16"/>
      <c r="R47" s="16"/>
      <c r="S47" s="19"/>
    </row>
    <row r="48" spans="1:26" s="15" customFormat="1" ht="8.1" customHeight="1">
      <c r="A48" s="18"/>
      <c r="B48" s="19">
        <v>5</v>
      </c>
      <c r="C48" s="20" t="s">
        <v>354</v>
      </c>
      <c r="D48" s="16"/>
      <c r="E48" s="26"/>
      <c r="F48" s="21"/>
      <c r="G48" s="11"/>
      <c r="H48" s="33"/>
      <c r="I48" s="11"/>
      <c r="J48" s="37"/>
      <c r="K48" s="51"/>
      <c r="L48" s="47"/>
      <c r="M48" s="34"/>
      <c r="N48" s="11"/>
      <c r="O48" s="23"/>
      <c r="P48" s="28"/>
      <c r="Q48" s="16"/>
      <c r="R48" s="42" t="s">
        <v>275</v>
      </c>
      <c r="S48" s="19">
        <v>5</v>
      </c>
    </row>
    <row r="49" spans="1:19" s="15" customFormat="1" ht="8.1" customHeight="1">
      <c r="A49" s="18"/>
      <c r="B49" s="19"/>
      <c r="C49" s="21"/>
      <c r="D49" s="43"/>
      <c r="E49" s="26"/>
      <c r="F49" s="26"/>
      <c r="G49" s="11"/>
      <c r="H49" s="33"/>
      <c r="I49" s="11"/>
      <c r="J49" s="37"/>
      <c r="K49" s="50"/>
      <c r="L49" s="11"/>
      <c r="M49" s="34"/>
      <c r="N49" s="11"/>
      <c r="O49" s="28"/>
      <c r="P49" s="28"/>
      <c r="Q49" s="22"/>
      <c r="R49" s="23"/>
      <c r="S49" s="19"/>
    </row>
    <row r="50" spans="1:19" s="15" customFormat="1" ht="8.1" customHeight="1">
      <c r="A50" s="18"/>
      <c r="B50" s="19">
        <v>12</v>
      </c>
      <c r="C50" s="24" t="s">
        <v>297</v>
      </c>
      <c r="D50" s="25"/>
      <c r="E50" s="26"/>
      <c r="F50" s="26"/>
      <c r="G50" s="11"/>
      <c r="H50" s="33"/>
      <c r="I50" s="11"/>
      <c r="J50" s="37"/>
      <c r="K50" s="37"/>
      <c r="L50" s="11"/>
      <c r="M50" s="34"/>
      <c r="N50" s="11"/>
      <c r="O50" s="28"/>
      <c r="P50" s="28"/>
      <c r="Q50" s="23"/>
      <c r="R50" s="43" t="s">
        <v>316</v>
      </c>
      <c r="S50" s="19">
        <v>12</v>
      </c>
    </row>
    <row r="51" spans="1:19" s="15" customFormat="1" ht="8.1" customHeight="1">
      <c r="A51" s="18"/>
      <c r="B51" s="19"/>
      <c r="C51" s="16"/>
      <c r="D51" s="26"/>
      <c r="E51" s="29"/>
      <c r="F51" s="26"/>
      <c r="G51" s="11"/>
      <c r="H51" s="33"/>
      <c r="I51" s="11"/>
      <c r="J51" s="37"/>
      <c r="K51" s="37"/>
      <c r="L51" s="11"/>
      <c r="M51" s="34"/>
      <c r="N51" s="11"/>
      <c r="O51" s="28"/>
      <c r="P51" s="29"/>
      <c r="Q51" s="28"/>
      <c r="R51" s="16"/>
      <c r="S51" s="19"/>
    </row>
    <row r="52" spans="1:19" s="15" customFormat="1" ht="8.1" customHeight="1">
      <c r="A52" s="18"/>
      <c r="B52" s="19">
        <v>4</v>
      </c>
      <c r="C52" s="20" t="s">
        <v>313</v>
      </c>
      <c r="D52" s="26"/>
      <c r="E52" s="16"/>
      <c r="F52" s="26"/>
      <c r="G52" s="11"/>
      <c r="H52" s="33"/>
      <c r="I52" s="11"/>
      <c r="J52" s="37"/>
      <c r="K52" s="37"/>
      <c r="L52" s="11"/>
      <c r="M52" s="34"/>
      <c r="N52" s="11"/>
      <c r="O52" s="28"/>
      <c r="P52" s="16"/>
      <c r="Q52" s="28"/>
      <c r="R52" s="42" t="s">
        <v>315</v>
      </c>
      <c r="S52" s="19">
        <v>4</v>
      </c>
    </row>
    <row r="53" spans="1:19" s="15" customFormat="1" ht="8.1" customHeight="1">
      <c r="A53" s="18"/>
      <c r="B53" s="19"/>
      <c r="C53" s="21"/>
      <c r="D53" s="29"/>
      <c r="E53" s="16"/>
      <c r="F53" s="26"/>
      <c r="G53" s="11"/>
      <c r="H53" s="33"/>
      <c r="I53" s="11"/>
      <c r="J53" s="37"/>
      <c r="K53" s="37"/>
      <c r="L53" s="11"/>
      <c r="M53" s="34"/>
      <c r="N53" s="11"/>
      <c r="O53" s="28"/>
      <c r="P53" s="16"/>
      <c r="Q53" s="29"/>
      <c r="R53" s="23"/>
      <c r="S53" s="19"/>
    </row>
    <row r="54" spans="1:19" s="15" customFormat="1" ht="8.1" customHeight="1">
      <c r="A54" s="18"/>
      <c r="B54" s="19">
        <v>13</v>
      </c>
      <c r="C54" s="24" t="s">
        <v>293</v>
      </c>
      <c r="D54" s="16"/>
      <c r="E54" s="44"/>
      <c r="F54" s="45"/>
      <c r="G54" s="30"/>
      <c r="H54" s="33"/>
      <c r="I54" s="11"/>
      <c r="J54" s="38"/>
      <c r="K54" s="38"/>
      <c r="L54" s="11"/>
      <c r="M54" s="34"/>
      <c r="N54" s="11"/>
      <c r="O54" s="46"/>
      <c r="P54" s="44"/>
      <c r="Q54" s="16"/>
      <c r="R54" s="43" t="s">
        <v>281</v>
      </c>
      <c r="S54" s="19">
        <v>13</v>
      </c>
    </row>
    <row r="55" spans="1:19" s="15" customFormat="1" ht="8.1" customHeight="1">
      <c r="A55" s="18"/>
      <c r="B55" s="19"/>
      <c r="C55" s="16"/>
      <c r="D55" s="16"/>
      <c r="E55" s="44"/>
      <c r="F55" s="45"/>
      <c r="G55" s="47"/>
      <c r="H55" s="48"/>
      <c r="I55" s="11"/>
      <c r="J55" s="38"/>
      <c r="K55" s="38"/>
      <c r="L55" s="11"/>
      <c r="M55" s="49"/>
      <c r="N55" s="47"/>
      <c r="O55" s="46"/>
      <c r="P55" s="44"/>
      <c r="Q55" s="16"/>
      <c r="R55" s="16"/>
      <c r="S55" s="19"/>
    </row>
    <row r="56" spans="1:19" s="15" customFormat="1" ht="8.1" customHeight="1">
      <c r="A56" s="18"/>
      <c r="B56" s="19">
        <v>6</v>
      </c>
      <c r="C56" s="20" t="s">
        <v>324</v>
      </c>
      <c r="D56" s="16"/>
      <c r="E56" s="44"/>
      <c r="F56" s="45"/>
      <c r="G56" s="30"/>
      <c r="H56" s="11"/>
      <c r="I56" s="11"/>
      <c r="J56" s="38"/>
      <c r="K56" s="38"/>
      <c r="L56" s="11"/>
      <c r="M56" s="11"/>
      <c r="N56" s="11"/>
      <c r="O56" s="46"/>
      <c r="P56" s="44"/>
      <c r="Q56" s="16"/>
      <c r="R56" s="42" t="s">
        <v>284</v>
      </c>
      <c r="S56" s="19">
        <v>6</v>
      </c>
    </row>
    <row r="57" spans="1:19" s="15" customFormat="1" ht="8.1" customHeight="1">
      <c r="A57" s="18"/>
      <c r="B57" s="19"/>
      <c r="C57" s="21"/>
      <c r="D57" s="43"/>
      <c r="E57" s="44"/>
      <c r="F57" s="45"/>
      <c r="G57" s="11"/>
      <c r="H57" s="11"/>
      <c r="I57" s="11"/>
      <c r="J57" s="38"/>
      <c r="K57" s="38"/>
      <c r="L57" s="11"/>
      <c r="M57" s="11"/>
      <c r="N57" s="11"/>
      <c r="O57" s="46"/>
      <c r="P57" s="44"/>
      <c r="Q57" s="22"/>
      <c r="R57" s="23"/>
      <c r="S57" s="19"/>
    </row>
    <row r="58" spans="1:19" s="15" customFormat="1" ht="8.1" customHeight="1">
      <c r="A58" s="18"/>
      <c r="B58" s="19">
        <v>11</v>
      </c>
      <c r="C58" s="24" t="s">
        <v>273</v>
      </c>
      <c r="D58" s="25"/>
      <c r="E58" s="16"/>
      <c r="F58" s="26"/>
      <c r="G58" s="11"/>
      <c r="H58" s="11"/>
      <c r="I58" s="11"/>
      <c r="J58" s="11"/>
      <c r="K58" s="11"/>
      <c r="L58" s="11"/>
      <c r="M58" s="11"/>
      <c r="N58" s="11"/>
      <c r="O58" s="28"/>
      <c r="P58" s="16"/>
      <c r="Q58" s="23"/>
      <c r="R58" s="43" t="s">
        <v>302</v>
      </c>
      <c r="S58" s="19">
        <v>11</v>
      </c>
    </row>
    <row r="59" spans="1:19" s="15" customFormat="1" ht="8.1" customHeight="1">
      <c r="A59" s="18"/>
      <c r="B59" s="19"/>
      <c r="C59" s="16"/>
      <c r="D59" s="26"/>
      <c r="E59" s="43"/>
      <c r="F59" s="26"/>
      <c r="G59" s="11"/>
      <c r="H59" s="11"/>
      <c r="I59" s="11"/>
      <c r="J59" s="11"/>
      <c r="K59" s="11"/>
      <c r="L59" s="11"/>
      <c r="M59" s="11"/>
      <c r="N59" s="11"/>
      <c r="O59" s="28"/>
      <c r="P59" s="24"/>
      <c r="Q59" s="28"/>
      <c r="R59" s="16"/>
      <c r="S59" s="19"/>
    </row>
    <row r="60" spans="1:19" s="15" customFormat="1" ht="8.1" customHeight="1">
      <c r="A60" s="18"/>
      <c r="B60" s="19">
        <v>3</v>
      </c>
      <c r="C60" s="20" t="s">
        <v>332</v>
      </c>
      <c r="D60" s="26"/>
      <c r="E60" s="21"/>
      <c r="F60" s="26"/>
      <c r="G60" s="11"/>
      <c r="H60" s="11"/>
      <c r="I60" s="11"/>
      <c r="J60" s="11"/>
      <c r="K60" s="11"/>
      <c r="L60" s="11"/>
      <c r="M60" s="11"/>
      <c r="N60" s="11"/>
      <c r="O60" s="28"/>
      <c r="P60" s="23"/>
      <c r="Q60" s="28"/>
      <c r="R60" s="42" t="s">
        <v>321</v>
      </c>
      <c r="S60" s="19">
        <v>3</v>
      </c>
    </row>
    <row r="61" spans="1:19" s="15" customFormat="1" ht="8.1" customHeight="1">
      <c r="A61" s="18"/>
      <c r="B61" s="19"/>
      <c r="C61" s="21"/>
      <c r="D61" s="29"/>
      <c r="E61" s="26"/>
      <c r="F61" s="26"/>
      <c r="G61" s="11"/>
      <c r="H61" s="11"/>
      <c r="I61" s="11"/>
      <c r="J61" s="11"/>
      <c r="K61" s="11"/>
      <c r="L61" s="11"/>
      <c r="M61" s="11"/>
      <c r="N61" s="11"/>
      <c r="O61" s="28"/>
      <c r="P61" s="28"/>
      <c r="Q61" s="29"/>
      <c r="R61" s="23"/>
      <c r="S61" s="19"/>
    </row>
    <row r="62" spans="1:19" s="15" customFormat="1" ht="8.1" customHeight="1">
      <c r="A62" s="18"/>
      <c r="B62" s="19">
        <v>14</v>
      </c>
      <c r="C62" s="24" t="s">
        <v>309</v>
      </c>
      <c r="D62" s="16"/>
      <c r="E62" s="26"/>
      <c r="F62" s="26"/>
      <c r="G62" s="11"/>
      <c r="H62" s="11"/>
      <c r="I62" s="11"/>
      <c r="J62" s="11"/>
      <c r="K62" s="11"/>
      <c r="L62" s="11"/>
      <c r="M62" s="11"/>
      <c r="N62" s="11"/>
      <c r="O62" s="28"/>
      <c r="P62" s="28"/>
      <c r="Q62" s="16"/>
      <c r="R62" s="43" t="s">
        <v>271</v>
      </c>
      <c r="S62" s="19">
        <v>14</v>
      </c>
    </row>
    <row r="63" spans="1:19" s="15" customFormat="1" ht="8.1" customHeight="1">
      <c r="A63" s="18"/>
      <c r="B63" s="19"/>
      <c r="C63" s="16"/>
      <c r="D63" s="16"/>
      <c r="E63" s="26"/>
      <c r="F63" s="39"/>
      <c r="G63" s="11"/>
      <c r="H63" s="11"/>
      <c r="I63" s="11"/>
      <c r="J63" s="11"/>
      <c r="K63" s="11"/>
      <c r="L63" s="11"/>
      <c r="M63" s="11"/>
      <c r="N63" s="11"/>
      <c r="O63" s="29"/>
      <c r="P63" s="28"/>
      <c r="Q63" s="16"/>
      <c r="R63" s="16"/>
      <c r="S63" s="19"/>
    </row>
    <row r="64" spans="1:19" s="15" customFormat="1" ht="8.1" customHeight="1">
      <c r="A64" s="18"/>
      <c r="B64" s="19">
        <v>7</v>
      </c>
      <c r="C64" s="20" t="s">
        <v>272</v>
      </c>
      <c r="D64" s="16"/>
      <c r="E64" s="26"/>
      <c r="F64" s="16"/>
      <c r="G64" s="11"/>
      <c r="H64" s="11"/>
      <c r="I64" s="11"/>
      <c r="J64" s="11"/>
      <c r="K64" s="11"/>
      <c r="L64" s="11"/>
      <c r="M64" s="11"/>
      <c r="N64" s="11"/>
      <c r="O64" s="16"/>
      <c r="P64" s="28"/>
      <c r="Q64" s="16"/>
      <c r="R64" s="42" t="s">
        <v>299</v>
      </c>
      <c r="S64" s="19">
        <v>7</v>
      </c>
    </row>
    <row r="65" spans="1:19" s="15" customFormat="1" ht="8.1" customHeight="1">
      <c r="A65" s="18"/>
      <c r="B65" s="19"/>
      <c r="C65" s="21"/>
      <c r="D65" s="43"/>
      <c r="E65" s="26"/>
      <c r="F65" s="16"/>
      <c r="G65" s="11"/>
      <c r="H65" s="11"/>
      <c r="I65" s="11"/>
      <c r="J65" s="11"/>
      <c r="K65" s="11"/>
      <c r="L65" s="11"/>
      <c r="M65" s="11"/>
      <c r="N65" s="11"/>
      <c r="O65" s="16"/>
      <c r="P65" s="28"/>
      <c r="Q65" s="22"/>
      <c r="R65" s="23"/>
      <c r="S65" s="19"/>
    </row>
    <row r="66" spans="1:19" s="15" customFormat="1" ht="8.1" customHeight="1">
      <c r="A66" s="18"/>
      <c r="B66" s="19">
        <v>10</v>
      </c>
      <c r="C66" s="24" t="s">
        <v>326</v>
      </c>
      <c r="D66" s="25"/>
      <c r="E66" s="26"/>
      <c r="F66" s="16"/>
      <c r="G66" s="11"/>
      <c r="H66" s="11"/>
      <c r="I66" s="11"/>
      <c r="J66" s="11"/>
      <c r="K66" s="11"/>
      <c r="L66" s="11"/>
      <c r="M66" s="11"/>
      <c r="N66" s="11"/>
      <c r="O66" s="16"/>
      <c r="P66" s="28"/>
      <c r="Q66" s="23"/>
      <c r="R66" s="43" t="s">
        <v>285</v>
      </c>
      <c r="S66" s="19">
        <v>10</v>
      </c>
    </row>
    <row r="67" spans="1:19" s="15" customFormat="1" ht="8.1" customHeight="1">
      <c r="A67" s="18"/>
      <c r="B67" s="19"/>
      <c r="C67" s="16"/>
      <c r="D67" s="26"/>
      <c r="E67" s="29"/>
      <c r="F67" s="16"/>
      <c r="G67" s="11"/>
      <c r="H67" s="11"/>
      <c r="I67" s="11"/>
      <c r="J67" s="11"/>
      <c r="K67" s="11"/>
      <c r="L67" s="11"/>
      <c r="M67" s="11"/>
      <c r="N67" s="11"/>
      <c r="O67" s="16"/>
      <c r="P67" s="29"/>
      <c r="Q67" s="28"/>
      <c r="R67" s="16"/>
      <c r="S67" s="19"/>
    </row>
    <row r="68" spans="1:19" s="15" customFormat="1" ht="8.1" customHeight="1">
      <c r="A68" s="18"/>
      <c r="B68" s="19">
        <v>2</v>
      </c>
      <c r="C68" s="20" t="s">
        <v>310</v>
      </c>
      <c r="D68" s="26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28"/>
      <c r="R68" s="42" t="s">
        <v>335</v>
      </c>
      <c r="S68" s="19">
        <v>2</v>
      </c>
    </row>
    <row r="69" spans="1:19" s="15" customFormat="1" ht="8.1" customHeight="1">
      <c r="A69" s="18"/>
      <c r="B69" s="19"/>
      <c r="C69" s="21"/>
      <c r="D69" s="29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29"/>
      <c r="R69" s="23"/>
      <c r="S69" s="19"/>
    </row>
    <row r="70" spans="1:19" s="15" customFormat="1" ht="8.1" customHeight="1">
      <c r="A70" s="18"/>
      <c r="B70" s="19">
        <v>15</v>
      </c>
      <c r="C70" s="24" t="s">
        <v>274</v>
      </c>
      <c r="D70" s="16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6"/>
      <c r="R70" s="43" t="s">
        <v>286</v>
      </c>
      <c r="S70" s="19">
        <v>15</v>
      </c>
    </row>
    <row r="71" spans="1:19" ht="8.1" customHeight="1">
      <c r="B71" s="40"/>
      <c r="S71" s="41"/>
    </row>
  </sheetData>
  <sheetProtection selectLockedCells="1"/>
  <mergeCells count="8">
    <mergeCell ref="Z23:Z33"/>
    <mergeCell ref="B2:S2"/>
    <mergeCell ref="E3:F3"/>
    <mergeCell ref="J3:K3"/>
    <mergeCell ref="O3:P3"/>
    <mergeCell ref="J4:K4"/>
    <mergeCell ref="J6:K6"/>
    <mergeCell ref="V21:X28"/>
  </mergeCells>
  <printOptions horizontalCentered="1" verticalCentered="1"/>
  <pageMargins left="0.35" right="0.35" top="0.35" bottom="0.35" header="0.6" footer="0.6"/>
  <pageSetup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Module1.Vlookup">
                <anchor moveWithCells="1" sizeWithCells="1">
                  <from>
                    <xdr:col>21</xdr:col>
                    <xdr:colOff>114300</xdr:colOff>
                    <xdr:row>2</xdr:row>
                    <xdr:rowOff>0</xdr:rowOff>
                  </from>
                  <to>
                    <xdr:col>23</xdr:col>
                    <xdr:colOff>85725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Reset">
                <anchor moveWithCells="1" sizeWithCells="1">
                  <from>
                    <xdr:col>21</xdr:col>
                    <xdr:colOff>276225</xdr:colOff>
                    <xdr:row>8</xdr:row>
                    <xdr:rowOff>57150</xdr:rowOff>
                  </from>
                  <to>
                    <xdr:col>22</xdr:col>
                    <xdr:colOff>609600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265EC-6E9A-3E49-BF0C-205E3F6BD772}">
  <sheetPr codeName="Sheet27"/>
  <dimension ref="A1:AP47"/>
  <sheetViews>
    <sheetView zoomScale="86" zoomScaleNormal="60" workbookViewId="0">
      <selection activeCell="G37" sqref="G37"/>
    </sheetView>
  </sheetViews>
  <sheetFormatPr defaultColWidth="11.42578125" defaultRowHeight="15"/>
  <sheetData>
    <row r="1" spans="1:42">
      <c r="A1">
        <v>1</v>
      </c>
      <c r="D1" t="b">
        <v>0</v>
      </c>
      <c r="E1" t="b">
        <v>0</v>
      </c>
      <c r="F1" t="b">
        <v>0</v>
      </c>
      <c r="G1" t="b">
        <v>0</v>
      </c>
    </row>
    <row r="2" spans="1:42">
      <c r="A2">
        <v>1</v>
      </c>
    </row>
    <row r="6" spans="1:42">
      <c r="A6" t="s">
        <v>399</v>
      </c>
      <c r="W6" t="s">
        <v>401</v>
      </c>
    </row>
    <row r="7" spans="1:42">
      <c r="A7" s="58" t="s">
        <v>1</v>
      </c>
      <c r="B7" s="58" t="s">
        <v>2</v>
      </c>
      <c r="C7" s="58" t="s">
        <v>3</v>
      </c>
      <c r="D7" s="58" t="s">
        <v>4</v>
      </c>
      <c r="E7" s="58" t="s">
        <v>5</v>
      </c>
      <c r="F7" s="58" t="s">
        <v>6</v>
      </c>
      <c r="G7" s="58" t="s">
        <v>7</v>
      </c>
      <c r="H7" s="58" t="s">
        <v>8</v>
      </c>
      <c r="I7" s="58" t="s">
        <v>9</v>
      </c>
      <c r="J7" s="58" t="s">
        <v>10</v>
      </c>
      <c r="K7" s="58" t="s">
        <v>11</v>
      </c>
      <c r="L7" s="58" t="s">
        <v>12</v>
      </c>
      <c r="M7" s="58" t="s">
        <v>13</v>
      </c>
      <c r="N7" s="58" t="s">
        <v>14</v>
      </c>
      <c r="O7" s="58" t="s">
        <v>15</v>
      </c>
      <c r="P7" s="59" t="s">
        <v>16</v>
      </c>
      <c r="Q7" s="60" t="s">
        <v>396</v>
      </c>
      <c r="R7" s="60" t="s">
        <v>397</v>
      </c>
      <c r="S7" s="60" t="s">
        <v>398</v>
      </c>
      <c r="W7" s="58"/>
      <c r="X7" s="58" t="s">
        <v>1</v>
      </c>
      <c r="Y7" s="58" t="s">
        <v>2</v>
      </c>
      <c r="Z7" s="58" t="s">
        <v>3</v>
      </c>
      <c r="AA7" s="58" t="s">
        <v>4</v>
      </c>
      <c r="AB7" s="58" t="s">
        <v>5</v>
      </c>
      <c r="AC7" s="58" t="s">
        <v>6</v>
      </c>
      <c r="AD7" s="58" t="s">
        <v>7</v>
      </c>
      <c r="AE7" s="58" t="s">
        <v>8</v>
      </c>
      <c r="AF7" s="58" t="s">
        <v>9</v>
      </c>
      <c r="AG7" s="58" t="s">
        <v>10</v>
      </c>
      <c r="AH7" s="58" t="s">
        <v>11</v>
      </c>
      <c r="AI7" s="58" t="s">
        <v>12</v>
      </c>
      <c r="AJ7" s="58" t="s">
        <v>13</v>
      </c>
      <c r="AK7" s="58" t="s">
        <v>14</v>
      </c>
      <c r="AL7" s="58" t="s">
        <v>15</v>
      </c>
      <c r="AM7" s="59" t="s">
        <v>16</v>
      </c>
      <c r="AN7" s="60" t="s">
        <v>396</v>
      </c>
      <c r="AO7" s="60" t="s">
        <v>397</v>
      </c>
      <c r="AP7" s="60" t="s">
        <v>398</v>
      </c>
    </row>
    <row r="8" spans="1:42">
      <c r="A8" t="e">
        <f t="array" aca="1" ref="A8:P8" ca="1">OFFSET('2000'!$A$1,VLOOKUP(Dashboard!$C$1,'2000'!$A$1:$R$357,18,FALSE),1,1,16)</f>
        <v>#VALUE!</v>
      </c>
      <c r="B8" t="e">
        <f ca="1"/>
        <v>#VALUE!</v>
      </c>
      <c r="C8" t="e">
        <f ca="1"/>
        <v>#VALUE!</v>
      </c>
      <c r="D8" t="e">
        <f ca="1"/>
        <v>#VALUE!</v>
      </c>
      <c r="E8" t="e">
        <f ca="1"/>
        <v>#VALUE!</v>
      </c>
      <c r="F8" t="e">
        <f ca="1"/>
        <v>#VALUE!</v>
      </c>
      <c r="G8" t="e">
        <f ca="1"/>
        <v>#VALUE!</v>
      </c>
      <c r="H8" t="e">
        <f ca="1"/>
        <v>#VALUE!</v>
      </c>
      <c r="I8" t="e">
        <f ca="1"/>
        <v>#VALUE!</v>
      </c>
      <c r="J8" t="e">
        <f ca="1"/>
        <v>#VALUE!</v>
      </c>
      <c r="K8" t="e">
        <f ca="1"/>
        <v>#VALUE!</v>
      </c>
      <c r="L8" t="e">
        <f ca="1"/>
        <v>#VALUE!</v>
      </c>
      <c r="M8" t="e">
        <f ca="1"/>
        <v>#VALUE!</v>
      </c>
      <c r="N8" t="e">
        <f ca="1"/>
        <v>#VALUE!</v>
      </c>
      <c r="O8" t="e">
        <f ca="1"/>
        <v>#VALUE!</v>
      </c>
      <c r="P8" t="e">
        <f ca="1"/>
        <v>#VALUE!</v>
      </c>
      <c r="Q8" t="e">
        <f t="shared" ref="Q8:Q27" ca="1" si="0">B8/A8</f>
        <v>#VALUE!</v>
      </c>
      <c r="R8" t="e">
        <f t="shared" ref="R8:R27" ca="1" si="1">F8/G8</f>
        <v>#VALUE!</v>
      </c>
      <c r="S8" t="e">
        <f t="shared" ref="S8:S27" ca="1" si="2">H8/I8</f>
        <v>#VALUE!</v>
      </c>
      <c r="W8">
        <v>2000</v>
      </c>
      <c r="X8" t="e">
        <f t="array" aca="1" ref="X8:AM8" ca="1">OFFSET('2000'!$A$1,VLOOKUP(Dashboard!$X$2,'2000'!$A$1:$R$357,18,FALSE),1,1,16)</f>
        <v>#VALUE!</v>
      </c>
      <c r="Y8" t="e">
        <f ca="1"/>
        <v>#VALUE!</v>
      </c>
      <c r="Z8" t="e">
        <f ca="1"/>
        <v>#VALUE!</v>
      </c>
      <c r="AA8" t="e">
        <f ca="1"/>
        <v>#VALUE!</v>
      </c>
      <c r="AB8" t="e">
        <f ca="1"/>
        <v>#VALUE!</v>
      </c>
      <c r="AC8" t="e">
        <f ca="1"/>
        <v>#VALUE!</v>
      </c>
      <c r="AD8" t="e">
        <f ca="1"/>
        <v>#VALUE!</v>
      </c>
      <c r="AE8" t="e">
        <f ca="1"/>
        <v>#VALUE!</v>
      </c>
      <c r="AF8" t="e">
        <f ca="1"/>
        <v>#VALUE!</v>
      </c>
      <c r="AG8" t="e">
        <f ca="1"/>
        <v>#VALUE!</v>
      </c>
      <c r="AH8" t="e">
        <f ca="1"/>
        <v>#VALUE!</v>
      </c>
      <c r="AI8" t="e">
        <f ca="1"/>
        <v>#VALUE!</v>
      </c>
      <c r="AJ8" t="e">
        <f ca="1"/>
        <v>#VALUE!</v>
      </c>
      <c r="AK8" t="e">
        <f ca="1"/>
        <v>#VALUE!</v>
      </c>
      <c r="AL8" t="e">
        <f ca="1"/>
        <v>#VALUE!</v>
      </c>
      <c r="AM8" t="e">
        <f ca="1"/>
        <v>#VALUE!</v>
      </c>
      <c r="AN8" t="e">
        <f t="shared" ref="AN8:AN27" ca="1" si="3">Y8/X8</f>
        <v>#VALUE!</v>
      </c>
      <c r="AO8" t="e">
        <f t="shared" ref="AO8:AO27" ca="1" si="4">AC8/AD8</f>
        <v>#VALUE!</v>
      </c>
      <c r="AP8" t="e">
        <f t="shared" ref="AP8:AP27" ca="1" si="5">AE8/AF8</f>
        <v>#VALUE!</v>
      </c>
    </row>
    <row r="9" spans="1:42">
      <c r="A9" t="e">
        <f t="array" aca="1" ref="A9:P9" ca="1">OFFSET('2001'!$A$1,VLOOKUP(Dashboard!$C$1,'2001'!$A$1:$R$357,18,FALSE),1,1,16)</f>
        <v>#VALUE!</v>
      </c>
      <c r="B9" t="e">
        <f ca="1"/>
        <v>#VALUE!</v>
      </c>
      <c r="C9" t="e">
        <f ca="1"/>
        <v>#VALUE!</v>
      </c>
      <c r="D9" t="e">
        <f ca="1"/>
        <v>#VALUE!</v>
      </c>
      <c r="E9" t="e">
        <f ca="1"/>
        <v>#VALUE!</v>
      </c>
      <c r="F9" t="e">
        <f ca="1"/>
        <v>#VALUE!</v>
      </c>
      <c r="G9" t="e">
        <f ca="1"/>
        <v>#VALUE!</v>
      </c>
      <c r="H9" t="e">
        <f ca="1"/>
        <v>#VALUE!</v>
      </c>
      <c r="I9" t="e">
        <f ca="1"/>
        <v>#VALUE!</v>
      </c>
      <c r="J9" t="e">
        <f ca="1"/>
        <v>#VALUE!</v>
      </c>
      <c r="K9" t="e">
        <f ca="1"/>
        <v>#VALUE!</v>
      </c>
      <c r="L9" t="e">
        <f ca="1"/>
        <v>#VALUE!</v>
      </c>
      <c r="M9" t="e">
        <f ca="1"/>
        <v>#VALUE!</v>
      </c>
      <c r="N9" t="e">
        <f ca="1"/>
        <v>#VALUE!</v>
      </c>
      <c r="O9" t="e">
        <f ca="1"/>
        <v>#VALUE!</v>
      </c>
      <c r="P9" t="e">
        <f ca="1"/>
        <v>#VALUE!</v>
      </c>
      <c r="Q9" t="e">
        <f t="shared" ca="1" si="0"/>
        <v>#VALUE!</v>
      </c>
      <c r="R9" t="e">
        <f t="shared" ca="1" si="1"/>
        <v>#VALUE!</v>
      </c>
      <c r="S9" t="e">
        <f t="shared" ca="1" si="2"/>
        <v>#VALUE!</v>
      </c>
      <c r="W9">
        <v>2001</v>
      </c>
      <c r="X9" t="e">
        <f t="array" aca="1" ref="X9:AM9" ca="1">OFFSET('2001'!$A$1,VLOOKUP(Dashboard!$X$2,'2001'!$A$1:$R$357,18,FALSE),1,1,16)</f>
        <v>#VALUE!</v>
      </c>
      <c r="Y9" t="e">
        <f ca="1"/>
        <v>#VALUE!</v>
      </c>
      <c r="Z9" t="e">
        <f ca="1"/>
        <v>#VALUE!</v>
      </c>
      <c r="AA9" t="e">
        <f ca="1"/>
        <v>#VALUE!</v>
      </c>
      <c r="AB9" t="e">
        <f ca="1"/>
        <v>#VALUE!</v>
      </c>
      <c r="AC9" t="e">
        <f ca="1"/>
        <v>#VALUE!</v>
      </c>
      <c r="AD9" t="e">
        <f ca="1"/>
        <v>#VALUE!</v>
      </c>
      <c r="AE9" t="e">
        <f ca="1"/>
        <v>#VALUE!</v>
      </c>
      <c r="AF9" t="e">
        <f ca="1"/>
        <v>#VALUE!</v>
      </c>
      <c r="AG9" t="e">
        <f ca="1"/>
        <v>#VALUE!</v>
      </c>
      <c r="AH9" t="e">
        <f ca="1"/>
        <v>#VALUE!</v>
      </c>
      <c r="AI9" t="e">
        <f ca="1"/>
        <v>#VALUE!</v>
      </c>
      <c r="AJ9" t="e">
        <f ca="1"/>
        <v>#VALUE!</v>
      </c>
      <c r="AK9" t="e">
        <f ca="1"/>
        <v>#VALUE!</v>
      </c>
      <c r="AL9" t="e">
        <f ca="1"/>
        <v>#VALUE!</v>
      </c>
      <c r="AM9" t="e">
        <f ca="1"/>
        <v>#VALUE!</v>
      </c>
      <c r="AN9" t="e">
        <f t="shared" ca="1" si="3"/>
        <v>#VALUE!</v>
      </c>
      <c r="AO9" t="e">
        <f t="shared" ca="1" si="4"/>
        <v>#VALUE!</v>
      </c>
      <c r="AP9" t="e">
        <f t="shared" ca="1" si="5"/>
        <v>#VALUE!</v>
      </c>
    </row>
    <row r="10" spans="1:42">
      <c r="A10" t="e">
        <f t="array" aca="1" ref="A10:P10" ca="1">OFFSET('2002'!$A$1,VLOOKUP(Dashboard!$C$1,'2002'!$A$1:$R$357,18,FALSE),1,1,16)</f>
        <v>#VALUE!</v>
      </c>
      <c r="B10" t="e">
        <f ca="1"/>
        <v>#VALUE!</v>
      </c>
      <c r="C10" t="e">
        <f ca="1"/>
        <v>#VALUE!</v>
      </c>
      <c r="D10" t="e">
        <f ca="1"/>
        <v>#VALUE!</v>
      </c>
      <c r="E10" t="e">
        <f ca="1"/>
        <v>#VALUE!</v>
      </c>
      <c r="F10" t="e">
        <f ca="1"/>
        <v>#VALUE!</v>
      </c>
      <c r="G10" t="e">
        <f ca="1"/>
        <v>#VALUE!</v>
      </c>
      <c r="H10" t="e">
        <f ca="1"/>
        <v>#VALUE!</v>
      </c>
      <c r="I10" t="e">
        <f ca="1"/>
        <v>#VALUE!</v>
      </c>
      <c r="J10" t="e">
        <f ca="1"/>
        <v>#VALUE!</v>
      </c>
      <c r="K10" t="e">
        <f ca="1"/>
        <v>#VALUE!</v>
      </c>
      <c r="L10" t="e">
        <f ca="1"/>
        <v>#VALUE!</v>
      </c>
      <c r="M10" t="e">
        <f ca="1"/>
        <v>#VALUE!</v>
      </c>
      <c r="N10" t="e">
        <f ca="1"/>
        <v>#VALUE!</v>
      </c>
      <c r="O10" t="e">
        <f ca="1"/>
        <v>#VALUE!</v>
      </c>
      <c r="P10" t="e">
        <f ca="1"/>
        <v>#VALUE!</v>
      </c>
      <c r="Q10" t="e">
        <f t="shared" ca="1" si="0"/>
        <v>#VALUE!</v>
      </c>
      <c r="R10" t="e">
        <f t="shared" ca="1" si="1"/>
        <v>#VALUE!</v>
      </c>
      <c r="S10" t="e">
        <f t="shared" ca="1" si="2"/>
        <v>#VALUE!</v>
      </c>
      <c r="W10">
        <v>2002</v>
      </c>
      <c r="X10" t="e">
        <f t="array" aca="1" ref="X10:AM10" ca="1">OFFSET('2002'!$A$1,VLOOKUP(Dashboard!$X$2,'2002'!$A$1:$R$357,18,FALSE),1,1,16)</f>
        <v>#VALUE!</v>
      </c>
      <c r="Y10" t="e">
        <f ca="1"/>
        <v>#VALUE!</v>
      </c>
      <c r="Z10" t="e">
        <f ca="1"/>
        <v>#VALUE!</v>
      </c>
      <c r="AA10" t="e">
        <f ca="1"/>
        <v>#VALUE!</v>
      </c>
      <c r="AB10" t="e">
        <f ca="1"/>
        <v>#VALUE!</v>
      </c>
      <c r="AC10" t="e">
        <f ca="1"/>
        <v>#VALUE!</v>
      </c>
      <c r="AD10" t="e">
        <f ca="1"/>
        <v>#VALUE!</v>
      </c>
      <c r="AE10" t="e">
        <f ca="1"/>
        <v>#VALUE!</v>
      </c>
      <c r="AF10" t="e">
        <f ca="1"/>
        <v>#VALUE!</v>
      </c>
      <c r="AG10" t="e">
        <f ca="1"/>
        <v>#VALUE!</v>
      </c>
      <c r="AH10" t="e">
        <f ca="1"/>
        <v>#VALUE!</v>
      </c>
      <c r="AI10" t="e">
        <f ca="1"/>
        <v>#VALUE!</v>
      </c>
      <c r="AJ10" t="e">
        <f ca="1"/>
        <v>#VALUE!</v>
      </c>
      <c r="AK10" t="e">
        <f ca="1"/>
        <v>#VALUE!</v>
      </c>
      <c r="AL10" t="e">
        <f ca="1"/>
        <v>#VALUE!</v>
      </c>
      <c r="AM10" t="e">
        <f ca="1"/>
        <v>#VALUE!</v>
      </c>
      <c r="AN10" t="e">
        <f t="shared" ca="1" si="3"/>
        <v>#VALUE!</v>
      </c>
      <c r="AO10" t="e">
        <f t="shared" ca="1" si="4"/>
        <v>#VALUE!</v>
      </c>
      <c r="AP10" t="e">
        <f t="shared" ca="1" si="5"/>
        <v>#VALUE!</v>
      </c>
    </row>
    <row r="11" spans="1:42">
      <c r="A11" t="e">
        <f t="array" aca="1" ref="A11:P11" ca="1">OFFSET('2003'!$A$1,VLOOKUP(Dashboard!$C$1,'2003'!$A$1:$R$357,18,FALSE),1,1,16)</f>
        <v>#VALUE!</v>
      </c>
      <c r="B11" t="e">
        <f ca="1"/>
        <v>#VALUE!</v>
      </c>
      <c r="C11" t="e">
        <f ca="1"/>
        <v>#VALUE!</v>
      </c>
      <c r="D11" t="e">
        <f ca="1"/>
        <v>#VALUE!</v>
      </c>
      <c r="E11" t="e">
        <f ca="1"/>
        <v>#VALUE!</v>
      </c>
      <c r="F11" t="e">
        <f ca="1"/>
        <v>#VALUE!</v>
      </c>
      <c r="G11" t="e">
        <f ca="1"/>
        <v>#VALUE!</v>
      </c>
      <c r="H11" t="e">
        <f ca="1"/>
        <v>#VALUE!</v>
      </c>
      <c r="I11" t="e">
        <f ca="1"/>
        <v>#VALUE!</v>
      </c>
      <c r="J11" t="e">
        <f ca="1"/>
        <v>#VALUE!</v>
      </c>
      <c r="K11" t="e">
        <f ca="1"/>
        <v>#VALUE!</v>
      </c>
      <c r="L11" t="e">
        <f ca="1"/>
        <v>#VALUE!</v>
      </c>
      <c r="M11" t="e">
        <f ca="1"/>
        <v>#VALUE!</v>
      </c>
      <c r="N11" t="e">
        <f ca="1"/>
        <v>#VALUE!</v>
      </c>
      <c r="O11" t="e">
        <f ca="1"/>
        <v>#VALUE!</v>
      </c>
      <c r="P11" t="e">
        <f ca="1"/>
        <v>#VALUE!</v>
      </c>
      <c r="Q11" t="e">
        <f t="shared" ca="1" si="0"/>
        <v>#VALUE!</v>
      </c>
      <c r="R11" t="e">
        <f t="shared" ca="1" si="1"/>
        <v>#VALUE!</v>
      </c>
      <c r="S11" t="e">
        <f t="shared" ca="1" si="2"/>
        <v>#VALUE!</v>
      </c>
      <c r="W11">
        <v>2003</v>
      </c>
      <c r="X11" t="e">
        <f t="array" aca="1" ref="X11:AM11" ca="1">OFFSET('2003'!$A$1,VLOOKUP(Dashboard!$X$2,'2003'!$A$1:$R$357,18,FALSE),1,1,16)</f>
        <v>#VALUE!</v>
      </c>
      <c r="Y11" t="e">
        <f ca="1"/>
        <v>#VALUE!</v>
      </c>
      <c r="Z11" t="e">
        <f ca="1"/>
        <v>#VALUE!</v>
      </c>
      <c r="AA11" t="e">
        <f ca="1"/>
        <v>#VALUE!</v>
      </c>
      <c r="AB11" t="e">
        <f ca="1"/>
        <v>#VALUE!</v>
      </c>
      <c r="AC11" t="e">
        <f ca="1"/>
        <v>#VALUE!</v>
      </c>
      <c r="AD11" t="e">
        <f ca="1"/>
        <v>#VALUE!</v>
      </c>
      <c r="AE11" t="e">
        <f ca="1"/>
        <v>#VALUE!</v>
      </c>
      <c r="AF11" t="e">
        <f ca="1"/>
        <v>#VALUE!</v>
      </c>
      <c r="AG11" t="e">
        <f ca="1"/>
        <v>#VALUE!</v>
      </c>
      <c r="AH11" t="e">
        <f ca="1"/>
        <v>#VALUE!</v>
      </c>
      <c r="AI11" t="e">
        <f ca="1"/>
        <v>#VALUE!</v>
      </c>
      <c r="AJ11" t="e">
        <f ca="1"/>
        <v>#VALUE!</v>
      </c>
      <c r="AK11" t="e">
        <f ca="1"/>
        <v>#VALUE!</v>
      </c>
      <c r="AL11" t="e">
        <f ca="1"/>
        <v>#VALUE!</v>
      </c>
      <c r="AM11" t="e">
        <f ca="1"/>
        <v>#VALUE!</v>
      </c>
      <c r="AN11" t="e">
        <f t="shared" ca="1" si="3"/>
        <v>#VALUE!</v>
      </c>
      <c r="AO11" t="e">
        <f t="shared" ca="1" si="4"/>
        <v>#VALUE!</v>
      </c>
      <c r="AP11" t="e">
        <f t="shared" ca="1" si="5"/>
        <v>#VALUE!</v>
      </c>
    </row>
    <row r="12" spans="1:42">
      <c r="A12" t="e">
        <f t="array" aca="1" ref="A12:P12" ca="1">OFFSET('2004'!$A$1,VLOOKUP(Dashboard!$C$1,'2004'!$A$1:$R$357,18,FALSE),1,1,16)</f>
        <v>#VALUE!</v>
      </c>
      <c r="B12" t="e">
        <f ca="1"/>
        <v>#VALUE!</v>
      </c>
      <c r="C12" t="e">
        <f ca="1"/>
        <v>#VALUE!</v>
      </c>
      <c r="D12" t="e">
        <f ca="1"/>
        <v>#VALUE!</v>
      </c>
      <c r="E12" t="e">
        <f ca="1"/>
        <v>#VALUE!</v>
      </c>
      <c r="F12" t="e">
        <f ca="1"/>
        <v>#VALUE!</v>
      </c>
      <c r="G12" t="e">
        <f ca="1"/>
        <v>#VALUE!</v>
      </c>
      <c r="H12" t="e">
        <f ca="1"/>
        <v>#VALUE!</v>
      </c>
      <c r="I12" t="e">
        <f ca="1"/>
        <v>#VALUE!</v>
      </c>
      <c r="J12" t="e">
        <f ca="1"/>
        <v>#VALUE!</v>
      </c>
      <c r="K12" t="e">
        <f ca="1"/>
        <v>#VALUE!</v>
      </c>
      <c r="L12" t="e">
        <f ca="1"/>
        <v>#VALUE!</v>
      </c>
      <c r="M12" t="e">
        <f ca="1"/>
        <v>#VALUE!</v>
      </c>
      <c r="N12" t="e">
        <f ca="1"/>
        <v>#VALUE!</v>
      </c>
      <c r="O12" t="e">
        <f ca="1"/>
        <v>#VALUE!</v>
      </c>
      <c r="P12" t="e">
        <f ca="1"/>
        <v>#VALUE!</v>
      </c>
      <c r="Q12" t="e">
        <f t="shared" ca="1" si="0"/>
        <v>#VALUE!</v>
      </c>
      <c r="R12" t="e">
        <f t="shared" ca="1" si="1"/>
        <v>#VALUE!</v>
      </c>
      <c r="S12" t="e">
        <f t="shared" ca="1" si="2"/>
        <v>#VALUE!</v>
      </c>
      <c r="W12">
        <v>2004</v>
      </c>
      <c r="X12" t="e">
        <f t="array" aca="1" ref="X12:AM12" ca="1">OFFSET('2004'!$A$1,VLOOKUP(Dashboard!$X$2,'2004'!$A$1:$R$357,18,FALSE),1,1,16)</f>
        <v>#VALUE!</v>
      </c>
      <c r="Y12" t="e">
        <f ca="1"/>
        <v>#VALUE!</v>
      </c>
      <c r="Z12" t="e">
        <f ca="1"/>
        <v>#VALUE!</v>
      </c>
      <c r="AA12" t="e">
        <f ca="1"/>
        <v>#VALUE!</v>
      </c>
      <c r="AB12" t="e">
        <f ca="1"/>
        <v>#VALUE!</v>
      </c>
      <c r="AC12" t="e">
        <f ca="1"/>
        <v>#VALUE!</v>
      </c>
      <c r="AD12" t="e">
        <f ca="1"/>
        <v>#VALUE!</v>
      </c>
      <c r="AE12" t="e">
        <f ca="1"/>
        <v>#VALUE!</v>
      </c>
      <c r="AF12" t="e">
        <f ca="1"/>
        <v>#VALUE!</v>
      </c>
      <c r="AG12" t="e">
        <f ca="1"/>
        <v>#VALUE!</v>
      </c>
      <c r="AH12" t="e">
        <f ca="1"/>
        <v>#VALUE!</v>
      </c>
      <c r="AI12" t="e">
        <f ca="1"/>
        <v>#VALUE!</v>
      </c>
      <c r="AJ12" t="e">
        <f ca="1"/>
        <v>#VALUE!</v>
      </c>
      <c r="AK12" t="e">
        <f ca="1"/>
        <v>#VALUE!</v>
      </c>
      <c r="AL12" t="e">
        <f ca="1"/>
        <v>#VALUE!</v>
      </c>
      <c r="AM12" t="e">
        <f ca="1"/>
        <v>#VALUE!</v>
      </c>
      <c r="AN12" t="e">
        <f t="shared" ca="1" si="3"/>
        <v>#VALUE!</v>
      </c>
      <c r="AO12" t="e">
        <f t="shared" ca="1" si="4"/>
        <v>#VALUE!</v>
      </c>
      <c r="AP12" t="e">
        <f t="shared" ca="1" si="5"/>
        <v>#VALUE!</v>
      </c>
    </row>
    <row r="13" spans="1:42">
      <c r="A13" t="e">
        <f t="array" aca="1" ref="A13:P13" ca="1">OFFSET('2005'!$A$1,VLOOKUP(Dashboard!$C$1,'2005'!$A$1:$R$357,18,FALSE),1,1,16)</f>
        <v>#VALUE!</v>
      </c>
      <c r="B13" t="e">
        <f ca="1"/>
        <v>#VALUE!</v>
      </c>
      <c r="C13" t="e">
        <f ca="1"/>
        <v>#VALUE!</v>
      </c>
      <c r="D13" t="e">
        <f ca="1"/>
        <v>#VALUE!</v>
      </c>
      <c r="E13" t="e">
        <f ca="1"/>
        <v>#VALUE!</v>
      </c>
      <c r="F13" t="e">
        <f ca="1"/>
        <v>#VALUE!</v>
      </c>
      <c r="G13" t="e">
        <f ca="1"/>
        <v>#VALUE!</v>
      </c>
      <c r="H13" t="e">
        <f ca="1"/>
        <v>#VALUE!</v>
      </c>
      <c r="I13" t="e">
        <f ca="1"/>
        <v>#VALUE!</v>
      </c>
      <c r="J13" t="e">
        <f ca="1"/>
        <v>#VALUE!</v>
      </c>
      <c r="K13" t="e">
        <f ca="1"/>
        <v>#VALUE!</v>
      </c>
      <c r="L13" t="e">
        <f ca="1"/>
        <v>#VALUE!</v>
      </c>
      <c r="M13" t="e">
        <f ca="1"/>
        <v>#VALUE!</v>
      </c>
      <c r="N13" t="e">
        <f ca="1"/>
        <v>#VALUE!</v>
      </c>
      <c r="O13" t="e">
        <f ca="1"/>
        <v>#VALUE!</v>
      </c>
      <c r="P13" t="e">
        <f ca="1"/>
        <v>#VALUE!</v>
      </c>
      <c r="Q13" t="e">
        <f t="shared" ca="1" si="0"/>
        <v>#VALUE!</v>
      </c>
      <c r="R13" t="e">
        <f t="shared" ca="1" si="1"/>
        <v>#VALUE!</v>
      </c>
      <c r="S13" t="e">
        <f t="shared" ca="1" si="2"/>
        <v>#VALUE!</v>
      </c>
      <c r="U13" t="s">
        <v>400</v>
      </c>
      <c r="W13">
        <v>2005</v>
      </c>
      <c r="X13" t="e">
        <f t="array" aca="1" ref="X13:AM13" ca="1">OFFSET('2005'!$A$1,VLOOKUP(Dashboard!$X$2,'2005'!$A$1:$R$357,18,FALSE),1,1,16)</f>
        <v>#VALUE!</v>
      </c>
      <c r="Y13" t="e">
        <f ca="1"/>
        <v>#VALUE!</v>
      </c>
      <c r="Z13" t="e">
        <f ca="1"/>
        <v>#VALUE!</v>
      </c>
      <c r="AA13" t="e">
        <f ca="1"/>
        <v>#VALUE!</v>
      </c>
      <c r="AB13" t="e">
        <f ca="1"/>
        <v>#VALUE!</v>
      </c>
      <c r="AC13" t="e">
        <f ca="1"/>
        <v>#VALUE!</v>
      </c>
      <c r="AD13" t="e">
        <f ca="1"/>
        <v>#VALUE!</v>
      </c>
      <c r="AE13" t="e">
        <f ca="1"/>
        <v>#VALUE!</v>
      </c>
      <c r="AF13" t="e">
        <f ca="1"/>
        <v>#VALUE!</v>
      </c>
      <c r="AG13" t="e">
        <f ca="1"/>
        <v>#VALUE!</v>
      </c>
      <c r="AH13" t="e">
        <f ca="1"/>
        <v>#VALUE!</v>
      </c>
      <c r="AI13" t="e">
        <f ca="1"/>
        <v>#VALUE!</v>
      </c>
      <c r="AJ13" t="e">
        <f ca="1"/>
        <v>#VALUE!</v>
      </c>
      <c r="AK13" t="e">
        <f ca="1"/>
        <v>#VALUE!</v>
      </c>
      <c r="AL13" t="e">
        <f ca="1"/>
        <v>#VALUE!</v>
      </c>
      <c r="AM13" t="e">
        <f ca="1"/>
        <v>#VALUE!</v>
      </c>
      <c r="AN13" t="e">
        <f t="shared" ca="1" si="3"/>
        <v>#VALUE!</v>
      </c>
      <c r="AO13" t="e">
        <f t="shared" ca="1" si="4"/>
        <v>#VALUE!</v>
      </c>
      <c r="AP13" t="e">
        <f t="shared" ca="1" si="5"/>
        <v>#VALUE!</v>
      </c>
    </row>
    <row r="14" spans="1:42">
      <c r="A14" t="e">
        <f t="array" aca="1" ref="A14:P14" ca="1">OFFSET('2006'!$A$1,VLOOKUP(Dashboard!$C$1,'2006'!$A$1:$R$357,18,FALSE),1,1,16)</f>
        <v>#VALUE!</v>
      </c>
      <c r="B14" t="e">
        <f ca="1"/>
        <v>#VALUE!</v>
      </c>
      <c r="C14" t="e">
        <f ca="1"/>
        <v>#VALUE!</v>
      </c>
      <c r="D14" t="e">
        <f ca="1"/>
        <v>#VALUE!</v>
      </c>
      <c r="E14" t="e">
        <f ca="1"/>
        <v>#VALUE!</v>
      </c>
      <c r="F14" t="e">
        <f ca="1"/>
        <v>#VALUE!</v>
      </c>
      <c r="G14" t="e">
        <f ca="1"/>
        <v>#VALUE!</v>
      </c>
      <c r="H14" t="e">
        <f ca="1"/>
        <v>#VALUE!</v>
      </c>
      <c r="I14" t="e">
        <f ca="1"/>
        <v>#VALUE!</v>
      </c>
      <c r="J14" t="e">
        <f ca="1"/>
        <v>#VALUE!</v>
      </c>
      <c r="K14" t="e">
        <f ca="1"/>
        <v>#VALUE!</v>
      </c>
      <c r="L14" t="e">
        <f ca="1"/>
        <v>#VALUE!</v>
      </c>
      <c r="M14" t="e">
        <f ca="1"/>
        <v>#VALUE!</v>
      </c>
      <c r="N14" t="e">
        <f ca="1"/>
        <v>#VALUE!</v>
      </c>
      <c r="O14" t="e">
        <f ca="1"/>
        <v>#VALUE!</v>
      </c>
      <c r="P14" t="e">
        <f ca="1"/>
        <v>#VALUE!</v>
      </c>
      <c r="Q14" t="e">
        <f t="shared" ca="1" si="0"/>
        <v>#VALUE!</v>
      </c>
      <c r="R14" t="e">
        <f t="shared" ca="1" si="1"/>
        <v>#VALUE!</v>
      </c>
      <c r="S14" t="e">
        <f t="shared" ca="1" si="2"/>
        <v>#VALUE!</v>
      </c>
      <c r="W14">
        <v>2006</v>
      </c>
      <c r="X14" t="e">
        <f t="array" aca="1" ref="X14:AM14" ca="1">OFFSET('2006'!$A$1,VLOOKUP(Dashboard!$X$2,'2006'!$A$1:$R$357,18,FALSE),1,1,16)</f>
        <v>#VALUE!</v>
      </c>
      <c r="Y14" t="e">
        <f ca="1"/>
        <v>#VALUE!</v>
      </c>
      <c r="Z14" t="e">
        <f ca="1"/>
        <v>#VALUE!</v>
      </c>
      <c r="AA14" t="e">
        <f ca="1"/>
        <v>#VALUE!</v>
      </c>
      <c r="AB14" t="e">
        <f ca="1"/>
        <v>#VALUE!</v>
      </c>
      <c r="AC14" t="e">
        <f ca="1"/>
        <v>#VALUE!</v>
      </c>
      <c r="AD14" t="e">
        <f ca="1"/>
        <v>#VALUE!</v>
      </c>
      <c r="AE14" t="e">
        <f ca="1"/>
        <v>#VALUE!</v>
      </c>
      <c r="AF14" t="e">
        <f ca="1"/>
        <v>#VALUE!</v>
      </c>
      <c r="AG14" t="e">
        <f ca="1"/>
        <v>#VALUE!</v>
      </c>
      <c r="AH14" t="e">
        <f ca="1"/>
        <v>#VALUE!</v>
      </c>
      <c r="AI14" t="e">
        <f ca="1"/>
        <v>#VALUE!</v>
      </c>
      <c r="AJ14" t="e">
        <f ca="1"/>
        <v>#VALUE!</v>
      </c>
      <c r="AK14" t="e">
        <f ca="1"/>
        <v>#VALUE!</v>
      </c>
      <c r="AL14" t="e">
        <f ca="1"/>
        <v>#VALUE!</v>
      </c>
      <c r="AM14" t="e">
        <f ca="1"/>
        <v>#VALUE!</v>
      </c>
      <c r="AN14" t="e">
        <f t="shared" ca="1" si="3"/>
        <v>#VALUE!</v>
      </c>
      <c r="AO14" t="e">
        <f t="shared" ca="1" si="4"/>
        <v>#VALUE!</v>
      </c>
      <c r="AP14" t="e">
        <f t="shared" ca="1" si="5"/>
        <v>#VALUE!</v>
      </c>
    </row>
    <row r="15" spans="1:42">
      <c r="A15" t="e">
        <f t="array" aca="1" ref="A15:P15" ca="1">OFFSET('2007'!$A$1,VLOOKUP(Dashboard!$C$1,'2007'!$A$1:$R$357,18,FALSE),1,1,16)</f>
        <v>#VALUE!</v>
      </c>
      <c r="B15" t="e">
        <f ca="1"/>
        <v>#VALUE!</v>
      </c>
      <c r="C15" t="e">
        <f ca="1"/>
        <v>#VALUE!</v>
      </c>
      <c r="D15" t="e">
        <f ca="1"/>
        <v>#VALUE!</v>
      </c>
      <c r="E15" t="e">
        <f ca="1"/>
        <v>#VALUE!</v>
      </c>
      <c r="F15" t="e">
        <f ca="1"/>
        <v>#VALUE!</v>
      </c>
      <c r="G15" t="e">
        <f ca="1"/>
        <v>#VALUE!</v>
      </c>
      <c r="H15" t="e">
        <f ca="1"/>
        <v>#VALUE!</v>
      </c>
      <c r="I15" t="e">
        <f ca="1"/>
        <v>#VALUE!</v>
      </c>
      <c r="J15" t="e">
        <f ca="1"/>
        <v>#VALUE!</v>
      </c>
      <c r="K15" t="e">
        <f ca="1"/>
        <v>#VALUE!</v>
      </c>
      <c r="L15" t="e">
        <f ca="1"/>
        <v>#VALUE!</v>
      </c>
      <c r="M15" t="e">
        <f ca="1"/>
        <v>#VALUE!</v>
      </c>
      <c r="N15" t="e">
        <f ca="1"/>
        <v>#VALUE!</v>
      </c>
      <c r="O15" t="e">
        <f ca="1"/>
        <v>#VALUE!</v>
      </c>
      <c r="P15" t="e">
        <f ca="1"/>
        <v>#VALUE!</v>
      </c>
      <c r="Q15" t="e">
        <f t="shared" ca="1" si="0"/>
        <v>#VALUE!</v>
      </c>
      <c r="R15" t="e">
        <f t="shared" ca="1" si="1"/>
        <v>#VALUE!</v>
      </c>
      <c r="S15" t="e">
        <f t="shared" ca="1" si="2"/>
        <v>#VALUE!</v>
      </c>
      <c r="W15">
        <v>2007</v>
      </c>
      <c r="X15" t="e">
        <f t="array" aca="1" ref="X15:AM15" ca="1">OFFSET('2007'!$A$1,VLOOKUP(Dashboard!$X$2,'2007'!$A$1:$R$357,18,FALSE),1,1,16)</f>
        <v>#VALUE!</v>
      </c>
      <c r="Y15" t="e">
        <f ca="1"/>
        <v>#VALUE!</v>
      </c>
      <c r="Z15" t="e">
        <f ca="1"/>
        <v>#VALUE!</v>
      </c>
      <c r="AA15" t="e">
        <f ca="1"/>
        <v>#VALUE!</v>
      </c>
      <c r="AB15" t="e">
        <f ca="1"/>
        <v>#VALUE!</v>
      </c>
      <c r="AC15" t="e">
        <f ca="1"/>
        <v>#VALUE!</v>
      </c>
      <c r="AD15" t="e">
        <f ca="1"/>
        <v>#VALUE!</v>
      </c>
      <c r="AE15" t="e">
        <f ca="1"/>
        <v>#VALUE!</v>
      </c>
      <c r="AF15" t="e">
        <f ca="1"/>
        <v>#VALUE!</v>
      </c>
      <c r="AG15" t="e">
        <f ca="1"/>
        <v>#VALUE!</v>
      </c>
      <c r="AH15" t="e">
        <f ca="1"/>
        <v>#VALUE!</v>
      </c>
      <c r="AI15" t="e">
        <f ca="1"/>
        <v>#VALUE!</v>
      </c>
      <c r="AJ15" t="e">
        <f ca="1"/>
        <v>#VALUE!</v>
      </c>
      <c r="AK15" t="e">
        <f ca="1"/>
        <v>#VALUE!</v>
      </c>
      <c r="AL15" t="e">
        <f ca="1"/>
        <v>#VALUE!</v>
      </c>
      <c r="AM15" t="e">
        <f ca="1"/>
        <v>#VALUE!</v>
      </c>
      <c r="AN15" t="e">
        <f t="shared" ca="1" si="3"/>
        <v>#VALUE!</v>
      </c>
      <c r="AO15" t="e">
        <f t="shared" ca="1" si="4"/>
        <v>#VALUE!</v>
      </c>
      <c r="AP15" t="e">
        <f t="shared" ca="1" si="5"/>
        <v>#VALUE!</v>
      </c>
    </row>
    <row r="16" spans="1:42">
      <c r="A16" t="e">
        <f t="array" aca="1" ref="A16:P16" ca="1">OFFSET('2008'!$A$1,VLOOKUP(Dashboard!$C$1,'2008'!$A$1:$R$357,18,FALSE),1,1,16)</f>
        <v>#VALUE!</v>
      </c>
      <c r="B16" t="e">
        <f ca="1"/>
        <v>#VALUE!</v>
      </c>
      <c r="C16" t="e">
        <f ca="1"/>
        <v>#VALUE!</v>
      </c>
      <c r="D16" t="e">
        <f ca="1"/>
        <v>#VALUE!</v>
      </c>
      <c r="E16" t="e">
        <f ca="1"/>
        <v>#VALUE!</v>
      </c>
      <c r="F16" t="e">
        <f ca="1"/>
        <v>#VALUE!</v>
      </c>
      <c r="G16" t="e">
        <f ca="1"/>
        <v>#VALUE!</v>
      </c>
      <c r="H16" t="e">
        <f ca="1"/>
        <v>#VALUE!</v>
      </c>
      <c r="I16" t="e">
        <f ca="1"/>
        <v>#VALUE!</v>
      </c>
      <c r="J16" t="e">
        <f ca="1"/>
        <v>#VALUE!</v>
      </c>
      <c r="K16" t="e">
        <f ca="1"/>
        <v>#VALUE!</v>
      </c>
      <c r="L16" t="e">
        <f ca="1"/>
        <v>#VALUE!</v>
      </c>
      <c r="M16" t="e">
        <f ca="1"/>
        <v>#VALUE!</v>
      </c>
      <c r="N16" t="e">
        <f ca="1"/>
        <v>#VALUE!</v>
      </c>
      <c r="O16" t="e">
        <f ca="1"/>
        <v>#VALUE!</v>
      </c>
      <c r="P16" t="e">
        <f ca="1"/>
        <v>#VALUE!</v>
      </c>
      <c r="Q16" t="e">
        <f t="shared" ca="1" si="0"/>
        <v>#VALUE!</v>
      </c>
      <c r="R16" t="e">
        <f t="shared" ca="1" si="1"/>
        <v>#VALUE!</v>
      </c>
      <c r="S16" t="e">
        <f t="shared" ca="1" si="2"/>
        <v>#VALUE!</v>
      </c>
      <c r="W16">
        <v>2008</v>
      </c>
      <c r="X16" t="e">
        <f t="array" aca="1" ref="X16:AM16" ca="1">OFFSET('2008'!$A$1,VLOOKUP(Dashboard!$X$2,'2008'!$A$1:$R$357,18,FALSE),1,1,16)</f>
        <v>#VALUE!</v>
      </c>
      <c r="Y16" t="e">
        <f ca="1"/>
        <v>#VALUE!</v>
      </c>
      <c r="Z16" t="e">
        <f ca="1"/>
        <v>#VALUE!</v>
      </c>
      <c r="AA16" t="e">
        <f ca="1"/>
        <v>#VALUE!</v>
      </c>
      <c r="AB16" t="e">
        <f ca="1"/>
        <v>#VALUE!</v>
      </c>
      <c r="AC16" t="e">
        <f ca="1"/>
        <v>#VALUE!</v>
      </c>
      <c r="AD16" t="e">
        <f ca="1"/>
        <v>#VALUE!</v>
      </c>
      <c r="AE16" t="e">
        <f ca="1"/>
        <v>#VALUE!</v>
      </c>
      <c r="AF16" t="e">
        <f ca="1"/>
        <v>#VALUE!</v>
      </c>
      <c r="AG16" t="e">
        <f ca="1"/>
        <v>#VALUE!</v>
      </c>
      <c r="AH16" t="e">
        <f ca="1"/>
        <v>#VALUE!</v>
      </c>
      <c r="AI16" t="e">
        <f ca="1"/>
        <v>#VALUE!</v>
      </c>
      <c r="AJ16" t="e">
        <f ca="1"/>
        <v>#VALUE!</v>
      </c>
      <c r="AK16" t="e">
        <f ca="1"/>
        <v>#VALUE!</v>
      </c>
      <c r="AL16" t="e">
        <f ca="1"/>
        <v>#VALUE!</v>
      </c>
      <c r="AM16" t="e">
        <f ca="1"/>
        <v>#VALUE!</v>
      </c>
      <c r="AN16" t="e">
        <f t="shared" ca="1" si="3"/>
        <v>#VALUE!</v>
      </c>
      <c r="AO16" t="e">
        <f t="shared" ca="1" si="4"/>
        <v>#VALUE!</v>
      </c>
      <c r="AP16" t="e">
        <f t="shared" ca="1" si="5"/>
        <v>#VALUE!</v>
      </c>
    </row>
    <row r="17" spans="1:42">
      <c r="A17" t="e">
        <f t="array" aca="1" ref="A17:P17" ca="1">OFFSET('2009'!$A$1,VLOOKUP(Dashboard!$C$1,'2009'!$A$1:$R$357,18,FALSE),1,1,16)</f>
        <v>#VALUE!</v>
      </c>
      <c r="B17" t="e">
        <f ca="1"/>
        <v>#VALUE!</v>
      </c>
      <c r="C17" t="e">
        <f ca="1"/>
        <v>#VALUE!</v>
      </c>
      <c r="D17" t="e">
        <f ca="1"/>
        <v>#VALUE!</v>
      </c>
      <c r="E17" t="e">
        <f ca="1"/>
        <v>#VALUE!</v>
      </c>
      <c r="F17" t="e">
        <f ca="1"/>
        <v>#VALUE!</v>
      </c>
      <c r="G17" t="e">
        <f ca="1"/>
        <v>#VALUE!</v>
      </c>
      <c r="H17" t="e">
        <f ca="1"/>
        <v>#VALUE!</v>
      </c>
      <c r="I17" t="e">
        <f ca="1"/>
        <v>#VALUE!</v>
      </c>
      <c r="J17" t="e">
        <f ca="1"/>
        <v>#VALUE!</v>
      </c>
      <c r="K17" t="e">
        <f ca="1"/>
        <v>#VALUE!</v>
      </c>
      <c r="L17" t="e">
        <f ca="1"/>
        <v>#VALUE!</v>
      </c>
      <c r="M17" t="e">
        <f ca="1"/>
        <v>#VALUE!</v>
      </c>
      <c r="N17" t="e">
        <f ca="1"/>
        <v>#VALUE!</v>
      </c>
      <c r="O17" t="e">
        <f ca="1"/>
        <v>#VALUE!</v>
      </c>
      <c r="P17" t="e">
        <f ca="1"/>
        <v>#VALUE!</v>
      </c>
      <c r="Q17" t="e">
        <f t="shared" ca="1" si="0"/>
        <v>#VALUE!</v>
      </c>
      <c r="R17" t="e">
        <f t="shared" ca="1" si="1"/>
        <v>#VALUE!</v>
      </c>
      <c r="S17" t="e">
        <f t="shared" ca="1" si="2"/>
        <v>#VALUE!</v>
      </c>
      <c r="W17">
        <v>2009</v>
      </c>
      <c r="X17" t="e">
        <f t="array" aca="1" ref="X17:AM17" ca="1">OFFSET('2009'!$A$1,VLOOKUP(Dashboard!$X$2,'2009'!$A$1:$R$357,18,FALSE),1,1,16)</f>
        <v>#VALUE!</v>
      </c>
      <c r="Y17" t="e">
        <f ca="1"/>
        <v>#VALUE!</v>
      </c>
      <c r="Z17" t="e">
        <f ca="1"/>
        <v>#VALUE!</v>
      </c>
      <c r="AA17" t="e">
        <f ca="1"/>
        <v>#VALUE!</v>
      </c>
      <c r="AB17" t="e">
        <f ca="1"/>
        <v>#VALUE!</v>
      </c>
      <c r="AC17" t="e">
        <f ca="1"/>
        <v>#VALUE!</v>
      </c>
      <c r="AD17" t="e">
        <f ca="1"/>
        <v>#VALUE!</v>
      </c>
      <c r="AE17" t="e">
        <f ca="1"/>
        <v>#VALUE!</v>
      </c>
      <c r="AF17" t="e">
        <f ca="1"/>
        <v>#VALUE!</v>
      </c>
      <c r="AG17" t="e">
        <f ca="1"/>
        <v>#VALUE!</v>
      </c>
      <c r="AH17" t="e">
        <f ca="1"/>
        <v>#VALUE!</v>
      </c>
      <c r="AI17" t="e">
        <f ca="1"/>
        <v>#VALUE!</v>
      </c>
      <c r="AJ17" t="e">
        <f ca="1"/>
        <v>#VALUE!</v>
      </c>
      <c r="AK17" t="e">
        <f ca="1"/>
        <v>#VALUE!</v>
      </c>
      <c r="AL17" t="e">
        <f ca="1"/>
        <v>#VALUE!</v>
      </c>
      <c r="AM17" t="e">
        <f ca="1"/>
        <v>#VALUE!</v>
      </c>
      <c r="AN17" t="e">
        <f t="shared" ca="1" si="3"/>
        <v>#VALUE!</v>
      </c>
      <c r="AO17" t="e">
        <f t="shared" ca="1" si="4"/>
        <v>#VALUE!</v>
      </c>
      <c r="AP17" t="e">
        <f t="shared" ca="1" si="5"/>
        <v>#VALUE!</v>
      </c>
    </row>
    <row r="18" spans="1:42">
      <c r="A18" t="e">
        <f t="array" aca="1" ref="A18:P18" ca="1">OFFSET('2010'!$A$1,VLOOKUP(Dashboard!$C$1,'2010'!$A$1:$R$357,18,FALSE),1,1,16)</f>
        <v>#VALUE!</v>
      </c>
      <c r="B18" t="e">
        <f ca="1"/>
        <v>#VALUE!</v>
      </c>
      <c r="C18" t="e">
        <f ca="1"/>
        <v>#VALUE!</v>
      </c>
      <c r="D18" t="e">
        <f ca="1"/>
        <v>#VALUE!</v>
      </c>
      <c r="E18" t="e">
        <f ca="1"/>
        <v>#VALUE!</v>
      </c>
      <c r="F18" t="e">
        <f ca="1"/>
        <v>#VALUE!</v>
      </c>
      <c r="G18" t="e">
        <f ca="1"/>
        <v>#VALUE!</v>
      </c>
      <c r="H18" t="e">
        <f ca="1"/>
        <v>#VALUE!</v>
      </c>
      <c r="I18" t="e">
        <f ca="1"/>
        <v>#VALUE!</v>
      </c>
      <c r="J18" t="e">
        <f ca="1"/>
        <v>#VALUE!</v>
      </c>
      <c r="K18" t="e">
        <f ca="1"/>
        <v>#VALUE!</v>
      </c>
      <c r="L18" t="e">
        <f ca="1"/>
        <v>#VALUE!</v>
      </c>
      <c r="M18" t="e">
        <f ca="1"/>
        <v>#VALUE!</v>
      </c>
      <c r="N18" t="e">
        <f ca="1"/>
        <v>#VALUE!</v>
      </c>
      <c r="O18" t="e">
        <f ca="1"/>
        <v>#VALUE!</v>
      </c>
      <c r="P18" t="e">
        <f ca="1"/>
        <v>#VALUE!</v>
      </c>
      <c r="Q18" t="e">
        <f t="shared" ca="1" si="0"/>
        <v>#VALUE!</v>
      </c>
      <c r="R18" t="e">
        <f t="shared" ca="1" si="1"/>
        <v>#VALUE!</v>
      </c>
      <c r="S18" t="e">
        <f t="shared" ca="1" si="2"/>
        <v>#VALUE!</v>
      </c>
      <c r="W18">
        <v>2010</v>
      </c>
      <c r="X18" t="e">
        <f t="array" aca="1" ref="X18:AM18" ca="1">OFFSET('2010'!$A$1,VLOOKUP(Dashboard!$X$2,'2010'!$A$1:$R$357,18,FALSE),1,1,16)</f>
        <v>#VALUE!</v>
      </c>
      <c r="Y18" t="e">
        <f ca="1"/>
        <v>#VALUE!</v>
      </c>
      <c r="Z18" t="e">
        <f ca="1"/>
        <v>#VALUE!</v>
      </c>
      <c r="AA18" t="e">
        <f ca="1"/>
        <v>#VALUE!</v>
      </c>
      <c r="AB18" t="e">
        <f ca="1"/>
        <v>#VALUE!</v>
      </c>
      <c r="AC18" t="e">
        <f ca="1"/>
        <v>#VALUE!</v>
      </c>
      <c r="AD18" t="e">
        <f ca="1"/>
        <v>#VALUE!</v>
      </c>
      <c r="AE18" t="e">
        <f ca="1"/>
        <v>#VALUE!</v>
      </c>
      <c r="AF18" t="e">
        <f ca="1"/>
        <v>#VALUE!</v>
      </c>
      <c r="AG18" t="e">
        <f ca="1"/>
        <v>#VALUE!</v>
      </c>
      <c r="AH18" t="e">
        <f ca="1"/>
        <v>#VALUE!</v>
      </c>
      <c r="AI18" t="e">
        <f ca="1"/>
        <v>#VALUE!</v>
      </c>
      <c r="AJ18" t="e">
        <f ca="1"/>
        <v>#VALUE!</v>
      </c>
      <c r="AK18" t="e">
        <f ca="1"/>
        <v>#VALUE!</v>
      </c>
      <c r="AL18" t="e">
        <f ca="1"/>
        <v>#VALUE!</v>
      </c>
      <c r="AM18" t="e">
        <f ca="1"/>
        <v>#VALUE!</v>
      </c>
      <c r="AN18" t="e">
        <f t="shared" ca="1" si="3"/>
        <v>#VALUE!</v>
      </c>
      <c r="AO18" t="e">
        <f t="shared" ca="1" si="4"/>
        <v>#VALUE!</v>
      </c>
      <c r="AP18" t="e">
        <f t="shared" ca="1" si="5"/>
        <v>#VALUE!</v>
      </c>
    </row>
    <row r="19" spans="1:42">
      <c r="A19" t="e">
        <f t="array" aca="1" ref="A19:P19" ca="1">OFFSET('2011'!$A$1,VLOOKUP(Dashboard!$C$1,'2011'!$A$1:$R$357,18,FALSE),1,1,16)</f>
        <v>#VALUE!</v>
      </c>
      <c r="B19" t="e">
        <f ca="1"/>
        <v>#VALUE!</v>
      </c>
      <c r="C19" t="e">
        <f ca="1"/>
        <v>#VALUE!</v>
      </c>
      <c r="D19" t="e">
        <f ca="1"/>
        <v>#VALUE!</v>
      </c>
      <c r="E19" t="e">
        <f ca="1"/>
        <v>#VALUE!</v>
      </c>
      <c r="F19" t="e">
        <f ca="1"/>
        <v>#VALUE!</v>
      </c>
      <c r="G19" t="e">
        <f ca="1"/>
        <v>#VALUE!</v>
      </c>
      <c r="H19" t="e">
        <f ca="1"/>
        <v>#VALUE!</v>
      </c>
      <c r="I19" t="e">
        <f ca="1"/>
        <v>#VALUE!</v>
      </c>
      <c r="J19" t="e">
        <f ca="1"/>
        <v>#VALUE!</v>
      </c>
      <c r="K19" t="e">
        <f ca="1"/>
        <v>#VALUE!</v>
      </c>
      <c r="L19" t="e">
        <f ca="1"/>
        <v>#VALUE!</v>
      </c>
      <c r="M19" t="e">
        <f ca="1"/>
        <v>#VALUE!</v>
      </c>
      <c r="N19" t="e">
        <f ca="1"/>
        <v>#VALUE!</v>
      </c>
      <c r="O19" t="e">
        <f ca="1"/>
        <v>#VALUE!</v>
      </c>
      <c r="P19" t="e">
        <f ca="1"/>
        <v>#VALUE!</v>
      </c>
      <c r="Q19" t="e">
        <f t="shared" ca="1" si="0"/>
        <v>#VALUE!</v>
      </c>
      <c r="R19" t="e">
        <f t="shared" ca="1" si="1"/>
        <v>#VALUE!</v>
      </c>
      <c r="S19" t="e">
        <f t="shared" ca="1" si="2"/>
        <v>#VALUE!</v>
      </c>
      <c r="W19">
        <v>2011</v>
      </c>
      <c r="X19" t="e">
        <f t="array" aca="1" ref="X19:AM19" ca="1">OFFSET('2011'!$A$1,VLOOKUP(Dashboard!$X$2,'2011'!$A$1:$R$357,18,FALSE),1,1,16)</f>
        <v>#VALUE!</v>
      </c>
      <c r="Y19" t="e">
        <f ca="1"/>
        <v>#VALUE!</v>
      </c>
      <c r="Z19" t="e">
        <f ca="1"/>
        <v>#VALUE!</v>
      </c>
      <c r="AA19" t="e">
        <f ca="1"/>
        <v>#VALUE!</v>
      </c>
      <c r="AB19" t="e">
        <f ca="1"/>
        <v>#VALUE!</v>
      </c>
      <c r="AC19" t="e">
        <f ca="1"/>
        <v>#VALUE!</v>
      </c>
      <c r="AD19" t="e">
        <f ca="1"/>
        <v>#VALUE!</v>
      </c>
      <c r="AE19" t="e">
        <f ca="1"/>
        <v>#VALUE!</v>
      </c>
      <c r="AF19" t="e">
        <f ca="1"/>
        <v>#VALUE!</v>
      </c>
      <c r="AG19" t="e">
        <f ca="1"/>
        <v>#VALUE!</v>
      </c>
      <c r="AH19" t="e">
        <f ca="1"/>
        <v>#VALUE!</v>
      </c>
      <c r="AI19" t="e">
        <f ca="1"/>
        <v>#VALUE!</v>
      </c>
      <c r="AJ19" t="e">
        <f ca="1"/>
        <v>#VALUE!</v>
      </c>
      <c r="AK19" t="e">
        <f ca="1"/>
        <v>#VALUE!</v>
      </c>
      <c r="AL19" t="e">
        <f ca="1"/>
        <v>#VALUE!</v>
      </c>
      <c r="AM19" t="e">
        <f ca="1"/>
        <v>#VALUE!</v>
      </c>
      <c r="AN19" t="e">
        <f t="shared" ca="1" si="3"/>
        <v>#VALUE!</v>
      </c>
      <c r="AO19" t="e">
        <f t="shared" ca="1" si="4"/>
        <v>#VALUE!</v>
      </c>
      <c r="AP19" t="e">
        <f t="shared" ca="1" si="5"/>
        <v>#VALUE!</v>
      </c>
    </row>
    <row r="20" spans="1:42">
      <c r="A20" t="e">
        <f t="array" aca="1" ref="A20:P20" ca="1">OFFSET('2012'!$A$1,VLOOKUP(Dashboard!$C$1,'2012'!$A$1:$R$357,18,FALSE),1,1,16)</f>
        <v>#VALUE!</v>
      </c>
      <c r="B20" t="e">
        <f ca="1"/>
        <v>#VALUE!</v>
      </c>
      <c r="C20" t="e">
        <f ca="1"/>
        <v>#VALUE!</v>
      </c>
      <c r="D20" t="e">
        <f ca="1"/>
        <v>#VALUE!</v>
      </c>
      <c r="E20" t="e">
        <f ca="1"/>
        <v>#VALUE!</v>
      </c>
      <c r="F20" t="e">
        <f ca="1"/>
        <v>#VALUE!</v>
      </c>
      <c r="G20" t="e">
        <f ca="1"/>
        <v>#VALUE!</v>
      </c>
      <c r="H20" t="e">
        <f ca="1"/>
        <v>#VALUE!</v>
      </c>
      <c r="I20" t="e">
        <f ca="1"/>
        <v>#VALUE!</v>
      </c>
      <c r="J20" t="e">
        <f ca="1"/>
        <v>#VALUE!</v>
      </c>
      <c r="K20" t="e">
        <f ca="1"/>
        <v>#VALUE!</v>
      </c>
      <c r="L20" t="e">
        <f ca="1"/>
        <v>#VALUE!</v>
      </c>
      <c r="M20" t="e">
        <f ca="1"/>
        <v>#VALUE!</v>
      </c>
      <c r="N20" t="e">
        <f ca="1"/>
        <v>#VALUE!</v>
      </c>
      <c r="O20" t="e">
        <f ca="1"/>
        <v>#VALUE!</v>
      </c>
      <c r="P20" t="e">
        <f ca="1"/>
        <v>#VALUE!</v>
      </c>
      <c r="Q20" t="e">
        <f t="shared" ca="1" si="0"/>
        <v>#VALUE!</v>
      </c>
      <c r="R20" t="e">
        <f t="shared" ca="1" si="1"/>
        <v>#VALUE!</v>
      </c>
      <c r="S20" t="e">
        <f t="shared" ca="1" si="2"/>
        <v>#VALUE!</v>
      </c>
      <c r="W20">
        <v>2012</v>
      </c>
      <c r="X20" t="e">
        <f t="array" aca="1" ref="X20:AM20" ca="1">OFFSET('2012'!$A$1,VLOOKUP(Dashboard!$X$2,'2012'!$A$1:$R$357,18,FALSE),1,1,16)</f>
        <v>#VALUE!</v>
      </c>
      <c r="Y20" t="e">
        <f ca="1"/>
        <v>#VALUE!</v>
      </c>
      <c r="Z20" t="e">
        <f ca="1"/>
        <v>#VALUE!</v>
      </c>
      <c r="AA20" t="e">
        <f ca="1"/>
        <v>#VALUE!</v>
      </c>
      <c r="AB20" t="e">
        <f ca="1"/>
        <v>#VALUE!</v>
      </c>
      <c r="AC20" t="e">
        <f ca="1"/>
        <v>#VALUE!</v>
      </c>
      <c r="AD20" t="e">
        <f ca="1"/>
        <v>#VALUE!</v>
      </c>
      <c r="AE20" t="e">
        <f ca="1"/>
        <v>#VALUE!</v>
      </c>
      <c r="AF20" t="e">
        <f ca="1"/>
        <v>#VALUE!</v>
      </c>
      <c r="AG20" t="e">
        <f ca="1"/>
        <v>#VALUE!</v>
      </c>
      <c r="AH20" t="e">
        <f ca="1"/>
        <v>#VALUE!</v>
      </c>
      <c r="AI20" t="e">
        <f ca="1"/>
        <v>#VALUE!</v>
      </c>
      <c r="AJ20" t="e">
        <f ca="1"/>
        <v>#VALUE!</v>
      </c>
      <c r="AK20" t="e">
        <f ca="1"/>
        <v>#VALUE!</v>
      </c>
      <c r="AL20" t="e">
        <f ca="1"/>
        <v>#VALUE!</v>
      </c>
      <c r="AM20" t="e">
        <f ca="1"/>
        <v>#VALUE!</v>
      </c>
      <c r="AN20" t="e">
        <f t="shared" ca="1" si="3"/>
        <v>#VALUE!</v>
      </c>
      <c r="AO20" t="e">
        <f t="shared" ca="1" si="4"/>
        <v>#VALUE!</v>
      </c>
      <c r="AP20" t="e">
        <f t="shared" ca="1" si="5"/>
        <v>#VALUE!</v>
      </c>
    </row>
    <row r="21" spans="1:42">
      <c r="A21" t="e">
        <f t="array" aca="1" ref="A21:P21" ca="1">OFFSET('2013'!$A$1,VLOOKUP(Dashboard!$C$1,'2013'!$A$1:$R$357,18,FALSE),1,1,16)</f>
        <v>#VALUE!</v>
      </c>
      <c r="B21" t="e">
        <f ca="1"/>
        <v>#VALUE!</v>
      </c>
      <c r="C21" t="e">
        <f ca="1"/>
        <v>#VALUE!</v>
      </c>
      <c r="D21" t="e">
        <f ca="1"/>
        <v>#VALUE!</v>
      </c>
      <c r="E21" t="e">
        <f ca="1"/>
        <v>#VALUE!</v>
      </c>
      <c r="F21" t="e">
        <f ca="1"/>
        <v>#VALUE!</v>
      </c>
      <c r="G21" t="e">
        <f ca="1"/>
        <v>#VALUE!</v>
      </c>
      <c r="H21" t="e">
        <f ca="1"/>
        <v>#VALUE!</v>
      </c>
      <c r="I21" t="e">
        <f ca="1"/>
        <v>#VALUE!</v>
      </c>
      <c r="J21" t="e">
        <f ca="1"/>
        <v>#VALUE!</v>
      </c>
      <c r="K21" t="e">
        <f ca="1"/>
        <v>#VALUE!</v>
      </c>
      <c r="L21" t="e">
        <f ca="1"/>
        <v>#VALUE!</v>
      </c>
      <c r="M21" t="e">
        <f ca="1"/>
        <v>#VALUE!</v>
      </c>
      <c r="N21" t="e">
        <f ca="1"/>
        <v>#VALUE!</v>
      </c>
      <c r="O21" t="e">
        <f ca="1"/>
        <v>#VALUE!</v>
      </c>
      <c r="P21" t="e">
        <f ca="1"/>
        <v>#VALUE!</v>
      </c>
      <c r="Q21" t="e">
        <f t="shared" ca="1" si="0"/>
        <v>#VALUE!</v>
      </c>
      <c r="R21" t="e">
        <f t="shared" ca="1" si="1"/>
        <v>#VALUE!</v>
      </c>
      <c r="S21" t="e">
        <f t="shared" ca="1" si="2"/>
        <v>#VALUE!</v>
      </c>
      <c r="W21">
        <v>2013</v>
      </c>
      <c r="X21" t="e">
        <f t="array" aca="1" ref="X21:AM21" ca="1">OFFSET('2013'!$A$1,VLOOKUP(Dashboard!$X$2,'2013'!$A$1:$R$357,18,FALSE),1,1,16)</f>
        <v>#VALUE!</v>
      </c>
      <c r="Y21" t="e">
        <f ca="1"/>
        <v>#VALUE!</v>
      </c>
      <c r="Z21" t="e">
        <f ca="1"/>
        <v>#VALUE!</v>
      </c>
      <c r="AA21" t="e">
        <f ca="1"/>
        <v>#VALUE!</v>
      </c>
      <c r="AB21" t="e">
        <f ca="1"/>
        <v>#VALUE!</v>
      </c>
      <c r="AC21" t="e">
        <f ca="1"/>
        <v>#VALUE!</v>
      </c>
      <c r="AD21" t="e">
        <f ca="1"/>
        <v>#VALUE!</v>
      </c>
      <c r="AE21" t="e">
        <f ca="1"/>
        <v>#VALUE!</v>
      </c>
      <c r="AF21" t="e">
        <f ca="1"/>
        <v>#VALUE!</v>
      </c>
      <c r="AG21" t="e">
        <f ca="1"/>
        <v>#VALUE!</v>
      </c>
      <c r="AH21" t="e">
        <f ca="1"/>
        <v>#VALUE!</v>
      </c>
      <c r="AI21" t="e">
        <f ca="1"/>
        <v>#VALUE!</v>
      </c>
      <c r="AJ21" t="e">
        <f ca="1"/>
        <v>#VALUE!</v>
      </c>
      <c r="AK21" t="e">
        <f ca="1"/>
        <v>#VALUE!</v>
      </c>
      <c r="AL21" t="e">
        <f ca="1"/>
        <v>#VALUE!</v>
      </c>
      <c r="AM21" t="e">
        <f ca="1"/>
        <v>#VALUE!</v>
      </c>
      <c r="AN21" t="e">
        <f t="shared" ca="1" si="3"/>
        <v>#VALUE!</v>
      </c>
      <c r="AO21" t="e">
        <f t="shared" ca="1" si="4"/>
        <v>#VALUE!</v>
      </c>
      <c r="AP21" t="e">
        <f t="shared" ca="1" si="5"/>
        <v>#VALUE!</v>
      </c>
    </row>
    <row r="22" spans="1:42">
      <c r="A22" t="e">
        <f t="array" aca="1" ref="A22:P22" ca="1">OFFSET('2014'!$A$1,VLOOKUP(Dashboard!$C$1,'2014'!$A$1:$R$357,18,FALSE),1,1,16)</f>
        <v>#VALUE!</v>
      </c>
      <c r="B22" t="e">
        <f ca="1"/>
        <v>#VALUE!</v>
      </c>
      <c r="C22" t="e">
        <f ca="1"/>
        <v>#VALUE!</v>
      </c>
      <c r="D22" t="e">
        <f ca="1"/>
        <v>#VALUE!</v>
      </c>
      <c r="E22" t="e">
        <f ca="1"/>
        <v>#VALUE!</v>
      </c>
      <c r="F22" t="e">
        <f ca="1"/>
        <v>#VALUE!</v>
      </c>
      <c r="G22" t="e">
        <f ca="1"/>
        <v>#VALUE!</v>
      </c>
      <c r="H22" t="e">
        <f ca="1"/>
        <v>#VALUE!</v>
      </c>
      <c r="I22" t="e">
        <f ca="1"/>
        <v>#VALUE!</v>
      </c>
      <c r="J22" t="e">
        <f ca="1"/>
        <v>#VALUE!</v>
      </c>
      <c r="K22" t="e">
        <f ca="1"/>
        <v>#VALUE!</v>
      </c>
      <c r="L22" t="e">
        <f ca="1"/>
        <v>#VALUE!</v>
      </c>
      <c r="M22" t="e">
        <f ca="1"/>
        <v>#VALUE!</v>
      </c>
      <c r="N22" t="e">
        <f ca="1"/>
        <v>#VALUE!</v>
      </c>
      <c r="O22" t="e">
        <f ca="1"/>
        <v>#VALUE!</v>
      </c>
      <c r="P22" t="e">
        <f ca="1"/>
        <v>#VALUE!</v>
      </c>
      <c r="Q22" t="e">
        <f t="shared" ca="1" si="0"/>
        <v>#VALUE!</v>
      </c>
      <c r="R22" t="e">
        <f t="shared" ca="1" si="1"/>
        <v>#VALUE!</v>
      </c>
      <c r="S22" t="e">
        <f t="shared" ca="1" si="2"/>
        <v>#VALUE!</v>
      </c>
      <c r="W22">
        <v>2014</v>
      </c>
      <c r="X22" t="e">
        <f t="array" aca="1" ref="X22:AM22" ca="1">OFFSET('2014'!$A$1,VLOOKUP(Dashboard!$X$2,'2014'!$A$1:$R$357,18,FALSE),1,1,16)</f>
        <v>#VALUE!</v>
      </c>
      <c r="Y22" t="e">
        <f ca="1"/>
        <v>#VALUE!</v>
      </c>
      <c r="Z22" t="e">
        <f ca="1"/>
        <v>#VALUE!</v>
      </c>
      <c r="AA22" t="e">
        <f ca="1"/>
        <v>#VALUE!</v>
      </c>
      <c r="AB22" t="e">
        <f ca="1"/>
        <v>#VALUE!</v>
      </c>
      <c r="AC22" t="e">
        <f ca="1"/>
        <v>#VALUE!</v>
      </c>
      <c r="AD22" t="e">
        <f ca="1"/>
        <v>#VALUE!</v>
      </c>
      <c r="AE22" t="e">
        <f ca="1"/>
        <v>#VALUE!</v>
      </c>
      <c r="AF22" t="e">
        <f ca="1"/>
        <v>#VALUE!</v>
      </c>
      <c r="AG22" t="e">
        <f ca="1"/>
        <v>#VALUE!</v>
      </c>
      <c r="AH22" t="e">
        <f ca="1"/>
        <v>#VALUE!</v>
      </c>
      <c r="AI22" t="e">
        <f ca="1"/>
        <v>#VALUE!</v>
      </c>
      <c r="AJ22" t="e">
        <f ca="1"/>
        <v>#VALUE!</v>
      </c>
      <c r="AK22" t="e">
        <f ca="1"/>
        <v>#VALUE!</v>
      </c>
      <c r="AL22" t="e">
        <f ca="1"/>
        <v>#VALUE!</v>
      </c>
      <c r="AM22" t="e">
        <f ca="1"/>
        <v>#VALUE!</v>
      </c>
      <c r="AN22" t="e">
        <f t="shared" ca="1" si="3"/>
        <v>#VALUE!</v>
      </c>
      <c r="AO22" t="e">
        <f t="shared" ca="1" si="4"/>
        <v>#VALUE!</v>
      </c>
      <c r="AP22" t="e">
        <f t="shared" ca="1" si="5"/>
        <v>#VALUE!</v>
      </c>
    </row>
    <row r="23" spans="1:42">
      <c r="A23" t="e">
        <f t="array" aca="1" ref="A23:P23" ca="1">OFFSET('2015'!$A$1,VLOOKUP(Dashboard!$C$1,'2015'!$A$1:$R$357,18,FALSE),1,1,16)</f>
        <v>#VALUE!</v>
      </c>
      <c r="B23" t="e">
        <f ca="1"/>
        <v>#VALUE!</v>
      </c>
      <c r="C23" t="e">
        <f ca="1"/>
        <v>#VALUE!</v>
      </c>
      <c r="D23" t="e">
        <f ca="1"/>
        <v>#VALUE!</v>
      </c>
      <c r="E23" t="e">
        <f ca="1"/>
        <v>#VALUE!</v>
      </c>
      <c r="F23" t="e">
        <f ca="1"/>
        <v>#VALUE!</v>
      </c>
      <c r="G23" t="e">
        <f ca="1"/>
        <v>#VALUE!</v>
      </c>
      <c r="H23" t="e">
        <f ca="1"/>
        <v>#VALUE!</v>
      </c>
      <c r="I23" t="e">
        <f ca="1"/>
        <v>#VALUE!</v>
      </c>
      <c r="J23" t="e">
        <f ca="1"/>
        <v>#VALUE!</v>
      </c>
      <c r="K23" t="e">
        <f ca="1"/>
        <v>#VALUE!</v>
      </c>
      <c r="L23" t="e">
        <f ca="1"/>
        <v>#VALUE!</v>
      </c>
      <c r="M23" t="e">
        <f ca="1"/>
        <v>#VALUE!</v>
      </c>
      <c r="N23" t="e">
        <f ca="1"/>
        <v>#VALUE!</v>
      </c>
      <c r="O23" t="e">
        <f ca="1"/>
        <v>#VALUE!</v>
      </c>
      <c r="P23" t="e">
        <f ca="1"/>
        <v>#VALUE!</v>
      </c>
      <c r="Q23" t="e">
        <f t="shared" ca="1" si="0"/>
        <v>#VALUE!</v>
      </c>
      <c r="R23" t="e">
        <f t="shared" ca="1" si="1"/>
        <v>#VALUE!</v>
      </c>
      <c r="S23" t="e">
        <f t="shared" ca="1" si="2"/>
        <v>#VALUE!</v>
      </c>
      <c r="W23">
        <v>2015</v>
      </c>
      <c r="X23" t="e">
        <f t="array" aca="1" ref="X23:AM23" ca="1">OFFSET('2015'!$A$1,VLOOKUP(Dashboard!$X$2,'2015'!$A$1:$R$357,18,FALSE),1,1,16)</f>
        <v>#VALUE!</v>
      </c>
      <c r="Y23" t="e">
        <f ca="1"/>
        <v>#VALUE!</v>
      </c>
      <c r="Z23" t="e">
        <f ca="1"/>
        <v>#VALUE!</v>
      </c>
      <c r="AA23" t="e">
        <f ca="1"/>
        <v>#VALUE!</v>
      </c>
      <c r="AB23" t="e">
        <f ca="1"/>
        <v>#VALUE!</v>
      </c>
      <c r="AC23" t="e">
        <f ca="1"/>
        <v>#VALUE!</v>
      </c>
      <c r="AD23" t="e">
        <f ca="1"/>
        <v>#VALUE!</v>
      </c>
      <c r="AE23" t="e">
        <f ca="1"/>
        <v>#VALUE!</v>
      </c>
      <c r="AF23" t="e">
        <f ca="1"/>
        <v>#VALUE!</v>
      </c>
      <c r="AG23" t="e">
        <f ca="1"/>
        <v>#VALUE!</v>
      </c>
      <c r="AH23" t="e">
        <f ca="1"/>
        <v>#VALUE!</v>
      </c>
      <c r="AI23" t="e">
        <f ca="1"/>
        <v>#VALUE!</v>
      </c>
      <c r="AJ23" t="e">
        <f ca="1"/>
        <v>#VALUE!</v>
      </c>
      <c r="AK23" t="e">
        <f ca="1"/>
        <v>#VALUE!</v>
      </c>
      <c r="AL23" t="e">
        <f ca="1"/>
        <v>#VALUE!</v>
      </c>
      <c r="AM23" t="e">
        <f ca="1"/>
        <v>#VALUE!</v>
      </c>
      <c r="AN23" t="e">
        <f t="shared" ca="1" si="3"/>
        <v>#VALUE!</v>
      </c>
      <c r="AO23" t="e">
        <f t="shared" ca="1" si="4"/>
        <v>#VALUE!</v>
      </c>
      <c r="AP23" t="e">
        <f t="shared" ca="1" si="5"/>
        <v>#VALUE!</v>
      </c>
    </row>
    <row r="24" spans="1:42">
      <c r="A24" t="e">
        <f t="array" aca="1" ref="A24:P24" ca="1">OFFSET('2016'!$A$1,VLOOKUP(Dashboard!$C$1,'2016'!$A$1:$R$357,18,FALSE),1,1,16)</f>
        <v>#VALUE!</v>
      </c>
      <c r="B24" t="e">
        <f ca="1"/>
        <v>#VALUE!</v>
      </c>
      <c r="C24" t="e">
        <f ca="1"/>
        <v>#VALUE!</v>
      </c>
      <c r="D24" t="e">
        <f ca="1"/>
        <v>#VALUE!</v>
      </c>
      <c r="E24" t="e">
        <f ca="1"/>
        <v>#VALUE!</v>
      </c>
      <c r="F24" t="e">
        <f ca="1"/>
        <v>#VALUE!</v>
      </c>
      <c r="G24" t="e">
        <f ca="1"/>
        <v>#VALUE!</v>
      </c>
      <c r="H24" t="e">
        <f ca="1"/>
        <v>#VALUE!</v>
      </c>
      <c r="I24" t="e">
        <f ca="1"/>
        <v>#VALUE!</v>
      </c>
      <c r="J24" t="e">
        <f ca="1"/>
        <v>#VALUE!</v>
      </c>
      <c r="K24" t="e">
        <f ca="1"/>
        <v>#VALUE!</v>
      </c>
      <c r="L24" t="e">
        <f ca="1"/>
        <v>#VALUE!</v>
      </c>
      <c r="M24" t="e">
        <f ca="1"/>
        <v>#VALUE!</v>
      </c>
      <c r="N24" t="e">
        <f ca="1"/>
        <v>#VALUE!</v>
      </c>
      <c r="O24" t="e">
        <f ca="1"/>
        <v>#VALUE!</v>
      </c>
      <c r="P24" t="e">
        <f ca="1"/>
        <v>#VALUE!</v>
      </c>
      <c r="Q24" t="e">
        <f t="shared" ca="1" si="0"/>
        <v>#VALUE!</v>
      </c>
      <c r="R24" t="e">
        <f t="shared" ca="1" si="1"/>
        <v>#VALUE!</v>
      </c>
      <c r="S24" t="e">
        <f t="shared" ca="1" si="2"/>
        <v>#VALUE!</v>
      </c>
      <c r="W24">
        <v>2016</v>
      </c>
      <c r="X24" t="e">
        <f t="array" aca="1" ref="X24:AM24" ca="1">OFFSET('2016'!$A$1,VLOOKUP(Dashboard!$X$2,'2016'!$A$1:$R$357,18,FALSE),1,1,16)</f>
        <v>#VALUE!</v>
      </c>
      <c r="Y24" t="e">
        <f ca="1"/>
        <v>#VALUE!</v>
      </c>
      <c r="Z24" t="e">
        <f ca="1"/>
        <v>#VALUE!</v>
      </c>
      <c r="AA24" t="e">
        <f ca="1"/>
        <v>#VALUE!</v>
      </c>
      <c r="AB24" t="e">
        <f ca="1"/>
        <v>#VALUE!</v>
      </c>
      <c r="AC24" t="e">
        <f ca="1"/>
        <v>#VALUE!</v>
      </c>
      <c r="AD24" t="e">
        <f ca="1"/>
        <v>#VALUE!</v>
      </c>
      <c r="AE24" t="e">
        <f ca="1"/>
        <v>#VALUE!</v>
      </c>
      <c r="AF24" t="e">
        <f ca="1"/>
        <v>#VALUE!</v>
      </c>
      <c r="AG24" t="e">
        <f ca="1"/>
        <v>#VALUE!</v>
      </c>
      <c r="AH24" t="e">
        <f ca="1"/>
        <v>#VALUE!</v>
      </c>
      <c r="AI24" t="e">
        <f ca="1"/>
        <v>#VALUE!</v>
      </c>
      <c r="AJ24" t="e">
        <f ca="1"/>
        <v>#VALUE!</v>
      </c>
      <c r="AK24" t="e">
        <f ca="1"/>
        <v>#VALUE!</v>
      </c>
      <c r="AL24" t="e">
        <f ca="1"/>
        <v>#VALUE!</v>
      </c>
      <c r="AM24" t="e">
        <f ca="1"/>
        <v>#VALUE!</v>
      </c>
      <c r="AN24" t="e">
        <f t="shared" ca="1" si="3"/>
        <v>#VALUE!</v>
      </c>
      <c r="AO24" t="e">
        <f t="shared" ca="1" si="4"/>
        <v>#VALUE!</v>
      </c>
      <c r="AP24" t="e">
        <f t="shared" ca="1" si="5"/>
        <v>#VALUE!</v>
      </c>
    </row>
    <row r="25" spans="1:42">
      <c r="A25" t="e">
        <f t="array" aca="1" ref="A25:P25" ca="1">OFFSET('2017'!$A$1,VLOOKUP(Dashboard!$C$1,'2017'!$A$1:$R$357,18,FALSE),1,1,16)</f>
        <v>#VALUE!</v>
      </c>
      <c r="B25" t="e">
        <f ca="1"/>
        <v>#VALUE!</v>
      </c>
      <c r="C25" t="e">
        <f ca="1"/>
        <v>#VALUE!</v>
      </c>
      <c r="D25" t="e">
        <f ca="1"/>
        <v>#VALUE!</v>
      </c>
      <c r="E25" t="e">
        <f ca="1"/>
        <v>#VALUE!</v>
      </c>
      <c r="F25" t="e">
        <f ca="1"/>
        <v>#VALUE!</v>
      </c>
      <c r="G25" t="e">
        <f ca="1"/>
        <v>#VALUE!</v>
      </c>
      <c r="H25" t="e">
        <f ca="1"/>
        <v>#VALUE!</v>
      </c>
      <c r="I25" t="e">
        <f ca="1"/>
        <v>#VALUE!</v>
      </c>
      <c r="J25" t="e">
        <f ca="1"/>
        <v>#VALUE!</v>
      </c>
      <c r="K25" t="e">
        <f ca="1"/>
        <v>#VALUE!</v>
      </c>
      <c r="L25" t="e">
        <f ca="1"/>
        <v>#VALUE!</v>
      </c>
      <c r="M25" t="e">
        <f ca="1"/>
        <v>#VALUE!</v>
      </c>
      <c r="N25" t="e">
        <f ca="1"/>
        <v>#VALUE!</v>
      </c>
      <c r="O25" t="e">
        <f ca="1"/>
        <v>#VALUE!</v>
      </c>
      <c r="P25" t="e">
        <f ca="1"/>
        <v>#VALUE!</v>
      </c>
      <c r="Q25" t="e">
        <f t="shared" ca="1" si="0"/>
        <v>#VALUE!</v>
      </c>
      <c r="R25" t="e">
        <f t="shared" ca="1" si="1"/>
        <v>#VALUE!</v>
      </c>
      <c r="S25" t="e">
        <f t="shared" ca="1" si="2"/>
        <v>#VALUE!</v>
      </c>
      <c r="W25">
        <v>2017</v>
      </c>
      <c r="X25" t="e">
        <f t="array" aca="1" ref="X25:AM25" ca="1">OFFSET('2017'!$A$1,VLOOKUP(Dashboard!$X$2,'2017'!$A$1:$R$357,18,FALSE),1,1,16)</f>
        <v>#VALUE!</v>
      </c>
      <c r="Y25" t="e">
        <f ca="1"/>
        <v>#VALUE!</v>
      </c>
      <c r="Z25" t="e">
        <f ca="1"/>
        <v>#VALUE!</v>
      </c>
      <c r="AA25" t="e">
        <f ca="1"/>
        <v>#VALUE!</v>
      </c>
      <c r="AB25" t="e">
        <f ca="1"/>
        <v>#VALUE!</v>
      </c>
      <c r="AC25" t="e">
        <f ca="1"/>
        <v>#VALUE!</v>
      </c>
      <c r="AD25" t="e">
        <f ca="1"/>
        <v>#VALUE!</v>
      </c>
      <c r="AE25" t="e">
        <f ca="1"/>
        <v>#VALUE!</v>
      </c>
      <c r="AF25" t="e">
        <f ca="1"/>
        <v>#VALUE!</v>
      </c>
      <c r="AG25" t="e">
        <f ca="1"/>
        <v>#VALUE!</v>
      </c>
      <c r="AH25" t="e">
        <f ca="1"/>
        <v>#VALUE!</v>
      </c>
      <c r="AI25" t="e">
        <f ca="1"/>
        <v>#VALUE!</v>
      </c>
      <c r="AJ25" t="e">
        <f ca="1"/>
        <v>#VALUE!</v>
      </c>
      <c r="AK25" t="e">
        <f ca="1"/>
        <v>#VALUE!</v>
      </c>
      <c r="AL25" t="e">
        <f ca="1"/>
        <v>#VALUE!</v>
      </c>
      <c r="AM25" t="e">
        <f ca="1"/>
        <v>#VALUE!</v>
      </c>
      <c r="AN25" t="e">
        <f t="shared" ca="1" si="3"/>
        <v>#VALUE!</v>
      </c>
      <c r="AO25" t="e">
        <f t="shared" ca="1" si="4"/>
        <v>#VALUE!</v>
      </c>
      <c r="AP25" t="e">
        <f t="shared" ca="1" si="5"/>
        <v>#VALUE!</v>
      </c>
    </row>
    <row r="26" spans="1:42">
      <c r="A26" t="e">
        <f t="array" aca="1" ref="A26:P26" ca="1">OFFSET('2018'!$A$1,VLOOKUP(Dashboard!$C$1,'2018'!$A$1:$R$357,18,FALSE),1,1,16)</f>
        <v>#VALUE!</v>
      </c>
      <c r="B26" t="e">
        <f ca="1"/>
        <v>#VALUE!</v>
      </c>
      <c r="C26" t="e">
        <f ca="1"/>
        <v>#VALUE!</v>
      </c>
      <c r="D26" t="e">
        <f ca="1"/>
        <v>#VALUE!</v>
      </c>
      <c r="E26" t="e">
        <f ca="1"/>
        <v>#VALUE!</v>
      </c>
      <c r="F26" t="e">
        <f ca="1"/>
        <v>#VALUE!</v>
      </c>
      <c r="G26" t="e">
        <f ca="1"/>
        <v>#VALUE!</v>
      </c>
      <c r="H26" t="e">
        <f ca="1"/>
        <v>#VALUE!</v>
      </c>
      <c r="I26" t="e">
        <f ca="1"/>
        <v>#VALUE!</v>
      </c>
      <c r="J26" t="e">
        <f ca="1"/>
        <v>#VALUE!</v>
      </c>
      <c r="K26" t="e">
        <f ca="1"/>
        <v>#VALUE!</v>
      </c>
      <c r="L26" t="e">
        <f ca="1"/>
        <v>#VALUE!</v>
      </c>
      <c r="M26" t="e">
        <f ca="1"/>
        <v>#VALUE!</v>
      </c>
      <c r="N26" t="e">
        <f ca="1"/>
        <v>#VALUE!</v>
      </c>
      <c r="O26" t="e">
        <f ca="1"/>
        <v>#VALUE!</v>
      </c>
      <c r="P26" t="e">
        <f ca="1"/>
        <v>#VALUE!</v>
      </c>
      <c r="Q26" t="e">
        <f t="shared" ca="1" si="0"/>
        <v>#VALUE!</v>
      </c>
      <c r="R26" t="e">
        <f t="shared" ca="1" si="1"/>
        <v>#VALUE!</v>
      </c>
      <c r="S26" t="e">
        <f t="shared" ca="1" si="2"/>
        <v>#VALUE!</v>
      </c>
      <c r="W26">
        <v>2018</v>
      </c>
      <c r="X26" t="e">
        <f t="array" aca="1" ref="X26:AM26" ca="1">OFFSET('2018'!$A$1,VLOOKUP(Dashboard!$X$2,'2018'!$A$1:$R$357,18,FALSE),1,1,16)</f>
        <v>#VALUE!</v>
      </c>
      <c r="Y26" t="e">
        <f ca="1"/>
        <v>#VALUE!</v>
      </c>
      <c r="Z26" t="e">
        <f ca="1"/>
        <v>#VALUE!</v>
      </c>
      <c r="AA26" t="e">
        <f ca="1"/>
        <v>#VALUE!</v>
      </c>
      <c r="AB26" t="e">
        <f ca="1"/>
        <v>#VALUE!</v>
      </c>
      <c r="AC26" t="e">
        <f ca="1"/>
        <v>#VALUE!</v>
      </c>
      <c r="AD26" t="e">
        <f ca="1"/>
        <v>#VALUE!</v>
      </c>
      <c r="AE26" t="e">
        <f ca="1"/>
        <v>#VALUE!</v>
      </c>
      <c r="AF26" t="e">
        <f ca="1"/>
        <v>#VALUE!</v>
      </c>
      <c r="AG26" t="e">
        <f ca="1"/>
        <v>#VALUE!</v>
      </c>
      <c r="AH26" t="e">
        <f ca="1"/>
        <v>#VALUE!</v>
      </c>
      <c r="AI26" t="e">
        <f ca="1"/>
        <v>#VALUE!</v>
      </c>
      <c r="AJ26" t="e">
        <f ca="1"/>
        <v>#VALUE!</v>
      </c>
      <c r="AK26" t="e">
        <f ca="1"/>
        <v>#VALUE!</v>
      </c>
      <c r="AL26" t="e">
        <f ca="1"/>
        <v>#VALUE!</v>
      </c>
      <c r="AM26" t="e">
        <f ca="1"/>
        <v>#VALUE!</v>
      </c>
      <c r="AN26" t="e">
        <f t="shared" ca="1" si="3"/>
        <v>#VALUE!</v>
      </c>
      <c r="AO26" t="e">
        <f t="shared" ca="1" si="4"/>
        <v>#VALUE!</v>
      </c>
      <c r="AP26" t="e">
        <f t="shared" ca="1" si="5"/>
        <v>#VALUE!</v>
      </c>
    </row>
    <row r="27" spans="1:42">
      <c r="A27" t="e">
        <f t="array" aca="1" ref="A27:P27" ca="1">OFFSET('2019'!$A$1,VLOOKUP(Dashboard!$C$1,'2019'!$A$1:$R$357,18,FALSE),1,1,16)</f>
        <v>#VALUE!</v>
      </c>
      <c r="B27" t="e">
        <f ca="1"/>
        <v>#VALUE!</v>
      </c>
      <c r="C27" t="e">
        <f ca="1"/>
        <v>#VALUE!</v>
      </c>
      <c r="D27" t="e">
        <f ca="1"/>
        <v>#VALUE!</v>
      </c>
      <c r="E27" t="e">
        <f ca="1"/>
        <v>#VALUE!</v>
      </c>
      <c r="F27" t="e">
        <f ca="1"/>
        <v>#VALUE!</v>
      </c>
      <c r="G27" t="e">
        <f ca="1"/>
        <v>#VALUE!</v>
      </c>
      <c r="H27" t="e">
        <f ca="1"/>
        <v>#VALUE!</v>
      </c>
      <c r="I27" t="e">
        <f ca="1"/>
        <v>#VALUE!</v>
      </c>
      <c r="J27" t="e">
        <f ca="1"/>
        <v>#VALUE!</v>
      </c>
      <c r="K27" t="e">
        <f ca="1"/>
        <v>#VALUE!</v>
      </c>
      <c r="L27" t="e">
        <f ca="1"/>
        <v>#VALUE!</v>
      </c>
      <c r="M27" t="e">
        <f ca="1"/>
        <v>#VALUE!</v>
      </c>
      <c r="N27" t="e">
        <f ca="1"/>
        <v>#VALUE!</v>
      </c>
      <c r="O27" t="e">
        <f ca="1"/>
        <v>#VALUE!</v>
      </c>
      <c r="P27" t="e">
        <f ca="1"/>
        <v>#VALUE!</v>
      </c>
      <c r="Q27" t="e">
        <f t="shared" ca="1" si="0"/>
        <v>#VALUE!</v>
      </c>
      <c r="R27" t="e">
        <f t="shared" ca="1" si="1"/>
        <v>#VALUE!</v>
      </c>
      <c r="S27" t="e">
        <f t="shared" ca="1" si="2"/>
        <v>#VALUE!</v>
      </c>
      <c r="W27">
        <v>2019</v>
      </c>
      <c r="X27" t="e">
        <f t="array" aca="1" ref="X27:AM27" ca="1">OFFSET('2019'!$A$1,VLOOKUP(Dashboard!$X$2,'2019'!$A$1:$R$357,18,FALSE),1,1,16)</f>
        <v>#VALUE!</v>
      </c>
      <c r="Y27" t="e">
        <f ca="1"/>
        <v>#VALUE!</v>
      </c>
      <c r="Z27" t="e">
        <f ca="1"/>
        <v>#VALUE!</v>
      </c>
      <c r="AA27" t="e">
        <f ca="1"/>
        <v>#VALUE!</v>
      </c>
      <c r="AB27" t="e">
        <f ca="1"/>
        <v>#VALUE!</v>
      </c>
      <c r="AC27" t="e">
        <f ca="1"/>
        <v>#VALUE!</v>
      </c>
      <c r="AD27" t="e">
        <f ca="1"/>
        <v>#VALUE!</v>
      </c>
      <c r="AE27" t="e">
        <f ca="1"/>
        <v>#VALUE!</v>
      </c>
      <c r="AF27" t="e">
        <f ca="1"/>
        <v>#VALUE!</v>
      </c>
      <c r="AG27" t="e">
        <f ca="1"/>
        <v>#VALUE!</v>
      </c>
      <c r="AH27" t="e">
        <f ca="1"/>
        <v>#VALUE!</v>
      </c>
      <c r="AI27" t="e">
        <f ca="1"/>
        <v>#VALUE!</v>
      </c>
      <c r="AJ27" t="e">
        <f ca="1"/>
        <v>#VALUE!</v>
      </c>
      <c r="AK27" t="e">
        <f ca="1"/>
        <v>#VALUE!</v>
      </c>
      <c r="AL27" t="e">
        <f ca="1"/>
        <v>#VALUE!</v>
      </c>
      <c r="AM27" t="e">
        <f ca="1"/>
        <v>#VALUE!</v>
      </c>
      <c r="AN27" t="e">
        <f t="shared" ca="1" si="3"/>
        <v>#VALUE!</v>
      </c>
      <c r="AO27" t="e">
        <f t="shared" ca="1" si="4"/>
        <v>#VALUE!</v>
      </c>
      <c r="AP27" t="e">
        <f t="shared" ca="1" si="5"/>
        <v>#VALUE!</v>
      </c>
    </row>
    <row r="28" spans="1:42">
      <c r="A28" t="e">
        <f t="array" aca="1" ref="A28:P28" ca="1">OFFSET('2021'!$A$1,VLOOKUP(Dashboard!$C$1,'2021'!$A$1:$R$357,18,FALSE),1,1,16)</f>
        <v>#VALUE!</v>
      </c>
      <c r="B28" t="e">
        <f ca="1"/>
        <v>#VALUE!</v>
      </c>
      <c r="C28" t="e">
        <f ca="1"/>
        <v>#VALUE!</v>
      </c>
      <c r="D28" t="e">
        <f ca="1"/>
        <v>#VALUE!</v>
      </c>
      <c r="E28" t="e">
        <f ca="1"/>
        <v>#VALUE!</v>
      </c>
      <c r="F28" t="e">
        <f ca="1"/>
        <v>#VALUE!</v>
      </c>
      <c r="G28" t="e">
        <f ca="1"/>
        <v>#VALUE!</v>
      </c>
      <c r="H28" t="e">
        <f ca="1"/>
        <v>#VALUE!</v>
      </c>
      <c r="I28" t="e">
        <f ca="1"/>
        <v>#VALUE!</v>
      </c>
      <c r="J28" t="e">
        <f ca="1"/>
        <v>#VALUE!</v>
      </c>
      <c r="K28" t="e">
        <f ca="1"/>
        <v>#VALUE!</v>
      </c>
      <c r="L28" t="e">
        <f ca="1"/>
        <v>#VALUE!</v>
      </c>
      <c r="M28" t="e">
        <f ca="1"/>
        <v>#VALUE!</v>
      </c>
      <c r="N28" t="e">
        <f ca="1"/>
        <v>#VALUE!</v>
      </c>
      <c r="O28" t="e">
        <f ca="1"/>
        <v>#VALUE!</v>
      </c>
      <c r="P28" t="e">
        <f ca="1"/>
        <v>#VALUE!</v>
      </c>
      <c r="Q28" t="e">
        <f ca="1">B28/A28</f>
        <v>#VALUE!</v>
      </c>
      <c r="R28" t="e">
        <f ca="1">F28/G28</f>
        <v>#VALUE!</v>
      </c>
      <c r="S28" t="e">
        <f ca="1">H28/I28</f>
        <v>#VALUE!</v>
      </c>
      <c r="W28">
        <v>2021</v>
      </c>
      <c r="X28" t="e">
        <f t="array" aca="1" ref="X28:AM28" ca="1">OFFSET('2021'!$A$1,VLOOKUP(Dashboard!$X$2,'2021'!$A$1:$R$357,18,FALSE),1,1,16)</f>
        <v>#VALUE!</v>
      </c>
      <c r="Y28" t="e">
        <f ca="1"/>
        <v>#VALUE!</v>
      </c>
      <c r="Z28" t="e">
        <f ca="1"/>
        <v>#VALUE!</v>
      </c>
      <c r="AA28" t="e">
        <f ca="1"/>
        <v>#VALUE!</v>
      </c>
      <c r="AB28" t="e">
        <f ca="1"/>
        <v>#VALUE!</v>
      </c>
      <c r="AC28" t="e">
        <f ca="1"/>
        <v>#VALUE!</v>
      </c>
      <c r="AD28" t="e">
        <f ca="1"/>
        <v>#VALUE!</v>
      </c>
      <c r="AE28" t="e">
        <f ca="1"/>
        <v>#VALUE!</v>
      </c>
      <c r="AF28" t="e">
        <f ca="1"/>
        <v>#VALUE!</v>
      </c>
      <c r="AG28" t="e">
        <f ca="1"/>
        <v>#VALUE!</v>
      </c>
      <c r="AH28" t="e">
        <f ca="1"/>
        <v>#VALUE!</v>
      </c>
      <c r="AI28" t="e">
        <f ca="1"/>
        <v>#VALUE!</v>
      </c>
      <c r="AJ28" t="e">
        <f ca="1"/>
        <v>#VALUE!</v>
      </c>
      <c r="AK28" t="e">
        <f ca="1"/>
        <v>#VALUE!</v>
      </c>
      <c r="AL28" t="e">
        <f ca="1"/>
        <v>#VALUE!</v>
      </c>
      <c r="AM28" t="e">
        <f ca="1"/>
        <v>#VALUE!</v>
      </c>
      <c r="AN28" t="e">
        <f ca="1">Y28/X28</f>
        <v>#VALUE!</v>
      </c>
      <c r="AO28" t="e">
        <f ca="1">AC28/AD28</f>
        <v>#VALUE!</v>
      </c>
      <c r="AP28" t="e">
        <f ca="1">AE28/AF28</f>
        <v>#VALUE!</v>
      </c>
    </row>
    <row r="35" spans="1:2">
      <c r="A35" s="63" t="s">
        <v>402</v>
      </c>
      <c r="B35" s="64"/>
    </row>
    <row r="36" spans="1:2">
      <c r="A36" t="s">
        <v>403</v>
      </c>
      <c r="B36" s="63">
        <v>1</v>
      </c>
    </row>
    <row r="37" spans="1:2">
      <c r="A37" t="s">
        <v>392</v>
      </c>
      <c r="B37" s="63">
        <v>0.4</v>
      </c>
    </row>
    <row r="38" spans="1:2">
      <c r="A38" t="s">
        <v>7</v>
      </c>
      <c r="B38" s="63">
        <v>-0.7</v>
      </c>
    </row>
    <row r="39" spans="1:2">
      <c r="A39" t="s">
        <v>404</v>
      </c>
      <c r="B39" s="63">
        <v>-0.4</v>
      </c>
    </row>
    <row r="40" spans="1:2">
      <c r="A40" t="s">
        <v>405</v>
      </c>
      <c r="B40" s="63">
        <v>0.7</v>
      </c>
    </row>
    <row r="41" spans="1:2">
      <c r="A41" t="s">
        <v>406</v>
      </c>
      <c r="B41" s="63">
        <v>0.3</v>
      </c>
    </row>
    <row r="42" spans="1:2">
      <c r="A42" t="s">
        <v>407</v>
      </c>
      <c r="B42" s="63">
        <v>1</v>
      </c>
    </row>
    <row r="43" spans="1:2">
      <c r="A43" t="s">
        <v>408</v>
      </c>
      <c r="B43" s="63">
        <v>0.7</v>
      </c>
    </row>
    <row r="44" spans="1:2">
      <c r="A44" t="s">
        <v>409</v>
      </c>
      <c r="B44" s="63">
        <v>0.7</v>
      </c>
    </row>
    <row r="45" spans="1:2">
      <c r="A45" t="s">
        <v>16</v>
      </c>
      <c r="B45" s="63">
        <v>-0.4</v>
      </c>
    </row>
    <row r="46" spans="1:2">
      <c r="A46" t="s">
        <v>410</v>
      </c>
      <c r="B46" s="63">
        <v>-1</v>
      </c>
    </row>
    <row r="47" spans="1:2">
      <c r="A47" t="s">
        <v>411</v>
      </c>
      <c r="B47" s="63">
        <v>1.25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1DB92-D78C-4722-9036-27900717D4BF}">
  <sheetPr codeName="Sheet1"/>
  <dimension ref="A1:R319"/>
  <sheetViews>
    <sheetView workbookViewId="0">
      <selection activeCell="E163" sqref="E163"/>
    </sheetView>
  </sheetViews>
  <sheetFormatPr defaultColWidth="8.85546875" defaultRowHeight="15"/>
  <cols>
    <col min="1" max="1" width="31.28515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28</v>
      </c>
      <c r="C2">
        <v>8</v>
      </c>
      <c r="D2">
        <v>20</v>
      </c>
      <c r="E2">
        <v>2.58</v>
      </c>
      <c r="F2">
        <v>1889</v>
      </c>
      <c r="G2">
        <v>654</v>
      </c>
      <c r="H2">
        <v>1673</v>
      </c>
      <c r="I2">
        <v>397</v>
      </c>
      <c r="J2">
        <v>610</v>
      </c>
      <c r="K2">
        <v>412</v>
      </c>
      <c r="L2">
        <v>1009</v>
      </c>
      <c r="M2">
        <v>336</v>
      </c>
      <c r="N2">
        <v>243</v>
      </c>
      <c r="O2">
        <v>53</v>
      </c>
      <c r="P2">
        <v>408</v>
      </c>
      <c r="Q2">
        <v>587</v>
      </c>
      <c r="R2">
        <v>1</v>
      </c>
    </row>
    <row r="3" spans="1:18">
      <c r="A3" s="1" t="s">
        <v>18</v>
      </c>
      <c r="B3">
        <v>28</v>
      </c>
      <c r="C3">
        <v>17</v>
      </c>
      <c r="D3">
        <v>11</v>
      </c>
      <c r="E3">
        <v>1.32</v>
      </c>
      <c r="F3">
        <v>2126</v>
      </c>
      <c r="G3">
        <v>705</v>
      </c>
      <c r="H3">
        <v>1574</v>
      </c>
      <c r="I3">
        <v>585</v>
      </c>
      <c r="J3">
        <v>767</v>
      </c>
      <c r="K3">
        <v>316</v>
      </c>
      <c r="L3">
        <v>981</v>
      </c>
      <c r="M3">
        <v>431</v>
      </c>
      <c r="N3">
        <v>226</v>
      </c>
      <c r="O3">
        <v>89</v>
      </c>
      <c r="P3">
        <v>389</v>
      </c>
      <c r="Q3">
        <v>505</v>
      </c>
      <c r="R3">
        <v>2</v>
      </c>
    </row>
    <row r="4" spans="1:18">
      <c r="A4" s="1" t="s">
        <v>19</v>
      </c>
      <c r="B4">
        <v>28</v>
      </c>
      <c r="C4">
        <v>18</v>
      </c>
      <c r="D4">
        <v>10</v>
      </c>
      <c r="E4">
        <v>-12.07</v>
      </c>
      <c r="F4">
        <v>2126</v>
      </c>
      <c r="G4">
        <v>764</v>
      </c>
      <c r="H4">
        <v>1929</v>
      </c>
      <c r="I4">
        <v>430</v>
      </c>
      <c r="J4">
        <v>661</v>
      </c>
      <c r="K4">
        <v>530</v>
      </c>
      <c r="L4">
        <v>1196</v>
      </c>
      <c r="M4">
        <v>386</v>
      </c>
      <c r="N4">
        <v>366</v>
      </c>
      <c r="O4">
        <v>99</v>
      </c>
      <c r="P4">
        <v>510</v>
      </c>
      <c r="Q4">
        <v>548</v>
      </c>
      <c r="R4">
        <v>3</v>
      </c>
    </row>
    <row r="5" spans="1:18">
      <c r="A5" s="1" t="s">
        <v>20</v>
      </c>
      <c r="B5">
        <v>28</v>
      </c>
      <c r="C5">
        <v>14</v>
      </c>
      <c r="D5">
        <v>14</v>
      </c>
      <c r="E5">
        <v>4.9400000000000004</v>
      </c>
      <c r="F5">
        <v>2053</v>
      </c>
      <c r="G5">
        <v>737</v>
      </c>
      <c r="H5">
        <v>1771</v>
      </c>
      <c r="I5">
        <v>434</v>
      </c>
      <c r="J5">
        <v>664</v>
      </c>
      <c r="K5">
        <v>411</v>
      </c>
      <c r="L5">
        <v>1084</v>
      </c>
      <c r="M5">
        <v>365</v>
      </c>
      <c r="N5">
        <v>257</v>
      </c>
      <c r="O5">
        <v>87</v>
      </c>
      <c r="P5">
        <v>451</v>
      </c>
      <c r="Q5">
        <v>566</v>
      </c>
      <c r="R5">
        <v>4</v>
      </c>
    </row>
    <row r="6" spans="1:18">
      <c r="A6" s="1" t="s">
        <v>21</v>
      </c>
      <c r="B6">
        <v>28</v>
      </c>
      <c r="C6">
        <v>13</v>
      </c>
      <c r="D6">
        <v>15</v>
      </c>
      <c r="E6">
        <v>-12.35</v>
      </c>
      <c r="F6">
        <v>1867</v>
      </c>
      <c r="G6">
        <v>648</v>
      </c>
      <c r="H6">
        <v>1551</v>
      </c>
      <c r="I6">
        <v>429</v>
      </c>
      <c r="J6">
        <v>672</v>
      </c>
      <c r="K6">
        <v>367</v>
      </c>
      <c r="L6">
        <v>1045</v>
      </c>
      <c r="M6">
        <v>341</v>
      </c>
      <c r="N6">
        <v>238</v>
      </c>
      <c r="O6">
        <v>83</v>
      </c>
      <c r="P6">
        <v>530</v>
      </c>
      <c r="Q6">
        <v>473</v>
      </c>
      <c r="R6">
        <v>5</v>
      </c>
    </row>
    <row r="7" spans="1:18">
      <c r="A7" s="1" t="s">
        <v>22</v>
      </c>
      <c r="B7">
        <v>29</v>
      </c>
      <c r="C7">
        <v>13</v>
      </c>
      <c r="D7">
        <v>16</v>
      </c>
      <c r="E7">
        <v>7.62</v>
      </c>
      <c r="F7">
        <v>2094</v>
      </c>
      <c r="G7">
        <v>715</v>
      </c>
      <c r="H7">
        <v>1665</v>
      </c>
      <c r="I7">
        <v>478</v>
      </c>
      <c r="J7">
        <v>673</v>
      </c>
      <c r="K7">
        <v>412</v>
      </c>
      <c r="L7">
        <v>1212</v>
      </c>
      <c r="M7">
        <v>312</v>
      </c>
      <c r="N7">
        <v>184</v>
      </c>
      <c r="O7">
        <v>120</v>
      </c>
      <c r="R7">
        <v>6</v>
      </c>
    </row>
    <row r="8" spans="1:18">
      <c r="A8" s="1" t="s">
        <v>23</v>
      </c>
      <c r="B8">
        <v>28</v>
      </c>
      <c r="C8">
        <v>11</v>
      </c>
      <c r="D8">
        <v>17</v>
      </c>
      <c r="E8">
        <v>-9.59</v>
      </c>
      <c r="F8">
        <v>1828</v>
      </c>
      <c r="G8">
        <v>663</v>
      </c>
      <c r="H8">
        <v>1545</v>
      </c>
      <c r="I8">
        <v>266</v>
      </c>
      <c r="J8">
        <v>385</v>
      </c>
      <c r="K8">
        <v>249</v>
      </c>
      <c r="L8">
        <v>859</v>
      </c>
      <c r="M8">
        <v>402</v>
      </c>
      <c r="N8">
        <v>234</v>
      </c>
      <c r="O8">
        <v>111</v>
      </c>
      <c r="P8">
        <v>468</v>
      </c>
      <c r="Q8">
        <v>493</v>
      </c>
      <c r="R8">
        <v>7</v>
      </c>
    </row>
    <row r="9" spans="1:18">
      <c r="A9" s="1" t="s">
        <v>24</v>
      </c>
      <c r="B9">
        <v>29</v>
      </c>
      <c r="C9">
        <v>19</v>
      </c>
      <c r="D9">
        <v>10</v>
      </c>
      <c r="E9">
        <v>-11.6</v>
      </c>
      <c r="F9">
        <v>2161</v>
      </c>
      <c r="G9">
        <v>767</v>
      </c>
      <c r="H9">
        <v>1727</v>
      </c>
      <c r="I9">
        <v>458</v>
      </c>
      <c r="J9">
        <v>654</v>
      </c>
      <c r="K9">
        <v>460</v>
      </c>
      <c r="L9">
        <v>1177</v>
      </c>
      <c r="M9">
        <v>410</v>
      </c>
      <c r="N9">
        <v>300</v>
      </c>
      <c r="O9">
        <v>71</v>
      </c>
      <c r="P9">
        <v>549</v>
      </c>
      <c r="Q9">
        <v>555</v>
      </c>
      <c r="R9">
        <v>8</v>
      </c>
    </row>
    <row r="10" spans="1:18">
      <c r="A10" s="1" t="s">
        <v>25</v>
      </c>
      <c r="B10">
        <v>29</v>
      </c>
      <c r="C10">
        <v>11</v>
      </c>
      <c r="D10">
        <v>18</v>
      </c>
      <c r="E10">
        <v>-3.42</v>
      </c>
      <c r="F10">
        <v>1904</v>
      </c>
      <c r="G10">
        <v>714</v>
      </c>
      <c r="H10">
        <v>1778</v>
      </c>
      <c r="I10">
        <v>358</v>
      </c>
      <c r="J10">
        <v>566</v>
      </c>
      <c r="K10">
        <v>419</v>
      </c>
      <c r="L10">
        <v>1103</v>
      </c>
      <c r="M10">
        <v>376</v>
      </c>
      <c r="N10">
        <v>274</v>
      </c>
      <c r="O10">
        <v>118</v>
      </c>
      <c r="P10">
        <v>476</v>
      </c>
      <c r="Q10">
        <v>561</v>
      </c>
      <c r="R10">
        <v>9</v>
      </c>
    </row>
    <row r="11" spans="1:18">
      <c r="A11" s="1" t="s">
        <v>271</v>
      </c>
      <c r="B11">
        <v>32</v>
      </c>
      <c r="C11">
        <v>23</v>
      </c>
      <c r="D11">
        <v>9</v>
      </c>
      <c r="E11">
        <v>-3.75</v>
      </c>
      <c r="F11">
        <v>2530</v>
      </c>
      <c r="G11">
        <v>915</v>
      </c>
      <c r="H11">
        <v>1882</v>
      </c>
      <c r="I11">
        <v>500</v>
      </c>
      <c r="J11">
        <v>705</v>
      </c>
      <c r="K11">
        <v>374</v>
      </c>
      <c r="L11">
        <v>1151</v>
      </c>
      <c r="M11">
        <v>534</v>
      </c>
      <c r="N11">
        <v>325</v>
      </c>
      <c r="O11">
        <v>127</v>
      </c>
      <c r="P11">
        <v>506</v>
      </c>
      <c r="Q11">
        <v>627</v>
      </c>
      <c r="R11">
        <v>10</v>
      </c>
    </row>
    <row r="12" spans="1:18">
      <c r="A12" s="1" t="s">
        <v>26</v>
      </c>
      <c r="B12">
        <v>32</v>
      </c>
      <c r="C12">
        <v>19</v>
      </c>
      <c r="D12">
        <v>13</v>
      </c>
      <c r="E12">
        <v>8.75</v>
      </c>
      <c r="F12">
        <v>2539</v>
      </c>
      <c r="G12">
        <v>924</v>
      </c>
      <c r="H12">
        <v>2127</v>
      </c>
      <c r="I12">
        <v>529</v>
      </c>
      <c r="J12">
        <v>726</v>
      </c>
      <c r="K12">
        <v>503</v>
      </c>
      <c r="L12">
        <v>1236</v>
      </c>
      <c r="M12">
        <v>516</v>
      </c>
      <c r="N12">
        <v>274</v>
      </c>
      <c r="O12">
        <v>87</v>
      </c>
      <c r="P12">
        <v>485</v>
      </c>
      <c r="Q12">
        <v>776</v>
      </c>
      <c r="R12">
        <v>11</v>
      </c>
    </row>
    <row r="13" spans="1:18">
      <c r="A13" s="1" t="s">
        <v>356</v>
      </c>
      <c r="B13">
        <v>34</v>
      </c>
      <c r="C13">
        <v>27</v>
      </c>
      <c r="D13">
        <v>7</v>
      </c>
      <c r="E13">
        <v>9.6999999999999993</v>
      </c>
      <c r="F13">
        <v>2599</v>
      </c>
      <c r="G13">
        <v>904</v>
      </c>
      <c r="H13">
        <v>1976</v>
      </c>
      <c r="I13">
        <v>636</v>
      </c>
      <c r="J13">
        <v>871</v>
      </c>
      <c r="K13">
        <v>412</v>
      </c>
      <c r="L13">
        <v>1306</v>
      </c>
      <c r="M13">
        <v>537</v>
      </c>
      <c r="N13">
        <v>255</v>
      </c>
      <c r="O13">
        <v>192</v>
      </c>
      <c r="P13">
        <v>510</v>
      </c>
      <c r="Q13">
        <v>496</v>
      </c>
      <c r="R13">
        <v>12</v>
      </c>
    </row>
    <row r="14" spans="1:18">
      <c r="A14" s="1" t="s">
        <v>27</v>
      </c>
      <c r="B14">
        <v>28</v>
      </c>
      <c r="C14">
        <v>4</v>
      </c>
      <c r="D14">
        <v>24</v>
      </c>
      <c r="E14">
        <v>-2.77</v>
      </c>
      <c r="F14">
        <v>1885</v>
      </c>
      <c r="G14">
        <v>662</v>
      </c>
      <c r="H14">
        <v>1493</v>
      </c>
      <c r="I14">
        <v>379</v>
      </c>
      <c r="J14">
        <v>551</v>
      </c>
      <c r="K14">
        <v>268</v>
      </c>
      <c r="L14">
        <v>851</v>
      </c>
      <c r="M14">
        <v>329</v>
      </c>
      <c r="N14">
        <v>151</v>
      </c>
      <c r="O14">
        <v>60</v>
      </c>
      <c r="P14">
        <v>424</v>
      </c>
      <c r="Q14">
        <v>578</v>
      </c>
      <c r="R14">
        <v>13</v>
      </c>
    </row>
    <row r="15" spans="1:18">
      <c r="A15" s="1" t="s">
        <v>28</v>
      </c>
      <c r="B15">
        <v>27</v>
      </c>
      <c r="C15">
        <v>6</v>
      </c>
      <c r="D15">
        <v>21</v>
      </c>
      <c r="E15">
        <v>-10.050000000000001</v>
      </c>
      <c r="F15">
        <v>1828</v>
      </c>
      <c r="G15">
        <v>667</v>
      </c>
      <c r="H15">
        <v>1568</v>
      </c>
      <c r="I15">
        <v>399</v>
      </c>
      <c r="J15">
        <v>667</v>
      </c>
      <c r="K15">
        <v>353</v>
      </c>
      <c r="L15">
        <v>1042</v>
      </c>
      <c r="M15">
        <v>327</v>
      </c>
      <c r="N15">
        <v>277</v>
      </c>
      <c r="O15">
        <v>91</v>
      </c>
      <c r="P15">
        <v>591</v>
      </c>
      <c r="Q15">
        <v>534</v>
      </c>
      <c r="R15">
        <v>14</v>
      </c>
    </row>
    <row r="16" spans="1:18">
      <c r="A16" s="1" t="s">
        <v>29</v>
      </c>
      <c r="B16">
        <v>28</v>
      </c>
      <c r="C16">
        <v>10</v>
      </c>
      <c r="D16">
        <v>18</v>
      </c>
      <c r="E16">
        <v>-0.48</v>
      </c>
      <c r="F16">
        <v>2004</v>
      </c>
      <c r="G16">
        <v>714</v>
      </c>
      <c r="H16">
        <v>1637</v>
      </c>
      <c r="I16">
        <v>385</v>
      </c>
      <c r="J16">
        <v>547</v>
      </c>
      <c r="K16">
        <v>307</v>
      </c>
      <c r="L16">
        <v>951</v>
      </c>
      <c r="M16">
        <v>423</v>
      </c>
      <c r="N16">
        <v>215</v>
      </c>
      <c r="O16">
        <v>66</v>
      </c>
      <c r="P16">
        <v>426</v>
      </c>
      <c r="Q16">
        <v>552</v>
      </c>
      <c r="R16">
        <v>15</v>
      </c>
    </row>
    <row r="17" spans="1:18">
      <c r="A17" s="1" t="s">
        <v>302</v>
      </c>
      <c r="B17">
        <v>34</v>
      </c>
      <c r="C17">
        <v>19</v>
      </c>
      <c r="D17">
        <v>15</v>
      </c>
      <c r="E17">
        <v>7.76</v>
      </c>
      <c r="F17">
        <v>2529</v>
      </c>
      <c r="G17">
        <v>931</v>
      </c>
      <c r="H17">
        <v>2168</v>
      </c>
      <c r="I17">
        <v>375</v>
      </c>
      <c r="J17">
        <v>622</v>
      </c>
      <c r="K17">
        <v>451</v>
      </c>
      <c r="L17">
        <v>1159</v>
      </c>
      <c r="M17">
        <v>458</v>
      </c>
      <c r="N17">
        <v>379</v>
      </c>
      <c r="O17">
        <v>120</v>
      </c>
      <c r="P17">
        <v>494</v>
      </c>
      <c r="Q17">
        <v>705</v>
      </c>
      <c r="R17">
        <v>16</v>
      </c>
    </row>
    <row r="18" spans="1:18">
      <c r="A18" s="1" t="s">
        <v>30</v>
      </c>
      <c r="B18">
        <v>28</v>
      </c>
      <c r="C18">
        <v>5</v>
      </c>
      <c r="D18">
        <v>23</v>
      </c>
      <c r="E18">
        <v>-6.43</v>
      </c>
      <c r="F18">
        <v>1482</v>
      </c>
      <c r="G18">
        <v>536</v>
      </c>
      <c r="H18">
        <v>1476</v>
      </c>
      <c r="I18">
        <v>278</v>
      </c>
      <c r="J18">
        <v>449</v>
      </c>
      <c r="K18">
        <v>307</v>
      </c>
      <c r="L18">
        <v>903</v>
      </c>
      <c r="M18">
        <v>266</v>
      </c>
      <c r="N18">
        <v>222</v>
      </c>
      <c r="O18">
        <v>62</v>
      </c>
      <c r="P18">
        <v>516</v>
      </c>
      <c r="Q18">
        <v>600</v>
      </c>
      <c r="R18">
        <v>17</v>
      </c>
    </row>
    <row r="19" spans="1:18">
      <c r="A19" s="1" t="s">
        <v>272</v>
      </c>
      <c r="B19">
        <v>34</v>
      </c>
      <c r="C19">
        <v>24</v>
      </c>
      <c r="D19">
        <v>10</v>
      </c>
      <c r="E19">
        <v>8.1999999999999993</v>
      </c>
      <c r="F19">
        <v>2423</v>
      </c>
      <c r="G19">
        <v>874</v>
      </c>
      <c r="H19">
        <v>2118</v>
      </c>
      <c r="I19">
        <v>448</v>
      </c>
      <c r="J19">
        <v>684</v>
      </c>
      <c r="K19">
        <v>533</v>
      </c>
      <c r="L19">
        <v>1335</v>
      </c>
      <c r="M19">
        <v>438</v>
      </c>
      <c r="N19">
        <v>247</v>
      </c>
      <c r="O19">
        <v>110</v>
      </c>
      <c r="P19">
        <v>450</v>
      </c>
      <c r="Q19">
        <v>582</v>
      </c>
      <c r="R19">
        <v>18</v>
      </c>
    </row>
    <row r="20" spans="1:18">
      <c r="A20" s="1" t="s">
        <v>31</v>
      </c>
      <c r="B20">
        <v>28</v>
      </c>
      <c r="C20">
        <v>18</v>
      </c>
      <c r="D20">
        <v>10</v>
      </c>
      <c r="E20">
        <v>-3.29</v>
      </c>
      <c r="F20">
        <v>2110</v>
      </c>
      <c r="G20">
        <v>797</v>
      </c>
      <c r="H20">
        <v>1618</v>
      </c>
      <c r="I20">
        <v>356</v>
      </c>
      <c r="J20">
        <v>492</v>
      </c>
      <c r="K20">
        <v>326</v>
      </c>
      <c r="L20">
        <v>994</v>
      </c>
      <c r="M20">
        <v>426</v>
      </c>
      <c r="N20">
        <v>175</v>
      </c>
      <c r="O20">
        <v>106</v>
      </c>
      <c r="P20">
        <v>396</v>
      </c>
      <c r="Q20">
        <v>448</v>
      </c>
      <c r="R20">
        <v>19</v>
      </c>
    </row>
    <row r="21" spans="1:18">
      <c r="A21" s="1" t="s">
        <v>273</v>
      </c>
      <c r="B21">
        <v>31</v>
      </c>
      <c r="C21">
        <v>22</v>
      </c>
      <c r="D21">
        <v>9</v>
      </c>
      <c r="E21">
        <v>3.17</v>
      </c>
      <c r="F21">
        <v>2300</v>
      </c>
      <c r="G21">
        <v>834</v>
      </c>
      <c r="H21">
        <v>1840</v>
      </c>
      <c r="I21">
        <v>417</v>
      </c>
      <c r="J21">
        <v>681</v>
      </c>
      <c r="K21">
        <v>398</v>
      </c>
      <c r="L21">
        <v>1138</v>
      </c>
      <c r="M21">
        <v>428</v>
      </c>
      <c r="N21">
        <v>258</v>
      </c>
      <c r="O21">
        <v>131</v>
      </c>
      <c r="P21">
        <v>420</v>
      </c>
      <c r="Q21">
        <v>530</v>
      </c>
      <c r="R21">
        <v>20</v>
      </c>
    </row>
    <row r="22" spans="1:18">
      <c r="A22" s="1" t="s">
        <v>32</v>
      </c>
      <c r="B22">
        <v>29</v>
      </c>
      <c r="C22">
        <v>14</v>
      </c>
      <c r="D22">
        <v>15</v>
      </c>
      <c r="E22">
        <v>4.59</v>
      </c>
      <c r="F22">
        <v>1933</v>
      </c>
      <c r="G22">
        <v>686</v>
      </c>
      <c r="H22">
        <v>1622</v>
      </c>
      <c r="I22">
        <v>354</v>
      </c>
      <c r="J22">
        <v>550</v>
      </c>
      <c r="K22">
        <v>332</v>
      </c>
      <c r="L22">
        <v>1034</v>
      </c>
      <c r="M22">
        <v>429</v>
      </c>
      <c r="N22">
        <v>257</v>
      </c>
      <c r="O22">
        <v>129</v>
      </c>
      <c r="P22">
        <v>496</v>
      </c>
      <c r="Q22">
        <v>492</v>
      </c>
      <c r="R22">
        <v>21</v>
      </c>
    </row>
    <row r="23" spans="1:18">
      <c r="A23" s="1" t="s">
        <v>33</v>
      </c>
      <c r="B23">
        <v>28</v>
      </c>
      <c r="C23">
        <v>7</v>
      </c>
      <c r="D23">
        <v>21</v>
      </c>
      <c r="E23">
        <v>-1.39</v>
      </c>
      <c r="F23">
        <v>1923</v>
      </c>
      <c r="G23">
        <v>633</v>
      </c>
      <c r="H23">
        <v>1521</v>
      </c>
      <c r="I23">
        <v>384</v>
      </c>
      <c r="J23">
        <v>539</v>
      </c>
      <c r="K23">
        <v>291</v>
      </c>
      <c r="L23">
        <v>919</v>
      </c>
      <c r="M23">
        <v>412</v>
      </c>
      <c r="N23">
        <v>154</v>
      </c>
      <c r="O23">
        <v>46</v>
      </c>
      <c r="P23">
        <v>429</v>
      </c>
      <c r="Q23">
        <v>538</v>
      </c>
      <c r="R23">
        <v>22</v>
      </c>
    </row>
    <row r="24" spans="1:18">
      <c r="A24" s="1" t="s">
        <v>34</v>
      </c>
      <c r="B24">
        <v>29</v>
      </c>
      <c r="C24">
        <v>14</v>
      </c>
      <c r="D24">
        <v>15</v>
      </c>
      <c r="E24">
        <v>-9.6300000000000008</v>
      </c>
      <c r="F24">
        <v>2186</v>
      </c>
      <c r="G24">
        <v>773</v>
      </c>
      <c r="H24">
        <v>1775</v>
      </c>
      <c r="I24">
        <v>458</v>
      </c>
      <c r="J24">
        <v>686</v>
      </c>
      <c r="K24">
        <v>372</v>
      </c>
      <c r="L24">
        <v>1073</v>
      </c>
      <c r="M24">
        <v>397</v>
      </c>
      <c r="N24">
        <v>242</v>
      </c>
      <c r="O24">
        <v>65</v>
      </c>
      <c r="P24">
        <v>497</v>
      </c>
      <c r="Q24">
        <v>676</v>
      </c>
      <c r="R24">
        <v>23</v>
      </c>
    </row>
    <row r="25" spans="1:18">
      <c r="A25" s="1" t="s">
        <v>35</v>
      </c>
      <c r="B25">
        <v>27</v>
      </c>
      <c r="C25">
        <v>12</v>
      </c>
      <c r="D25">
        <v>15</v>
      </c>
      <c r="E25">
        <v>0.51</v>
      </c>
      <c r="F25">
        <v>1680</v>
      </c>
      <c r="G25">
        <v>597</v>
      </c>
      <c r="H25">
        <v>1348</v>
      </c>
      <c r="I25">
        <v>357</v>
      </c>
      <c r="J25">
        <v>549</v>
      </c>
      <c r="K25">
        <v>296</v>
      </c>
      <c r="L25">
        <v>809</v>
      </c>
      <c r="M25">
        <v>291</v>
      </c>
      <c r="N25">
        <v>211</v>
      </c>
      <c r="O25">
        <v>55</v>
      </c>
      <c r="P25">
        <v>476</v>
      </c>
      <c r="Q25">
        <v>537</v>
      </c>
      <c r="R25">
        <v>24</v>
      </c>
    </row>
    <row r="26" spans="1:18">
      <c r="A26" s="1" t="s">
        <v>36</v>
      </c>
      <c r="B26">
        <v>30</v>
      </c>
      <c r="C26">
        <v>11</v>
      </c>
      <c r="D26">
        <v>19</v>
      </c>
      <c r="E26">
        <v>5.07</v>
      </c>
      <c r="F26">
        <v>2049</v>
      </c>
      <c r="G26">
        <v>725</v>
      </c>
      <c r="H26">
        <v>1770</v>
      </c>
      <c r="I26">
        <v>434</v>
      </c>
      <c r="J26">
        <v>610</v>
      </c>
      <c r="K26">
        <v>415</v>
      </c>
      <c r="L26">
        <v>1069</v>
      </c>
      <c r="M26">
        <v>348</v>
      </c>
      <c r="N26">
        <v>279</v>
      </c>
      <c r="O26">
        <v>103</v>
      </c>
      <c r="P26">
        <v>492</v>
      </c>
      <c r="Q26">
        <v>566</v>
      </c>
      <c r="R26">
        <v>25</v>
      </c>
    </row>
    <row r="27" spans="1:18">
      <c r="A27" s="1" t="s">
        <v>37</v>
      </c>
      <c r="B27">
        <v>29</v>
      </c>
      <c r="C27">
        <v>7</v>
      </c>
      <c r="D27">
        <v>22</v>
      </c>
      <c r="E27">
        <v>-6.51</v>
      </c>
      <c r="F27">
        <v>1758</v>
      </c>
      <c r="G27">
        <v>627</v>
      </c>
      <c r="H27">
        <v>1524</v>
      </c>
      <c r="I27">
        <v>332</v>
      </c>
      <c r="J27">
        <v>483</v>
      </c>
      <c r="K27">
        <v>297</v>
      </c>
      <c r="L27">
        <v>952</v>
      </c>
      <c r="M27">
        <v>358</v>
      </c>
      <c r="N27">
        <v>185</v>
      </c>
      <c r="O27">
        <v>65</v>
      </c>
      <c r="P27">
        <v>449</v>
      </c>
      <c r="Q27">
        <v>558</v>
      </c>
      <c r="R27">
        <v>26</v>
      </c>
    </row>
    <row r="28" spans="1:18">
      <c r="A28" s="1" t="s">
        <v>38</v>
      </c>
      <c r="B28">
        <v>30</v>
      </c>
      <c r="C28">
        <v>22</v>
      </c>
      <c r="D28">
        <v>8</v>
      </c>
      <c r="E28">
        <v>0.79</v>
      </c>
      <c r="F28">
        <v>2251</v>
      </c>
      <c r="G28">
        <v>777</v>
      </c>
      <c r="H28">
        <v>1578</v>
      </c>
      <c r="I28">
        <v>550</v>
      </c>
      <c r="J28">
        <v>740</v>
      </c>
      <c r="K28">
        <v>252</v>
      </c>
      <c r="L28">
        <v>963</v>
      </c>
      <c r="M28">
        <v>466</v>
      </c>
      <c r="N28">
        <v>200</v>
      </c>
      <c r="O28">
        <v>56</v>
      </c>
      <c r="P28">
        <v>436</v>
      </c>
      <c r="Q28">
        <v>532</v>
      </c>
      <c r="R28">
        <v>27</v>
      </c>
    </row>
    <row r="29" spans="1:18">
      <c r="A29" s="1" t="s">
        <v>39</v>
      </c>
      <c r="B29">
        <v>30</v>
      </c>
      <c r="C29">
        <v>14</v>
      </c>
      <c r="D29">
        <v>16</v>
      </c>
      <c r="E29">
        <v>3.88</v>
      </c>
      <c r="F29">
        <v>1968</v>
      </c>
      <c r="G29">
        <v>721</v>
      </c>
      <c r="H29">
        <v>1669</v>
      </c>
      <c r="I29">
        <v>418</v>
      </c>
      <c r="J29">
        <v>636</v>
      </c>
      <c r="K29">
        <v>388</v>
      </c>
      <c r="L29">
        <v>1066</v>
      </c>
      <c r="M29">
        <v>400</v>
      </c>
      <c r="N29">
        <v>259</v>
      </c>
      <c r="O29">
        <v>87</v>
      </c>
      <c r="P29">
        <v>452</v>
      </c>
      <c r="Q29">
        <v>602</v>
      </c>
      <c r="R29">
        <v>28</v>
      </c>
    </row>
    <row r="30" spans="1:18">
      <c r="A30" s="1" t="s">
        <v>40</v>
      </c>
      <c r="B30">
        <v>33</v>
      </c>
      <c r="C30">
        <v>22</v>
      </c>
      <c r="D30">
        <v>11</v>
      </c>
      <c r="E30">
        <v>3.54</v>
      </c>
      <c r="F30">
        <v>2328</v>
      </c>
      <c r="G30">
        <v>795</v>
      </c>
      <c r="H30">
        <v>1725</v>
      </c>
      <c r="I30">
        <v>546</v>
      </c>
      <c r="J30">
        <v>784</v>
      </c>
      <c r="K30">
        <v>300</v>
      </c>
      <c r="L30">
        <v>1118</v>
      </c>
      <c r="M30">
        <v>478</v>
      </c>
      <c r="N30">
        <v>236</v>
      </c>
      <c r="O30">
        <v>73</v>
      </c>
      <c r="P30">
        <v>455</v>
      </c>
      <c r="Q30">
        <v>640</v>
      </c>
      <c r="R30">
        <v>29</v>
      </c>
    </row>
    <row r="31" spans="1:18">
      <c r="A31" s="1" t="s">
        <v>41</v>
      </c>
      <c r="B31">
        <v>27</v>
      </c>
      <c r="C31">
        <v>8</v>
      </c>
      <c r="D31">
        <v>19</v>
      </c>
      <c r="E31">
        <v>-8.9499999999999993</v>
      </c>
      <c r="F31">
        <v>1837</v>
      </c>
      <c r="G31">
        <v>629</v>
      </c>
      <c r="H31">
        <v>1537</v>
      </c>
      <c r="I31">
        <v>423</v>
      </c>
      <c r="J31">
        <v>615</v>
      </c>
      <c r="K31">
        <v>321</v>
      </c>
      <c r="L31">
        <v>937</v>
      </c>
      <c r="M31">
        <v>383</v>
      </c>
      <c r="N31">
        <v>195</v>
      </c>
      <c r="O31">
        <v>57</v>
      </c>
      <c r="P31">
        <v>425</v>
      </c>
      <c r="Q31">
        <v>582</v>
      </c>
      <c r="R31">
        <v>30</v>
      </c>
    </row>
    <row r="32" spans="1:18">
      <c r="A32" s="1" t="s">
        <v>42</v>
      </c>
      <c r="B32">
        <v>28</v>
      </c>
      <c r="C32">
        <v>17</v>
      </c>
      <c r="D32">
        <v>11</v>
      </c>
      <c r="E32">
        <v>-6.76</v>
      </c>
      <c r="F32">
        <v>1790</v>
      </c>
      <c r="G32">
        <v>634</v>
      </c>
      <c r="H32">
        <v>1419</v>
      </c>
      <c r="I32">
        <v>411</v>
      </c>
      <c r="J32">
        <v>580</v>
      </c>
      <c r="K32">
        <v>297</v>
      </c>
      <c r="L32">
        <v>983</v>
      </c>
      <c r="M32">
        <v>385</v>
      </c>
      <c r="N32">
        <v>190</v>
      </c>
      <c r="O32">
        <v>131</v>
      </c>
      <c r="P32">
        <v>488</v>
      </c>
      <c r="Q32">
        <v>545</v>
      </c>
      <c r="R32">
        <v>31</v>
      </c>
    </row>
    <row r="33" spans="1:18">
      <c r="A33" s="1" t="s">
        <v>43</v>
      </c>
      <c r="B33">
        <v>28</v>
      </c>
      <c r="C33">
        <v>5</v>
      </c>
      <c r="D33">
        <v>23</v>
      </c>
      <c r="E33">
        <v>1.46</v>
      </c>
      <c r="F33">
        <v>1878</v>
      </c>
      <c r="G33">
        <v>636</v>
      </c>
      <c r="H33">
        <v>1614</v>
      </c>
      <c r="I33">
        <v>436</v>
      </c>
      <c r="J33">
        <v>661</v>
      </c>
      <c r="K33">
        <v>332</v>
      </c>
      <c r="L33">
        <v>1000</v>
      </c>
      <c r="M33">
        <v>356</v>
      </c>
      <c r="N33">
        <v>197</v>
      </c>
      <c r="O33">
        <v>117</v>
      </c>
      <c r="P33">
        <v>523</v>
      </c>
      <c r="Q33">
        <v>524</v>
      </c>
      <c r="R33">
        <v>32</v>
      </c>
    </row>
    <row r="34" spans="1:18">
      <c r="A34" s="1" t="s">
        <v>304</v>
      </c>
      <c r="B34">
        <v>31</v>
      </c>
      <c r="C34">
        <v>23</v>
      </c>
      <c r="D34">
        <v>8</v>
      </c>
      <c r="E34">
        <v>0.01</v>
      </c>
      <c r="F34">
        <v>2107</v>
      </c>
      <c r="G34">
        <v>753</v>
      </c>
      <c r="H34">
        <v>1599</v>
      </c>
      <c r="I34">
        <v>448</v>
      </c>
      <c r="J34">
        <v>680</v>
      </c>
      <c r="K34">
        <v>322</v>
      </c>
      <c r="L34">
        <v>1054</v>
      </c>
      <c r="M34">
        <v>430</v>
      </c>
      <c r="N34">
        <v>237</v>
      </c>
      <c r="O34">
        <v>88</v>
      </c>
      <c r="P34">
        <v>391</v>
      </c>
      <c r="Q34">
        <v>513</v>
      </c>
      <c r="R34">
        <v>33</v>
      </c>
    </row>
    <row r="35" spans="1:18">
      <c r="A35" s="1" t="s">
        <v>44</v>
      </c>
      <c r="B35">
        <v>28</v>
      </c>
      <c r="C35">
        <v>10</v>
      </c>
      <c r="D35">
        <v>18</v>
      </c>
      <c r="E35">
        <v>-0.11</v>
      </c>
      <c r="F35">
        <v>2189</v>
      </c>
      <c r="G35">
        <v>739</v>
      </c>
      <c r="H35">
        <v>1655</v>
      </c>
      <c r="I35">
        <v>484</v>
      </c>
      <c r="J35">
        <v>671</v>
      </c>
      <c r="K35">
        <v>315</v>
      </c>
      <c r="L35">
        <v>966</v>
      </c>
      <c r="M35">
        <v>383</v>
      </c>
      <c r="N35">
        <v>150</v>
      </c>
      <c r="O35">
        <v>74</v>
      </c>
      <c r="P35">
        <v>405</v>
      </c>
      <c r="Q35">
        <v>503</v>
      </c>
      <c r="R35">
        <v>34</v>
      </c>
    </row>
    <row r="36" spans="1:18">
      <c r="A36" s="1" t="s">
        <v>45</v>
      </c>
      <c r="B36">
        <v>27</v>
      </c>
      <c r="C36">
        <v>8</v>
      </c>
      <c r="D36">
        <v>19</v>
      </c>
      <c r="E36">
        <v>-1.21</v>
      </c>
      <c r="F36">
        <v>1940</v>
      </c>
      <c r="G36">
        <v>700</v>
      </c>
      <c r="H36">
        <v>1554</v>
      </c>
      <c r="I36">
        <v>377</v>
      </c>
      <c r="J36">
        <v>535</v>
      </c>
      <c r="K36">
        <v>282</v>
      </c>
      <c r="L36">
        <v>884</v>
      </c>
      <c r="M36">
        <v>349</v>
      </c>
      <c r="N36">
        <v>165</v>
      </c>
      <c r="O36">
        <v>71</v>
      </c>
      <c r="P36">
        <v>399</v>
      </c>
      <c r="Q36">
        <v>495</v>
      </c>
      <c r="R36">
        <v>35</v>
      </c>
    </row>
    <row r="37" spans="1:18">
      <c r="A37" s="1" t="s">
        <v>46</v>
      </c>
      <c r="B37">
        <v>30</v>
      </c>
      <c r="C37">
        <v>20</v>
      </c>
      <c r="D37">
        <v>10</v>
      </c>
      <c r="E37">
        <v>0.41</v>
      </c>
      <c r="F37">
        <v>2329</v>
      </c>
      <c r="G37">
        <v>858</v>
      </c>
      <c r="H37">
        <v>1812</v>
      </c>
      <c r="I37">
        <v>411</v>
      </c>
      <c r="J37">
        <v>651</v>
      </c>
      <c r="K37">
        <v>379</v>
      </c>
      <c r="L37">
        <v>1110</v>
      </c>
      <c r="M37">
        <v>550</v>
      </c>
      <c r="N37">
        <v>277</v>
      </c>
      <c r="O37">
        <v>94</v>
      </c>
      <c r="P37">
        <v>468</v>
      </c>
      <c r="Q37">
        <v>678</v>
      </c>
      <c r="R37">
        <v>36</v>
      </c>
    </row>
    <row r="38" spans="1:18">
      <c r="A38" s="1" t="s">
        <v>47</v>
      </c>
      <c r="B38">
        <v>28</v>
      </c>
      <c r="C38">
        <v>14</v>
      </c>
      <c r="D38">
        <v>14</v>
      </c>
      <c r="E38">
        <v>-0.77</v>
      </c>
      <c r="F38">
        <v>1877</v>
      </c>
      <c r="G38">
        <v>655</v>
      </c>
      <c r="H38">
        <v>1472</v>
      </c>
      <c r="I38">
        <v>398</v>
      </c>
      <c r="J38">
        <v>537</v>
      </c>
      <c r="K38">
        <v>271</v>
      </c>
      <c r="L38">
        <v>907</v>
      </c>
      <c r="M38">
        <v>345</v>
      </c>
      <c r="N38">
        <v>176</v>
      </c>
      <c r="O38">
        <v>70</v>
      </c>
      <c r="P38">
        <v>416</v>
      </c>
      <c r="Q38">
        <v>547</v>
      </c>
      <c r="R38">
        <v>37</v>
      </c>
    </row>
    <row r="39" spans="1:18">
      <c r="A39" s="1" t="s">
        <v>48</v>
      </c>
      <c r="B39">
        <v>28</v>
      </c>
      <c r="C39">
        <v>14</v>
      </c>
      <c r="D39">
        <v>14</v>
      </c>
      <c r="E39">
        <v>0.16</v>
      </c>
      <c r="F39">
        <v>1869</v>
      </c>
      <c r="G39">
        <v>659</v>
      </c>
      <c r="H39">
        <v>1590</v>
      </c>
      <c r="I39">
        <v>380</v>
      </c>
      <c r="J39">
        <v>551</v>
      </c>
      <c r="K39">
        <v>351</v>
      </c>
      <c r="L39">
        <v>1104</v>
      </c>
      <c r="M39">
        <v>426</v>
      </c>
      <c r="N39">
        <v>211</v>
      </c>
      <c r="O39">
        <v>75</v>
      </c>
      <c r="P39">
        <v>454</v>
      </c>
      <c r="Q39">
        <v>521</v>
      </c>
      <c r="R39">
        <v>38</v>
      </c>
    </row>
    <row r="40" spans="1:18">
      <c r="A40" s="1" t="s">
        <v>49</v>
      </c>
      <c r="B40">
        <v>33</v>
      </c>
      <c r="C40">
        <v>18</v>
      </c>
      <c r="D40">
        <v>15</v>
      </c>
      <c r="E40">
        <v>8.6199999999999992</v>
      </c>
      <c r="F40">
        <v>2375</v>
      </c>
      <c r="G40">
        <v>850</v>
      </c>
      <c r="H40">
        <v>1926</v>
      </c>
      <c r="I40">
        <v>495</v>
      </c>
      <c r="J40">
        <v>726</v>
      </c>
      <c r="K40">
        <v>416</v>
      </c>
      <c r="L40">
        <v>1175</v>
      </c>
      <c r="M40">
        <v>469</v>
      </c>
      <c r="N40">
        <v>235</v>
      </c>
      <c r="O40">
        <v>89</v>
      </c>
      <c r="P40">
        <v>491</v>
      </c>
      <c r="Q40">
        <v>596</v>
      </c>
      <c r="R40">
        <v>39</v>
      </c>
    </row>
    <row r="41" spans="1:18">
      <c r="A41" s="1" t="s">
        <v>50</v>
      </c>
      <c r="B41">
        <v>28</v>
      </c>
      <c r="C41">
        <v>12</v>
      </c>
      <c r="D41">
        <v>16</v>
      </c>
      <c r="E41">
        <v>-6.08</v>
      </c>
      <c r="F41">
        <v>1760</v>
      </c>
      <c r="G41">
        <v>629</v>
      </c>
      <c r="H41">
        <v>1450</v>
      </c>
      <c r="I41">
        <v>290</v>
      </c>
      <c r="J41">
        <v>416</v>
      </c>
      <c r="K41">
        <v>266</v>
      </c>
      <c r="L41">
        <v>876</v>
      </c>
      <c r="M41">
        <v>404</v>
      </c>
      <c r="N41">
        <v>168</v>
      </c>
      <c r="O41">
        <v>80</v>
      </c>
      <c r="P41">
        <v>421</v>
      </c>
      <c r="Q41">
        <v>459</v>
      </c>
      <c r="R41">
        <v>40</v>
      </c>
    </row>
    <row r="42" spans="1:18">
      <c r="A42" s="1" t="s">
        <v>51</v>
      </c>
      <c r="B42">
        <v>30</v>
      </c>
      <c r="C42">
        <v>10</v>
      </c>
      <c r="D42">
        <v>20</v>
      </c>
      <c r="E42">
        <v>-3.81</v>
      </c>
      <c r="F42">
        <v>2189</v>
      </c>
      <c r="G42">
        <v>783</v>
      </c>
      <c r="H42">
        <v>1817</v>
      </c>
      <c r="I42">
        <v>450</v>
      </c>
      <c r="J42">
        <v>648</v>
      </c>
      <c r="K42">
        <v>415</v>
      </c>
      <c r="L42">
        <v>1135</v>
      </c>
      <c r="M42">
        <v>477</v>
      </c>
      <c r="N42">
        <v>211</v>
      </c>
      <c r="O42">
        <v>103</v>
      </c>
      <c r="P42">
        <v>505</v>
      </c>
      <c r="Q42">
        <v>618</v>
      </c>
      <c r="R42">
        <v>41</v>
      </c>
    </row>
    <row r="43" spans="1:18">
      <c r="A43" s="1" t="s">
        <v>52</v>
      </c>
      <c r="B43">
        <v>28</v>
      </c>
      <c r="C43">
        <v>10</v>
      </c>
      <c r="D43">
        <v>18</v>
      </c>
      <c r="E43">
        <v>-1.61</v>
      </c>
      <c r="F43">
        <v>1780</v>
      </c>
      <c r="G43">
        <v>618</v>
      </c>
      <c r="H43">
        <v>1511</v>
      </c>
      <c r="I43">
        <v>391</v>
      </c>
      <c r="J43">
        <v>580</v>
      </c>
      <c r="L43">
        <v>1000</v>
      </c>
      <c r="M43">
        <v>280</v>
      </c>
      <c r="N43">
        <v>152</v>
      </c>
      <c r="O43">
        <v>51</v>
      </c>
      <c r="P43">
        <v>442</v>
      </c>
      <c r="Q43">
        <v>587</v>
      </c>
      <c r="R43">
        <v>42</v>
      </c>
    </row>
    <row r="44" spans="1:18">
      <c r="A44" s="1" t="s">
        <v>274</v>
      </c>
      <c r="B44">
        <v>31</v>
      </c>
      <c r="C44">
        <v>25</v>
      </c>
      <c r="D44">
        <v>6</v>
      </c>
      <c r="E44">
        <v>-9.5500000000000007</v>
      </c>
      <c r="F44">
        <v>2282</v>
      </c>
      <c r="G44">
        <v>832</v>
      </c>
      <c r="H44">
        <v>1845</v>
      </c>
      <c r="I44">
        <v>470</v>
      </c>
      <c r="J44">
        <v>665</v>
      </c>
      <c r="K44">
        <v>443</v>
      </c>
      <c r="L44">
        <v>1262</v>
      </c>
      <c r="M44">
        <v>451</v>
      </c>
      <c r="N44">
        <v>276</v>
      </c>
      <c r="O44">
        <v>156</v>
      </c>
      <c r="P44">
        <v>479</v>
      </c>
      <c r="Q44">
        <v>554</v>
      </c>
      <c r="R44">
        <v>43</v>
      </c>
    </row>
    <row r="45" spans="1:18">
      <c r="A45" s="1" t="s">
        <v>53</v>
      </c>
      <c r="B45">
        <v>32</v>
      </c>
      <c r="C45">
        <v>14</v>
      </c>
      <c r="D45">
        <v>18</v>
      </c>
      <c r="E45">
        <v>-4.8499999999999996</v>
      </c>
      <c r="F45">
        <v>2293</v>
      </c>
      <c r="G45">
        <v>837</v>
      </c>
      <c r="H45">
        <v>1854</v>
      </c>
      <c r="I45">
        <v>386</v>
      </c>
      <c r="J45">
        <v>608</v>
      </c>
      <c r="K45">
        <v>390</v>
      </c>
      <c r="L45">
        <v>1132</v>
      </c>
      <c r="M45">
        <v>473</v>
      </c>
      <c r="N45">
        <v>233</v>
      </c>
      <c r="O45">
        <v>119</v>
      </c>
      <c r="P45">
        <v>486</v>
      </c>
      <c r="Q45">
        <v>590</v>
      </c>
      <c r="R45">
        <v>44</v>
      </c>
    </row>
    <row r="46" spans="1:18">
      <c r="A46" s="1" t="s">
        <v>54</v>
      </c>
      <c r="B46">
        <v>29</v>
      </c>
      <c r="C46">
        <v>6</v>
      </c>
      <c r="D46">
        <v>23</v>
      </c>
      <c r="E46">
        <v>2.79</v>
      </c>
      <c r="F46">
        <v>1985</v>
      </c>
      <c r="G46">
        <v>718</v>
      </c>
      <c r="H46">
        <v>1635</v>
      </c>
      <c r="I46">
        <v>359</v>
      </c>
      <c r="J46">
        <v>526</v>
      </c>
      <c r="K46">
        <v>279</v>
      </c>
      <c r="L46">
        <v>913</v>
      </c>
      <c r="M46">
        <v>419</v>
      </c>
      <c r="N46">
        <v>178</v>
      </c>
      <c r="O46">
        <v>46</v>
      </c>
      <c r="P46">
        <v>408</v>
      </c>
      <c r="Q46">
        <v>595</v>
      </c>
      <c r="R46">
        <v>45</v>
      </c>
    </row>
    <row r="47" spans="1:18">
      <c r="A47" s="1" t="s">
        <v>55</v>
      </c>
      <c r="B47">
        <v>29</v>
      </c>
      <c r="C47">
        <v>8</v>
      </c>
      <c r="D47">
        <v>21</v>
      </c>
      <c r="E47">
        <v>-7.1</v>
      </c>
      <c r="F47">
        <v>1883</v>
      </c>
      <c r="G47">
        <v>660</v>
      </c>
      <c r="H47">
        <v>1568</v>
      </c>
      <c r="I47">
        <v>484</v>
      </c>
      <c r="J47">
        <v>768</v>
      </c>
      <c r="K47">
        <v>400</v>
      </c>
      <c r="L47">
        <v>1040</v>
      </c>
      <c r="M47">
        <v>303</v>
      </c>
      <c r="N47">
        <v>260</v>
      </c>
      <c r="O47">
        <v>114</v>
      </c>
      <c r="P47">
        <v>649</v>
      </c>
      <c r="Q47">
        <v>662</v>
      </c>
      <c r="R47">
        <v>46</v>
      </c>
    </row>
    <row r="48" spans="1:18">
      <c r="A48" s="1" t="s">
        <v>56</v>
      </c>
      <c r="B48">
        <v>33</v>
      </c>
      <c r="C48">
        <v>17</v>
      </c>
      <c r="D48">
        <v>16</v>
      </c>
      <c r="E48">
        <v>8.6</v>
      </c>
      <c r="F48">
        <v>2246</v>
      </c>
      <c r="G48">
        <v>797</v>
      </c>
      <c r="H48">
        <v>1986</v>
      </c>
      <c r="I48">
        <v>386</v>
      </c>
      <c r="J48">
        <v>547</v>
      </c>
      <c r="K48">
        <v>456</v>
      </c>
      <c r="L48">
        <v>1344</v>
      </c>
      <c r="M48">
        <v>430</v>
      </c>
      <c r="N48">
        <v>221</v>
      </c>
      <c r="O48">
        <v>78</v>
      </c>
      <c r="R48">
        <v>47</v>
      </c>
    </row>
    <row r="49" spans="1:18">
      <c r="A49" s="1" t="s">
        <v>57</v>
      </c>
      <c r="B49">
        <v>29</v>
      </c>
      <c r="C49">
        <v>10</v>
      </c>
      <c r="D49">
        <v>19</v>
      </c>
      <c r="E49">
        <v>-4.6399999999999997</v>
      </c>
      <c r="F49">
        <v>2018</v>
      </c>
      <c r="G49">
        <v>717</v>
      </c>
      <c r="H49">
        <v>1609</v>
      </c>
      <c r="I49">
        <v>381</v>
      </c>
      <c r="J49">
        <v>610</v>
      </c>
      <c r="K49">
        <v>374</v>
      </c>
      <c r="L49">
        <v>1023</v>
      </c>
      <c r="M49">
        <v>406</v>
      </c>
      <c r="N49">
        <v>190</v>
      </c>
      <c r="O49">
        <v>89</v>
      </c>
      <c r="P49">
        <v>459</v>
      </c>
      <c r="Q49">
        <v>487</v>
      </c>
      <c r="R49">
        <v>48</v>
      </c>
    </row>
    <row r="50" spans="1:18">
      <c r="A50" s="1" t="s">
        <v>58</v>
      </c>
      <c r="B50">
        <v>28</v>
      </c>
      <c r="C50">
        <v>10</v>
      </c>
      <c r="D50">
        <v>18</v>
      </c>
      <c r="E50">
        <v>-3.05</v>
      </c>
      <c r="F50">
        <v>1832</v>
      </c>
      <c r="G50">
        <v>678</v>
      </c>
      <c r="H50">
        <v>1633</v>
      </c>
      <c r="I50">
        <v>337</v>
      </c>
      <c r="J50">
        <v>527</v>
      </c>
      <c r="K50">
        <v>387</v>
      </c>
      <c r="L50">
        <v>1011</v>
      </c>
      <c r="M50">
        <v>392</v>
      </c>
      <c r="N50">
        <v>187</v>
      </c>
      <c r="O50">
        <v>99</v>
      </c>
      <c r="P50">
        <v>436</v>
      </c>
      <c r="Q50">
        <v>482</v>
      </c>
      <c r="R50">
        <v>49</v>
      </c>
    </row>
    <row r="51" spans="1:18">
      <c r="A51" s="1" t="s">
        <v>335</v>
      </c>
      <c r="B51">
        <v>33</v>
      </c>
      <c r="C51">
        <v>29</v>
      </c>
      <c r="D51">
        <v>4</v>
      </c>
      <c r="E51">
        <v>8.5</v>
      </c>
      <c r="F51">
        <v>2560</v>
      </c>
      <c r="G51">
        <v>898</v>
      </c>
      <c r="H51">
        <v>1871</v>
      </c>
      <c r="I51">
        <v>599</v>
      </c>
      <c r="J51">
        <v>854</v>
      </c>
      <c r="K51">
        <v>405</v>
      </c>
      <c r="L51">
        <v>1277</v>
      </c>
      <c r="M51">
        <v>513</v>
      </c>
      <c r="N51">
        <v>236</v>
      </c>
      <c r="O51">
        <v>223</v>
      </c>
      <c r="P51">
        <v>448</v>
      </c>
      <c r="Q51">
        <v>566</v>
      </c>
      <c r="R51">
        <v>50</v>
      </c>
    </row>
    <row r="52" spans="1:18">
      <c r="A52" s="1" t="s">
        <v>59</v>
      </c>
      <c r="B52">
        <v>29</v>
      </c>
      <c r="C52">
        <v>9</v>
      </c>
      <c r="D52">
        <v>20</v>
      </c>
      <c r="E52">
        <v>-5.67</v>
      </c>
      <c r="F52">
        <v>1891</v>
      </c>
      <c r="G52">
        <v>631</v>
      </c>
      <c r="H52">
        <v>1565</v>
      </c>
      <c r="I52">
        <v>438</v>
      </c>
      <c r="J52">
        <v>655</v>
      </c>
      <c r="K52">
        <v>355</v>
      </c>
      <c r="L52">
        <v>1019</v>
      </c>
      <c r="M52">
        <v>316</v>
      </c>
      <c r="N52">
        <v>213</v>
      </c>
      <c r="O52">
        <v>83</v>
      </c>
      <c r="P52">
        <v>505</v>
      </c>
      <c r="Q52">
        <v>633</v>
      </c>
      <c r="R52">
        <v>51</v>
      </c>
    </row>
    <row r="53" spans="1:18">
      <c r="A53" s="1" t="s">
        <v>60</v>
      </c>
      <c r="B53">
        <v>30</v>
      </c>
      <c r="C53">
        <v>10</v>
      </c>
      <c r="D53">
        <v>20</v>
      </c>
      <c r="E53">
        <v>7.39</v>
      </c>
      <c r="F53">
        <v>1933</v>
      </c>
      <c r="G53">
        <v>680</v>
      </c>
      <c r="H53">
        <v>1682</v>
      </c>
      <c r="I53">
        <v>384</v>
      </c>
      <c r="J53">
        <v>572</v>
      </c>
      <c r="K53">
        <v>396</v>
      </c>
      <c r="L53">
        <v>1173</v>
      </c>
      <c r="M53">
        <v>389</v>
      </c>
      <c r="N53">
        <v>146</v>
      </c>
      <c r="O53">
        <v>93</v>
      </c>
      <c r="P53">
        <v>462</v>
      </c>
      <c r="Q53">
        <v>614</v>
      </c>
      <c r="R53">
        <v>52</v>
      </c>
    </row>
    <row r="54" spans="1:18">
      <c r="A54" s="1" t="s">
        <v>61</v>
      </c>
      <c r="B54">
        <v>30</v>
      </c>
      <c r="C54">
        <v>16</v>
      </c>
      <c r="D54">
        <v>14</v>
      </c>
      <c r="E54">
        <v>-0.16</v>
      </c>
      <c r="F54">
        <v>2265</v>
      </c>
      <c r="G54">
        <v>793</v>
      </c>
      <c r="H54">
        <v>1828</v>
      </c>
      <c r="I54">
        <v>508</v>
      </c>
      <c r="J54">
        <v>731</v>
      </c>
      <c r="K54">
        <v>454</v>
      </c>
      <c r="L54">
        <v>1122</v>
      </c>
      <c r="M54">
        <v>358</v>
      </c>
      <c r="N54">
        <v>265</v>
      </c>
      <c r="O54">
        <v>83</v>
      </c>
      <c r="P54">
        <v>488</v>
      </c>
      <c r="Q54">
        <v>689</v>
      </c>
      <c r="R54">
        <v>53</v>
      </c>
    </row>
    <row r="55" spans="1:18">
      <c r="A55" s="1" t="s">
        <v>62</v>
      </c>
      <c r="B55">
        <v>28</v>
      </c>
      <c r="C55">
        <v>10</v>
      </c>
      <c r="D55">
        <v>18</v>
      </c>
      <c r="E55">
        <v>-6.64</v>
      </c>
      <c r="F55">
        <v>1924</v>
      </c>
      <c r="G55">
        <v>648</v>
      </c>
      <c r="H55">
        <v>1528</v>
      </c>
      <c r="I55">
        <v>404</v>
      </c>
      <c r="J55">
        <v>580</v>
      </c>
      <c r="K55">
        <v>328</v>
      </c>
      <c r="L55">
        <v>871</v>
      </c>
      <c r="M55">
        <v>308</v>
      </c>
      <c r="N55">
        <v>214</v>
      </c>
      <c r="O55">
        <v>45</v>
      </c>
      <c r="P55">
        <v>492</v>
      </c>
      <c r="Q55">
        <v>574</v>
      </c>
      <c r="R55">
        <v>54</v>
      </c>
    </row>
    <row r="56" spans="1:18">
      <c r="A56" s="1" t="s">
        <v>63</v>
      </c>
      <c r="B56">
        <v>29</v>
      </c>
      <c r="C56">
        <v>13</v>
      </c>
      <c r="D56">
        <v>16</v>
      </c>
      <c r="E56">
        <v>-7.85</v>
      </c>
      <c r="F56">
        <v>1848</v>
      </c>
      <c r="G56">
        <v>673</v>
      </c>
      <c r="H56">
        <v>1611</v>
      </c>
      <c r="I56">
        <v>390</v>
      </c>
      <c r="J56">
        <v>591</v>
      </c>
      <c r="K56">
        <v>372</v>
      </c>
      <c r="L56">
        <v>1062</v>
      </c>
      <c r="M56">
        <v>353</v>
      </c>
      <c r="N56">
        <v>225</v>
      </c>
      <c r="O56">
        <v>85</v>
      </c>
      <c r="P56">
        <v>478</v>
      </c>
      <c r="Q56">
        <v>550</v>
      </c>
      <c r="R56">
        <v>55</v>
      </c>
    </row>
    <row r="57" spans="1:18">
      <c r="A57" s="1" t="s">
        <v>64</v>
      </c>
      <c r="B57">
        <v>30</v>
      </c>
      <c r="C57">
        <v>24</v>
      </c>
      <c r="D57">
        <v>6</v>
      </c>
      <c r="E57">
        <v>-7.04</v>
      </c>
      <c r="F57">
        <v>2035</v>
      </c>
      <c r="G57">
        <v>746</v>
      </c>
      <c r="H57">
        <v>1588</v>
      </c>
      <c r="I57">
        <v>432</v>
      </c>
      <c r="J57">
        <v>657</v>
      </c>
      <c r="K57">
        <v>348</v>
      </c>
      <c r="L57">
        <v>1095</v>
      </c>
      <c r="M57">
        <v>428</v>
      </c>
      <c r="N57">
        <v>218</v>
      </c>
      <c r="O57">
        <v>180</v>
      </c>
      <c r="P57">
        <v>416</v>
      </c>
      <c r="Q57">
        <v>478</v>
      </c>
      <c r="R57">
        <v>56</v>
      </c>
    </row>
    <row r="58" spans="1:18">
      <c r="A58" s="1" t="s">
        <v>65</v>
      </c>
      <c r="B58">
        <v>30</v>
      </c>
      <c r="C58">
        <v>18</v>
      </c>
      <c r="D58">
        <v>12</v>
      </c>
      <c r="E58">
        <v>3.48</v>
      </c>
      <c r="F58">
        <v>2105</v>
      </c>
      <c r="G58">
        <v>720</v>
      </c>
      <c r="H58">
        <v>1509</v>
      </c>
      <c r="I58">
        <v>410</v>
      </c>
      <c r="J58">
        <v>583</v>
      </c>
      <c r="K58">
        <v>267</v>
      </c>
      <c r="L58">
        <v>925</v>
      </c>
      <c r="M58">
        <v>430</v>
      </c>
      <c r="N58">
        <v>193</v>
      </c>
      <c r="O58">
        <v>133</v>
      </c>
      <c r="P58">
        <v>427</v>
      </c>
      <c r="Q58">
        <v>537</v>
      </c>
      <c r="R58">
        <v>57</v>
      </c>
    </row>
    <row r="59" spans="1:18">
      <c r="A59" s="1" t="s">
        <v>66</v>
      </c>
      <c r="B59">
        <v>32</v>
      </c>
      <c r="C59">
        <v>18</v>
      </c>
      <c r="D59">
        <v>14</v>
      </c>
      <c r="E59">
        <v>6.33</v>
      </c>
      <c r="F59">
        <v>2407</v>
      </c>
      <c r="G59">
        <v>844</v>
      </c>
      <c r="H59">
        <v>1979</v>
      </c>
      <c r="I59">
        <v>565</v>
      </c>
      <c r="J59">
        <v>824</v>
      </c>
      <c r="K59">
        <v>472</v>
      </c>
      <c r="L59">
        <v>1288</v>
      </c>
      <c r="M59">
        <v>476</v>
      </c>
      <c r="N59">
        <v>275</v>
      </c>
      <c r="O59">
        <v>116</v>
      </c>
      <c r="P59">
        <v>455</v>
      </c>
      <c r="Q59">
        <v>615</v>
      </c>
      <c r="R59">
        <v>58</v>
      </c>
    </row>
    <row r="60" spans="1:18">
      <c r="A60" s="1" t="s">
        <v>67</v>
      </c>
      <c r="B60">
        <v>27</v>
      </c>
      <c r="C60">
        <v>13</v>
      </c>
      <c r="D60">
        <v>14</v>
      </c>
      <c r="E60">
        <v>-8.25</v>
      </c>
      <c r="F60">
        <v>1598</v>
      </c>
      <c r="G60">
        <v>542</v>
      </c>
      <c r="H60">
        <v>1254</v>
      </c>
      <c r="I60">
        <v>316</v>
      </c>
      <c r="J60">
        <v>455</v>
      </c>
      <c r="K60">
        <v>194</v>
      </c>
      <c r="L60">
        <v>873</v>
      </c>
      <c r="M60">
        <v>359</v>
      </c>
      <c r="N60">
        <v>155</v>
      </c>
      <c r="O60">
        <v>90</v>
      </c>
      <c r="R60">
        <v>59</v>
      </c>
    </row>
    <row r="61" spans="1:18">
      <c r="A61" s="1" t="s">
        <v>275</v>
      </c>
      <c r="B61">
        <v>35</v>
      </c>
      <c r="C61">
        <v>25</v>
      </c>
      <c r="D61">
        <v>10</v>
      </c>
      <c r="E61">
        <v>7.58</v>
      </c>
      <c r="F61">
        <v>2611</v>
      </c>
      <c r="G61">
        <v>956</v>
      </c>
      <c r="H61">
        <v>2071</v>
      </c>
      <c r="I61">
        <v>515</v>
      </c>
      <c r="J61">
        <v>707</v>
      </c>
      <c r="K61">
        <v>506</v>
      </c>
      <c r="L61">
        <v>1373</v>
      </c>
      <c r="M61">
        <v>529</v>
      </c>
      <c r="N61">
        <v>230</v>
      </c>
      <c r="O61">
        <v>179</v>
      </c>
      <c r="P61">
        <v>495</v>
      </c>
      <c r="Q61">
        <v>596</v>
      </c>
      <c r="R61">
        <v>60</v>
      </c>
    </row>
    <row r="62" spans="1:18">
      <c r="A62" s="1" t="s">
        <v>68</v>
      </c>
      <c r="B62">
        <v>30</v>
      </c>
      <c r="C62">
        <v>15</v>
      </c>
      <c r="D62">
        <v>15</v>
      </c>
      <c r="E62">
        <v>-9.36</v>
      </c>
      <c r="F62">
        <v>2017</v>
      </c>
      <c r="G62">
        <v>691</v>
      </c>
      <c r="H62">
        <v>1693</v>
      </c>
      <c r="I62">
        <v>458</v>
      </c>
      <c r="J62">
        <v>652</v>
      </c>
      <c r="K62">
        <v>357</v>
      </c>
      <c r="L62">
        <v>1026</v>
      </c>
      <c r="M62">
        <v>320</v>
      </c>
      <c r="N62">
        <v>226</v>
      </c>
      <c r="O62">
        <v>122</v>
      </c>
      <c r="P62">
        <v>448</v>
      </c>
      <c r="Q62">
        <v>543</v>
      </c>
      <c r="R62">
        <v>61</v>
      </c>
    </row>
    <row r="63" spans="1:18">
      <c r="A63" s="1" t="s">
        <v>69</v>
      </c>
      <c r="B63">
        <v>27</v>
      </c>
      <c r="C63">
        <v>10</v>
      </c>
      <c r="D63">
        <v>17</v>
      </c>
      <c r="E63">
        <v>-9.1300000000000008</v>
      </c>
      <c r="F63">
        <v>1763</v>
      </c>
      <c r="G63">
        <v>611</v>
      </c>
      <c r="H63">
        <v>1522</v>
      </c>
      <c r="I63">
        <v>379</v>
      </c>
      <c r="J63">
        <v>571</v>
      </c>
      <c r="K63">
        <v>353</v>
      </c>
      <c r="L63">
        <v>1024</v>
      </c>
      <c r="M63">
        <v>318</v>
      </c>
      <c r="N63">
        <v>200</v>
      </c>
      <c r="O63">
        <v>55</v>
      </c>
      <c r="P63">
        <v>417</v>
      </c>
      <c r="Q63">
        <v>512</v>
      </c>
      <c r="R63">
        <v>62</v>
      </c>
    </row>
    <row r="64" spans="1:18">
      <c r="A64" s="1" t="s">
        <v>326</v>
      </c>
      <c r="B64">
        <v>33</v>
      </c>
      <c r="C64">
        <v>23</v>
      </c>
      <c r="D64">
        <v>10</v>
      </c>
      <c r="E64">
        <v>1.64</v>
      </c>
      <c r="F64">
        <v>2410</v>
      </c>
      <c r="G64">
        <v>819</v>
      </c>
      <c r="H64">
        <v>1717</v>
      </c>
      <c r="I64">
        <v>483</v>
      </c>
      <c r="J64">
        <v>671</v>
      </c>
      <c r="K64">
        <v>315</v>
      </c>
      <c r="L64">
        <v>1084</v>
      </c>
      <c r="M64">
        <v>510</v>
      </c>
      <c r="N64">
        <v>262</v>
      </c>
      <c r="O64">
        <v>77</v>
      </c>
      <c r="P64">
        <v>484</v>
      </c>
      <c r="Q64">
        <v>605</v>
      </c>
      <c r="R64">
        <v>63</v>
      </c>
    </row>
    <row r="65" spans="1:18">
      <c r="A65" s="1" t="s">
        <v>70</v>
      </c>
      <c r="B65">
        <v>27</v>
      </c>
      <c r="C65">
        <v>9</v>
      </c>
      <c r="D65">
        <v>18</v>
      </c>
      <c r="E65">
        <v>-8.49</v>
      </c>
      <c r="F65">
        <v>1792</v>
      </c>
      <c r="G65">
        <v>626</v>
      </c>
      <c r="H65">
        <v>1544</v>
      </c>
      <c r="I65">
        <v>329</v>
      </c>
      <c r="J65">
        <v>492</v>
      </c>
      <c r="K65">
        <v>281</v>
      </c>
      <c r="L65">
        <v>908</v>
      </c>
      <c r="M65">
        <v>395</v>
      </c>
      <c r="N65">
        <v>186</v>
      </c>
      <c r="O65">
        <v>67</v>
      </c>
      <c r="P65">
        <v>362</v>
      </c>
      <c r="Q65">
        <v>499</v>
      </c>
      <c r="R65">
        <v>64</v>
      </c>
    </row>
    <row r="66" spans="1:18">
      <c r="A66" s="1" t="s">
        <v>71</v>
      </c>
      <c r="B66">
        <v>28</v>
      </c>
      <c r="C66">
        <v>15</v>
      </c>
      <c r="D66">
        <v>13</v>
      </c>
      <c r="E66">
        <v>-2.69</v>
      </c>
      <c r="F66">
        <v>2068</v>
      </c>
      <c r="G66">
        <v>730</v>
      </c>
      <c r="H66">
        <v>1651</v>
      </c>
      <c r="I66">
        <v>415</v>
      </c>
      <c r="J66">
        <v>584</v>
      </c>
      <c r="K66">
        <v>329</v>
      </c>
      <c r="L66">
        <v>1027</v>
      </c>
      <c r="M66">
        <v>448</v>
      </c>
      <c r="N66">
        <v>223</v>
      </c>
      <c r="O66">
        <v>71</v>
      </c>
      <c r="P66">
        <v>456</v>
      </c>
      <c r="Q66">
        <v>616</v>
      </c>
      <c r="R66">
        <v>65</v>
      </c>
    </row>
    <row r="67" spans="1:18">
      <c r="A67" s="1" t="s">
        <v>276</v>
      </c>
      <c r="B67">
        <v>31</v>
      </c>
      <c r="C67">
        <v>22</v>
      </c>
      <c r="D67">
        <v>9</v>
      </c>
      <c r="E67">
        <v>3.46</v>
      </c>
      <c r="F67">
        <v>2214</v>
      </c>
      <c r="G67">
        <v>752</v>
      </c>
      <c r="H67">
        <v>1735</v>
      </c>
      <c r="I67">
        <v>492</v>
      </c>
      <c r="J67">
        <v>690</v>
      </c>
      <c r="K67">
        <v>447</v>
      </c>
      <c r="L67">
        <v>1153</v>
      </c>
      <c r="M67">
        <v>412</v>
      </c>
      <c r="N67">
        <v>215</v>
      </c>
      <c r="O67">
        <v>70</v>
      </c>
      <c r="P67">
        <v>429</v>
      </c>
      <c r="Q67">
        <v>559</v>
      </c>
      <c r="R67">
        <v>66</v>
      </c>
    </row>
    <row r="68" spans="1:18">
      <c r="A68" s="1" t="s">
        <v>72</v>
      </c>
      <c r="B68">
        <v>28</v>
      </c>
      <c r="C68">
        <v>6</v>
      </c>
      <c r="D68">
        <v>22</v>
      </c>
      <c r="E68">
        <v>-11.26</v>
      </c>
      <c r="F68">
        <v>1758</v>
      </c>
      <c r="G68">
        <v>646</v>
      </c>
      <c r="H68">
        <v>1498</v>
      </c>
      <c r="I68">
        <v>297</v>
      </c>
      <c r="J68">
        <v>435</v>
      </c>
      <c r="K68">
        <v>318</v>
      </c>
      <c r="L68">
        <v>983</v>
      </c>
      <c r="M68">
        <v>359</v>
      </c>
      <c r="N68">
        <v>176</v>
      </c>
      <c r="O68">
        <v>56</v>
      </c>
      <c r="P68">
        <v>521</v>
      </c>
      <c r="Q68">
        <v>488</v>
      </c>
      <c r="R68">
        <v>67</v>
      </c>
    </row>
    <row r="69" spans="1:18">
      <c r="A69" s="1" t="s">
        <v>73</v>
      </c>
      <c r="B69">
        <v>32</v>
      </c>
      <c r="C69">
        <v>24</v>
      </c>
      <c r="D69">
        <v>8</v>
      </c>
      <c r="E69">
        <v>-7.75</v>
      </c>
      <c r="F69">
        <v>2447</v>
      </c>
      <c r="G69">
        <v>841</v>
      </c>
      <c r="H69">
        <v>1823</v>
      </c>
      <c r="I69">
        <v>522</v>
      </c>
      <c r="J69">
        <v>693</v>
      </c>
      <c r="K69">
        <v>301</v>
      </c>
      <c r="L69">
        <v>1119</v>
      </c>
      <c r="M69">
        <v>474</v>
      </c>
      <c r="N69">
        <v>264</v>
      </c>
      <c r="O69">
        <v>176</v>
      </c>
      <c r="P69">
        <v>467</v>
      </c>
      <c r="Q69">
        <v>563</v>
      </c>
      <c r="R69">
        <v>68</v>
      </c>
    </row>
    <row r="70" spans="1:18">
      <c r="A70" s="1" t="s">
        <v>74</v>
      </c>
      <c r="B70">
        <v>28</v>
      </c>
      <c r="C70">
        <v>6</v>
      </c>
      <c r="D70">
        <v>22</v>
      </c>
      <c r="E70">
        <v>-1.1399999999999999</v>
      </c>
      <c r="F70">
        <v>1850</v>
      </c>
      <c r="G70">
        <v>640</v>
      </c>
      <c r="H70">
        <v>1734</v>
      </c>
      <c r="I70">
        <v>366</v>
      </c>
      <c r="J70">
        <v>566</v>
      </c>
      <c r="K70">
        <v>377</v>
      </c>
      <c r="L70">
        <v>999</v>
      </c>
      <c r="M70">
        <v>372</v>
      </c>
      <c r="N70">
        <v>148</v>
      </c>
      <c r="O70">
        <v>78</v>
      </c>
      <c r="P70">
        <v>398</v>
      </c>
      <c r="Q70">
        <v>512</v>
      </c>
      <c r="R70">
        <v>69</v>
      </c>
    </row>
    <row r="71" spans="1:18">
      <c r="A71" s="1" t="s">
        <v>277</v>
      </c>
      <c r="B71">
        <v>33</v>
      </c>
      <c r="C71">
        <v>21</v>
      </c>
      <c r="D71">
        <v>12</v>
      </c>
      <c r="E71">
        <v>7.83</v>
      </c>
      <c r="F71">
        <v>2387</v>
      </c>
      <c r="G71">
        <v>877</v>
      </c>
      <c r="H71">
        <v>1935</v>
      </c>
      <c r="I71">
        <v>438</v>
      </c>
      <c r="J71">
        <v>655</v>
      </c>
      <c r="K71">
        <v>518</v>
      </c>
      <c r="L71">
        <v>1302</v>
      </c>
      <c r="M71">
        <v>494</v>
      </c>
      <c r="N71">
        <v>267</v>
      </c>
      <c r="O71">
        <v>126</v>
      </c>
      <c r="P71">
        <v>538</v>
      </c>
      <c r="Q71">
        <v>597</v>
      </c>
      <c r="R71">
        <v>70</v>
      </c>
    </row>
    <row r="72" spans="1:18">
      <c r="A72" s="1" t="s">
        <v>75</v>
      </c>
      <c r="B72">
        <v>32</v>
      </c>
      <c r="C72">
        <v>20</v>
      </c>
      <c r="D72">
        <v>12</v>
      </c>
      <c r="E72">
        <v>0.14000000000000001</v>
      </c>
      <c r="F72">
        <v>2229</v>
      </c>
      <c r="G72">
        <v>779</v>
      </c>
      <c r="H72">
        <v>1732</v>
      </c>
      <c r="I72">
        <v>443</v>
      </c>
      <c r="J72">
        <v>614</v>
      </c>
      <c r="K72">
        <v>348</v>
      </c>
      <c r="L72">
        <v>1085</v>
      </c>
      <c r="M72">
        <v>442</v>
      </c>
      <c r="N72">
        <v>197</v>
      </c>
      <c r="O72">
        <v>94</v>
      </c>
      <c r="P72">
        <v>418</v>
      </c>
      <c r="Q72">
        <v>554</v>
      </c>
      <c r="R72">
        <v>71</v>
      </c>
    </row>
    <row r="73" spans="1:18">
      <c r="A73" s="1" t="s">
        <v>76</v>
      </c>
      <c r="B73">
        <v>29</v>
      </c>
      <c r="C73">
        <v>11</v>
      </c>
      <c r="D73">
        <v>18</v>
      </c>
      <c r="E73">
        <v>0.71</v>
      </c>
      <c r="F73">
        <v>1803</v>
      </c>
      <c r="G73">
        <v>621</v>
      </c>
      <c r="H73">
        <v>1529</v>
      </c>
      <c r="I73">
        <v>395</v>
      </c>
      <c r="J73">
        <v>565</v>
      </c>
      <c r="K73">
        <v>290</v>
      </c>
      <c r="L73">
        <v>935</v>
      </c>
      <c r="M73">
        <v>396</v>
      </c>
      <c r="N73">
        <v>212</v>
      </c>
      <c r="O73">
        <v>49</v>
      </c>
      <c r="P73">
        <v>374</v>
      </c>
      <c r="Q73">
        <v>509</v>
      </c>
      <c r="R73">
        <v>72</v>
      </c>
    </row>
    <row r="74" spans="1:18">
      <c r="A74" s="1" t="s">
        <v>77</v>
      </c>
      <c r="B74">
        <v>30</v>
      </c>
      <c r="C74">
        <v>13</v>
      </c>
      <c r="D74">
        <v>17</v>
      </c>
      <c r="E74">
        <v>-7.13</v>
      </c>
      <c r="F74">
        <v>1889</v>
      </c>
      <c r="G74">
        <v>670</v>
      </c>
      <c r="H74">
        <v>1643</v>
      </c>
      <c r="I74">
        <v>360</v>
      </c>
      <c r="J74">
        <v>518</v>
      </c>
      <c r="K74">
        <v>379</v>
      </c>
      <c r="L74">
        <v>1116</v>
      </c>
      <c r="M74">
        <v>336</v>
      </c>
      <c r="N74">
        <v>160</v>
      </c>
      <c r="O74">
        <v>38</v>
      </c>
      <c r="P74">
        <v>430</v>
      </c>
      <c r="Q74">
        <v>570</v>
      </c>
      <c r="R74">
        <v>73</v>
      </c>
    </row>
    <row r="75" spans="1:18">
      <c r="A75" s="1" t="s">
        <v>373</v>
      </c>
      <c r="B75">
        <v>34</v>
      </c>
      <c r="C75">
        <v>29</v>
      </c>
      <c r="D75">
        <v>5</v>
      </c>
      <c r="E75">
        <v>8.8800000000000008</v>
      </c>
      <c r="F75">
        <v>2992</v>
      </c>
      <c r="G75">
        <v>1045</v>
      </c>
      <c r="H75">
        <v>2172</v>
      </c>
      <c r="I75">
        <v>618</v>
      </c>
      <c r="J75">
        <v>833</v>
      </c>
      <c r="K75">
        <v>453</v>
      </c>
      <c r="L75">
        <v>1313</v>
      </c>
      <c r="M75">
        <v>584</v>
      </c>
      <c r="N75">
        <v>333</v>
      </c>
      <c r="O75">
        <v>191</v>
      </c>
      <c r="P75">
        <v>480</v>
      </c>
      <c r="Q75">
        <v>552</v>
      </c>
      <c r="R75">
        <v>74</v>
      </c>
    </row>
    <row r="76" spans="1:18">
      <c r="A76" s="1" t="s">
        <v>78</v>
      </c>
      <c r="B76">
        <v>29</v>
      </c>
      <c r="C76">
        <v>9</v>
      </c>
      <c r="D76">
        <v>20</v>
      </c>
      <c r="E76">
        <v>2.5</v>
      </c>
      <c r="F76">
        <v>2009</v>
      </c>
      <c r="G76">
        <v>682</v>
      </c>
      <c r="H76">
        <v>1739</v>
      </c>
      <c r="I76">
        <v>467</v>
      </c>
      <c r="J76">
        <v>687</v>
      </c>
      <c r="K76">
        <v>392</v>
      </c>
      <c r="L76">
        <v>1056</v>
      </c>
      <c r="M76">
        <v>334</v>
      </c>
      <c r="N76">
        <v>177</v>
      </c>
      <c r="O76">
        <v>67</v>
      </c>
      <c r="P76">
        <v>443</v>
      </c>
      <c r="Q76">
        <v>564</v>
      </c>
      <c r="R76">
        <v>75</v>
      </c>
    </row>
    <row r="77" spans="1:18">
      <c r="A77" s="1" t="s">
        <v>79</v>
      </c>
      <c r="B77">
        <v>28</v>
      </c>
      <c r="C77">
        <v>10</v>
      </c>
      <c r="D77">
        <v>18</v>
      </c>
      <c r="E77">
        <v>-2.6</v>
      </c>
      <c r="F77">
        <v>1798</v>
      </c>
      <c r="G77">
        <v>654</v>
      </c>
      <c r="H77">
        <v>1585</v>
      </c>
      <c r="I77">
        <v>290</v>
      </c>
      <c r="J77">
        <v>461</v>
      </c>
      <c r="K77">
        <v>355</v>
      </c>
      <c r="L77">
        <v>1099</v>
      </c>
      <c r="M77">
        <v>352</v>
      </c>
      <c r="N77">
        <v>98</v>
      </c>
      <c r="O77">
        <v>89</v>
      </c>
      <c r="P77">
        <v>428</v>
      </c>
      <c r="Q77">
        <v>582</v>
      </c>
      <c r="R77">
        <v>76</v>
      </c>
    </row>
    <row r="78" spans="1:18">
      <c r="A78" s="1" t="s">
        <v>80</v>
      </c>
      <c r="B78">
        <v>29</v>
      </c>
      <c r="C78">
        <v>14</v>
      </c>
      <c r="D78">
        <v>15</v>
      </c>
      <c r="E78">
        <v>-4.97</v>
      </c>
      <c r="F78">
        <v>2003</v>
      </c>
      <c r="G78">
        <v>681</v>
      </c>
      <c r="H78">
        <v>1598</v>
      </c>
      <c r="I78">
        <v>491</v>
      </c>
      <c r="J78">
        <v>751</v>
      </c>
      <c r="K78">
        <v>409</v>
      </c>
      <c r="L78">
        <v>1070</v>
      </c>
      <c r="M78">
        <v>334</v>
      </c>
      <c r="N78">
        <v>245</v>
      </c>
      <c r="O78">
        <v>47</v>
      </c>
      <c r="P78">
        <v>496</v>
      </c>
      <c r="Q78">
        <v>606</v>
      </c>
      <c r="R78">
        <v>77</v>
      </c>
    </row>
    <row r="79" spans="1:18">
      <c r="A79" s="1" t="s">
        <v>81</v>
      </c>
      <c r="B79">
        <v>29</v>
      </c>
      <c r="C79">
        <v>17</v>
      </c>
      <c r="D79">
        <v>12</v>
      </c>
      <c r="E79">
        <v>-1.99</v>
      </c>
      <c r="F79">
        <v>2336</v>
      </c>
      <c r="G79">
        <v>860</v>
      </c>
      <c r="H79">
        <v>1824</v>
      </c>
      <c r="I79">
        <v>410</v>
      </c>
      <c r="J79">
        <v>569</v>
      </c>
      <c r="K79">
        <v>389</v>
      </c>
      <c r="L79">
        <v>1110</v>
      </c>
      <c r="M79">
        <v>510</v>
      </c>
      <c r="N79">
        <v>241</v>
      </c>
      <c r="O79">
        <v>92</v>
      </c>
      <c r="P79">
        <v>443</v>
      </c>
      <c r="Q79">
        <v>536</v>
      </c>
      <c r="R79">
        <v>78</v>
      </c>
    </row>
    <row r="80" spans="1:18">
      <c r="A80" s="1" t="s">
        <v>82</v>
      </c>
      <c r="B80">
        <v>27</v>
      </c>
      <c r="C80">
        <v>6</v>
      </c>
      <c r="D80">
        <v>21</v>
      </c>
      <c r="E80">
        <v>-1.7</v>
      </c>
      <c r="F80">
        <v>1888</v>
      </c>
      <c r="G80">
        <v>676</v>
      </c>
      <c r="H80">
        <v>1601</v>
      </c>
      <c r="I80">
        <v>384</v>
      </c>
      <c r="J80">
        <v>547</v>
      </c>
      <c r="K80">
        <v>405</v>
      </c>
      <c r="L80">
        <v>1015</v>
      </c>
      <c r="M80">
        <v>370</v>
      </c>
      <c r="N80">
        <v>179</v>
      </c>
      <c r="O80">
        <v>105</v>
      </c>
      <c r="P80">
        <v>516</v>
      </c>
      <c r="Q80">
        <v>532</v>
      </c>
      <c r="R80">
        <v>79</v>
      </c>
    </row>
    <row r="81" spans="1:18">
      <c r="A81" s="1" t="s">
        <v>83</v>
      </c>
      <c r="B81">
        <v>28</v>
      </c>
      <c r="C81">
        <v>15</v>
      </c>
      <c r="D81">
        <v>13</v>
      </c>
      <c r="E81">
        <v>1.87</v>
      </c>
      <c r="F81">
        <v>2014</v>
      </c>
      <c r="G81">
        <v>758</v>
      </c>
      <c r="H81">
        <v>1739</v>
      </c>
      <c r="I81">
        <v>345</v>
      </c>
      <c r="J81">
        <v>537</v>
      </c>
      <c r="K81">
        <v>410</v>
      </c>
      <c r="L81">
        <v>1117</v>
      </c>
      <c r="M81">
        <v>380</v>
      </c>
      <c r="N81">
        <v>226</v>
      </c>
      <c r="O81">
        <v>126</v>
      </c>
      <c r="P81">
        <v>454</v>
      </c>
      <c r="Q81">
        <v>596</v>
      </c>
      <c r="R81">
        <v>80</v>
      </c>
    </row>
    <row r="82" spans="1:18">
      <c r="A82" s="1" t="s">
        <v>84</v>
      </c>
      <c r="B82">
        <v>27</v>
      </c>
      <c r="C82">
        <v>15</v>
      </c>
      <c r="D82">
        <v>12</v>
      </c>
      <c r="E82">
        <v>1.48</v>
      </c>
      <c r="F82">
        <v>2002</v>
      </c>
      <c r="G82">
        <v>714</v>
      </c>
      <c r="H82">
        <v>1629</v>
      </c>
      <c r="I82">
        <v>358</v>
      </c>
      <c r="J82">
        <v>526</v>
      </c>
      <c r="K82">
        <v>345</v>
      </c>
      <c r="L82">
        <v>973</v>
      </c>
      <c r="M82">
        <v>433</v>
      </c>
      <c r="N82">
        <v>156</v>
      </c>
      <c r="O82">
        <v>80</v>
      </c>
      <c r="P82">
        <v>365</v>
      </c>
      <c r="Q82">
        <v>568</v>
      </c>
      <c r="R82">
        <v>81</v>
      </c>
    </row>
    <row r="83" spans="1:18">
      <c r="A83" s="1" t="s">
        <v>85</v>
      </c>
      <c r="B83">
        <v>28</v>
      </c>
      <c r="C83">
        <v>13</v>
      </c>
      <c r="D83">
        <v>15</v>
      </c>
      <c r="E83">
        <v>-6.37</v>
      </c>
      <c r="F83">
        <v>2083</v>
      </c>
      <c r="G83">
        <v>767</v>
      </c>
      <c r="H83">
        <v>1648</v>
      </c>
      <c r="I83">
        <v>384</v>
      </c>
      <c r="J83">
        <v>555</v>
      </c>
      <c r="K83">
        <v>359</v>
      </c>
      <c r="L83">
        <v>1021</v>
      </c>
      <c r="M83">
        <v>382</v>
      </c>
      <c r="N83">
        <v>258</v>
      </c>
      <c r="O83">
        <v>72</v>
      </c>
      <c r="P83">
        <v>514</v>
      </c>
      <c r="Q83">
        <v>582</v>
      </c>
      <c r="R83">
        <v>82</v>
      </c>
    </row>
    <row r="84" spans="1:18">
      <c r="A84" s="1" t="s">
        <v>86</v>
      </c>
      <c r="B84">
        <v>30</v>
      </c>
      <c r="C84">
        <v>18</v>
      </c>
      <c r="D84">
        <v>12</v>
      </c>
      <c r="E84">
        <v>0.98</v>
      </c>
      <c r="F84">
        <v>2069</v>
      </c>
      <c r="G84">
        <v>721</v>
      </c>
      <c r="H84">
        <v>1594</v>
      </c>
      <c r="I84">
        <v>472</v>
      </c>
      <c r="J84">
        <v>634</v>
      </c>
      <c r="K84">
        <v>269</v>
      </c>
      <c r="L84">
        <v>1005</v>
      </c>
      <c r="M84">
        <v>458</v>
      </c>
      <c r="N84">
        <v>202</v>
      </c>
      <c r="O84">
        <v>59</v>
      </c>
      <c r="P84">
        <v>436</v>
      </c>
      <c r="Q84">
        <v>506</v>
      </c>
      <c r="R84">
        <v>83</v>
      </c>
    </row>
    <row r="85" spans="1:18">
      <c r="A85" s="1" t="s">
        <v>87</v>
      </c>
      <c r="B85">
        <v>29</v>
      </c>
      <c r="C85">
        <v>14</v>
      </c>
      <c r="D85">
        <v>15</v>
      </c>
      <c r="E85">
        <v>-2.44</v>
      </c>
      <c r="F85">
        <v>2222</v>
      </c>
      <c r="G85">
        <v>752</v>
      </c>
      <c r="H85">
        <v>1782</v>
      </c>
      <c r="I85">
        <v>561</v>
      </c>
      <c r="J85">
        <v>785</v>
      </c>
      <c r="K85">
        <v>489</v>
      </c>
      <c r="L85">
        <v>1196</v>
      </c>
      <c r="M85">
        <v>385</v>
      </c>
      <c r="N85">
        <v>247</v>
      </c>
      <c r="O85">
        <v>70</v>
      </c>
      <c r="P85">
        <v>509</v>
      </c>
      <c r="Q85">
        <v>570</v>
      </c>
      <c r="R85">
        <v>84</v>
      </c>
    </row>
    <row r="86" spans="1:18">
      <c r="A86" s="1" t="s">
        <v>88</v>
      </c>
      <c r="B86">
        <v>28</v>
      </c>
      <c r="C86">
        <v>17</v>
      </c>
      <c r="D86">
        <v>11</v>
      </c>
      <c r="E86">
        <v>-7.97</v>
      </c>
      <c r="F86">
        <v>1807</v>
      </c>
      <c r="G86">
        <v>619</v>
      </c>
      <c r="H86">
        <v>1439</v>
      </c>
      <c r="I86">
        <v>402</v>
      </c>
      <c r="J86">
        <v>634</v>
      </c>
      <c r="K86">
        <v>365</v>
      </c>
      <c r="L86">
        <v>1017</v>
      </c>
      <c r="M86">
        <v>322</v>
      </c>
      <c r="N86">
        <v>210</v>
      </c>
      <c r="O86">
        <v>85</v>
      </c>
      <c r="P86">
        <v>502</v>
      </c>
      <c r="Q86">
        <v>496</v>
      </c>
      <c r="R86">
        <v>85</v>
      </c>
    </row>
    <row r="87" spans="1:18">
      <c r="A87" s="1" t="s">
        <v>89</v>
      </c>
      <c r="B87">
        <v>31</v>
      </c>
      <c r="C87">
        <v>9</v>
      </c>
      <c r="D87">
        <v>22</v>
      </c>
      <c r="E87">
        <v>-9.43</v>
      </c>
      <c r="F87">
        <v>1999</v>
      </c>
      <c r="G87">
        <v>708</v>
      </c>
      <c r="H87">
        <v>1823</v>
      </c>
      <c r="I87">
        <v>413</v>
      </c>
      <c r="J87">
        <v>713</v>
      </c>
      <c r="K87">
        <v>443</v>
      </c>
      <c r="L87">
        <v>1121</v>
      </c>
      <c r="M87">
        <v>342</v>
      </c>
      <c r="N87">
        <v>273</v>
      </c>
      <c r="O87">
        <v>67</v>
      </c>
      <c r="P87">
        <v>595</v>
      </c>
      <c r="Q87">
        <v>722</v>
      </c>
      <c r="R87">
        <v>86</v>
      </c>
    </row>
    <row r="88" spans="1:18">
      <c r="A88" s="1" t="s">
        <v>90</v>
      </c>
      <c r="B88">
        <v>30</v>
      </c>
      <c r="C88">
        <v>2</v>
      </c>
      <c r="D88">
        <v>28</v>
      </c>
      <c r="E88">
        <v>-3.26</v>
      </c>
      <c r="F88">
        <v>1833</v>
      </c>
      <c r="G88">
        <v>625</v>
      </c>
      <c r="H88">
        <v>1636</v>
      </c>
      <c r="I88">
        <v>383</v>
      </c>
      <c r="J88">
        <v>539</v>
      </c>
      <c r="K88">
        <v>339</v>
      </c>
      <c r="L88">
        <v>911</v>
      </c>
      <c r="M88">
        <v>345</v>
      </c>
      <c r="N88">
        <v>241</v>
      </c>
      <c r="O88">
        <v>65</v>
      </c>
      <c r="P88">
        <v>593</v>
      </c>
      <c r="Q88">
        <v>535</v>
      </c>
      <c r="R88">
        <v>87</v>
      </c>
    </row>
    <row r="89" spans="1:18">
      <c r="A89" s="1" t="s">
        <v>91</v>
      </c>
      <c r="B89">
        <v>30</v>
      </c>
      <c r="C89">
        <v>16</v>
      </c>
      <c r="D89">
        <v>14</v>
      </c>
      <c r="E89">
        <v>-2.0699999999999998</v>
      </c>
      <c r="F89">
        <v>2167</v>
      </c>
      <c r="G89">
        <v>787</v>
      </c>
      <c r="H89">
        <v>1794</v>
      </c>
      <c r="I89">
        <v>418</v>
      </c>
      <c r="J89">
        <v>621</v>
      </c>
      <c r="K89">
        <v>369</v>
      </c>
      <c r="L89">
        <v>1108</v>
      </c>
      <c r="M89">
        <v>409</v>
      </c>
      <c r="N89">
        <v>287</v>
      </c>
      <c r="O89">
        <v>138</v>
      </c>
      <c r="P89">
        <v>458</v>
      </c>
      <c r="Q89">
        <v>536</v>
      </c>
      <c r="R89">
        <v>88</v>
      </c>
    </row>
    <row r="90" spans="1:18">
      <c r="A90" s="1" t="s">
        <v>92</v>
      </c>
      <c r="B90">
        <v>29</v>
      </c>
      <c r="C90">
        <v>12</v>
      </c>
      <c r="D90">
        <v>17</v>
      </c>
      <c r="E90">
        <v>10</v>
      </c>
      <c r="F90">
        <v>1874</v>
      </c>
      <c r="G90">
        <v>656</v>
      </c>
      <c r="H90">
        <v>1591</v>
      </c>
      <c r="I90">
        <v>387</v>
      </c>
      <c r="J90">
        <v>566</v>
      </c>
      <c r="K90">
        <v>366</v>
      </c>
      <c r="L90">
        <v>1075</v>
      </c>
      <c r="M90">
        <v>352</v>
      </c>
      <c r="N90">
        <v>153</v>
      </c>
      <c r="O90">
        <v>120</v>
      </c>
      <c r="P90">
        <v>449</v>
      </c>
      <c r="Q90">
        <v>483</v>
      </c>
      <c r="R90">
        <v>89</v>
      </c>
    </row>
    <row r="91" spans="1:18">
      <c r="A91" s="1" t="s">
        <v>347</v>
      </c>
      <c r="B91">
        <v>37</v>
      </c>
      <c r="C91">
        <v>29</v>
      </c>
      <c r="D91">
        <v>8</v>
      </c>
      <c r="E91">
        <v>8.51</v>
      </c>
      <c r="F91">
        <v>3102</v>
      </c>
      <c r="G91">
        <v>1104</v>
      </c>
      <c r="H91">
        <v>2299</v>
      </c>
      <c r="I91">
        <v>628</v>
      </c>
      <c r="J91">
        <v>885</v>
      </c>
      <c r="K91">
        <v>538</v>
      </c>
      <c r="L91">
        <v>1452</v>
      </c>
      <c r="M91">
        <v>611</v>
      </c>
      <c r="N91">
        <v>365</v>
      </c>
      <c r="O91">
        <v>141</v>
      </c>
      <c r="P91">
        <v>607</v>
      </c>
      <c r="Q91">
        <v>750</v>
      </c>
      <c r="R91">
        <v>90</v>
      </c>
    </row>
    <row r="92" spans="1:18">
      <c r="A92" s="1" t="s">
        <v>93</v>
      </c>
      <c r="B92">
        <v>29</v>
      </c>
      <c r="C92">
        <v>14</v>
      </c>
      <c r="D92">
        <v>15</v>
      </c>
      <c r="E92">
        <v>2.82</v>
      </c>
      <c r="F92">
        <v>2189</v>
      </c>
      <c r="G92">
        <v>768</v>
      </c>
      <c r="H92">
        <v>1758</v>
      </c>
      <c r="I92">
        <v>421</v>
      </c>
      <c r="J92">
        <v>563</v>
      </c>
      <c r="K92">
        <v>357</v>
      </c>
      <c r="L92">
        <v>1068</v>
      </c>
      <c r="M92">
        <v>453</v>
      </c>
      <c r="N92">
        <v>257</v>
      </c>
      <c r="O92">
        <v>93</v>
      </c>
      <c r="P92">
        <v>479</v>
      </c>
      <c r="Q92">
        <v>643</v>
      </c>
      <c r="R92">
        <v>91</v>
      </c>
    </row>
    <row r="93" spans="1:18">
      <c r="A93" s="1" t="s">
        <v>306</v>
      </c>
      <c r="B93">
        <v>34</v>
      </c>
      <c r="C93">
        <v>24</v>
      </c>
      <c r="D93">
        <v>10</v>
      </c>
      <c r="E93">
        <v>3.58</v>
      </c>
      <c r="F93">
        <v>2799</v>
      </c>
      <c r="G93">
        <v>1021</v>
      </c>
      <c r="H93">
        <v>2167</v>
      </c>
      <c r="I93">
        <v>478</v>
      </c>
      <c r="J93">
        <v>680</v>
      </c>
      <c r="K93">
        <v>422</v>
      </c>
      <c r="L93">
        <v>1309</v>
      </c>
      <c r="M93">
        <v>654</v>
      </c>
      <c r="N93">
        <v>282</v>
      </c>
      <c r="O93">
        <v>161</v>
      </c>
      <c r="P93">
        <v>509</v>
      </c>
      <c r="Q93">
        <v>597</v>
      </c>
      <c r="R93">
        <v>92</v>
      </c>
    </row>
    <row r="94" spans="1:18">
      <c r="A94" s="1" t="s">
        <v>94</v>
      </c>
      <c r="B94">
        <v>32</v>
      </c>
      <c r="C94">
        <v>14</v>
      </c>
      <c r="D94">
        <v>18</v>
      </c>
      <c r="E94">
        <v>-5.15</v>
      </c>
      <c r="F94">
        <v>2252</v>
      </c>
      <c r="G94">
        <v>798</v>
      </c>
      <c r="H94">
        <v>1769</v>
      </c>
      <c r="I94">
        <v>499</v>
      </c>
      <c r="J94">
        <v>735</v>
      </c>
      <c r="K94">
        <v>363</v>
      </c>
      <c r="L94">
        <v>1155</v>
      </c>
      <c r="M94">
        <v>449</v>
      </c>
      <c r="N94">
        <v>242</v>
      </c>
      <c r="O94">
        <v>68</v>
      </c>
      <c r="Q94">
        <v>606</v>
      </c>
      <c r="R94">
        <v>93</v>
      </c>
    </row>
    <row r="95" spans="1:18">
      <c r="A95" s="1" t="s">
        <v>95</v>
      </c>
      <c r="B95">
        <v>30</v>
      </c>
      <c r="C95">
        <v>19</v>
      </c>
      <c r="D95">
        <v>11</v>
      </c>
      <c r="E95">
        <v>-2.37</v>
      </c>
      <c r="F95">
        <v>2134</v>
      </c>
      <c r="G95">
        <v>764</v>
      </c>
      <c r="H95">
        <v>1683</v>
      </c>
      <c r="I95">
        <v>430</v>
      </c>
      <c r="J95">
        <v>656</v>
      </c>
      <c r="K95">
        <v>346</v>
      </c>
      <c r="L95">
        <v>1023</v>
      </c>
      <c r="M95">
        <v>435</v>
      </c>
      <c r="N95">
        <v>235</v>
      </c>
      <c r="O95">
        <v>110</v>
      </c>
      <c r="P95">
        <v>421</v>
      </c>
      <c r="Q95">
        <v>521</v>
      </c>
      <c r="R95">
        <v>94</v>
      </c>
    </row>
    <row r="96" spans="1:18">
      <c r="A96" s="1" t="s">
        <v>96</v>
      </c>
      <c r="B96">
        <v>30</v>
      </c>
      <c r="C96">
        <v>15</v>
      </c>
      <c r="D96">
        <v>15</v>
      </c>
      <c r="E96">
        <v>5.41</v>
      </c>
      <c r="F96">
        <v>2417</v>
      </c>
      <c r="G96">
        <v>818</v>
      </c>
      <c r="H96">
        <v>1998</v>
      </c>
      <c r="I96">
        <v>602</v>
      </c>
      <c r="J96">
        <v>881</v>
      </c>
      <c r="K96">
        <v>501</v>
      </c>
      <c r="L96">
        <v>1132</v>
      </c>
      <c r="M96">
        <v>388</v>
      </c>
      <c r="N96">
        <v>262</v>
      </c>
      <c r="O96">
        <v>87</v>
      </c>
      <c r="P96">
        <v>399</v>
      </c>
      <c r="Q96">
        <v>669</v>
      </c>
      <c r="R96">
        <v>95</v>
      </c>
    </row>
    <row r="97" spans="1:18">
      <c r="A97" s="1" t="s">
        <v>97</v>
      </c>
      <c r="B97">
        <v>34</v>
      </c>
      <c r="C97">
        <v>19</v>
      </c>
      <c r="D97">
        <v>15</v>
      </c>
      <c r="E97">
        <v>5.78</v>
      </c>
      <c r="F97">
        <v>2369</v>
      </c>
      <c r="G97">
        <v>839</v>
      </c>
      <c r="H97">
        <v>2132</v>
      </c>
      <c r="I97">
        <v>538</v>
      </c>
      <c r="J97">
        <v>822</v>
      </c>
      <c r="K97">
        <v>589</v>
      </c>
      <c r="L97">
        <v>1498</v>
      </c>
      <c r="M97">
        <v>448</v>
      </c>
      <c r="N97">
        <v>318</v>
      </c>
      <c r="O97">
        <v>226</v>
      </c>
      <c r="P97">
        <v>615</v>
      </c>
      <c r="Q97">
        <v>688</v>
      </c>
      <c r="R97">
        <v>96</v>
      </c>
    </row>
    <row r="98" spans="1:18">
      <c r="A98" s="1" t="s">
        <v>98</v>
      </c>
      <c r="B98">
        <v>28</v>
      </c>
      <c r="C98">
        <v>16</v>
      </c>
      <c r="D98">
        <v>12</v>
      </c>
      <c r="E98">
        <v>-5.45</v>
      </c>
      <c r="F98">
        <v>2158</v>
      </c>
      <c r="G98">
        <v>795</v>
      </c>
      <c r="H98">
        <v>1763</v>
      </c>
      <c r="I98">
        <v>382</v>
      </c>
      <c r="J98">
        <v>556</v>
      </c>
      <c r="K98">
        <v>402</v>
      </c>
      <c r="L98">
        <v>977</v>
      </c>
      <c r="M98">
        <v>451</v>
      </c>
      <c r="N98">
        <v>247</v>
      </c>
      <c r="O98">
        <v>73</v>
      </c>
      <c r="P98">
        <v>432</v>
      </c>
      <c r="Q98">
        <v>565</v>
      </c>
      <c r="R98">
        <v>97</v>
      </c>
    </row>
    <row r="99" spans="1:18">
      <c r="A99" s="1" t="s">
        <v>99</v>
      </c>
      <c r="B99">
        <v>29</v>
      </c>
      <c r="C99">
        <v>17</v>
      </c>
      <c r="D99">
        <v>12</v>
      </c>
      <c r="E99">
        <v>-6.1</v>
      </c>
      <c r="F99">
        <v>2082</v>
      </c>
      <c r="G99">
        <v>755</v>
      </c>
      <c r="H99">
        <v>1656</v>
      </c>
      <c r="I99">
        <v>384</v>
      </c>
      <c r="J99">
        <v>579</v>
      </c>
      <c r="K99">
        <v>346</v>
      </c>
      <c r="L99">
        <v>989</v>
      </c>
      <c r="M99">
        <v>352</v>
      </c>
      <c r="N99">
        <v>254</v>
      </c>
      <c r="O99">
        <v>125</v>
      </c>
      <c r="P99">
        <v>398</v>
      </c>
      <c r="Q99">
        <v>530</v>
      </c>
      <c r="R99">
        <v>98</v>
      </c>
    </row>
    <row r="100" spans="1:18">
      <c r="A100" s="1" t="s">
        <v>100</v>
      </c>
      <c r="B100">
        <v>30</v>
      </c>
      <c r="C100">
        <v>13</v>
      </c>
      <c r="D100">
        <v>17</v>
      </c>
      <c r="E100">
        <v>7</v>
      </c>
      <c r="F100">
        <v>2119</v>
      </c>
      <c r="G100">
        <v>725</v>
      </c>
      <c r="H100">
        <v>1778</v>
      </c>
      <c r="I100">
        <v>427</v>
      </c>
      <c r="J100">
        <v>625</v>
      </c>
      <c r="K100">
        <v>410</v>
      </c>
      <c r="L100">
        <v>1167</v>
      </c>
      <c r="M100">
        <v>456</v>
      </c>
      <c r="N100">
        <v>196</v>
      </c>
      <c r="O100">
        <v>147</v>
      </c>
      <c r="P100">
        <v>509</v>
      </c>
      <c r="Q100">
        <v>516</v>
      </c>
      <c r="R100">
        <v>99</v>
      </c>
    </row>
    <row r="101" spans="1:18">
      <c r="A101" s="1" t="s">
        <v>101</v>
      </c>
      <c r="B101">
        <v>30</v>
      </c>
      <c r="C101">
        <v>10</v>
      </c>
      <c r="D101">
        <v>20</v>
      </c>
      <c r="E101">
        <v>8.7100000000000009</v>
      </c>
      <c r="F101">
        <v>2147</v>
      </c>
      <c r="G101">
        <v>792</v>
      </c>
      <c r="H101">
        <v>1716</v>
      </c>
      <c r="I101">
        <v>418</v>
      </c>
      <c r="J101">
        <v>641</v>
      </c>
      <c r="K101">
        <v>406</v>
      </c>
      <c r="L101">
        <v>1174</v>
      </c>
      <c r="M101">
        <v>453</v>
      </c>
      <c r="N101">
        <v>164</v>
      </c>
      <c r="O101">
        <v>98</v>
      </c>
      <c r="P101">
        <v>554</v>
      </c>
      <c r="Q101">
        <v>501</v>
      </c>
      <c r="R101">
        <v>100</v>
      </c>
    </row>
    <row r="102" spans="1:18">
      <c r="A102" s="1" t="s">
        <v>374</v>
      </c>
      <c r="B102">
        <v>35</v>
      </c>
      <c r="C102">
        <v>26</v>
      </c>
      <c r="D102">
        <v>9</v>
      </c>
      <c r="E102">
        <v>4.6399999999999997</v>
      </c>
      <c r="F102">
        <v>2719</v>
      </c>
      <c r="G102">
        <v>965</v>
      </c>
      <c r="H102">
        <v>2014</v>
      </c>
      <c r="I102">
        <v>529</v>
      </c>
      <c r="J102">
        <v>795</v>
      </c>
      <c r="K102">
        <v>409</v>
      </c>
      <c r="L102">
        <v>1325</v>
      </c>
      <c r="M102">
        <v>587</v>
      </c>
      <c r="N102">
        <v>202</v>
      </c>
      <c r="O102">
        <v>150</v>
      </c>
      <c r="P102">
        <v>469</v>
      </c>
      <c r="Q102">
        <v>651</v>
      </c>
      <c r="R102">
        <v>101</v>
      </c>
    </row>
    <row r="103" spans="1:18">
      <c r="A103" s="1" t="s">
        <v>102</v>
      </c>
      <c r="B103">
        <v>31</v>
      </c>
      <c r="C103">
        <v>1</v>
      </c>
      <c r="D103">
        <v>30</v>
      </c>
      <c r="E103">
        <v>-9.16</v>
      </c>
      <c r="F103">
        <v>2251</v>
      </c>
      <c r="G103">
        <v>817</v>
      </c>
      <c r="H103">
        <v>2006</v>
      </c>
      <c r="I103">
        <v>437</v>
      </c>
      <c r="J103">
        <v>671</v>
      </c>
      <c r="K103">
        <v>469</v>
      </c>
      <c r="L103">
        <v>1148</v>
      </c>
      <c r="M103">
        <v>405</v>
      </c>
      <c r="N103">
        <v>268</v>
      </c>
      <c r="O103">
        <v>62</v>
      </c>
      <c r="P103">
        <v>594</v>
      </c>
      <c r="Q103">
        <v>746</v>
      </c>
      <c r="R103">
        <v>102</v>
      </c>
    </row>
    <row r="104" spans="1:18">
      <c r="A104" s="1" t="s">
        <v>103</v>
      </c>
      <c r="B104">
        <v>30</v>
      </c>
      <c r="C104">
        <v>14</v>
      </c>
      <c r="D104">
        <v>16</v>
      </c>
      <c r="E104">
        <v>1.84</v>
      </c>
      <c r="F104">
        <v>1699</v>
      </c>
      <c r="G104">
        <v>610</v>
      </c>
      <c r="H104">
        <v>1438</v>
      </c>
      <c r="I104">
        <v>333</v>
      </c>
      <c r="J104">
        <v>477</v>
      </c>
      <c r="K104">
        <v>275</v>
      </c>
      <c r="L104">
        <v>891</v>
      </c>
      <c r="M104">
        <v>357</v>
      </c>
      <c r="N104">
        <v>165</v>
      </c>
      <c r="O104">
        <v>60</v>
      </c>
      <c r="P104">
        <v>395</v>
      </c>
      <c r="Q104">
        <v>515</v>
      </c>
      <c r="R104">
        <v>103</v>
      </c>
    </row>
    <row r="105" spans="1:18">
      <c r="A105" s="1" t="s">
        <v>104</v>
      </c>
      <c r="B105">
        <v>29</v>
      </c>
      <c r="C105">
        <v>17</v>
      </c>
      <c r="D105">
        <v>12</v>
      </c>
      <c r="E105">
        <v>-11.61</v>
      </c>
      <c r="F105">
        <v>2165</v>
      </c>
      <c r="G105">
        <v>765</v>
      </c>
      <c r="H105">
        <v>1708</v>
      </c>
      <c r="I105">
        <v>434</v>
      </c>
      <c r="J105">
        <v>671</v>
      </c>
      <c r="K105">
        <v>371</v>
      </c>
      <c r="L105">
        <v>1109</v>
      </c>
      <c r="M105">
        <v>412</v>
      </c>
      <c r="N105">
        <v>231</v>
      </c>
      <c r="O105">
        <v>149</v>
      </c>
      <c r="P105">
        <v>489</v>
      </c>
      <c r="Q105">
        <v>538</v>
      </c>
      <c r="R105">
        <v>104</v>
      </c>
    </row>
    <row r="106" spans="1:18">
      <c r="A106" s="1" t="s">
        <v>105</v>
      </c>
      <c r="B106">
        <v>29</v>
      </c>
      <c r="C106">
        <v>10</v>
      </c>
      <c r="D106">
        <v>19</v>
      </c>
      <c r="E106">
        <v>-7.42</v>
      </c>
      <c r="F106">
        <v>2073</v>
      </c>
      <c r="G106">
        <v>723</v>
      </c>
      <c r="H106">
        <v>1768</v>
      </c>
      <c r="I106">
        <v>481</v>
      </c>
      <c r="J106">
        <v>722</v>
      </c>
      <c r="K106">
        <v>415</v>
      </c>
      <c r="L106">
        <v>1121</v>
      </c>
      <c r="M106">
        <v>362</v>
      </c>
      <c r="N106">
        <v>265</v>
      </c>
      <c r="O106">
        <v>106</v>
      </c>
      <c r="P106">
        <v>546</v>
      </c>
      <c r="Q106">
        <v>653</v>
      </c>
      <c r="R106">
        <v>105</v>
      </c>
    </row>
    <row r="107" spans="1:18">
      <c r="A107" s="1" t="s">
        <v>106</v>
      </c>
      <c r="B107">
        <v>27</v>
      </c>
      <c r="C107">
        <v>12</v>
      </c>
      <c r="D107">
        <v>15</v>
      </c>
      <c r="E107">
        <v>-9.75</v>
      </c>
      <c r="F107">
        <v>1780</v>
      </c>
      <c r="G107">
        <v>660</v>
      </c>
      <c r="H107">
        <v>1582</v>
      </c>
      <c r="I107">
        <v>282</v>
      </c>
      <c r="J107">
        <v>438</v>
      </c>
      <c r="K107">
        <v>343</v>
      </c>
      <c r="L107">
        <v>935</v>
      </c>
      <c r="M107">
        <v>429</v>
      </c>
      <c r="N107">
        <v>233</v>
      </c>
      <c r="O107">
        <v>43</v>
      </c>
      <c r="P107">
        <v>424</v>
      </c>
      <c r="Q107">
        <v>517</v>
      </c>
      <c r="R107">
        <v>106</v>
      </c>
    </row>
    <row r="108" spans="1:18">
      <c r="A108" s="1" t="s">
        <v>107</v>
      </c>
      <c r="B108">
        <v>29</v>
      </c>
      <c r="C108">
        <v>17</v>
      </c>
      <c r="D108">
        <v>12</v>
      </c>
      <c r="E108">
        <v>2.23</v>
      </c>
      <c r="F108">
        <v>2210</v>
      </c>
      <c r="G108">
        <v>818</v>
      </c>
      <c r="H108">
        <v>1696</v>
      </c>
      <c r="I108">
        <v>443</v>
      </c>
      <c r="J108">
        <v>627</v>
      </c>
      <c r="K108">
        <v>369</v>
      </c>
      <c r="L108">
        <v>1066</v>
      </c>
      <c r="M108">
        <v>516</v>
      </c>
      <c r="N108">
        <v>201</v>
      </c>
      <c r="O108">
        <v>107</v>
      </c>
      <c r="P108">
        <v>528</v>
      </c>
      <c r="Q108">
        <v>576</v>
      </c>
      <c r="R108">
        <v>107</v>
      </c>
    </row>
    <row r="109" spans="1:18">
      <c r="A109" s="1" t="s">
        <v>108</v>
      </c>
      <c r="B109">
        <v>28</v>
      </c>
      <c r="C109">
        <v>11</v>
      </c>
      <c r="D109">
        <v>17</v>
      </c>
      <c r="E109">
        <v>-6.07</v>
      </c>
      <c r="F109">
        <v>1900</v>
      </c>
      <c r="G109">
        <v>671</v>
      </c>
      <c r="H109">
        <v>1489</v>
      </c>
      <c r="I109">
        <v>433</v>
      </c>
      <c r="J109">
        <v>651</v>
      </c>
      <c r="K109">
        <v>288</v>
      </c>
      <c r="L109">
        <v>954</v>
      </c>
      <c r="M109">
        <v>361</v>
      </c>
      <c r="N109">
        <v>271</v>
      </c>
      <c r="O109">
        <v>60</v>
      </c>
      <c r="P109">
        <v>551</v>
      </c>
      <c r="Q109">
        <v>486</v>
      </c>
      <c r="R109">
        <v>108</v>
      </c>
    </row>
    <row r="110" spans="1:18">
      <c r="A110" s="1" t="s">
        <v>307</v>
      </c>
      <c r="B110">
        <v>31</v>
      </c>
      <c r="C110">
        <v>24</v>
      </c>
      <c r="D110">
        <v>7</v>
      </c>
      <c r="E110">
        <v>-6.03</v>
      </c>
      <c r="F110">
        <v>2307</v>
      </c>
      <c r="G110">
        <v>827</v>
      </c>
      <c r="H110">
        <v>1813</v>
      </c>
      <c r="I110">
        <v>428</v>
      </c>
      <c r="J110">
        <v>623</v>
      </c>
      <c r="K110">
        <v>390</v>
      </c>
      <c r="L110">
        <v>1125</v>
      </c>
      <c r="M110">
        <v>435</v>
      </c>
      <c r="N110">
        <v>270</v>
      </c>
      <c r="O110">
        <v>121</v>
      </c>
      <c r="P110">
        <v>415</v>
      </c>
      <c r="Q110">
        <v>565</v>
      </c>
      <c r="R110">
        <v>109</v>
      </c>
    </row>
    <row r="111" spans="1:18">
      <c r="A111" s="1" t="s">
        <v>109</v>
      </c>
      <c r="B111">
        <v>28</v>
      </c>
      <c r="C111">
        <v>10</v>
      </c>
      <c r="D111">
        <v>18</v>
      </c>
      <c r="E111">
        <v>-7.96</v>
      </c>
      <c r="F111">
        <v>1677</v>
      </c>
      <c r="G111">
        <v>539</v>
      </c>
      <c r="H111">
        <v>1330</v>
      </c>
      <c r="I111">
        <v>459</v>
      </c>
      <c r="J111">
        <v>756</v>
      </c>
      <c r="K111">
        <v>352</v>
      </c>
      <c r="L111">
        <v>1053</v>
      </c>
      <c r="M111">
        <v>317</v>
      </c>
      <c r="N111">
        <v>183</v>
      </c>
      <c r="O111">
        <v>105</v>
      </c>
      <c r="P111">
        <v>556</v>
      </c>
      <c r="Q111">
        <v>555</v>
      </c>
      <c r="R111">
        <v>110</v>
      </c>
    </row>
    <row r="112" spans="1:18">
      <c r="A112" s="1" t="s">
        <v>110</v>
      </c>
      <c r="B112">
        <v>31</v>
      </c>
      <c r="C112">
        <v>9</v>
      </c>
      <c r="D112">
        <v>22</v>
      </c>
      <c r="E112">
        <v>6.44</v>
      </c>
      <c r="F112">
        <v>2363</v>
      </c>
      <c r="G112">
        <v>834</v>
      </c>
      <c r="H112">
        <v>1910</v>
      </c>
      <c r="I112">
        <v>538</v>
      </c>
      <c r="J112">
        <v>775</v>
      </c>
      <c r="K112">
        <v>401</v>
      </c>
      <c r="L112">
        <v>1157</v>
      </c>
      <c r="M112">
        <v>407</v>
      </c>
      <c r="N112">
        <v>254</v>
      </c>
      <c r="O112">
        <v>80</v>
      </c>
      <c r="P112">
        <v>504</v>
      </c>
      <c r="Q112">
        <v>660</v>
      </c>
      <c r="R112">
        <v>111</v>
      </c>
    </row>
    <row r="113" spans="1:18">
      <c r="A113" s="1" t="s">
        <v>111</v>
      </c>
      <c r="B113">
        <v>28</v>
      </c>
      <c r="C113">
        <v>1</v>
      </c>
      <c r="D113">
        <v>27</v>
      </c>
      <c r="E113">
        <v>-6.65</v>
      </c>
      <c r="F113">
        <v>1825</v>
      </c>
      <c r="G113">
        <v>681</v>
      </c>
      <c r="H113">
        <v>1744</v>
      </c>
      <c r="I113">
        <v>282</v>
      </c>
      <c r="J113">
        <v>442</v>
      </c>
      <c r="K113">
        <v>338</v>
      </c>
      <c r="L113">
        <v>927</v>
      </c>
      <c r="M113">
        <v>325</v>
      </c>
      <c r="N113">
        <v>207</v>
      </c>
      <c r="O113">
        <v>49</v>
      </c>
      <c r="P113">
        <v>482</v>
      </c>
      <c r="Q113">
        <v>519</v>
      </c>
      <c r="R113">
        <v>112</v>
      </c>
    </row>
    <row r="114" spans="1:18">
      <c r="A114" s="1" t="s">
        <v>112</v>
      </c>
      <c r="B114">
        <v>27</v>
      </c>
      <c r="C114">
        <v>8</v>
      </c>
      <c r="D114">
        <v>19</v>
      </c>
      <c r="E114">
        <v>1.18</v>
      </c>
      <c r="F114">
        <v>1893</v>
      </c>
      <c r="G114">
        <v>661</v>
      </c>
      <c r="H114">
        <v>1568</v>
      </c>
      <c r="I114">
        <v>400</v>
      </c>
      <c r="J114">
        <v>587</v>
      </c>
      <c r="K114">
        <v>353</v>
      </c>
      <c r="L114">
        <v>995</v>
      </c>
      <c r="M114">
        <v>339</v>
      </c>
      <c r="N114">
        <v>141</v>
      </c>
      <c r="O114">
        <v>86</v>
      </c>
      <c r="P114">
        <v>416</v>
      </c>
      <c r="Q114">
        <v>568</v>
      </c>
      <c r="R114">
        <v>113</v>
      </c>
    </row>
    <row r="115" spans="1:18">
      <c r="A115" s="1" t="s">
        <v>113</v>
      </c>
      <c r="B115">
        <v>29</v>
      </c>
      <c r="C115">
        <v>12</v>
      </c>
      <c r="D115">
        <v>17</v>
      </c>
      <c r="E115">
        <v>1.53</v>
      </c>
      <c r="F115">
        <v>1999</v>
      </c>
      <c r="G115">
        <v>707</v>
      </c>
      <c r="H115">
        <v>1585</v>
      </c>
      <c r="I115">
        <v>401</v>
      </c>
      <c r="J115">
        <v>594</v>
      </c>
      <c r="K115">
        <v>298</v>
      </c>
      <c r="L115">
        <v>1010</v>
      </c>
      <c r="M115">
        <v>416</v>
      </c>
      <c r="N115">
        <v>172</v>
      </c>
      <c r="O115">
        <v>88</v>
      </c>
      <c r="R115">
        <v>114</v>
      </c>
    </row>
    <row r="116" spans="1:18">
      <c r="A116" s="1" t="s">
        <v>114</v>
      </c>
      <c r="B116">
        <v>31</v>
      </c>
      <c r="C116">
        <v>11</v>
      </c>
      <c r="D116">
        <v>20</v>
      </c>
      <c r="E116">
        <v>0.52</v>
      </c>
      <c r="F116">
        <v>2048</v>
      </c>
      <c r="G116">
        <v>743</v>
      </c>
      <c r="H116">
        <v>1782</v>
      </c>
      <c r="I116">
        <v>430</v>
      </c>
      <c r="J116">
        <v>621</v>
      </c>
      <c r="K116">
        <v>390</v>
      </c>
      <c r="L116">
        <v>1230</v>
      </c>
      <c r="M116">
        <v>398</v>
      </c>
      <c r="N116">
        <v>217</v>
      </c>
      <c r="O116">
        <v>73</v>
      </c>
      <c r="R116">
        <v>115</v>
      </c>
    </row>
    <row r="117" spans="1:18">
      <c r="A117" s="1" t="s">
        <v>115</v>
      </c>
      <c r="B117">
        <v>30</v>
      </c>
      <c r="C117">
        <v>10</v>
      </c>
      <c r="D117">
        <v>20</v>
      </c>
      <c r="E117">
        <v>2.72</v>
      </c>
      <c r="F117">
        <v>2031</v>
      </c>
      <c r="G117">
        <v>710</v>
      </c>
      <c r="H117">
        <v>1585</v>
      </c>
      <c r="I117">
        <v>444</v>
      </c>
      <c r="J117">
        <v>600</v>
      </c>
      <c r="K117">
        <v>317</v>
      </c>
      <c r="L117">
        <v>1101</v>
      </c>
      <c r="M117">
        <v>343</v>
      </c>
      <c r="N117">
        <v>175</v>
      </c>
      <c r="O117">
        <v>90</v>
      </c>
      <c r="P117">
        <v>511</v>
      </c>
      <c r="Q117">
        <v>577</v>
      </c>
      <c r="R117">
        <v>116</v>
      </c>
    </row>
    <row r="118" spans="1:18">
      <c r="A118" s="1" t="s">
        <v>348</v>
      </c>
      <c r="B118">
        <v>32</v>
      </c>
      <c r="C118">
        <v>22</v>
      </c>
      <c r="D118">
        <v>10</v>
      </c>
      <c r="E118">
        <v>9.6</v>
      </c>
      <c r="F118">
        <v>2424</v>
      </c>
      <c r="G118">
        <v>834</v>
      </c>
      <c r="H118">
        <v>1925</v>
      </c>
      <c r="I118">
        <v>525</v>
      </c>
      <c r="J118">
        <v>763</v>
      </c>
      <c r="K118">
        <v>397</v>
      </c>
      <c r="L118">
        <v>1177</v>
      </c>
      <c r="M118">
        <v>499</v>
      </c>
      <c r="N118">
        <v>297</v>
      </c>
      <c r="O118">
        <v>119</v>
      </c>
      <c r="P118">
        <v>458</v>
      </c>
      <c r="Q118">
        <v>619</v>
      </c>
      <c r="R118">
        <v>117</v>
      </c>
    </row>
    <row r="119" spans="1:18">
      <c r="A119" s="1" t="s">
        <v>308</v>
      </c>
      <c r="B119">
        <v>32</v>
      </c>
      <c r="C119">
        <v>22</v>
      </c>
      <c r="D119">
        <v>10</v>
      </c>
      <c r="E119">
        <v>3.22</v>
      </c>
      <c r="F119">
        <v>2136</v>
      </c>
      <c r="G119">
        <v>756</v>
      </c>
      <c r="H119">
        <v>1739</v>
      </c>
      <c r="I119">
        <v>463</v>
      </c>
      <c r="J119">
        <v>657</v>
      </c>
      <c r="K119">
        <v>314</v>
      </c>
      <c r="L119">
        <v>1058</v>
      </c>
      <c r="M119">
        <v>406</v>
      </c>
      <c r="N119">
        <v>292</v>
      </c>
      <c r="O119">
        <v>104</v>
      </c>
      <c r="P119">
        <v>421</v>
      </c>
      <c r="Q119">
        <v>549</v>
      </c>
      <c r="R119">
        <v>118</v>
      </c>
    </row>
    <row r="120" spans="1:18">
      <c r="A120" s="1" t="s">
        <v>327</v>
      </c>
      <c r="B120">
        <v>29</v>
      </c>
      <c r="C120">
        <v>20</v>
      </c>
      <c r="D120">
        <v>9</v>
      </c>
      <c r="E120">
        <v>10.220000000000001</v>
      </c>
      <c r="F120">
        <v>2253</v>
      </c>
      <c r="G120">
        <v>811</v>
      </c>
      <c r="H120">
        <v>1697</v>
      </c>
      <c r="I120">
        <v>504</v>
      </c>
      <c r="J120">
        <v>711</v>
      </c>
      <c r="K120">
        <v>329</v>
      </c>
      <c r="L120">
        <v>1128</v>
      </c>
      <c r="M120">
        <v>466</v>
      </c>
      <c r="N120">
        <v>217</v>
      </c>
      <c r="O120">
        <v>141</v>
      </c>
      <c r="P120">
        <v>424</v>
      </c>
      <c r="Q120">
        <v>524</v>
      </c>
      <c r="R120">
        <v>119</v>
      </c>
    </row>
    <row r="121" spans="1:18">
      <c r="A121" s="1" t="s">
        <v>309</v>
      </c>
      <c r="B121">
        <v>31</v>
      </c>
      <c r="C121">
        <v>20</v>
      </c>
      <c r="D121">
        <v>11</v>
      </c>
      <c r="E121">
        <v>-4.13</v>
      </c>
      <c r="F121">
        <v>2443</v>
      </c>
      <c r="G121">
        <v>846</v>
      </c>
      <c r="H121">
        <v>1877</v>
      </c>
      <c r="I121">
        <v>604</v>
      </c>
      <c r="J121">
        <v>833</v>
      </c>
      <c r="K121">
        <v>444</v>
      </c>
      <c r="L121">
        <v>1272</v>
      </c>
      <c r="M121">
        <v>529</v>
      </c>
      <c r="N121">
        <v>233</v>
      </c>
      <c r="O121">
        <v>216</v>
      </c>
      <c r="P121">
        <v>557</v>
      </c>
      <c r="Q121">
        <v>607</v>
      </c>
      <c r="R121">
        <v>120</v>
      </c>
    </row>
    <row r="122" spans="1:18">
      <c r="A122" s="1" t="s">
        <v>310</v>
      </c>
      <c r="B122">
        <v>37</v>
      </c>
      <c r="C122">
        <v>32</v>
      </c>
      <c r="D122">
        <v>5</v>
      </c>
      <c r="E122">
        <v>7.14</v>
      </c>
      <c r="F122">
        <v>2898</v>
      </c>
      <c r="G122">
        <v>1038</v>
      </c>
      <c r="H122">
        <v>2140</v>
      </c>
      <c r="I122">
        <v>632</v>
      </c>
      <c r="J122">
        <v>899</v>
      </c>
      <c r="K122">
        <v>452</v>
      </c>
      <c r="L122">
        <v>1422</v>
      </c>
      <c r="M122">
        <v>565</v>
      </c>
      <c r="N122">
        <v>277</v>
      </c>
      <c r="O122">
        <v>119</v>
      </c>
      <c r="P122">
        <v>518</v>
      </c>
      <c r="Q122">
        <v>566</v>
      </c>
      <c r="R122">
        <v>121</v>
      </c>
    </row>
    <row r="123" spans="1:18">
      <c r="A123" s="1" t="s">
        <v>116</v>
      </c>
      <c r="B123">
        <v>30</v>
      </c>
      <c r="C123">
        <v>14</v>
      </c>
      <c r="D123">
        <v>16</v>
      </c>
      <c r="E123">
        <v>11.83</v>
      </c>
      <c r="F123">
        <v>2064</v>
      </c>
      <c r="G123">
        <v>700</v>
      </c>
      <c r="H123">
        <v>1711</v>
      </c>
      <c r="I123">
        <v>477</v>
      </c>
      <c r="J123">
        <v>706</v>
      </c>
      <c r="K123">
        <v>340</v>
      </c>
      <c r="L123">
        <v>1043</v>
      </c>
      <c r="M123">
        <v>388</v>
      </c>
      <c r="N123">
        <v>206</v>
      </c>
      <c r="O123">
        <v>55</v>
      </c>
      <c r="P123">
        <v>424</v>
      </c>
      <c r="Q123">
        <v>678</v>
      </c>
      <c r="R123">
        <v>122</v>
      </c>
    </row>
    <row r="124" spans="1:18">
      <c r="A124" s="1" t="s">
        <v>117</v>
      </c>
      <c r="B124">
        <v>28</v>
      </c>
      <c r="C124">
        <v>7</v>
      </c>
      <c r="D124">
        <v>21</v>
      </c>
      <c r="E124">
        <v>-3.13</v>
      </c>
      <c r="F124">
        <v>1719</v>
      </c>
      <c r="G124">
        <v>594</v>
      </c>
      <c r="H124">
        <v>1503</v>
      </c>
      <c r="I124">
        <v>407</v>
      </c>
      <c r="J124">
        <v>615</v>
      </c>
      <c r="K124">
        <v>327</v>
      </c>
      <c r="L124">
        <v>913</v>
      </c>
      <c r="M124">
        <v>294</v>
      </c>
      <c r="N124">
        <v>239</v>
      </c>
      <c r="O124">
        <v>81</v>
      </c>
      <c r="P124">
        <v>415</v>
      </c>
      <c r="Q124">
        <v>497</v>
      </c>
      <c r="R124">
        <v>123</v>
      </c>
    </row>
    <row r="125" spans="1:18">
      <c r="A125" s="1" t="s">
        <v>278</v>
      </c>
      <c r="B125">
        <v>33</v>
      </c>
      <c r="C125">
        <v>17</v>
      </c>
      <c r="D125">
        <v>16</v>
      </c>
      <c r="E125">
        <v>-10.38</v>
      </c>
      <c r="F125">
        <v>2205</v>
      </c>
      <c r="G125">
        <v>766</v>
      </c>
      <c r="H125">
        <v>1875</v>
      </c>
      <c r="I125">
        <v>582</v>
      </c>
      <c r="J125">
        <v>911</v>
      </c>
      <c r="K125">
        <v>528</v>
      </c>
      <c r="L125">
        <v>1343</v>
      </c>
      <c r="M125">
        <v>414</v>
      </c>
      <c r="N125">
        <v>252</v>
      </c>
      <c r="O125">
        <v>172</v>
      </c>
      <c r="P125">
        <v>627</v>
      </c>
      <c r="Q125">
        <v>673</v>
      </c>
      <c r="R125">
        <v>124</v>
      </c>
    </row>
    <row r="126" spans="1:18">
      <c r="A126" s="1" t="s">
        <v>118</v>
      </c>
      <c r="B126">
        <v>28</v>
      </c>
      <c r="C126">
        <v>17</v>
      </c>
      <c r="D126">
        <v>11</v>
      </c>
      <c r="E126">
        <v>-8.4499999999999993</v>
      </c>
      <c r="F126">
        <v>1949</v>
      </c>
      <c r="G126">
        <v>683</v>
      </c>
      <c r="H126">
        <v>1583</v>
      </c>
      <c r="I126">
        <v>401</v>
      </c>
      <c r="J126">
        <v>604</v>
      </c>
      <c r="K126">
        <v>370</v>
      </c>
      <c r="L126">
        <v>1114</v>
      </c>
      <c r="M126">
        <v>440</v>
      </c>
      <c r="N126">
        <v>170</v>
      </c>
      <c r="O126">
        <v>82</v>
      </c>
      <c r="P126">
        <v>460</v>
      </c>
      <c r="Q126">
        <v>487</v>
      </c>
      <c r="R126">
        <v>125</v>
      </c>
    </row>
    <row r="127" spans="1:18">
      <c r="A127" s="1" t="s">
        <v>119</v>
      </c>
      <c r="B127">
        <v>27</v>
      </c>
      <c r="C127">
        <v>8</v>
      </c>
      <c r="D127">
        <v>19</v>
      </c>
      <c r="E127">
        <v>-7.95</v>
      </c>
      <c r="F127">
        <v>1914</v>
      </c>
      <c r="G127">
        <v>716</v>
      </c>
      <c r="H127">
        <v>1549</v>
      </c>
      <c r="I127">
        <v>308</v>
      </c>
      <c r="J127">
        <v>487</v>
      </c>
      <c r="K127">
        <v>329</v>
      </c>
      <c r="L127">
        <v>879</v>
      </c>
      <c r="M127">
        <v>424</v>
      </c>
      <c r="N127">
        <v>197</v>
      </c>
      <c r="O127">
        <v>77</v>
      </c>
      <c r="P127">
        <v>456</v>
      </c>
      <c r="Q127">
        <v>483</v>
      </c>
      <c r="R127">
        <v>126</v>
      </c>
    </row>
    <row r="128" spans="1:18">
      <c r="A128" s="1" t="s">
        <v>120</v>
      </c>
      <c r="B128">
        <v>29</v>
      </c>
      <c r="C128">
        <v>20</v>
      </c>
      <c r="D128">
        <v>9</v>
      </c>
      <c r="E128">
        <v>-4.55</v>
      </c>
      <c r="F128">
        <v>2009</v>
      </c>
      <c r="G128">
        <v>695</v>
      </c>
      <c r="H128">
        <v>1676</v>
      </c>
      <c r="I128">
        <v>439</v>
      </c>
      <c r="J128">
        <v>632</v>
      </c>
      <c r="K128">
        <v>382</v>
      </c>
      <c r="L128">
        <v>1085</v>
      </c>
      <c r="M128">
        <v>363</v>
      </c>
      <c r="N128">
        <v>191</v>
      </c>
      <c r="O128">
        <v>112</v>
      </c>
      <c r="P128">
        <v>415</v>
      </c>
      <c r="Q128">
        <v>538</v>
      </c>
      <c r="R128">
        <v>127</v>
      </c>
    </row>
    <row r="129" spans="1:18">
      <c r="A129" s="1" t="s">
        <v>121</v>
      </c>
      <c r="B129">
        <v>28</v>
      </c>
      <c r="C129">
        <v>9</v>
      </c>
      <c r="D129">
        <v>19</v>
      </c>
      <c r="E129">
        <v>8.32</v>
      </c>
      <c r="F129">
        <v>1907</v>
      </c>
      <c r="G129">
        <v>694</v>
      </c>
      <c r="H129">
        <v>1628</v>
      </c>
      <c r="I129">
        <v>332</v>
      </c>
      <c r="J129">
        <v>498</v>
      </c>
      <c r="K129">
        <v>374</v>
      </c>
      <c r="L129">
        <v>1051</v>
      </c>
      <c r="M129">
        <v>377</v>
      </c>
      <c r="N129">
        <v>193</v>
      </c>
      <c r="O129">
        <v>118</v>
      </c>
      <c r="P129">
        <v>530</v>
      </c>
      <c r="Q129">
        <v>542</v>
      </c>
      <c r="R129">
        <v>128</v>
      </c>
    </row>
    <row r="130" spans="1:18">
      <c r="A130" s="1" t="s">
        <v>375</v>
      </c>
      <c r="B130">
        <v>34</v>
      </c>
      <c r="C130">
        <v>24</v>
      </c>
      <c r="D130">
        <v>10</v>
      </c>
      <c r="E130">
        <v>9.7899999999999991</v>
      </c>
      <c r="F130">
        <v>2676</v>
      </c>
      <c r="G130">
        <v>1044</v>
      </c>
      <c r="H130">
        <v>2269</v>
      </c>
      <c r="I130">
        <v>429</v>
      </c>
      <c r="J130">
        <v>660</v>
      </c>
      <c r="K130">
        <v>564</v>
      </c>
      <c r="L130">
        <v>1505</v>
      </c>
      <c r="M130">
        <v>630</v>
      </c>
      <c r="N130">
        <v>312</v>
      </c>
      <c r="O130">
        <v>187</v>
      </c>
      <c r="P130">
        <v>589</v>
      </c>
      <c r="Q130">
        <v>725</v>
      </c>
      <c r="R130">
        <v>129</v>
      </c>
    </row>
    <row r="131" spans="1:18">
      <c r="A131" s="1" t="s">
        <v>122</v>
      </c>
      <c r="B131">
        <v>31</v>
      </c>
      <c r="C131">
        <v>23</v>
      </c>
      <c r="D131">
        <v>8</v>
      </c>
      <c r="E131">
        <v>2.21</v>
      </c>
      <c r="F131">
        <v>2346</v>
      </c>
      <c r="G131">
        <v>853</v>
      </c>
      <c r="H131">
        <v>1834</v>
      </c>
      <c r="I131">
        <v>485</v>
      </c>
      <c r="J131">
        <v>654</v>
      </c>
      <c r="K131">
        <v>399</v>
      </c>
      <c r="L131">
        <v>1094</v>
      </c>
      <c r="M131">
        <v>496</v>
      </c>
      <c r="N131">
        <v>266</v>
      </c>
      <c r="O131">
        <v>103</v>
      </c>
      <c r="P131">
        <v>433</v>
      </c>
      <c r="Q131">
        <v>618</v>
      </c>
      <c r="R131">
        <v>130</v>
      </c>
    </row>
    <row r="132" spans="1:18">
      <c r="A132" s="1" t="s">
        <v>354</v>
      </c>
      <c r="B132">
        <v>33</v>
      </c>
      <c r="C132">
        <v>23</v>
      </c>
      <c r="D132">
        <v>10</v>
      </c>
      <c r="E132">
        <v>12.71</v>
      </c>
      <c r="F132">
        <v>2280</v>
      </c>
      <c r="G132">
        <v>793</v>
      </c>
      <c r="H132">
        <v>1873</v>
      </c>
      <c r="I132">
        <v>506</v>
      </c>
      <c r="J132">
        <v>735</v>
      </c>
      <c r="K132">
        <v>473</v>
      </c>
      <c r="L132">
        <v>1300</v>
      </c>
      <c r="M132">
        <v>427</v>
      </c>
      <c r="N132">
        <v>201</v>
      </c>
      <c r="O132">
        <v>185</v>
      </c>
      <c r="P132">
        <v>502</v>
      </c>
      <c r="Q132">
        <v>537</v>
      </c>
      <c r="R132">
        <v>131</v>
      </c>
    </row>
    <row r="133" spans="1:18">
      <c r="A133" s="1" t="s">
        <v>123</v>
      </c>
      <c r="B133">
        <v>28</v>
      </c>
      <c r="C133">
        <v>11</v>
      </c>
      <c r="D133">
        <v>17</v>
      </c>
      <c r="E133">
        <v>3.1</v>
      </c>
      <c r="F133">
        <v>1845</v>
      </c>
      <c r="G133">
        <v>645</v>
      </c>
      <c r="H133">
        <v>1629</v>
      </c>
      <c r="I133">
        <v>332</v>
      </c>
      <c r="J133">
        <v>487</v>
      </c>
      <c r="K133">
        <v>359</v>
      </c>
      <c r="L133">
        <v>1003</v>
      </c>
      <c r="M133">
        <v>344</v>
      </c>
      <c r="N133">
        <v>141</v>
      </c>
      <c r="O133">
        <v>113</v>
      </c>
      <c r="P133">
        <v>367</v>
      </c>
      <c r="Q133">
        <v>450</v>
      </c>
      <c r="R133">
        <v>132</v>
      </c>
    </row>
    <row r="134" spans="1:18">
      <c r="A134" s="1" t="s">
        <v>279</v>
      </c>
      <c r="B134">
        <v>31</v>
      </c>
      <c r="C134">
        <v>24</v>
      </c>
      <c r="D134">
        <v>7</v>
      </c>
      <c r="E134">
        <v>-8.07</v>
      </c>
      <c r="F134">
        <v>2280</v>
      </c>
      <c r="G134">
        <v>774</v>
      </c>
      <c r="H134">
        <v>1704</v>
      </c>
      <c r="I134">
        <v>483</v>
      </c>
      <c r="J134">
        <v>672</v>
      </c>
      <c r="K134">
        <v>342</v>
      </c>
      <c r="L134">
        <v>1109</v>
      </c>
      <c r="M134">
        <v>473</v>
      </c>
      <c r="N134">
        <v>313</v>
      </c>
      <c r="O134">
        <v>104</v>
      </c>
      <c r="P134">
        <v>499</v>
      </c>
      <c r="Q134">
        <v>558</v>
      </c>
      <c r="R134">
        <v>133</v>
      </c>
    </row>
    <row r="135" spans="1:18">
      <c r="A135" s="1" t="s">
        <v>280</v>
      </c>
      <c r="B135">
        <v>31</v>
      </c>
      <c r="C135">
        <v>15</v>
      </c>
      <c r="D135">
        <v>16</v>
      </c>
      <c r="E135">
        <v>-3.84</v>
      </c>
      <c r="F135">
        <v>1949</v>
      </c>
      <c r="G135">
        <v>672</v>
      </c>
      <c r="H135">
        <v>1725</v>
      </c>
      <c r="I135">
        <v>389</v>
      </c>
      <c r="J135">
        <v>567</v>
      </c>
      <c r="K135">
        <v>381</v>
      </c>
      <c r="L135">
        <v>1128</v>
      </c>
      <c r="M135">
        <v>408</v>
      </c>
      <c r="N135">
        <v>225</v>
      </c>
      <c r="O135">
        <v>86</v>
      </c>
      <c r="P135">
        <v>486</v>
      </c>
      <c r="Q135">
        <v>530</v>
      </c>
      <c r="R135">
        <v>134</v>
      </c>
    </row>
    <row r="136" spans="1:18">
      <c r="A136" s="1" t="s">
        <v>124</v>
      </c>
      <c r="B136">
        <v>29</v>
      </c>
      <c r="C136">
        <v>8</v>
      </c>
      <c r="D136">
        <v>21</v>
      </c>
      <c r="E136">
        <v>-6.25</v>
      </c>
      <c r="F136">
        <v>1885</v>
      </c>
      <c r="G136">
        <v>654</v>
      </c>
      <c r="H136">
        <v>1610</v>
      </c>
      <c r="I136">
        <v>403</v>
      </c>
      <c r="J136">
        <v>598</v>
      </c>
      <c r="K136">
        <v>347</v>
      </c>
      <c r="L136">
        <v>1008</v>
      </c>
      <c r="M136">
        <v>373</v>
      </c>
      <c r="N136">
        <v>219</v>
      </c>
      <c r="O136">
        <v>117</v>
      </c>
      <c r="P136">
        <v>373</v>
      </c>
      <c r="Q136">
        <v>563</v>
      </c>
      <c r="R136">
        <v>135</v>
      </c>
    </row>
    <row r="137" spans="1:18">
      <c r="A137" s="1" t="s">
        <v>125</v>
      </c>
      <c r="B137">
        <v>28</v>
      </c>
      <c r="C137">
        <v>14</v>
      </c>
      <c r="D137">
        <v>14</v>
      </c>
      <c r="E137">
        <v>-8.41</v>
      </c>
      <c r="F137">
        <v>1916</v>
      </c>
      <c r="G137">
        <v>724</v>
      </c>
      <c r="H137">
        <v>1745</v>
      </c>
      <c r="I137">
        <v>381</v>
      </c>
      <c r="J137">
        <v>579</v>
      </c>
      <c r="K137">
        <v>442</v>
      </c>
      <c r="L137">
        <v>1054</v>
      </c>
      <c r="M137">
        <v>366</v>
      </c>
      <c r="N137">
        <v>376</v>
      </c>
      <c r="O137">
        <v>65</v>
      </c>
      <c r="P137">
        <v>532</v>
      </c>
      <c r="Q137">
        <v>603</v>
      </c>
      <c r="R137">
        <v>136</v>
      </c>
    </row>
    <row r="138" spans="1:18">
      <c r="A138" s="1" t="s">
        <v>126</v>
      </c>
      <c r="B138">
        <v>30</v>
      </c>
      <c r="C138">
        <v>24</v>
      </c>
      <c r="D138">
        <v>6</v>
      </c>
      <c r="E138">
        <v>-0.87</v>
      </c>
      <c r="F138">
        <v>2435</v>
      </c>
      <c r="G138">
        <v>884</v>
      </c>
      <c r="H138">
        <v>1784</v>
      </c>
      <c r="I138">
        <v>480</v>
      </c>
      <c r="J138">
        <v>698</v>
      </c>
      <c r="K138">
        <v>387</v>
      </c>
      <c r="L138">
        <v>1094</v>
      </c>
      <c r="M138">
        <v>472</v>
      </c>
      <c r="N138">
        <v>280</v>
      </c>
      <c r="O138">
        <v>128</v>
      </c>
      <c r="P138">
        <v>455</v>
      </c>
      <c r="Q138">
        <v>550</v>
      </c>
      <c r="R138">
        <v>137</v>
      </c>
    </row>
    <row r="139" spans="1:18">
      <c r="A139" s="1" t="s">
        <v>127</v>
      </c>
      <c r="B139">
        <v>27</v>
      </c>
      <c r="C139">
        <v>8</v>
      </c>
      <c r="D139">
        <v>19</v>
      </c>
      <c r="E139">
        <v>-7.94</v>
      </c>
      <c r="F139">
        <v>1719</v>
      </c>
      <c r="G139">
        <v>669</v>
      </c>
      <c r="H139">
        <v>1620</v>
      </c>
      <c r="I139">
        <v>270</v>
      </c>
      <c r="J139">
        <v>439</v>
      </c>
      <c r="K139">
        <v>322</v>
      </c>
      <c r="L139">
        <v>946</v>
      </c>
      <c r="M139">
        <v>333</v>
      </c>
      <c r="N139">
        <v>241</v>
      </c>
      <c r="O139">
        <v>98</v>
      </c>
      <c r="P139">
        <v>452</v>
      </c>
      <c r="Q139">
        <v>418</v>
      </c>
      <c r="R139">
        <v>138</v>
      </c>
    </row>
    <row r="140" spans="1:18">
      <c r="A140" s="1" t="s">
        <v>281</v>
      </c>
      <c r="B140">
        <v>34</v>
      </c>
      <c r="C140">
        <v>25</v>
      </c>
      <c r="D140">
        <v>9</v>
      </c>
      <c r="E140">
        <v>-1.58</v>
      </c>
      <c r="F140">
        <v>2441</v>
      </c>
      <c r="G140">
        <v>880</v>
      </c>
      <c r="H140">
        <v>2047</v>
      </c>
      <c r="I140">
        <v>479</v>
      </c>
      <c r="J140">
        <v>778</v>
      </c>
      <c r="K140">
        <v>508</v>
      </c>
      <c r="L140">
        <v>901</v>
      </c>
      <c r="M140">
        <v>496</v>
      </c>
      <c r="N140">
        <v>271</v>
      </c>
      <c r="O140">
        <v>115</v>
      </c>
      <c r="Q140">
        <v>212</v>
      </c>
      <c r="R140">
        <v>139</v>
      </c>
    </row>
    <row r="141" spans="1:18">
      <c r="A141" s="1" t="s">
        <v>128</v>
      </c>
      <c r="B141">
        <v>28</v>
      </c>
      <c r="C141">
        <v>19</v>
      </c>
      <c r="D141">
        <v>9</v>
      </c>
      <c r="E141">
        <v>-5.85</v>
      </c>
      <c r="F141">
        <v>2195</v>
      </c>
      <c r="G141">
        <v>779</v>
      </c>
      <c r="H141">
        <v>1791</v>
      </c>
      <c r="I141">
        <v>464</v>
      </c>
      <c r="J141">
        <v>645</v>
      </c>
      <c r="K141">
        <v>366</v>
      </c>
      <c r="L141">
        <v>1173</v>
      </c>
      <c r="M141">
        <v>443</v>
      </c>
      <c r="N141">
        <v>225</v>
      </c>
      <c r="O141">
        <v>207</v>
      </c>
      <c r="P141">
        <v>481</v>
      </c>
      <c r="Q141">
        <v>493</v>
      </c>
      <c r="R141">
        <v>140</v>
      </c>
    </row>
    <row r="142" spans="1:18">
      <c r="A142" s="1" t="s">
        <v>282</v>
      </c>
      <c r="B142">
        <v>34</v>
      </c>
      <c r="C142">
        <v>28</v>
      </c>
      <c r="D142">
        <v>6</v>
      </c>
      <c r="E142">
        <v>5.78</v>
      </c>
      <c r="F142">
        <v>2578</v>
      </c>
      <c r="G142">
        <v>915</v>
      </c>
      <c r="H142">
        <v>1880</v>
      </c>
      <c r="I142">
        <v>552</v>
      </c>
      <c r="J142">
        <v>858</v>
      </c>
      <c r="K142">
        <v>448</v>
      </c>
      <c r="L142">
        <v>1373</v>
      </c>
      <c r="M142">
        <v>503</v>
      </c>
      <c r="N142">
        <v>313</v>
      </c>
      <c r="O142">
        <v>180</v>
      </c>
      <c r="P142">
        <v>593</v>
      </c>
      <c r="Q142">
        <v>549</v>
      </c>
      <c r="R142">
        <v>141</v>
      </c>
    </row>
    <row r="143" spans="1:18">
      <c r="A143" s="1" t="s">
        <v>129</v>
      </c>
      <c r="B143">
        <v>29</v>
      </c>
      <c r="C143">
        <v>21</v>
      </c>
      <c r="D143">
        <v>8</v>
      </c>
      <c r="E143">
        <v>-4.09</v>
      </c>
      <c r="F143">
        <v>2111</v>
      </c>
      <c r="G143">
        <v>746</v>
      </c>
      <c r="H143">
        <v>1677</v>
      </c>
      <c r="I143">
        <v>447</v>
      </c>
      <c r="J143">
        <v>671</v>
      </c>
      <c r="K143">
        <v>370</v>
      </c>
      <c r="L143">
        <v>1086</v>
      </c>
      <c r="M143">
        <v>312</v>
      </c>
      <c r="N143">
        <v>199</v>
      </c>
      <c r="O143">
        <v>95</v>
      </c>
      <c r="P143">
        <v>408</v>
      </c>
      <c r="Q143">
        <v>628</v>
      </c>
      <c r="R143">
        <v>142</v>
      </c>
    </row>
    <row r="144" spans="1:18">
      <c r="A144" s="1" t="s">
        <v>283</v>
      </c>
      <c r="B144">
        <v>31</v>
      </c>
      <c r="C144">
        <v>19</v>
      </c>
      <c r="D144">
        <v>12</v>
      </c>
      <c r="E144">
        <v>8.76</v>
      </c>
      <c r="F144">
        <v>2269</v>
      </c>
      <c r="G144">
        <v>849</v>
      </c>
      <c r="H144">
        <v>1823</v>
      </c>
      <c r="I144">
        <v>406</v>
      </c>
      <c r="J144">
        <v>577</v>
      </c>
      <c r="K144">
        <v>382</v>
      </c>
      <c r="L144">
        <v>1045</v>
      </c>
      <c r="M144">
        <v>518</v>
      </c>
      <c r="N144">
        <v>286</v>
      </c>
      <c r="O144">
        <v>136</v>
      </c>
      <c r="P144">
        <v>490</v>
      </c>
      <c r="Q144">
        <v>569</v>
      </c>
      <c r="R144">
        <v>143</v>
      </c>
    </row>
    <row r="145" spans="1:18">
      <c r="A145" s="1" t="s">
        <v>130</v>
      </c>
      <c r="B145">
        <v>28</v>
      </c>
      <c r="C145">
        <v>14</v>
      </c>
      <c r="D145">
        <v>14</v>
      </c>
      <c r="E145">
        <v>-0.73</v>
      </c>
      <c r="F145">
        <v>1853</v>
      </c>
      <c r="G145">
        <v>666</v>
      </c>
      <c r="H145">
        <v>1548</v>
      </c>
      <c r="I145">
        <v>372</v>
      </c>
      <c r="J145">
        <v>522</v>
      </c>
      <c r="K145">
        <v>321</v>
      </c>
      <c r="L145">
        <v>964</v>
      </c>
      <c r="M145">
        <v>407</v>
      </c>
      <c r="N145">
        <v>176</v>
      </c>
      <c r="O145">
        <v>84</v>
      </c>
      <c r="Q145">
        <v>537</v>
      </c>
      <c r="R145">
        <v>144</v>
      </c>
    </row>
    <row r="146" spans="1:18">
      <c r="A146" s="1" t="s">
        <v>131</v>
      </c>
      <c r="B146">
        <v>28</v>
      </c>
      <c r="C146">
        <v>2</v>
      </c>
      <c r="D146">
        <v>26</v>
      </c>
      <c r="E146">
        <v>3.24</v>
      </c>
      <c r="F146">
        <v>1744</v>
      </c>
      <c r="G146">
        <v>571</v>
      </c>
      <c r="H146">
        <v>1584</v>
      </c>
      <c r="I146">
        <v>452</v>
      </c>
      <c r="J146">
        <v>675</v>
      </c>
      <c r="K146">
        <v>350</v>
      </c>
      <c r="L146">
        <v>984</v>
      </c>
      <c r="M146">
        <v>317</v>
      </c>
      <c r="N146">
        <v>140</v>
      </c>
      <c r="O146">
        <v>79</v>
      </c>
      <c r="P146">
        <v>479</v>
      </c>
      <c r="Q146">
        <v>568</v>
      </c>
      <c r="R146">
        <v>145</v>
      </c>
    </row>
    <row r="147" spans="1:18">
      <c r="A147" s="1" t="s">
        <v>132</v>
      </c>
      <c r="B147">
        <v>28</v>
      </c>
      <c r="C147">
        <v>7</v>
      </c>
      <c r="D147">
        <v>21</v>
      </c>
      <c r="E147">
        <v>-5.94</v>
      </c>
      <c r="F147">
        <v>1833</v>
      </c>
      <c r="G147">
        <v>672</v>
      </c>
      <c r="H147">
        <v>1561</v>
      </c>
      <c r="I147">
        <v>358</v>
      </c>
      <c r="J147">
        <v>599</v>
      </c>
      <c r="K147">
        <v>326</v>
      </c>
      <c r="L147">
        <v>982</v>
      </c>
      <c r="M147">
        <v>373</v>
      </c>
      <c r="N147">
        <v>205</v>
      </c>
      <c r="O147">
        <v>141</v>
      </c>
      <c r="P147">
        <v>478</v>
      </c>
      <c r="Q147">
        <v>487</v>
      </c>
      <c r="R147">
        <v>146</v>
      </c>
    </row>
    <row r="148" spans="1:18">
      <c r="A148" s="1" t="s">
        <v>133</v>
      </c>
      <c r="B148">
        <v>31</v>
      </c>
      <c r="C148">
        <v>24</v>
      </c>
      <c r="D148">
        <v>7</v>
      </c>
      <c r="E148">
        <v>-10.06</v>
      </c>
      <c r="F148">
        <v>2362</v>
      </c>
      <c r="G148">
        <v>851</v>
      </c>
      <c r="H148">
        <v>1744</v>
      </c>
      <c r="I148">
        <v>413</v>
      </c>
      <c r="J148">
        <v>549</v>
      </c>
      <c r="K148">
        <v>307</v>
      </c>
      <c r="L148">
        <v>1056</v>
      </c>
      <c r="M148">
        <v>478</v>
      </c>
      <c r="N148">
        <v>260</v>
      </c>
      <c r="O148">
        <v>79</v>
      </c>
      <c r="P148">
        <v>486</v>
      </c>
      <c r="Q148">
        <v>260</v>
      </c>
      <c r="R148">
        <v>147</v>
      </c>
    </row>
    <row r="149" spans="1:18">
      <c r="A149" s="1" t="s">
        <v>134</v>
      </c>
      <c r="B149">
        <v>27</v>
      </c>
      <c r="C149">
        <v>12</v>
      </c>
      <c r="D149">
        <v>15</v>
      </c>
      <c r="E149">
        <v>-6.94</v>
      </c>
      <c r="F149">
        <v>2080</v>
      </c>
      <c r="G149">
        <v>765</v>
      </c>
      <c r="H149">
        <v>1701</v>
      </c>
      <c r="I149">
        <v>357</v>
      </c>
      <c r="J149">
        <v>537</v>
      </c>
      <c r="K149">
        <v>363</v>
      </c>
      <c r="L149">
        <v>960</v>
      </c>
      <c r="M149">
        <v>429</v>
      </c>
      <c r="N149">
        <v>254</v>
      </c>
      <c r="O149">
        <v>82</v>
      </c>
      <c r="P149">
        <v>435</v>
      </c>
      <c r="Q149">
        <v>663</v>
      </c>
      <c r="R149">
        <v>148</v>
      </c>
    </row>
    <row r="150" spans="1:18">
      <c r="A150" s="1" t="s">
        <v>135</v>
      </c>
      <c r="B150">
        <v>28</v>
      </c>
      <c r="C150">
        <v>14</v>
      </c>
      <c r="D150">
        <v>14</v>
      </c>
      <c r="E150">
        <v>-6.54</v>
      </c>
      <c r="F150">
        <v>1963</v>
      </c>
      <c r="G150">
        <v>704</v>
      </c>
      <c r="H150">
        <v>1671</v>
      </c>
      <c r="I150">
        <v>414</v>
      </c>
      <c r="J150">
        <v>619</v>
      </c>
      <c r="K150">
        <v>373</v>
      </c>
      <c r="L150">
        <v>1052</v>
      </c>
      <c r="M150">
        <v>375</v>
      </c>
      <c r="N150">
        <v>237</v>
      </c>
      <c r="O150">
        <v>131</v>
      </c>
      <c r="P150">
        <v>400</v>
      </c>
      <c r="Q150">
        <v>513</v>
      </c>
      <c r="R150">
        <v>149</v>
      </c>
    </row>
    <row r="151" spans="1:18">
      <c r="A151" s="1" t="s">
        <v>136</v>
      </c>
      <c r="B151">
        <v>29</v>
      </c>
      <c r="C151">
        <v>15</v>
      </c>
      <c r="D151">
        <v>14</v>
      </c>
      <c r="E151">
        <v>6.83</v>
      </c>
      <c r="F151">
        <v>1820</v>
      </c>
      <c r="G151">
        <v>668</v>
      </c>
      <c r="H151">
        <v>1590</v>
      </c>
      <c r="I151">
        <v>305</v>
      </c>
      <c r="J151">
        <v>472</v>
      </c>
      <c r="K151">
        <v>417</v>
      </c>
      <c r="L151">
        <v>1070</v>
      </c>
      <c r="M151">
        <v>360</v>
      </c>
      <c r="N151">
        <v>166</v>
      </c>
      <c r="O151">
        <v>44</v>
      </c>
      <c r="P151">
        <v>452</v>
      </c>
      <c r="Q151">
        <v>592</v>
      </c>
      <c r="R151">
        <v>150</v>
      </c>
    </row>
    <row r="152" spans="1:18">
      <c r="A152" s="1" t="s">
        <v>137</v>
      </c>
      <c r="B152">
        <v>30</v>
      </c>
      <c r="C152">
        <v>21</v>
      </c>
      <c r="D152">
        <v>9</v>
      </c>
      <c r="E152">
        <v>-0.16</v>
      </c>
      <c r="F152">
        <v>2442</v>
      </c>
      <c r="G152">
        <v>885</v>
      </c>
      <c r="H152">
        <v>1858</v>
      </c>
      <c r="I152">
        <v>426</v>
      </c>
      <c r="J152">
        <v>602</v>
      </c>
      <c r="K152">
        <v>366</v>
      </c>
      <c r="L152">
        <v>1120</v>
      </c>
      <c r="M152">
        <v>489</v>
      </c>
      <c r="N152">
        <v>239</v>
      </c>
      <c r="O152">
        <v>114</v>
      </c>
      <c r="P152">
        <v>415</v>
      </c>
      <c r="Q152">
        <v>554</v>
      </c>
      <c r="R152">
        <v>151</v>
      </c>
    </row>
    <row r="153" spans="1:18">
      <c r="A153" s="1" t="s">
        <v>138</v>
      </c>
      <c r="B153">
        <v>29</v>
      </c>
      <c r="C153">
        <v>11</v>
      </c>
      <c r="D153">
        <v>18</v>
      </c>
      <c r="E153">
        <v>-7.36</v>
      </c>
      <c r="F153">
        <v>1879</v>
      </c>
      <c r="G153">
        <v>679</v>
      </c>
      <c r="H153">
        <v>1557</v>
      </c>
      <c r="I153">
        <v>401</v>
      </c>
      <c r="J153">
        <v>609</v>
      </c>
      <c r="K153">
        <v>377</v>
      </c>
      <c r="L153">
        <v>1100</v>
      </c>
      <c r="M153">
        <v>392</v>
      </c>
      <c r="N153">
        <v>204</v>
      </c>
      <c r="O153">
        <v>145</v>
      </c>
      <c r="P153">
        <v>496</v>
      </c>
      <c r="Q153">
        <v>560</v>
      </c>
      <c r="R153">
        <v>152</v>
      </c>
    </row>
    <row r="154" spans="1:18">
      <c r="A154" s="1" t="s">
        <v>139</v>
      </c>
      <c r="B154">
        <v>29</v>
      </c>
      <c r="C154">
        <v>12</v>
      </c>
      <c r="D154">
        <v>17</v>
      </c>
      <c r="E154">
        <v>-10.9</v>
      </c>
      <c r="F154">
        <v>1919</v>
      </c>
      <c r="G154">
        <v>647</v>
      </c>
      <c r="H154">
        <v>1578</v>
      </c>
      <c r="I154">
        <v>473</v>
      </c>
      <c r="J154">
        <v>718</v>
      </c>
      <c r="K154">
        <v>375</v>
      </c>
      <c r="L154">
        <v>989</v>
      </c>
      <c r="M154">
        <v>264</v>
      </c>
      <c r="N154">
        <v>212</v>
      </c>
      <c r="O154">
        <v>79</v>
      </c>
      <c r="P154">
        <v>468</v>
      </c>
      <c r="Q154">
        <v>531</v>
      </c>
      <c r="R154">
        <v>153</v>
      </c>
    </row>
    <row r="155" spans="1:18">
      <c r="A155" s="1" t="s">
        <v>332</v>
      </c>
      <c r="B155">
        <v>35</v>
      </c>
      <c r="C155">
        <v>25</v>
      </c>
      <c r="D155">
        <v>10</v>
      </c>
      <c r="E155">
        <v>9.44</v>
      </c>
      <c r="F155">
        <v>2683</v>
      </c>
      <c r="G155">
        <v>1001</v>
      </c>
      <c r="H155">
        <v>2151</v>
      </c>
      <c r="I155">
        <v>486</v>
      </c>
      <c r="J155">
        <v>710</v>
      </c>
      <c r="K155">
        <v>476</v>
      </c>
      <c r="L155">
        <v>1354</v>
      </c>
      <c r="M155">
        <v>667</v>
      </c>
      <c r="N155">
        <v>355</v>
      </c>
      <c r="O155">
        <v>235</v>
      </c>
      <c r="P155">
        <v>570</v>
      </c>
      <c r="Q155">
        <v>638</v>
      </c>
      <c r="R155">
        <v>154</v>
      </c>
    </row>
    <row r="156" spans="1:18">
      <c r="A156" s="1" t="s">
        <v>140</v>
      </c>
      <c r="B156">
        <v>33</v>
      </c>
      <c r="C156">
        <v>17</v>
      </c>
      <c r="D156">
        <v>16</v>
      </c>
      <c r="E156">
        <v>5.05</v>
      </c>
      <c r="F156">
        <v>2264</v>
      </c>
      <c r="G156">
        <v>824</v>
      </c>
      <c r="H156">
        <v>1919</v>
      </c>
      <c r="I156">
        <v>456</v>
      </c>
      <c r="J156">
        <v>701</v>
      </c>
      <c r="K156">
        <v>441</v>
      </c>
      <c r="L156">
        <v>1175</v>
      </c>
      <c r="M156">
        <v>416</v>
      </c>
      <c r="N156">
        <v>296</v>
      </c>
      <c r="O156">
        <v>133</v>
      </c>
      <c r="P156">
        <v>480</v>
      </c>
      <c r="Q156">
        <v>621</v>
      </c>
      <c r="R156">
        <v>155</v>
      </c>
    </row>
    <row r="157" spans="1:18">
      <c r="A157" s="1" t="s">
        <v>141</v>
      </c>
      <c r="B157">
        <v>27</v>
      </c>
      <c r="C157">
        <v>6</v>
      </c>
      <c r="D157">
        <v>21</v>
      </c>
      <c r="E157">
        <v>-4.43</v>
      </c>
      <c r="F157">
        <v>1771</v>
      </c>
      <c r="G157">
        <v>660</v>
      </c>
      <c r="H157">
        <v>1527</v>
      </c>
      <c r="I157">
        <v>282</v>
      </c>
      <c r="J157">
        <v>451</v>
      </c>
      <c r="K157">
        <v>260</v>
      </c>
      <c r="L157">
        <v>909</v>
      </c>
      <c r="M157">
        <v>351</v>
      </c>
      <c r="N157">
        <v>228</v>
      </c>
      <c r="O157">
        <v>71</v>
      </c>
      <c r="P157">
        <v>479</v>
      </c>
      <c r="Q157">
        <v>487</v>
      </c>
      <c r="R157">
        <v>156</v>
      </c>
    </row>
    <row r="158" spans="1:18">
      <c r="A158" s="1" t="s">
        <v>142</v>
      </c>
      <c r="B158">
        <v>31</v>
      </c>
      <c r="C158">
        <v>15</v>
      </c>
      <c r="D158">
        <v>16</v>
      </c>
      <c r="E158">
        <v>5.64</v>
      </c>
      <c r="F158">
        <v>2270</v>
      </c>
      <c r="G158">
        <v>811</v>
      </c>
      <c r="H158">
        <v>1931</v>
      </c>
      <c r="I158">
        <v>480</v>
      </c>
      <c r="J158">
        <v>729</v>
      </c>
      <c r="K158">
        <v>467</v>
      </c>
      <c r="L158">
        <v>1204</v>
      </c>
      <c r="M158">
        <v>449</v>
      </c>
      <c r="N158">
        <v>238</v>
      </c>
      <c r="O158">
        <v>137</v>
      </c>
      <c r="P158">
        <v>527</v>
      </c>
      <c r="Q158">
        <v>608</v>
      </c>
      <c r="R158">
        <v>157</v>
      </c>
    </row>
    <row r="159" spans="1:18">
      <c r="A159" s="1" t="s">
        <v>143</v>
      </c>
      <c r="B159">
        <v>33</v>
      </c>
      <c r="C159">
        <v>12</v>
      </c>
      <c r="D159">
        <v>21</v>
      </c>
      <c r="E159">
        <v>-5.77</v>
      </c>
      <c r="F159">
        <v>2259</v>
      </c>
      <c r="G159">
        <v>832</v>
      </c>
      <c r="H159">
        <v>2007</v>
      </c>
      <c r="I159">
        <v>390</v>
      </c>
      <c r="J159">
        <v>565</v>
      </c>
      <c r="K159">
        <v>468</v>
      </c>
      <c r="L159">
        <v>1260</v>
      </c>
      <c r="M159">
        <v>422</v>
      </c>
      <c r="N159">
        <v>254</v>
      </c>
      <c r="O159">
        <v>81</v>
      </c>
      <c r="P159">
        <v>507</v>
      </c>
      <c r="Q159">
        <v>595</v>
      </c>
      <c r="R159">
        <v>158</v>
      </c>
    </row>
    <row r="160" spans="1:18">
      <c r="A160" s="1" t="s">
        <v>284</v>
      </c>
      <c r="B160">
        <v>34</v>
      </c>
      <c r="C160">
        <v>23</v>
      </c>
      <c r="D160">
        <v>11</v>
      </c>
      <c r="E160">
        <v>5.39</v>
      </c>
      <c r="F160">
        <v>2346</v>
      </c>
      <c r="G160">
        <v>849</v>
      </c>
      <c r="H160">
        <v>1971</v>
      </c>
      <c r="I160">
        <v>516</v>
      </c>
      <c r="J160">
        <v>690</v>
      </c>
      <c r="K160">
        <v>489</v>
      </c>
      <c r="L160">
        <v>1282</v>
      </c>
      <c r="M160">
        <v>498</v>
      </c>
      <c r="N160">
        <v>286</v>
      </c>
      <c r="O160">
        <v>126</v>
      </c>
      <c r="P160">
        <v>504</v>
      </c>
      <c r="Q160">
        <v>615</v>
      </c>
      <c r="R160">
        <v>159</v>
      </c>
    </row>
    <row r="161" spans="1:18">
      <c r="A161" s="1" t="s">
        <v>144</v>
      </c>
      <c r="B161">
        <v>30</v>
      </c>
      <c r="C161">
        <v>15</v>
      </c>
      <c r="D161">
        <v>15</v>
      </c>
      <c r="E161">
        <v>3.6</v>
      </c>
      <c r="F161">
        <v>1920</v>
      </c>
      <c r="G161">
        <v>673</v>
      </c>
      <c r="H161">
        <v>1612</v>
      </c>
      <c r="I161">
        <v>352</v>
      </c>
      <c r="J161">
        <v>480</v>
      </c>
      <c r="K161">
        <v>340</v>
      </c>
      <c r="L161">
        <v>1020</v>
      </c>
      <c r="M161">
        <v>362</v>
      </c>
      <c r="N161">
        <v>150</v>
      </c>
      <c r="O161">
        <v>56</v>
      </c>
      <c r="R161">
        <v>160</v>
      </c>
    </row>
    <row r="162" spans="1:18">
      <c r="A162" s="1" t="s">
        <v>377</v>
      </c>
      <c r="B162">
        <v>39</v>
      </c>
      <c r="C162">
        <v>32</v>
      </c>
      <c r="D162">
        <v>7</v>
      </c>
      <c r="E162">
        <v>9.91</v>
      </c>
      <c r="F162">
        <v>2889</v>
      </c>
      <c r="G162">
        <v>1018</v>
      </c>
      <c r="H162">
        <v>2148</v>
      </c>
      <c r="I162">
        <v>600</v>
      </c>
      <c r="J162">
        <v>816</v>
      </c>
      <c r="K162">
        <v>521</v>
      </c>
      <c r="L162">
        <v>1521</v>
      </c>
      <c r="M162">
        <v>602</v>
      </c>
      <c r="N162">
        <v>256</v>
      </c>
      <c r="O162">
        <v>105</v>
      </c>
      <c r="P162">
        <v>569</v>
      </c>
      <c r="Q162">
        <v>721</v>
      </c>
      <c r="R162">
        <v>161</v>
      </c>
    </row>
    <row r="163" spans="1:18">
      <c r="A163" s="1" t="s">
        <v>145</v>
      </c>
      <c r="B163">
        <v>29</v>
      </c>
      <c r="C163">
        <v>15</v>
      </c>
      <c r="D163">
        <v>14</v>
      </c>
      <c r="E163">
        <v>9.27</v>
      </c>
      <c r="F163">
        <v>2190</v>
      </c>
      <c r="G163">
        <v>780</v>
      </c>
      <c r="H163">
        <v>1708</v>
      </c>
      <c r="I163">
        <v>456</v>
      </c>
      <c r="J163">
        <v>668</v>
      </c>
      <c r="K163">
        <v>337</v>
      </c>
      <c r="L163">
        <v>1082</v>
      </c>
      <c r="M163">
        <v>414</v>
      </c>
      <c r="N163">
        <v>156</v>
      </c>
      <c r="O163">
        <v>123</v>
      </c>
      <c r="P163">
        <v>492</v>
      </c>
      <c r="Q163">
        <v>621</v>
      </c>
      <c r="R163">
        <v>162</v>
      </c>
    </row>
    <row r="164" spans="1:18">
      <c r="A164" s="1" t="s">
        <v>146</v>
      </c>
      <c r="B164">
        <v>28</v>
      </c>
      <c r="C164">
        <v>15</v>
      </c>
      <c r="D164">
        <v>13</v>
      </c>
      <c r="E164">
        <v>-2.4</v>
      </c>
      <c r="F164">
        <v>2143</v>
      </c>
      <c r="G164">
        <v>746</v>
      </c>
      <c r="H164">
        <v>1613</v>
      </c>
      <c r="I164">
        <v>458</v>
      </c>
      <c r="J164">
        <v>625</v>
      </c>
      <c r="K164">
        <v>338</v>
      </c>
      <c r="L164">
        <v>939</v>
      </c>
      <c r="M164">
        <v>484</v>
      </c>
      <c r="N164">
        <v>278</v>
      </c>
      <c r="O164">
        <v>101</v>
      </c>
      <c r="P164">
        <v>461</v>
      </c>
      <c r="Q164">
        <v>560</v>
      </c>
      <c r="R164">
        <v>163</v>
      </c>
    </row>
    <row r="165" spans="1:18">
      <c r="A165" s="1" t="s">
        <v>147</v>
      </c>
      <c r="B165">
        <v>29</v>
      </c>
      <c r="C165">
        <v>15</v>
      </c>
      <c r="D165">
        <v>14</v>
      </c>
      <c r="E165">
        <v>1.67</v>
      </c>
      <c r="F165">
        <v>2050</v>
      </c>
      <c r="G165">
        <v>656</v>
      </c>
      <c r="H165">
        <v>1578</v>
      </c>
      <c r="I165">
        <v>482</v>
      </c>
      <c r="J165">
        <v>658</v>
      </c>
      <c r="K165">
        <v>318</v>
      </c>
      <c r="L165">
        <v>921</v>
      </c>
      <c r="M165">
        <v>389</v>
      </c>
      <c r="N165">
        <v>182</v>
      </c>
      <c r="O165">
        <v>27</v>
      </c>
      <c r="P165">
        <v>356</v>
      </c>
      <c r="Q165">
        <v>512</v>
      </c>
      <c r="R165">
        <v>164</v>
      </c>
    </row>
    <row r="166" spans="1:18">
      <c r="A166" s="1" t="s">
        <v>148</v>
      </c>
      <c r="B166">
        <v>28</v>
      </c>
      <c r="C166">
        <v>12</v>
      </c>
      <c r="D166">
        <v>16</v>
      </c>
      <c r="E166">
        <v>9.6199999999999992</v>
      </c>
      <c r="F166">
        <v>1965</v>
      </c>
      <c r="G166">
        <v>738</v>
      </c>
      <c r="H166">
        <v>1624</v>
      </c>
      <c r="I166">
        <v>371</v>
      </c>
      <c r="J166">
        <v>585</v>
      </c>
      <c r="K166">
        <v>385</v>
      </c>
      <c r="L166">
        <v>1068</v>
      </c>
      <c r="M166">
        <v>449</v>
      </c>
      <c r="N166">
        <v>186</v>
      </c>
      <c r="O166">
        <v>151</v>
      </c>
      <c r="P166">
        <v>478</v>
      </c>
      <c r="Q166">
        <v>531</v>
      </c>
      <c r="R166">
        <v>165</v>
      </c>
    </row>
    <row r="167" spans="1:18">
      <c r="A167" s="1" t="s">
        <v>149</v>
      </c>
      <c r="B167">
        <v>30</v>
      </c>
      <c r="C167">
        <v>14</v>
      </c>
      <c r="D167">
        <v>16</v>
      </c>
      <c r="E167">
        <v>5.29</v>
      </c>
      <c r="F167">
        <v>2168</v>
      </c>
      <c r="G167">
        <v>803</v>
      </c>
      <c r="H167">
        <v>1772</v>
      </c>
      <c r="I167">
        <v>362</v>
      </c>
      <c r="J167">
        <v>541</v>
      </c>
      <c r="K167">
        <v>404</v>
      </c>
      <c r="L167">
        <v>1113</v>
      </c>
      <c r="M167">
        <v>385</v>
      </c>
      <c r="N167">
        <v>184</v>
      </c>
      <c r="O167">
        <v>105</v>
      </c>
      <c r="P167">
        <v>456</v>
      </c>
      <c r="Q167">
        <v>521</v>
      </c>
      <c r="R167">
        <v>166</v>
      </c>
    </row>
    <row r="168" spans="1:18">
      <c r="A168" s="1" t="s">
        <v>150</v>
      </c>
      <c r="B168">
        <v>27</v>
      </c>
      <c r="C168">
        <v>6</v>
      </c>
      <c r="D168">
        <v>21</v>
      </c>
      <c r="E168">
        <v>-8.51</v>
      </c>
      <c r="F168">
        <v>1973</v>
      </c>
      <c r="G168">
        <v>727</v>
      </c>
      <c r="H168">
        <v>1966</v>
      </c>
      <c r="I168">
        <v>306</v>
      </c>
      <c r="J168">
        <v>497</v>
      </c>
      <c r="K168">
        <v>524</v>
      </c>
      <c r="L168">
        <v>1165</v>
      </c>
      <c r="M168">
        <v>296</v>
      </c>
      <c r="N168">
        <v>230</v>
      </c>
      <c r="O168">
        <v>151</v>
      </c>
      <c r="P168">
        <v>454</v>
      </c>
      <c r="Q168">
        <v>610</v>
      </c>
      <c r="R168">
        <v>167</v>
      </c>
    </row>
    <row r="169" spans="1:18">
      <c r="A169" s="1" t="s">
        <v>151</v>
      </c>
      <c r="B169">
        <v>33</v>
      </c>
      <c r="C169">
        <v>19</v>
      </c>
      <c r="D169">
        <v>14</v>
      </c>
      <c r="E169">
        <v>6.52</v>
      </c>
      <c r="F169">
        <v>2355</v>
      </c>
      <c r="G169">
        <v>827</v>
      </c>
      <c r="H169">
        <v>1873</v>
      </c>
      <c r="I169">
        <v>505</v>
      </c>
      <c r="J169">
        <v>778</v>
      </c>
      <c r="K169">
        <v>438</v>
      </c>
      <c r="L169">
        <v>1237</v>
      </c>
      <c r="M169">
        <v>454</v>
      </c>
      <c r="N169">
        <v>244</v>
      </c>
      <c r="O169">
        <v>122</v>
      </c>
      <c r="P169">
        <v>546</v>
      </c>
      <c r="Q169">
        <v>703</v>
      </c>
      <c r="R169">
        <v>168</v>
      </c>
    </row>
    <row r="170" spans="1:18">
      <c r="A170" s="1" t="s">
        <v>152</v>
      </c>
      <c r="B170">
        <v>29</v>
      </c>
      <c r="C170">
        <v>16</v>
      </c>
      <c r="D170">
        <v>13</v>
      </c>
      <c r="E170">
        <v>-5.08</v>
      </c>
      <c r="F170">
        <v>2126</v>
      </c>
      <c r="G170">
        <v>765</v>
      </c>
      <c r="H170">
        <v>1566</v>
      </c>
      <c r="I170">
        <v>470</v>
      </c>
      <c r="J170">
        <v>642</v>
      </c>
      <c r="K170">
        <v>302</v>
      </c>
      <c r="L170">
        <v>1015</v>
      </c>
      <c r="M170">
        <v>461</v>
      </c>
      <c r="N170">
        <v>223</v>
      </c>
      <c r="O170">
        <v>96</v>
      </c>
      <c r="P170">
        <v>525</v>
      </c>
      <c r="Q170">
        <v>563</v>
      </c>
      <c r="R170">
        <v>169</v>
      </c>
    </row>
    <row r="171" spans="1:18">
      <c r="A171" s="1" t="s">
        <v>153</v>
      </c>
      <c r="B171">
        <v>34</v>
      </c>
      <c r="C171">
        <v>23</v>
      </c>
      <c r="D171">
        <v>11</v>
      </c>
      <c r="E171">
        <v>4.07</v>
      </c>
      <c r="F171">
        <v>2257</v>
      </c>
      <c r="G171">
        <v>800</v>
      </c>
      <c r="H171">
        <v>1788</v>
      </c>
      <c r="I171">
        <v>437</v>
      </c>
      <c r="J171">
        <v>650</v>
      </c>
      <c r="K171">
        <v>379</v>
      </c>
      <c r="L171">
        <v>1272</v>
      </c>
      <c r="M171">
        <v>462</v>
      </c>
      <c r="N171">
        <v>261</v>
      </c>
      <c r="O171">
        <v>136</v>
      </c>
      <c r="R171">
        <v>170</v>
      </c>
    </row>
    <row r="172" spans="1:18">
      <c r="A172" s="1" t="s">
        <v>328</v>
      </c>
      <c r="B172">
        <v>31</v>
      </c>
      <c r="C172">
        <v>18</v>
      </c>
      <c r="D172">
        <v>13</v>
      </c>
      <c r="E172">
        <v>8.2200000000000006</v>
      </c>
      <c r="F172">
        <v>2302</v>
      </c>
      <c r="G172">
        <v>771</v>
      </c>
      <c r="H172">
        <v>1822</v>
      </c>
      <c r="I172">
        <v>469</v>
      </c>
      <c r="J172">
        <v>661</v>
      </c>
      <c r="K172">
        <v>335</v>
      </c>
      <c r="L172">
        <v>1039</v>
      </c>
      <c r="M172">
        <v>426</v>
      </c>
      <c r="N172">
        <v>275</v>
      </c>
      <c r="O172">
        <v>61</v>
      </c>
      <c r="P172">
        <v>412</v>
      </c>
      <c r="Q172">
        <v>601</v>
      </c>
      <c r="R172">
        <v>171</v>
      </c>
    </row>
    <row r="173" spans="1:18">
      <c r="A173" s="1" t="s">
        <v>154</v>
      </c>
      <c r="B173">
        <v>28</v>
      </c>
      <c r="C173">
        <v>12</v>
      </c>
      <c r="D173">
        <v>16</v>
      </c>
      <c r="E173">
        <v>-7.51</v>
      </c>
      <c r="F173">
        <v>1624</v>
      </c>
      <c r="G173">
        <v>564</v>
      </c>
      <c r="H173">
        <v>1368</v>
      </c>
      <c r="I173">
        <v>323</v>
      </c>
      <c r="J173">
        <v>484</v>
      </c>
      <c r="K173">
        <v>281</v>
      </c>
      <c r="L173">
        <v>854</v>
      </c>
      <c r="M173">
        <v>344</v>
      </c>
      <c r="N173">
        <v>216</v>
      </c>
      <c r="O173">
        <v>70</v>
      </c>
      <c r="P173">
        <v>453</v>
      </c>
      <c r="R173">
        <v>172</v>
      </c>
    </row>
    <row r="174" spans="1:18">
      <c r="A174" s="1" t="s">
        <v>155</v>
      </c>
      <c r="B174">
        <v>29</v>
      </c>
      <c r="C174">
        <v>12</v>
      </c>
      <c r="D174">
        <v>17</v>
      </c>
      <c r="E174">
        <v>0.73</v>
      </c>
      <c r="F174">
        <v>2223</v>
      </c>
      <c r="G174">
        <v>763</v>
      </c>
      <c r="H174">
        <v>1685</v>
      </c>
      <c r="I174">
        <v>481</v>
      </c>
      <c r="J174">
        <v>609</v>
      </c>
      <c r="K174">
        <v>251</v>
      </c>
      <c r="L174">
        <v>943</v>
      </c>
      <c r="M174">
        <v>527</v>
      </c>
      <c r="N174">
        <v>169</v>
      </c>
      <c r="O174">
        <v>58</v>
      </c>
      <c r="P174">
        <v>402</v>
      </c>
      <c r="Q174">
        <v>496</v>
      </c>
      <c r="R174">
        <v>173</v>
      </c>
    </row>
    <row r="175" spans="1:18">
      <c r="A175" s="1" t="s">
        <v>156</v>
      </c>
      <c r="B175">
        <v>28</v>
      </c>
      <c r="C175">
        <v>17</v>
      </c>
      <c r="D175">
        <v>11</v>
      </c>
      <c r="E175">
        <v>0.47</v>
      </c>
      <c r="F175">
        <v>2026</v>
      </c>
      <c r="G175">
        <v>678</v>
      </c>
      <c r="H175">
        <v>1475</v>
      </c>
      <c r="I175">
        <v>473</v>
      </c>
      <c r="J175">
        <v>659</v>
      </c>
      <c r="K175">
        <v>314</v>
      </c>
      <c r="L175">
        <v>1016</v>
      </c>
      <c r="M175">
        <v>428</v>
      </c>
      <c r="N175">
        <v>173</v>
      </c>
      <c r="O175">
        <v>70</v>
      </c>
      <c r="P175">
        <v>436</v>
      </c>
      <c r="Q175">
        <v>493</v>
      </c>
      <c r="R175">
        <v>174</v>
      </c>
    </row>
    <row r="176" spans="1:18">
      <c r="A176" s="1" t="s">
        <v>157</v>
      </c>
      <c r="B176">
        <v>27</v>
      </c>
      <c r="C176">
        <v>9</v>
      </c>
      <c r="D176">
        <v>18</v>
      </c>
      <c r="E176">
        <v>-3.15</v>
      </c>
      <c r="F176">
        <v>2042</v>
      </c>
      <c r="G176">
        <v>714</v>
      </c>
      <c r="H176">
        <v>1514</v>
      </c>
      <c r="I176">
        <v>390</v>
      </c>
      <c r="J176">
        <v>515</v>
      </c>
      <c r="K176">
        <v>256</v>
      </c>
      <c r="L176">
        <v>823</v>
      </c>
      <c r="M176">
        <v>459</v>
      </c>
      <c r="N176">
        <v>208</v>
      </c>
      <c r="O176">
        <v>36</v>
      </c>
      <c r="P176">
        <v>398</v>
      </c>
      <c r="Q176">
        <v>467</v>
      </c>
      <c r="R176">
        <v>175</v>
      </c>
    </row>
    <row r="177" spans="1:18">
      <c r="A177" s="1" t="s">
        <v>158</v>
      </c>
      <c r="B177">
        <v>29</v>
      </c>
      <c r="C177">
        <v>5</v>
      </c>
      <c r="D177">
        <v>24</v>
      </c>
      <c r="E177">
        <v>-8.9700000000000006</v>
      </c>
      <c r="F177">
        <v>1884</v>
      </c>
      <c r="G177">
        <v>680</v>
      </c>
      <c r="H177">
        <v>1659</v>
      </c>
      <c r="I177">
        <v>383</v>
      </c>
      <c r="J177">
        <v>599</v>
      </c>
      <c r="K177">
        <v>364</v>
      </c>
      <c r="L177">
        <v>1054</v>
      </c>
      <c r="M177">
        <v>328</v>
      </c>
      <c r="N177">
        <v>212</v>
      </c>
      <c r="O177">
        <v>87</v>
      </c>
      <c r="P177">
        <v>560</v>
      </c>
      <c r="Q177">
        <v>629</v>
      </c>
      <c r="R177">
        <v>176</v>
      </c>
    </row>
    <row r="178" spans="1:18">
      <c r="A178" s="1" t="s">
        <v>159</v>
      </c>
      <c r="B178">
        <v>29</v>
      </c>
      <c r="C178">
        <v>9</v>
      </c>
      <c r="D178">
        <v>20</v>
      </c>
      <c r="E178">
        <v>-6.18</v>
      </c>
      <c r="F178">
        <v>1883</v>
      </c>
      <c r="G178">
        <v>690</v>
      </c>
      <c r="H178">
        <v>1727</v>
      </c>
      <c r="I178">
        <v>322</v>
      </c>
      <c r="J178">
        <v>464</v>
      </c>
      <c r="K178">
        <v>359</v>
      </c>
      <c r="L178">
        <v>1112</v>
      </c>
      <c r="M178">
        <v>337</v>
      </c>
      <c r="N178">
        <v>189</v>
      </c>
      <c r="O178">
        <v>82</v>
      </c>
      <c r="R178">
        <v>177</v>
      </c>
    </row>
    <row r="179" spans="1:18">
      <c r="A179" s="1" t="s">
        <v>160</v>
      </c>
      <c r="B179">
        <v>32</v>
      </c>
      <c r="C179">
        <v>23</v>
      </c>
      <c r="D179">
        <v>9</v>
      </c>
      <c r="E179">
        <v>-2.39</v>
      </c>
      <c r="F179">
        <v>2542</v>
      </c>
      <c r="G179">
        <v>905</v>
      </c>
      <c r="H179">
        <v>1957</v>
      </c>
      <c r="I179">
        <v>532</v>
      </c>
      <c r="J179">
        <v>722</v>
      </c>
      <c r="K179">
        <v>456</v>
      </c>
      <c r="L179">
        <v>1219</v>
      </c>
      <c r="M179">
        <v>455</v>
      </c>
      <c r="N179">
        <v>224</v>
      </c>
      <c r="O179">
        <v>87</v>
      </c>
      <c r="P179">
        <v>464</v>
      </c>
      <c r="Q179">
        <v>545</v>
      </c>
      <c r="R179">
        <v>178</v>
      </c>
    </row>
    <row r="180" spans="1:18">
      <c r="A180" s="1" t="s">
        <v>161</v>
      </c>
      <c r="B180">
        <v>29</v>
      </c>
      <c r="C180">
        <v>23</v>
      </c>
      <c r="D180">
        <v>6</v>
      </c>
      <c r="E180">
        <v>-8.17</v>
      </c>
      <c r="F180">
        <v>2203</v>
      </c>
      <c r="G180">
        <v>771</v>
      </c>
      <c r="H180">
        <v>1695</v>
      </c>
      <c r="I180">
        <v>557</v>
      </c>
      <c r="J180">
        <v>862</v>
      </c>
      <c r="K180">
        <v>459</v>
      </c>
      <c r="L180">
        <v>1234</v>
      </c>
      <c r="M180">
        <v>429</v>
      </c>
      <c r="N180">
        <v>352</v>
      </c>
      <c r="O180">
        <v>198</v>
      </c>
      <c r="P180">
        <v>585</v>
      </c>
      <c r="Q180">
        <v>583</v>
      </c>
      <c r="R180">
        <v>179</v>
      </c>
    </row>
    <row r="181" spans="1:18">
      <c r="A181" s="1" t="s">
        <v>162</v>
      </c>
      <c r="B181">
        <v>30</v>
      </c>
      <c r="C181">
        <v>11</v>
      </c>
      <c r="D181">
        <v>19</v>
      </c>
      <c r="E181">
        <v>6.83</v>
      </c>
      <c r="F181">
        <v>2050</v>
      </c>
      <c r="G181">
        <v>737</v>
      </c>
      <c r="H181">
        <v>1729</v>
      </c>
      <c r="I181">
        <v>432</v>
      </c>
      <c r="J181">
        <v>700</v>
      </c>
      <c r="K181">
        <v>450</v>
      </c>
      <c r="L181">
        <v>1217</v>
      </c>
      <c r="M181">
        <v>406</v>
      </c>
      <c r="N181">
        <v>222</v>
      </c>
      <c r="O181">
        <v>145</v>
      </c>
      <c r="P181">
        <v>529</v>
      </c>
      <c r="Q181">
        <v>574</v>
      </c>
      <c r="R181">
        <v>180</v>
      </c>
    </row>
    <row r="182" spans="1:18">
      <c r="A182" s="1" t="s">
        <v>285</v>
      </c>
      <c r="B182">
        <v>31</v>
      </c>
      <c r="C182">
        <v>23</v>
      </c>
      <c r="D182">
        <v>8</v>
      </c>
      <c r="E182">
        <v>2.52</v>
      </c>
      <c r="F182">
        <v>2548</v>
      </c>
      <c r="G182">
        <v>929</v>
      </c>
      <c r="H182">
        <v>2043</v>
      </c>
      <c r="I182">
        <v>523</v>
      </c>
      <c r="J182">
        <v>768</v>
      </c>
      <c r="K182">
        <v>463</v>
      </c>
      <c r="L182">
        <v>1302</v>
      </c>
      <c r="M182">
        <v>623</v>
      </c>
      <c r="N182">
        <v>263</v>
      </c>
      <c r="O182">
        <v>139</v>
      </c>
      <c r="P182">
        <v>549</v>
      </c>
      <c r="Q182">
        <v>626</v>
      </c>
      <c r="R182">
        <v>181</v>
      </c>
    </row>
    <row r="183" spans="1:18">
      <c r="A183" s="1" t="s">
        <v>163</v>
      </c>
      <c r="B183">
        <v>29</v>
      </c>
      <c r="C183">
        <v>9</v>
      </c>
      <c r="D183">
        <v>20</v>
      </c>
      <c r="E183">
        <v>1.5</v>
      </c>
      <c r="F183">
        <v>1873</v>
      </c>
      <c r="G183">
        <v>624</v>
      </c>
      <c r="H183">
        <v>1660</v>
      </c>
      <c r="I183">
        <v>462</v>
      </c>
      <c r="J183">
        <v>634</v>
      </c>
      <c r="K183">
        <v>394</v>
      </c>
      <c r="L183">
        <v>1053</v>
      </c>
      <c r="M183">
        <v>321</v>
      </c>
      <c r="N183">
        <v>160</v>
      </c>
      <c r="O183">
        <v>51</v>
      </c>
      <c r="P183">
        <v>399</v>
      </c>
      <c r="Q183">
        <v>593</v>
      </c>
      <c r="R183">
        <v>182</v>
      </c>
    </row>
    <row r="184" spans="1:18">
      <c r="A184" s="1" t="s">
        <v>164</v>
      </c>
      <c r="B184">
        <v>28</v>
      </c>
      <c r="C184">
        <v>3</v>
      </c>
      <c r="D184">
        <v>25</v>
      </c>
      <c r="E184">
        <v>-6.09</v>
      </c>
      <c r="F184">
        <v>1811</v>
      </c>
      <c r="G184">
        <v>630</v>
      </c>
      <c r="H184">
        <v>1758</v>
      </c>
      <c r="I184">
        <v>353</v>
      </c>
      <c r="J184">
        <v>522</v>
      </c>
      <c r="K184">
        <v>379</v>
      </c>
      <c r="L184">
        <v>1002</v>
      </c>
      <c r="M184">
        <v>333</v>
      </c>
      <c r="N184">
        <v>222</v>
      </c>
      <c r="O184">
        <v>101</v>
      </c>
      <c r="P184">
        <v>510</v>
      </c>
      <c r="Q184">
        <v>563</v>
      </c>
      <c r="R184">
        <v>183</v>
      </c>
    </row>
    <row r="185" spans="1:18">
      <c r="A185" s="1" t="s">
        <v>165</v>
      </c>
      <c r="B185">
        <v>32</v>
      </c>
      <c r="C185">
        <v>22</v>
      </c>
      <c r="D185">
        <v>10</v>
      </c>
      <c r="E185">
        <v>2</v>
      </c>
      <c r="F185">
        <v>2265</v>
      </c>
      <c r="G185">
        <v>820</v>
      </c>
      <c r="H185">
        <v>1853</v>
      </c>
      <c r="I185">
        <v>421</v>
      </c>
      <c r="J185">
        <v>660</v>
      </c>
      <c r="K185">
        <v>452</v>
      </c>
      <c r="L185">
        <v>1198</v>
      </c>
      <c r="M185">
        <v>404</v>
      </c>
      <c r="N185">
        <v>223</v>
      </c>
      <c r="O185">
        <v>71</v>
      </c>
      <c r="P185">
        <v>437</v>
      </c>
      <c r="Q185">
        <v>621</v>
      </c>
      <c r="R185">
        <v>184</v>
      </c>
    </row>
    <row r="186" spans="1:18">
      <c r="A186" s="1" t="s">
        <v>166</v>
      </c>
      <c r="B186">
        <v>32</v>
      </c>
      <c r="C186">
        <v>18</v>
      </c>
      <c r="D186">
        <v>14</v>
      </c>
      <c r="E186">
        <v>4.18</v>
      </c>
      <c r="F186">
        <v>2323</v>
      </c>
      <c r="G186">
        <v>811</v>
      </c>
      <c r="H186">
        <v>1782</v>
      </c>
      <c r="I186">
        <v>546</v>
      </c>
      <c r="J186">
        <v>769</v>
      </c>
      <c r="K186">
        <v>359</v>
      </c>
      <c r="L186">
        <v>1151</v>
      </c>
      <c r="M186">
        <v>362</v>
      </c>
      <c r="N186">
        <v>232</v>
      </c>
      <c r="O186">
        <v>145</v>
      </c>
      <c r="P186">
        <v>464</v>
      </c>
      <c r="Q186">
        <v>667</v>
      </c>
      <c r="R186">
        <v>185</v>
      </c>
    </row>
    <row r="187" spans="1:18">
      <c r="A187" s="1" t="s">
        <v>167</v>
      </c>
      <c r="B187">
        <v>29</v>
      </c>
      <c r="C187">
        <v>11</v>
      </c>
      <c r="D187">
        <v>18</v>
      </c>
      <c r="E187">
        <v>-3.06</v>
      </c>
      <c r="F187">
        <v>1738</v>
      </c>
      <c r="G187">
        <v>610</v>
      </c>
      <c r="H187">
        <v>1407</v>
      </c>
      <c r="I187">
        <v>363</v>
      </c>
      <c r="J187">
        <v>507</v>
      </c>
      <c r="L187">
        <v>890</v>
      </c>
      <c r="M187">
        <v>364</v>
      </c>
      <c r="N187">
        <v>194</v>
      </c>
      <c r="O187">
        <v>82</v>
      </c>
      <c r="P187">
        <v>454</v>
      </c>
      <c r="Q187">
        <v>499</v>
      </c>
      <c r="R187">
        <v>186</v>
      </c>
    </row>
    <row r="188" spans="1:18">
      <c r="A188" s="1" t="s">
        <v>168</v>
      </c>
      <c r="B188">
        <v>29</v>
      </c>
      <c r="C188">
        <v>17</v>
      </c>
      <c r="D188">
        <v>12</v>
      </c>
      <c r="E188">
        <v>-5.38</v>
      </c>
      <c r="F188">
        <v>2241</v>
      </c>
      <c r="G188">
        <v>753</v>
      </c>
      <c r="H188">
        <v>1796</v>
      </c>
      <c r="I188">
        <v>506</v>
      </c>
      <c r="J188">
        <v>703</v>
      </c>
      <c r="K188">
        <v>409</v>
      </c>
      <c r="L188">
        <v>1065</v>
      </c>
      <c r="M188">
        <v>406</v>
      </c>
      <c r="N188">
        <v>233</v>
      </c>
      <c r="O188">
        <v>117</v>
      </c>
      <c r="P188">
        <v>464</v>
      </c>
      <c r="Q188">
        <v>606</v>
      </c>
      <c r="R188">
        <v>187</v>
      </c>
    </row>
    <row r="189" spans="1:18">
      <c r="A189" s="1" t="s">
        <v>169</v>
      </c>
      <c r="B189">
        <v>28</v>
      </c>
      <c r="C189">
        <v>11</v>
      </c>
      <c r="D189">
        <v>17</v>
      </c>
      <c r="E189">
        <v>-4.5</v>
      </c>
      <c r="F189">
        <v>1769</v>
      </c>
      <c r="G189">
        <v>658</v>
      </c>
      <c r="H189">
        <v>1652</v>
      </c>
      <c r="I189">
        <v>330</v>
      </c>
      <c r="J189">
        <v>556</v>
      </c>
      <c r="K189">
        <v>414</v>
      </c>
      <c r="L189">
        <v>994</v>
      </c>
      <c r="M189">
        <v>341</v>
      </c>
      <c r="N189">
        <v>273</v>
      </c>
      <c r="O189">
        <v>71</v>
      </c>
      <c r="P189">
        <v>456</v>
      </c>
      <c r="Q189">
        <v>527</v>
      </c>
      <c r="R189">
        <v>188</v>
      </c>
    </row>
    <row r="190" spans="1:18">
      <c r="A190" s="1" t="s">
        <v>170</v>
      </c>
      <c r="B190">
        <v>28</v>
      </c>
      <c r="C190">
        <v>12</v>
      </c>
      <c r="D190">
        <v>16</v>
      </c>
      <c r="E190">
        <v>-11.37</v>
      </c>
      <c r="F190">
        <v>2128</v>
      </c>
      <c r="G190">
        <v>777</v>
      </c>
      <c r="H190">
        <v>1860</v>
      </c>
      <c r="I190">
        <v>430</v>
      </c>
      <c r="J190">
        <v>698</v>
      </c>
      <c r="K190">
        <v>434</v>
      </c>
      <c r="L190">
        <v>1068</v>
      </c>
      <c r="M190">
        <v>319</v>
      </c>
      <c r="N190">
        <v>243</v>
      </c>
      <c r="O190">
        <v>91</v>
      </c>
      <c r="P190">
        <v>437</v>
      </c>
      <c r="Q190">
        <v>549</v>
      </c>
      <c r="R190">
        <v>189</v>
      </c>
    </row>
    <row r="191" spans="1:18">
      <c r="A191" s="1" t="s">
        <v>171</v>
      </c>
      <c r="B191">
        <v>30</v>
      </c>
      <c r="C191">
        <v>11</v>
      </c>
      <c r="D191">
        <v>19</v>
      </c>
      <c r="E191">
        <v>-3.66</v>
      </c>
      <c r="F191">
        <v>2074</v>
      </c>
      <c r="G191">
        <v>686</v>
      </c>
      <c r="H191">
        <v>1578</v>
      </c>
      <c r="I191">
        <v>528</v>
      </c>
      <c r="J191">
        <v>701</v>
      </c>
      <c r="K191">
        <v>329</v>
      </c>
      <c r="L191">
        <v>1080</v>
      </c>
      <c r="M191">
        <v>419</v>
      </c>
      <c r="N191">
        <v>223</v>
      </c>
      <c r="O191">
        <v>114</v>
      </c>
      <c r="P191">
        <v>600</v>
      </c>
      <c r="Q191">
        <v>565</v>
      </c>
      <c r="R191">
        <v>190</v>
      </c>
    </row>
    <row r="192" spans="1:18">
      <c r="A192" s="1" t="s">
        <v>172</v>
      </c>
      <c r="B192">
        <v>29</v>
      </c>
      <c r="C192">
        <v>14</v>
      </c>
      <c r="D192">
        <v>15</v>
      </c>
      <c r="E192">
        <v>-12.15</v>
      </c>
      <c r="F192">
        <v>2187</v>
      </c>
      <c r="G192">
        <v>786</v>
      </c>
      <c r="H192">
        <v>1802</v>
      </c>
      <c r="I192">
        <v>486</v>
      </c>
      <c r="J192">
        <v>725</v>
      </c>
      <c r="K192">
        <v>403</v>
      </c>
      <c r="L192">
        <v>1108</v>
      </c>
      <c r="M192">
        <v>381</v>
      </c>
      <c r="N192">
        <v>264</v>
      </c>
      <c r="O192">
        <v>75</v>
      </c>
      <c r="P192">
        <v>531</v>
      </c>
      <c r="Q192">
        <v>403</v>
      </c>
      <c r="R192">
        <v>191</v>
      </c>
    </row>
    <row r="193" spans="1:18">
      <c r="A193" s="1" t="s">
        <v>173</v>
      </c>
      <c r="B193">
        <v>28</v>
      </c>
      <c r="C193">
        <v>15</v>
      </c>
      <c r="D193">
        <v>13</v>
      </c>
      <c r="E193">
        <v>-6.15</v>
      </c>
      <c r="F193">
        <v>2007</v>
      </c>
      <c r="G193">
        <v>706</v>
      </c>
      <c r="H193">
        <v>1549</v>
      </c>
      <c r="I193">
        <v>456</v>
      </c>
      <c r="J193">
        <v>618</v>
      </c>
      <c r="K193">
        <v>347</v>
      </c>
      <c r="L193">
        <v>1027</v>
      </c>
      <c r="M193">
        <v>379</v>
      </c>
      <c r="N193">
        <v>176</v>
      </c>
      <c r="O193">
        <v>87</v>
      </c>
      <c r="P193">
        <v>463</v>
      </c>
      <c r="Q193">
        <v>501</v>
      </c>
      <c r="R193">
        <v>192</v>
      </c>
    </row>
    <row r="194" spans="1:18">
      <c r="A194" s="1" t="s">
        <v>174</v>
      </c>
      <c r="B194">
        <v>34</v>
      </c>
      <c r="C194">
        <v>20</v>
      </c>
      <c r="D194">
        <v>14</v>
      </c>
      <c r="E194">
        <v>7.49</v>
      </c>
      <c r="F194">
        <v>2347</v>
      </c>
      <c r="G194">
        <v>821</v>
      </c>
      <c r="H194">
        <v>1920</v>
      </c>
      <c r="I194">
        <v>518</v>
      </c>
      <c r="J194">
        <v>789</v>
      </c>
      <c r="K194">
        <v>453</v>
      </c>
      <c r="L194">
        <v>1234</v>
      </c>
      <c r="M194">
        <v>431</v>
      </c>
      <c r="N194">
        <v>311</v>
      </c>
      <c r="O194">
        <v>156</v>
      </c>
      <c r="P194">
        <v>540</v>
      </c>
      <c r="Q194">
        <v>605</v>
      </c>
      <c r="R194">
        <v>193</v>
      </c>
    </row>
    <row r="195" spans="1:18">
      <c r="A195" s="1" t="s">
        <v>286</v>
      </c>
      <c r="B195">
        <v>31</v>
      </c>
      <c r="C195">
        <v>18</v>
      </c>
      <c r="D195">
        <v>13</v>
      </c>
      <c r="E195">
        <v>-0.24</v>
      </c>
      <c r="F195">
        <v>1863</v>
      </c>
      <c r="G195">
        <v>667</v>
      </c>
      <c r="H195">
        <v>1609</v>
      </c>
      <c r="I195">
        <v>353</v>
      </c>
      <c r="J195">
        <v>561</v>
      </c>
      <c r="K195">
        <v>323</v>
      </c>
      <c r="L195">
        <v>1075</v>
      </c>
      <c r="M195">
        <v>375</v>
      </c>
      <c r="N195">
        <v>221</v>
      </c>
      <c r="O195">
        <v>67</v>
      </c>
      <c r="P195">
        <v>566</v>
      </c>
      <c r="Q195">
        <v>566</v>
      </c>
      <c r="R195">
        <v>194</v>
      </c>
    </row>
    <row r="196" spans="1:18">
      <c r="A196" s="1" t="s">
        <v>312</v>
      </c>
      <c r="B196">
        <v>36</v>
      </c>
      <c r="C196">
        <v>22</v>
      </c>
      <c r="D196">
        <v>14</v>
      </c>
      <c r="E196">
        <v>11.8</v>
      </c>
      <c r="F196">
        <v>2715</v>
      </c>
      <c r="G196">
        <v>1014</v>
      </c>
      <c r="H196">
        <v>2066</v>
      </c>
      <c r="I196">
        <v>518</v>
      </c>
      <c r="J196">
        <v>740</v>
      </c>
      <c r="K196">
        <v>436</v>
      </c>
      <c r="L196">
        <v>1394</v>
      </c>
      <c r="M196">
        <v>609</v>
      </c>
      <c r="N196">
        <v>210</v>
      </c>
      <c r="O196">
        <v>178</v>
      </c>
      <c r="P196">
        <v>536</v>
      </c>
      <c r="Q196">
        <v>580</v>
      </c>
      <c r="R196">
        <v>195</v>
      </c>
    </row>
    <row r="197" spans="1:18">
      <c r="A197" s="1" t="s">
        <v>175</v>
      </c>
      <c r="B197">
        <v>27</v>
      </c>
      <c r="C197">
        <v>7</v>
      </c>
      <c r="D197">
        <v>20</v>
      </c>
      <c r="E197">
        <v>2.0699999999999998</v>
      </c>
      <c r="F197">
        <v>2040</v>
      </c>
      <c r="G197">
        <v>754</v>
      </c>
      <c r="H197">
        <v>1810</v>
      </c>
      <c r="I197">
        <v>356</v>
      </c>
      <c r="J197">
        <v>535</v>
      </c>
      <c r="K197">
        <v>399</v>
      </c>
      <c r="L197">
        <v>1034</v>
      </c>
      <c r="M197">
        <v>394</v>
      </c>
      <c r="N197">
        <v>212</v>
      </c>
      <c r="O197">
        <v>93</v>
      </c>
      <c r="P197">
        <v>451</v>
      </c>
      <c r="Q197">
        <v>490</v>
      </c>
      <c r="R197">
        <v>196</v>
      </c>
    </row>
    <row r="198" spans="1:18">
      <c r="A198" s="1" t="s">
        <v>176</v>
      </c>
      <c r="B198">
        <v>28</v>
      </c>
      <c r="C198">
        <v>7</v>
      </c>
      <c r="D198">
        <v>21</v>
      </c>
      <c r="E198">
        <v>-8.41</v>
      </c>
      <c r="F198">
        <v>1855</v>
      </c>
      <c r="G198">
        <v>714</v>
      </c>
      <c r="H198">
        <v>1599</v>
      </c>
      <c r="I198">
        <v>310</v>
      </c>
      <c r="J198">
        <v>448</v>
      </c>
      <c r="K198">
        <v>324</v>
      </c>
      <c r="L198">
        <v>911</v>
      </c>
      <c r="M198">
        <v>344</v>
      </c>
      <c r="N198">
        <v>237</v>
      </c>
      <c r="O198">
        <v>114</v>
      </c>
      <c r="P198">
        <v>478</v>
      </c>
      <c r="Q198">
        <v>565</v>
      </c>
      <c r="R198">
        <v>197</v>
      </c>
    </row>
    <row r="199" spans="1:18">
      <c r="A199" s="1" t="s">
        <v>287</v>
      </c>
      <c r="B199">
        <v>31</v>
      </c>
      <c r="C199">
        <v>20</v>
      </c>
      <c r="D199">
        <v>11</v>
      </c>
      <c r="E199">
        <v>1.37</v>
      </c>
      <c r="F199">
        <v>2280</v>
      </c>
      <c r="G199">
        <v>775</v>
      </c>
      <c r="H199">
        <v>1626</v>
      </c>
      <c r="I199">
        <v>467</v>
      </c>
      <c r="J199">
        <v>622</v>
      </c>
      <c r="K199">
        <v>295</v>
      </c>
      <c r="L199">
        <v>1101</v>
      </c>
      <c r="M199">
        <v>493</v>
      </c>
      <c r="N199">
        <v>120</v>
      </c>
      <c r="O199">
        <v>96</v>
      </c>
      <c r="P199">
        <v>514</v>
      </c>
      <c r="Q199">
        <v>574</v>
      </c>
      <c r="R199">
        <v>198</v>
      </c>
    </row>
    <row r="200" spans="1:18">
      <c r="A200" s="1" t="s">
        <v>177</v>
      </c>
      <c r="B200">
        <v>28</v>
      </c>
      <c r="C200">
        <v>13</v>
      </c>
      <c r="D200">
        <v>15</v>
      </c>
      <c r="E200">
        <v>1.56</v>
      </c>
      <c r="F200">
        <v>1943</v>
      </c>
      <c r="G200">
        <v>707</v>
      </c>
      <c r="H200">
        <v>1699</v>
      </c>
      <c r="I200">
        <v>376</v>
      </c>
      <c r="J200">
        <v>546</v>
      </c>
      <c r="K200">
        <v>408</v>
      </c>
      <c r="L200">
        <v>1078</v>
      </c>
      <c r="M200">
        <v>368</v>
      </c>
      <c r="N200">
        <v>220</v>
      </c>
      <c r="O200">
        <v>78</v>
      </c>
      <c r="P200">
        <v>454</v>
      </c>
      <c r="Q200">
        <v>561</v>
      </c>
      <c r="R200">
        <v>199</v>
      </c>
    </row>
    <row r="201" spans="1:18">
      <c r="A201" s="1" t="s">
        <v>178</v>
      </c>
      <c r="B201">
        <v>29</v>
      </c>
      <c r="C201">
        <v>14</v>
      </c>
      <c r="D201">
        <v>15</v>
      </c>
      <c r="E201">
        <v>2.5099999999999998</v>
      </c>
      <c r="F201">
        <v>1798</v>
      </c>
      <c r="G201">
        <v>624</v>
      </c>
      <c r="H201">
        <v>1425</v>
      </c>
      <c r="I201">
        <v>427</v>
      </c>
      <c r="J201">
        <v>598</v>
      </c>
      <c r="K201">
        <v>254</v>
      </c>
      <c r="L201">
        <v>921</v>
      </c>
      <c r="M201">
        <v>326</v>
      </c>
      <c r="N201">
        <v>174</v>
      </c>
      <c r="O201">
        <v>89</v>
      </c>
      <c r="P201">
        <v>422</v>
      </c>
      <c r="Q201">
        <v>502</v>
      </c>
      <c r="R201">
        <v>200</v>
      </c>
    </row>
    <row r="202" spans="1:18">
      <c r="A202" s="1" t="s">
        <v>179</v>
      </c>
      <c r="B202">
        <v>30</v>
      </c>
      <c r="C202">
        <v>17</v>
      </c>
      <c r="D202">
        <v>13</v>
      </c>
      <c r="E202">
        <v>-6.06</v>
      </c>
      <c r="F202">
        <v>1990</v>
      </c>
      <c r="G202">
        <v>719</v>
      </c>
      <c r="H202">
        <v>1775</v>
      </c>
      <c r="I202">
        <v>405</v>
      </c>
      <c r="J202">
        <v>624</v>
      </c>
      <c r="K202">
        <v>425</v>
      </c>
      <c r="L202">
        <v>1105</v>
      </c>
      <c r="M202">
        <v>422</v>
      </c>
      <c r="N202">
        <v>315</v>
      </c>
      <c r="O202">
        <v>111</v>
      </c>
      <c r="P202">
        <v>506</v>
      </c>
      <c r="Q202">
        <v>625</v>
      </c>
      <c r="R202">
        <v>201</v>
      </c>
    </row>
    <row r="203" spans="1:18">
      <c r="A203" s="1" t="s">
        <v>180</v>
      </c>
      <c r="B203">
        <v>30</v>
      </c>
      <c r="C203">
        <v>5</v>
      </c>
      <c r="D203">
        <v>25</v>
      </c>
      <c r="E203">
        <v>8.14</v>
      </c>
      <c r="F203">
        <v>1545</v>
      </c>
      <c r="G203">
        <v>525</v>
      </c>
      <c r="H203">
        <v>1426</v>
      </c>
      <c r="I203">
        <v>334</v>
      </c>
      <c r="J203">
        <v>483</v>
      </c>
      <c r="K203">
        <v>245</v>
      </c>
      <c r="L203">
        <v>892</v>
      </c>
      <c r="M203">
        <v>367</v>
      </c>
      <c r="N203">
        <v>146</v>
      </c>
      <c r="O203">
        <v>83</v>
      </c>
      <c r="P203">
        <v>484</v>
      </c>
      <c r="Q203">
        <v>534</v>
      </c>
      <c r="R203">
        <v>202</v>
      </c>
    </row>
    <row r="204" spans="1:18">
      <c r="A204" s="1" t="s">
        <v>181</v>
      </c>
      <c r="B204">
        <v>37</v>
      </c>
      <c r="C204">
        <v>22</v>
      </c>
      <c r="D204">
        <v>15</v>
      </c>
      <c r="E204">
        <v>6.38</v>
      </c>
      <c r="F204">
        <v>2636</v>
      </c>
      <c r="G204">
        <v>896</v>
      </c>
      <c r="H204">
        <v>1921</v>
      </c>
      <c r="I204">
        <v>557</v>
      </c>
      <c r="J204">
        <v>751</v>
      </c>
      <c r="K204">
        <v>385</v>
      </c>
      <c r="L204">
        <v>1322</v>
      </c>
      <c r="M204">
        <v>643</v>
      </c>
      <c r="N204">
        <v>287</v>
      </c>
      <c r="O204">
        <v>110</v>
      </c>
      <c r="P204">
        <v>656</v>
      </c>
      <c r="Q204">
        <v>626</v>
      </c>
      <c r="R204">
        <v>203</v>
      </c>
    </row>
    <row r="205" spans="1:18">
      <c r="A205" s="1" t="s">
        <v>182</v>
      </c>
      <c r="B205">
        <v>30</v>
      </c>
      <c r="C205">
        <v>13</v>
      </c>
      <c r="D205">
        <v>17</v>
      </c>
      <c r="E205">
        <v>-1.32</v>
      </c>
      <c r="F205">
        <v>2163</v>
      </c>
      <c r="G205">
        <v>703</v>
      </c>
      <c r="H205">
        <v>1719</v>
      </c>
      <c r="I205">
        <v>486</v>
      </c>
      <c r="J205">
        <v>654</v>
      </c>
      <c r="K205">
        <v>312</v>
      </c>
      <c r="L205">
        <v>1004</v>
      </c>
      <c r="M205">
        <v>442</v>
      </c>
      <c r="N205">
        <v>224</v>
      </c>
      <c r="O205">
        <v>52</v>
      </c>
      <c r="P205">
        <v>486</v>
      </c>
      <c r="Q205">
        <v>568</v>
      </c>
      <c r="R205">
        <v>204</v>
      </c>
    </row>
    <row r="206" spans="1:18">
      <c r="A206" s="1" t="s">
        <v>321</v>
      </c>
      <c r="B206">
        <v>30</v>
      </c>
      <c r="C206">
        <v>23</v>
      </c>
      <c r="D206">
        <v>7</v>
      </c>
      <c r="E206">
        <v>6.55</v>
      </c>
      <c r="F206">
        <v>2182</v>
      </c>
      <c r="G206">
        <v>797</v>
      </c>
      <c r="H206">
        <v>1748</v>
      </c>
      <c r="I206">
        <v>443</v>
      </c>
      <c r="J206">
        <v>629</v>
      </c>
      <c r="K206">
        <v>381</v>
      </c>
      <c r="L206">
        <v>1126</v>
      </c>
      <c r="M206">
        <v>387</v>
      </c>
      <c r="N206">
        <v>194</v>
      </c>
      <c r="O206">
        <v>200</v>
      </c>
      <c r="P206">
        <v>377</v>
      </c>
      <c r="Q206">
        <v>521</v>
      </c>
      <c r="R206">
        <v>205</v>
      </c>
    </row>
    <row r="207" spans="1:18">
      <c r="A207" s="1" t="s">
        <v>183</v>
      </c>
      <c r="B207">
        <v>33</v>
      </c>
      <c r="C207">
        <v>20</v>
      </c>
      <c r="D207">
        <v>13</v>
      </c>
      <c r="E207">
        <v>3.53</v>
      </c>
      <c r="F207">
        <v>2386</v>
      </c>
      <c r="G207">
        <v>782</v>
      </c>
      <c r="H207">
        <v>1804</v>
      </c>
      <c r="I207">
        <v>601</v>
      </c>
      <c r="J207">
        <v>895</v>
      </c>
      <c r="K207">
        <v>441</v>
      </c>
      <c r="L207">
        <v>1280</v>
      </c>
      <c r="M207">
        <v>517</v>
      </c>
      <c r="N207">
        <v>243</v>
      </c>
      <c r="O207">
        <v>103</v>
      </c>
      <c r="P207">
        <v>565</v>
      </c>
      <c r="Q207">
        <v>694</v>
      </c>
      <c r="R207">
        <v>206</v>
      </c>
    </row>
    <row r="208" spans="1:18">
      <c r="A208" s="1" t="s">
        <v>340</v>
      </c>
      <c r="B208">
        <v>34</v>
      </c>
      <c r="C208">
        <v>27</v>
      </c>
      <c r="D208">
        <v>7</v>
      </c>
      <c r="E208">
        <v>6.59</v>
      </c>
      <c r="F208">
        <v>2620</v>
      </c>
      <c r="G208">
        <v>933</v>
      </c>
      <c r="H208">
        <v>1946</v>
      </c>
      <c r="I208">
        <v>538</v>
      </c>
      <c r="J208">
        <v>768</v>
      </c>
      <c r="K208">
        <v>393</v>
      </c>
      <c r="L208">
        <v>1311</v>
      </c>
      <c r="M208">
        <v>642</v>
      </c>
      <c r="N208">
        <v>260</v>
      </c>
      <c r="O208">
        <v>122</v>
      </c>
      <c r="P208">
        <v>484</v>
      </c>
      <c r="Q208">
        <v>578</v>
      </c>
      <c r="R208">
        <v>207</v>
      </c>
    </row>
    <row r="209" spans="1:18">
      <c r="A209" s="1" t="s">
        <v>329</v>
      </c>
      <c r="B209">
        <v>34</v>
      </c>
      <c r="C209">
        <v>27</v>
      </c>
      <c r="D209">
        <v>7</v>
      </c>
      <c r="E209">
        <v>6.63</v>
      </c>
      <c r="F209">
        <v>2546</v>
      </c>
      <c r="G209">
        <v>917</v>
      </c>
      <c r="H209">
        <v>2004</v>
      </c>
      <c r="I209">
        <v>449</v>
      </c>
      <c r="J209">
        <v>632</v>
      </c>
      <c r="K209">
        <v>443</v>
      </c>
      <c r="L209">
        <v>1254</v>
      </c>
      <c r="M209">
        <v>525</v>
      </c>
      <c r="N209">
        <v>241</v>
      </c>
      <c r="O209">
        <v>89</v>
      </c>
      <c r="P209">
        <v>435</v>
      </c>
      <c r="Q209">
        <v>643</v>
      </c>
      <c r="R209">
        <v>208</v>
      </c>
    </row>
    <row r="210" spans="1:18">
      <c r="A210" s="1" t="s">
        <v>184</v>
      </c>
      <c r="B210">
        <v>30</v>
      </c>
      <c r="C210">
        <v>11</v>
      </c>
      <c r="D210">
        <v>19</v>
      </c>
      <c r="E210">
        <v>-1.9</v>
      </c>
      <c r="F210">
        <v>1942</v>
      </c>
      <c r="G210">
        <v>681</v>
      </c>
      <c r="H210">
        <v>1572</v>
      </c>
      <c r="I210">
        <v>460</v>
      </c>
      <c r="J210">
        <v>689</v>
      </c>
      <c r="K210">
        <v>352</v>
      </c>
      <c r="L210">
        <v>1048</v>
      </c>
      <c r="M210">
        <v>383</v>
      </c>
      <c r="N210">
        <v>214</v>
      </c>
      <c r="O210">
        <v>100</v>
      </c>
      <c r="P210">
        <v>452</v>
      </c>
      <c r="Q210">
        <v>539</v>
      </c>
      <c r="R210">
        <v>209</v>
      </c>
    </row>
    <row r="211" spans="1:18">
      <c r="A211" s="1" t="s">
        <v>185</v>
      </c>
      <c r="B211">
        <v>30</v>
      </c>
      <c r="C211">
        <v>13</v>
      </c>
      <c r="D211">
        <v>17</v>
      </c>
      <c r="E211">
        <v>-4.2300000000000004</v>
      </c>
      <c r="F211">
        <v>2169</v>
      </c>
      <c r="G211">
        <v>758</v>
      </c>
      <c r="H211">
        <v>1728</v>
      </c>
      <c r="I211">
        <v>414</v>
      </c>
      <c r="J211">
        <v>621</v>
      </c>
      <c r="K211">
        <v>298</v>
      </c>
      <c r="L211">
        <v>1011</v>
      </c>
      <c r="M211">
        <v>467</v>
      </c>
      <c r="N211">
        <v>199</v>
      </c>
      <c r="O211">
        <v>54</v>
      </c>
      <c r="P211">
        <v>452</v>
      </c>
      <c r="Q211">
        <v>554</v>
      </c>
      <c r="R211">
        <v>210</v>
      </c>
    </row>
    <row r="212" spans="1:18">
      <c r="A212" s="1" t="s">
        <v>186</v>
      </c>
      <c r="B212">
        <v>29</v>
      </c>
      <c r="C212">
        <v>13</v>
      </c>
      <c r="D212">
        <v>16</v>
      </c>
      <c r="E212">
        <v>8.74</v>
      </c>
      <c r="F212">
        <v>2005</v>
      </c>
      <c r="G212">
        <v>708</v>
      </c>
      <c r="H212">
        <v>1597</v>
      </c>
      <c r="I212">
        <v>383</v>
      </c>
      <c r="J212">
        <v>583</v>
      </c>
      <c r="K212">
        <v>322</v>
      </c>
      <c r="L212">
        <v>1004</v>
      </c>
      <c r="M212">
        <v>447</v>
      </c>
      <c r="N212">
        <v>221</v>
      </c>
      <c r="O212">
        <v>84</v>
      </c>
      <c r="P212">
        <v>476</v>
      </c>
      <c r="Q212">
        <v>608</v>
      </c>
      <c r="R212">
        <v>211</v>
      </c>
    </row>
    <row r="213" spans="1:18">
      <c r="A213" s="1" t="s">
        <v>288</v>
      </c>
      <c r="B213">
        <v>30</v>
      </c>
      <c r="C213">
        <v>22</v>
      </c>
      <c r="D213">
        <v>8</v>
      </c>
      <c r="E213">
        <v>8.5299999999999994</v>
      </c>
      <c r="F213">
        <v>2269</v>
      </c>
      <c r="G213">
        <v>808</v>
      </c>
      <c r="H213">
        <v>1722</v>
      </c>
      <c r="I213">
        <v>481</v>
      </c>
      <c r="J213">
        <v>646</v>
      </c>
      <c r="K213">
        <v>336</v>
      </c>
      <c r="L213">
        <v>1037</v>
      </c>
      <c r="M213">
        <v>491</v>
      </c>
      <c r="N213">
        <v>206</v>
      </c>
      <c r="O213">
        <v>88</v>
      </c>
      <c r="P213">
        <v>469</v>
      </c>
      <c r="Q213">
        <v>592</v>
      </c>
      <c r="R213">
        <v>212</v>
      </c>
    </row>
    <row r="214" spans="1:18">
      <c r="A214" s="1" t="s">
        <v>187</v>
      </c>
      <c r="B214">
        <v>29</v>
      </c>
      <c r="C214">
        <v>11</v>
      </c>
      <c r="D214">
        <v>18</v>
      </c>
      <c r="E214">
        <v>-0.6</v>
      </c>
      <c r="F214">
        <v>1809</v>
      </c>
      <c r="G214">
        <v>622</v>
      </c>
      <c r="H214">
        <v>1503</v>
      </c>
      <c r="I214">
        <v>392</v>
      </c>
      <c r="J214">
        <v>573</v>
      </c>
      <c r="K214">
        <v>330</v>
      </c>
      <c r="L214">
        <v>1015</v>
      </c>
      <c r="M214">
        <v>361</v>
      </c>
      <c r="N214">
        <v>120</v>
      </c>
      <c r="O214">
        <v>38</v>
      </c>
      <c r="P214">
        <v>395</v>
      </c>
      <c r="Q214">
        <v>520</v>
      </c>
      <c r="R214">
        <v>213</v>
      </c>
    </row>
    <row r="215" spans="1:18">
      <c r="A215" s="1" t="s">
        <v>188</v>
      </c>
      <c r="B215">
        <v>35</v>
      </c>
      <c r="C215">
        <v>19</v>
      </c>
      <c r="D215">
        <v>16</v>
      </c>
      <c r="E215">
        <v>8.82</v>
      </c>
      <c r="F215">
        <v>2572</v>
      </c>
      <c r="G215">
        <v>879</v>
      </c>
      <c r="H215">
        <v>1994</v>
      </c>
      <c r="I215">
        <v>579</v>
      </c>
      <c r="J215">
        <v>811</v>
      </c>
      <c r="K215">
        <v>403</v>
      </c>
      <c r="L215">
        <v>1222</v>
      </c>
      <c r="M215">
        <v>526</v>
      </c>
      <c r="N215">
        <v>279</v>
      </c>
      <c r="O215">
        <v>105</v>
      </c>
      <c r="P215">
        <v>536</v>
      </c>
      <c r="Q215">
        <v>636</v>
      </c>
      <c r="R215">
        <v>214</v>
      </c>
    </row>
    <row r="216" spans="1:18">
      <c r="A216" s="1" t="s">
        <v>289</v>
      </c>
      <c r="B216">
        <v>29</v>
      </c>
      <c r="C216">
        <v>21</v>
      </c>
      <c r="D216">
        <v>8</v>
      </c>
      <c r="E216">
        <v>-2.89</v>
      </c>
      <c r="F216">
        <v>1942</v>
      </c>
      <c r="G216">
        <v>707</v>
      </c>
      <c r="H216">
        <v>1565</v>
      </c>
      <c r="I216">
        <v>339</v>
      </c>
      <c r="J216">
        <v>526</v>
      </c>
      <c r="K216">
        <v>310</v>
      </c>
      <c r="L216">
        <v>1056</v>
      </c>
      <c r="M216">
        <v>436</v>
      </c>
      <c r="N216">
        <v>158</v>
      </c>
      <c r="O216">
        <v>119</v>
      </c>
      <c r="P216">
        <v>369</v>
      </c>
      <c r="Q216">
        <v>475</v>
      </c>
      <c r="R216">
        <v>215</v>
      </c>
    </row>
    <row r="217" spans="1:18">
      <c r="A217" s="1" t="s">
        <v>290</v>
      </c>
      <c r="B217">
        <v>34</v>
      </c>
      <c r="C217">
        <v>25</v>
      </c>
      <c r="D217">
        <v>9</v>
      </c>
      <c r="E217">
        <v>3.35</v>
      </c>
      <c r="F217">
        <v>2481</v>
      </c>
      <c r="G217">
        <v>929</v>
      </c>
      <c r="H217">
        <v>2094</v>
      </c>
      <c r="I217">
        <v>386</v>
      </c>
      <c r="J217">
        <v>577</v>
      </c>
      <c r="K217">
        <v>420</v>
      </c>
      <c r="L217">
        <v>1295</v>
      </c>
      <c r="M217">
        <v>494</v>
      </c>
      <c r="N217">
        <v>319</v>
      </c>
      <c r="O217">
        <v>99</v>
      </c>
      <c r="P217">
        <v>504</v>
      </c>
      <c r="Q217">
        <v>659</v>
      </c>
      <c r="R217">
        <v>216</v>
      </c>
    </row>
    <row r="218" spans="1:18">
      <c r="A218" s="1" t="s">
        <v>189</v>
      </c>
      <c r="B218">
        <v>28</v>
      </c>
      <c r="C218">
        <v>13</v>
      </c>
      <c r="D218">
        <v>15</v>
      </c>
      <c r="E218">
        <v>4.41</v>
      </c>
      <c r="F218">
        <v>1864</v>
      </c>
      <c r="G218">
        <v>688</v>
      </c>
      <c r="H218">
        <v>1604</v>
      </c>
      <c r="I218">
        <v>314</v>
      </c>
      <c r="J218">
        <v>504</v>
      </c>
      <c r="K218">
        <v>383</v>
      </c>
      <c r="L218">
        <v>1045</v>
      </c>
      <c r="M218">
        <v>459</v>
      </c>
      <c r="N218">
        <v>215</v>
      </c>
      <c r="O218">
        <v>60</v>
      </c>
      <c r="P218">
        <v>465</v>
      </c>
      <c r="Q218">
        <v>447</v>
      </c>
      <c r="R218">
        <v>217</v>
      </c>
    </row>
    <row r="219" spans="1:18">
      <c r="A219" s="1" t="s">
        <v>190</v>
      </c>
      <c r="B219">
        <v>29</v>
      </c>
      <c r="C219">
        <v>15</v>
      </c>
      <c r="D219">
        <v>14</v>
      </c>
      <c r="E219">
        <v>-0.09</v>
      </c>
      <c r="F219">
        <v>2158</v>
      </c>
      <c r="G219">
        <v>737</v>
      </c>
      <c r="H219">
        <v>1613</v>
      </c>
      <c r="I219">
        <v>500</v>
      </c>
      <c r="J219">
        <v>745</v>
      </c>
      <c r="K219">
        <v>351</v>
      </c>
      <c r="L219">
        <v>1012</v>
      </c>
      <c r="M219">
        <v>457</v>
      </c>
      <c r="N219">
        <v>222</v>
      </c>
      <c r="O219">
        <v>67</v>
      </c>
      <c r="P219">
        <v>474</v>
      </c>
      <c r="Q219">
        <v>638</v>
      </c>
      <c r="R219">
        <v>218</v>
      </c>
    </row>
    <row r="220" spans="1:18">
      <c r="A220" s="1" t="s">
        <v>191</v>
      </c>
      <c r="B220">
        <v>28</v>
      </c>
      <c r="C220">
        <v>10</v>
      </c>
      <c r="D220">
        <v>18</v>
      </c>
      <c r="E220">
        <v>1.92</v>
      </c>
      <c r="F220">
        <v>1789</v>
      </c>
      <c r="G220">
        <v>641</v>
      </c>
      <c r="H220">
        <v>1544</v>
      </c>
      <c r="I220">
        <v>370</v>
      </c>
      <c r="J220">
        <v>566</v>
      </c>
      <c r="K220">
        <v>331</v>
      </c>
      <c r="L220">
        <v>953</v>
      </c>
      <c r="M220">
        <v>389</v>
      </c>
      <c r="N220">
        <v>186</v>
      </c>
      <c r="O220">
        <v>104</v>
      </c>
      <c r="P220">
        <v>390</v>
      </c>
      <c r="Q220">
        <v>502</v>
      </c>
      <c r="R220">
        <v>219</v>
      </c>
    </row>
    <row r="221" spans="1:18">
      <c r="A221" s="1" t="s">
        <v>192</v>
      </c>
      <c r="B221">
        <v>27</v>
      </c>
      <c r="C221">
        <v>7</v>
      </c>
      <c r="D221">
        <v>20</v>
      </c>
      <c r="E221">
        <v>-11.14</v>
      </c>
      <c r="F221">
        <v>2121</v>
      </c>
      <c r="G221">
        <v>773</v>
      </c>
      <c r="H221">
        <v>1878</v>
      </c>
      <c r="I221">
        <v>401</v>
      </c>
      <c r="J221">
        <v>639</v>
      </c>
      <c r="K221">
        <v>445</v>
      </c>
      <c r="L221">
        <v>1189</v>
      </c>
      <c r="M221">
        <v>315</v>
      </c>
      <c r="N221">
        <v>253</v>
      </c>
      <c r="O221">
        <v>134</v>
      </c>
      <c r="P221">
        <v>572</v>
      </c>
      <c r="Q221">
        <v>609</v>
      </c>
      <c r="R221">
        <v>220</v>
      </c>
    </row>
    <row r="222" spans="1:18">
      <c r="A222" s="1" t="s">
        <v>193</v>
      </c>
      <c r="B222">
        <v>30</v>
      </c>
      <c r="C222">
        <v>19</v>
      </c>
      <c r="D222">
        <v>11</v>
      </c>
      <c r="E222">
        <v>-2.93</v>
      </c>
      <c r="F222">
        <v>1850</v>
      </c>
      <c r="G222">
        <v>652</v>
      </c>
      <c r="H222">
        <v>1417</v>
      </c>
      <c r="I222">
        <v>301</v>
      </c>
      <c r="J222">
        <v>446</v>
      </c>
      <c r="K222">
        <v>198</v>
      </c>
      <c r="L222">
        <v>894</v>
      </c>
      <c r="M222">
        <v>505</v>
      </c>
      <c r="N222">
        <v>238</v>
      </c>
      <c r="O222">
        <v>146</v>
      </c>
      <c r="P222">
        <v>387</v>
      </c>
      <c r="Q222">
        <v>474</v>
      </c>
      <c r="R222">
        <v>221</v>
      </c>
    </row>
    <row r="223" spans="1:18">
      <c r="A223" s="1" t="s">
        <v>194</v>
      </c>
      <c r="B223">
        <v>30</v>
      </c>
      <c r="C223">
        <v>11</v>
      </c>
      <c r="D223">
        <v>19</v>
      </c>
      <c r="E223">
        <v>5.29</v>
      </c>
      <c r="F223">
        <v>1925</v>
      </c>
      <c r="G223">
        <v>728</v>
      </c>
      <c r="H223">
        <v>1822</v>
      </c>
      <c r="I223">
        <v>333</v>
      </c>
      <c r="J223">
        <v>532</v>
      </c>
      <c r="K223">
        <v>461</v>
      </c>
      <c r="L223">
        <v>1141</v>
      </c>
      <c r="M223">
        <v>383</v>
      </c>
      <c r="N223">
        <v>245</v>
      </c>
      <c r="O223">
        <v>141</v>
      </c>
      <c r="P223">
        <v>532</v>
      </c>
      <c r="Q223">
        <v>628</v>
      </c>
      <c r="R223">
        <v>222</v>
      </c>
    </row>
    <row r="224" spans="1:18">
      <c r="A224" s="1" t="s">
        <v>291</v>
      </c>
      <c r="B224">
        <v>34</v>
      </c>
      <c r="C224">
        <v>24</v>
      </c>
      <c r="D224">
        <v>10</v>
      </c>
      <c r="E224">
        <v>9.56</v>
      </c>
      <c r="F224">
        <v>2505</v>
      </c>
      <c r="G224">
        <v>849</v>
      </c>
      <c r="H224">
        <v>1914</v>
      </c>
      <c r="I224">
        <v>601</v>
      </c>
      <c r="J224">
        <v>879</v>
      </c>
      <c r="K224">
        <v>473</v>
      </c>
      <c r="L224">
        <v>1225</v>
      </c>
      <c r="M224">
        <v>482</v>
      </c>
      <c r="N224">
        <v>261</v>
      </c>
      <c r="O224">
        <v>104</v>
      </c>
      <c r="P224">
        <v>505</v>
      </c>
      <c r="Q224">
        <v>597</v>
      </c>
      <c r="R224">
        <v>223</v>
      </c>
    </row>
    <row r="225" spans="1:18">
      <c r="A225" s="1" t="s">
        <v>195</v>
      </c>
      <c r="B225">
        <v>28</v>
      </c>
      <c r="C225">
        <v>18</v>
      </c>
      <c r="D225">
        <v>10</v>
      </c>
      <c r="E225">
        <v>-9.1999999999999993</v>
      </c>
      <c r="F225">
        <v>2059</v>
      </c>
      <c r="G225">
        <v>739</v>
      </c>
      <c r="H225">
        <v>1598</v>
      </c>
      <c r="I225">
        <v>449</v>
      </c>
      <c r="J225">
        <v>654</v>
      </c>
      <c r="K225">
        <v>322</v>
      </c>
      <c r="L225">
        <v>1009</v>
      </c>
      <c r="M225">
        <v>466</v>
      </c>
      <c r="N225">
        <v>220</v>
      </c>
      <c r="O225">
        <v>105</v>
      </c>
      <c r="P225">
        <v>520</v>
      </c>
      <c r="Q225">
        <v>627</v>
      </c>
      <c r="R225">
        <v>224</v>
      </c>
    </row>
    <row r="226" spans="1:18">
      <c r="A226" s="1" t="s">
        <v>196</v>
      </c>
      <c r="B226">
        <v>28</v>
      </c>
      <c r="C226">
        <v>18</v>
      </c>
      <c r="D226">
        <v>10</v>
      </c>
      <c r="E226">
        <v>-7.92</v>
      </c>
      <c r="F226">
        <v>2057</v>
      </c>
      <c r="G226">
        <v>709</v>
      </c>
      <c r="H226">
        <v>1640</v>
      </c>
      <c r="I226">
        <v>428</v>
      </c>
      <c r="J226">
        <v>628</v>
      </c>
      <c r="K226">
        <v>350</v>
      </c>
      <c r="L226">
        <v>991</v>
      </c>
      <c r="M226">
        <v>372</v>
      </c>
      <c r="N226">
        <v>257</v>
      </c>
      <c r="O226">
        <v>117</v>
      </c>
      <c r="P226">
        <v>543</v>
      </c>
      <c r="Q226">
        <v>543</v>
      </c>
      <c r="R226">
        <v>225</v>
      </c>
    </row>
    <row r="227" spans="1:18">
      <c r="A227" s="1" t="s">
        <v>197</v>
      </c>
      <c r="B227">
        <v>30</v>
      </c>
      <c r="C227">
        <v>5</v>
      </c>
      <c r="D227">
        <v>25</v>
      </c>
      <c r="E227">
        <v>5.73</v>
      </c>
      <c r="F227">
        <v>1869</v>
      </c>
      <c r="G227">
        <v>673</v>
      </c>
      <c r="H227">
        <v>1662</v>
      </c>
      <c r="I227">
        <v>395</v>
      </c>
      <c r="J227">
        <v>632</v>
      </c>
      <c r="K227">
        <v>356</v>
      </c>
      <c r="L227">
        <v>1044</v>
      </c>
      <c r="M227">
        <v>331</v>
      </c>
      <c r="N227">
        <v>209</v>
      </c>
      <c r="O227">
        <v>111</v>
      </c>
      <c r="P227">
        <v>541</v>
      </c>
      <c r="Q227">
        <v>539</v>
      </c>
      <c r="R227">
        <v>226</v>
      </c>
    </row>
    <row r="228" spans="1:18">
      <c r="A228" s="1" t="s">
        <v>198</v>
      </c>
      <c r="B228">
        <v>27</v>
      </c>
      <c r="C228">
        <v>5</v>
      </c>
      <c r="D228">
        <v>22</v>
      </c>
      <c r="E228">
        <v>3.26</v>
      </c>
      <c r="F228">
        <v>1554</v>
      </c>
      <c r="G228">
        <v>536</v>
      </c>
      <c r="H228">
        <v>1430</v>
      </c>
      <c r="I228">
        <v>359</v>
      </c>
      <c r="J228">
        <v>518</v>
      </c>
      <c r="K228">
        <v>353</v>
      </c>
      <c r="L228">
        <v>1019</v>
      </c>
      <c r="M228">
        <v>310</v>
      </c>
      <c r="N228">
        <v>152</v>
      </c>
      <c r="O228">
        <v>70</v>
      </c>
      <c r="P228">
        <v>511</v>
      </c>
      <c r="Q228">
        <v>558</v>
      </c>
      <c r="R228">
        <v>227</v>
      </c>
    </row>
    <row r="229" spans="1:18">
      <c r="A229" s="1" t="s">
        <v>199</v>
      </c>
      <c r="B229">
        <v>30</v>
      </c>
      <c r="C229">
        <v>18</v>
      </c>
      <c r="D229">
        <v>12</v>
      </c>
      <c r="E229">
        <v>-1.55</v>
      </c>
      <c r="F229">
        <v>2011</v>
      </c>
      <c r="G229">
        <v>729</v>
      </c>
      <c r="H229">
        <v>1615</v>
      </c>
      <c r="I229">
        <v>333</v>
      </c>
      <c r="J229">
        <v>478</v>
      </c>
      <c r="K229">
        <v>313</v>
      </c>
      <c r="L229">
        <v>986</v>
      </c>
      <c r="M229">
        <v>448</v>
      </c>
      <c r="N229">
        <v>199</v>
      </c>
      <c r="O229">
        <v>155</v>
      </c>
      <c r="P229">
        <v>407</v>
      </c>
      <c r="Q229">
        <v>472</v>
      </c>
      <c r="R229">
        <v>228</v>
      </c>
    </row>
    <row r="230" spans="1:18">
      <c r="A230" s="1" t="s">
        <v>200</v>
      </c>
      <c r="B230">
        <v>30</v>
      </c>
      <c r="C230">
        <v>16</v>
      </c>
      <c r="D230">
        <v>14</v>
      </c>
      <c r="E230">
        <v>-6.7</v>
      </c>
      <c r="F230">
        <v>2116</v>
      </c>
      <c r="G230">
        <v>724</v>
      </c>
      <c r="H230">
        <v>1614</v>
      </c>
      <c r="I230">
        <v>478</v>
      </c>
      <c r="J230">
        <v>699</v>
      </c>
      <c r="K230">
        <v>337</v>
      </c>
      <c r="L230">
        <v>1001</v>
      </c>
      <c r="M230">
        <v>432</v>
      </c>
      <c r="N230">
        <v>256</v>
      </c>
      <c r="O230">
        <v>105</v>
      </c>
      <c r="P230">
        <v>485</v>
      </c>
      <c r="Q230">
        <v>600</v>
      </c>
      <c r="R230">
        <v>229</v>
      </c>
    </row>
    <row r="231" spans="1:18">
      <c r="A231" s="1" t="s">
        <v>201</v>
      </c>
      <c r="B231">
        <v>30</v>
      </c>
      <c r="C231">
        <v>18</v>
      </c>
      <c r="D231">
        <v>12</v>
      </c>
      <c r="E231">
        <v>-7.8</v>
      </c>
      <c r="F231">
        <v>2123</v>
      </c>
      <c r="G231">
        <v>766</v>
      </c>
      <c r="H231">
        <v>1714</v>
      </c>
      <c r="I231">
        <v>448</v>
      </c>
      <c r="J231">
        <v>641</v>
      </c>
      <c r="K231">
        <v>314</v>
      </c>
      <c r="L231">
        <v>1069</v>
      </c>
      <c r="M231">
        <v>470</v>
      </c>
      <c r="N231">
        <v>241</v>
      </c>
      <c r="O231">
        <v>56</v>
      </c>
      <c r="P231">
        <v>419</v>
      </c>
      <c r="Q231">
        <v>524</v>
      </c>
      <c r="R231">
        <v>230</v>
      </c>
    </row>
    <row r="232" spans="1:18">
      <c r="A232" s="1" t="s">
        <v>202</v>
      </c>
      <c r="B232">
        <v>31</v>
      </c>
      <c r="C232">
        <v>15</v>
      </c>
      <c r="D232">
        <v>16</v>
      </c>
      <c r="E232">
        <v>4.4000000000000004</v>
      </c>
      <c r="F232">
        <v>2175</v>
      </c>
      <c r="G232">
        <v>743</v>
      </c>
      <c r="H232">
        <v>1679</v>
      </c>
      <c r="I232">
        <v>507</v>
      </c>
      <c r="J232">
        <v>777</v>
      </c>
      <c r="K232">
        <v>390</v>
      </c>
      <c r="L232">
        <v>1110</v>
      </c>
      <c r="M232">
        <v>455</v>
      </c>
      <c r="N232">
        <v>224</v>
      </c>
      <c r="O232">
        <v>107</v>
      </c>
      <c r="P232">
        <v>475</v>
      </c>
      <c r="Q232">
        <v>610</v>
      </c>
      <c r="R232">
        <v>231</v>
      </c>
    </row>
    <row r="233" spans="1:18">
      <c r="A233" s="1" t="s">
        <v>203</v>
      </c>
      <c r="B233">
        <v>27</v>
      </c>
      <c r="C233">
        <v>9</v>
      </c>
      <c r="D233">
        <v>18</v>
      </c>
      <c r="E233">
        <v>0.55000000000000004</v>
      </c>
      <c r="F233">
        <v>1676</v>
      </c>
      <c r="G233">
        <v>616</v>
      </c>
      <c r="H233">
        <v>1548</v>
      </c>
      <c r="I233">
        <v>297</v>
      </c>
      <c r="J233">
        <v>442</v>
      </c>
      <c r="K233">
        <v>316</v>
      </c>
      <c r="L233">
        <v>886</v>
      </c>
      <c r="M233">
        <v>320</v>
      </c>
      <c r="N233">
        <v>240</v>
      </c>
      <c r="O233">
        <v>95</v>
      </c>
      <c r="R233">
        <v>232</v>
      </c>
    </row>
    <row r="234" spans="1:18">
      <c r="A234" s="1" t="s">
        <v>204</v>
      </c>
      <c r="B234">
        <v>28</v>
      </c>
      <c r="C234">
        <v>3</v>
      </c>
      <c r="D234">
        <v>25</v>
      </c>
      <c r="E234">
        <v>-6.77</v>
      </c>
      <c r="F234">
        <v>1853</v>
      </c>
      <c r="G234">
        <v>683</v>
      </c>
      <c r="H234">
        <v>1610</v>
      </c>
      <c r="I234">
        <v>342</v>
      </c>
      <c r="J234">
        <v>544</v>
      </c>
      <c r="K234">
        <v>338</v>
      </c>
      <c r="L234">
        <v>999</v>
      </c>
      <c r="M234">
        <v>393</v>
      </c>
      <c r="N234">
        <v>200</v>
      </c>
      <c r="O234">
        <v>86</v>
      </c>
      <c r="P234">
        <v>550</v>
      </c>
      <c r="Q234">
        <v>493</v>
      </c>
      <c r="R234">
        <v>233</v>
      </c>
    </row>
    <row r="235" spans="1:18">
      <c r="A235" s="1" t="s">
        <v>205</v>
      </c>
      <c r="B235">
        <v>28</v>
      </c>
      <c r="C235">
        <v>10</v>
      </c>
      <c r="D235">
        <v>18</v>
      </c>
      <c r="E235">
        <v>-8.14</v>
      </c>
      <c r="F235">
        <v>1805</v>
      </c>
      <c r="G235">
        <v>648</v>
      </c>
      <c r="H235">
        <v>1541</v>
      </c>
      <c r="I235">
        <v>322</v>
      </c>
      <c r="J235">
        <v>456</v>
      </c>
      <c r="K235">
        <v>309</v>
      </c>
      <c r="L235">
        <v>904</v>
      </c>
      <c r="M235">
        <v>403</v>
      </c>
      <c r="N235">
        <v>171</v>
      </c>
      <c r="O235">
        <v>60</v>
      </c>
      <c r="P235">
        <v>361</v>
      </c>
      <c r="Q235">
        <v>453</v>
      </c>
      <c r="R235">
        <v>234</v>
      </c>
    </row>
    <row r="236" spans="1:18">
      <c r="A236" s="1" t="s">
        <v>206</v>
      </c>
      <c r="B236">
        <v>29</v>
      </c>
      <c r="C236">
        <v>13</v>
      </c>
      <c r="D236">
        <v>16</v>
      </c>
      <c r="E236">
        <v>5.72</v>
      </c>
      <c r="F236">
        <v>2043</v>
      </c>
      <c r="G236">
        <v>699</v>
      </c>
      <c r="H236">
        <v>1671</v>
      </c>
      <c r="I236">
        <v>429</v>
      </c>
      <c r="J236">
        <v>602</v>
      </c>
      <c r="K236">
        <v>388</v>
      </c>
      <c r="L236">
        <v>1083</v>
      </c>
      <c r="M236">
        <v>443</v>
      </c>
      <c r="N236">
        <v>154</v>
      </c>
      <c r="O236">
        <v>77</v>
      </c>
      <c r="R236">
        <v>235</v>
      </c>
    </row>
    <row r="237" spans="1:18">
      <c r="A237" s="1" t="s">
        <v>292</v>
      </c>
      <c r="B237">
        <v>33</v>
      </c>
      <c r="C237">
        <v>19</v>
      </c>
      <c r="D237">
        <v>14</v>
      </c>
      <c r="E237">
        <v>8.39</v>
      </c>
      <c r="F237">
        <v>2124</v>
      </c>
      <c r="G237">
        <v>729</v>
      </c>
      <c r="H237">
        <v>1696</v>
      </c>
      <c r="I237">
        <v>520</v>
      </c>
      <c r="J237">
        <v>758</v>
      </c>
      <c r="K237">
        <v>394</v>
      </c>
      <c r="L237">
        <v>1164</v>
      </c>
      <c r="M237">
        <v>401</v>
      </c>
      <c r="N237">
        <v>254</v>
      </c>
      <c r="O237">
        <v>126</v>
      </c>
      <c r="P237">
        <v>586</v>
      </c>
      <c r="Q237">
        <v>665</v>
      </c>
      <c r="R237">
        <v>236</v>
      </c>
    </row>
    <row r="238" spans="1:18">
      <c r="A238" s="1" t="s">
        <v>207</v>
      </c>
      <c r="B238">
        <v>28</v>
      </c>
      <c r="C238">
        <v>8</v>
      </c>
      <c r="D238">
        <v>20</v>
      </c>
      <c r="E238">
        <v>2.19</v>
      </c>
      <c r="F238">
        <v>1701</v>
      </c>
      <c r="G238">
        <v>597</v>
      </c>
      <c r="H238">
        <v>1594</v>
      </c>
      <c r="I238">
        <v>316</v>
      </c>
      <c r="J238">
        <v>475</v>
      </c>
      <c r="K238">
        <v>362</v>
      </c>
      <c r="L238">
        <v>1119</v>
      </c>
      <c r="M238">
        <v>352</v>
      </c>
      <c r="N238">
        <v>163</v>
      </c>
      <c r="O238">
        <v>98</v>
      </c>
      <c r="R238">
        <v>237</v>
      </c>
    </row>
    <row r="239" spans="1:18">
      <c r="A239" s="1" t="s">
        <v>208</v>
      </c>
      <c r="B239">
        <v>28</v>
      </c>
      <c r="C239">
        <v>5</v>
      </c>
      <c r="D239">
        <v>23</v>
      </c>
      <c r="E239">
        <v>-5.31</v>
      </c>
      <c r="F239">
        <v>1958</v>
      </c>
      <c r="G239">
        <v>739</v>
      </c>
      <c r="H239">
        <v>1675</v>
      </c>
      <c r="I239">
        <v>410</v>
      </c>
      <c r="J239">
        <v>552</v>
      </c>
      <c r="K239">
        <v>345</v>
      </c>
      <c r="L239">
        <v>968</v>
      </c>
      <c r="M239">
        <v>420</v>
      </c>
      <c r="N239">
        <v>200</v>
      </c>
      <c r="O239">
        <v>87</v>
      </c>
      <c r="P239">
        <v>454</v>
      </c>
      <c r="Q239">
        <v>559</v>
      </c>
      <c r="R239">
        <v>238</v>
      </c>
    </row>
    <row r="240" spans="1:18">
      <c r="A240" s="1" t="s">
        <v>209</v>
      </c>
      <c r="B240">
        <v>29</v>
      </c>
      <c r="C240">
        <v>22</v>
      </c>
      <c r="D240">
        <v>7</v>
      </c>
      <c r="E240">
        <v>-5.44</v>
      </c>
      <c r="F240">
        <v>2130</v>
      </c>
      <c r="G240">
        <v>750</v>
      </c>
      <c r="H240">
        <v>1612</v>
      </c>
      <c r="I240">
        <v>455</v>
      </c>
      <c r="J240">
        <v>690</v>
      </c>
      <c r="K240">
        <v>354</v>
      </c>
      <c r="L240">
        <v>1120</v>
      </c>
      <c r="M240">
        <v>495</v>
      </c>
      <c r="N240">
        <v>293</v>
      </c>
      <c r="O240">
        <v>73</v>
      </c>
      <c r="P240">
        <v>508</v>
      </c>
      <c r="Q240">
        <v>597</v>
      </c>
      <c r="R240">
        <v>239</v>
      </c>
    </row>
    <row r="241" spans="1:18">
      <c r="A241" s="1" t="s">
        <v>293</v>
      </c>
      <c r="B241">
        <v>32</v>
      </c>
      <c r="C241">
        <v>21</v>
      </c>
      <c r="D241">
        <v>11</v>
      </c>
      <c r="E241">
        <v>-5.8</v>
      </c>
      <c r="F241">
        <v>2323</v>
      </c>
      <c r="G241">
        <v>825</v>
      </c>
      <c r="H241">
        <v>1649</v>
      </c>
      <c r="I241">
        <v>360</v>
      </c>
      <c r="J241">
        <v>515</v>
      </c>
      <c r="K241">
        <v>267</v>
      </c>
      <c r="L241">
        <v>996</v>
      </c>
      <c r="M241">
        <v>543</v>
      </c>
      <c r="N241">
        <v>230</v>
      </c>
      <c r="O241">
        <v>102</v>
      </c>
      <c r="P241">
        <v>438</v>
      </c>
      <c r="Q241">
        <v>532</v>
      </c>
      <c r="R241">
        <v>240</v>
      </c>
    </row>
    <row r="242" spans="1:18">
      <c r="A242" s="1" t="s">
        <v>210</v>
      </c>
      <c r="B242">
        <v>28</v>
      </c>
      <c r="C242">
        <v>5</v>
      </c>
      <c r="D242">
        <v>23</v>
      </c>
      <c r="E242">
        <v>4.54</v>
      </c>
      <c r="F242">
        <v>1745</v>
      </c>
      <c r="G242">
        <v>619</v>
      </c>
      <c r="H242">
        <v>1513</v>
      </c>
      <c r="I242">
        <v>387</v>
      </c>
      <c r="J242">
        <v>569</v>
      </c>
      <c r="K242">
        <v>291</v>
      </c>
      <c r="L242">
        <v>884</v>
      </c>
      <c r="M242">
        <v>376</v>
      </c>
      <c r="N242">
        <v>202</v>
      </c>
      <c r="O242">
        <v>64</v>
      </c>
      <c r="P242">
        <v>494</v>
      </c>
      <c r="Q242">
        <v>548</v>
      </c>
      <c r="R242">
        <v>241</v>
      </c>
    </row>
    <row r="243" spans="1:18">
      <c r="A243" s="1" t="s">
        <v>211</v>
      </c>
      <c r="B243">
        <v>29</v>
      </c>
      <c r="C243">
        <v>20</v>
      </c>
      <c r="D243">
        <v>9</v>
      </c>
      <c r="E243">
        <v>0.45</v>
      </c>
      <c r="F243">
        <v>2049</v>
      </c>
      <c r="G243">
        <v>673</v>
      </c>
      <c r="H243">
        <v>1538</v>
      </c>
      <c r="I243">
        <v>522</v>
      </c>
      <c r="J243">
        <v>767</v>
      </c>
      <c r="K243">
        <v>370</v>
      </c>
      <c r="L243">
        <v>1135</v>
      </c>
      <c r="M243">
        <v>380</v>
      </c>
      <c r="N243">
        <v>181</v>
      </c>
      <c r="O243">
        <v>69</v>
      </c>
      <c r="P243">
        <v>456</v>
      </c>
      <c r="Q243">
        <v>543</v>
      </c>
      <c r="R243">
        <v>242</v>
      </c>
    </row>
    <row r="244" spans="1:18">
      <c r="A244" s="1" t="s">
        <v>212</v>
      </c>
      <c r="B244">
        <v>28</v>
      </c>
      <c r="C244">
        <v>19</v>
      </c>
      <c r="D244">
        <v>9</v>
      </c>
      <c r="E244">
        <v>0.67</v>
      </c>
      <c r="F244">
        <v>2004</v>
      </c>
      <c r="G244">
        <v>682</v>
      </c>
      <c r="H244">
        <v>1521</v>
      </c>
      <c r="I244">
        <v>484</v>
      </c>
      <c r="J244">
        <v>703</v>
      </c>
      <c r="K244">
        <v>366</v>
      </c>
      <c r="L244">
        <v>1087</v>
      </c>
      <c r="M244">
        <v>417</v>
      </c>
      <c r="N244">
        <v>216</v>
      </c>
      <c r="O244">
        <v>109</v>
      </c>
      <c r="P244">
        <v>473</v>
      </c>
      <c r="Q244">
        <v>539</v>
      </c>
      <c r="R244">
        <v>243</v>
      </c>
    </row>
    <row r="245" spans="1:18">
      <c r="A245" s="1" t="s">
        <v>213</v>
      </c>
      <c r="B245">
        <v>30</v>
      </c>
      <c r="C245">
        <v>15</v>
      </c>
      <c r="D245">
        <v>15</v>
      </c>
      <c r="E245">
        <v>3.79</v>
      </c>
      <c r="F245">
        <v>1797</v>
      </c>
      <c r="G245">
        <v>666</v>
      </c>
      <c r="H245">
        <v>1595</v>
      </c>
      <c r="I245">
        <v>334</v>
      </c>
      <c r="J245">
        <v>572</v>
      </c>
      <c r="K245">
        <v>390</v>
      </c>
      <c r="L245">
        <v>1097</v>
      </c>
      <c r="M245">
        <v>318</v>
      </c>
      <c r="N245">
        <v>138</v>
      </c>
      <c r="O245">
        <v>87</v>
      </c>
      <c r="P245">
        <v>410</v>
      </c>
      <c r="Q245">
        <v>531</v>
      </c>
      <c r="R245">
        <v>244</v>
      </c>
    </row>
    <row r="246" spans="1:18">
      <c r="A246" s="1" t="s">
        <v>214</v>
      </c>
      <c r="B246">
        <v>31</v>
      </c>
      <c r="C246">
        <v>19</v>
      </c>
      <c r="D246">
        <v>12</v>
      </c>
      <c r="E246">
        <v>3.52</v>
      </c>
      <c r="F246">
        <v>2049</v>
      </c>
      <c r="G246">
        <v>703</v>
      </c>
      <c r="H246">
        <v>1765</v>
      </c>
      <c r="I246">
        <v>462</v>
      </c>
      <c r="J246">
        <v>663</v>
      </c>
      <c r="K246">
        <v>380</v>
      </c>
      <c r="L246">
        <v>1158</v>
      </c>
      <c r="M246">
        <v>417</v>
      </c>
      <c r="N246">
        <v>217</v>
      </c>
      <c r="O246">
        <v>70</v>
      </c>
      <c r="P246">
        <v>413</v>
      </c>
      <c r="Q246">
        <v>626</v>
      </c>
      <c r="R246">
        <v>245</v>
      </c>
    </row>
    <row r="247" spans="1:18">
      <c r="A247" s="1" t="s">
        <v>294</v>
      </c>
      <c r="B247">
        <v>32</v>
      </c>
      <c r="C247">
        <v>22</v>
      </c>
      <c r="D247">
        <v>10</v>
      </c>
      <c r="E247">
        <v>5.1100000000000003</v>
      </c>
      <c r="F247">
        <v>2295</v>
      </c>
      <c r="G247">
        <v>807</v>
      </c>
      <c r="H247">
        <v>1865</v>
      </c>
      <c r="I247">
        <v>431</v>
      </c>
      <c r="J247">
        <v>636</v>
      </c>
      <c r="K247">
        <v>431</v>
      </c>
      <c r="L247">
        <v>1211</v>
      </c>
      <c r="M247">
        <v>458</v>
      </c>
      <c r="N247">
        <v>225</v>
      </c>
      <c r="O247">
        <v>198</v>
      </c>
      <c r="P247">
        <v>476</v>
      </c>
      <c r="Q247">
        <v>551</v>
      </c>
      <c r="R247">
        <v>246</v>
      </c>
    </row>
    <row r="248" spans="1:18">
      <c r="A248" s="1" t="s">
        <v>215</v>
      </c>
      <c r="B248">
        <v>33</v>
      </c>
      <c r="C248">
        <v>24</v>
      </c>
      <c r="D248">
        <v>9</v>
      </c>
      <c r="E248">
        <v>-4.62</v>
      </c>
      <c r="F248">
        <v>2862</v>
      </c>
      <c r="G248">
        <v>961</v>
      </c>
      <c r="H248">
        <v>2166</v>
      </c>
      <c r="I248">
        <v>657</v>
      </c>
      <c r="J248">
        <v>876</v>
      </c>
      <c r="K248">
        <v>495</v>
      </c>
      <c r="L248">
        <v>1338</v>
      </c>
      <c r="M248">
        <v>585</v>
      </c>
      <c r="N248">
        <v>297</v>
      </c>
      <c r="O248">
        <v>117</v>
      </c>
      <c r="P248">
        <v>590</v>
      </c>
      <c r="Q248">
        <v>790</v>
      </c>
      <c r="R248">
        <v>247</v>
      </c>
    </row>
    <row r="249" spans="1:18">
      <c r="A249" s="1" t="s">
        <v>216</v>
      </c>
      <c r="B249">
        <v>30</v>
      </c>
      <c r="C249">
        <v>20</v>
      </c>
      <c r="D249">
        <v>10</v>
      </c>
      <c r="E249">
        <v>-3.15</v>
      </c>
      <c r="F249">
        <v>2083</v>
      </c>
      <c r="G249">
        <v>731</v>
      </c>
      <c r="H249">
        <v>1561</v>
      </c>
      <c r="I249">
        <v>455</v>
      </c>
      <c r="J249">
        <v>688</v>
      </c>
      <c r="K249">
        <v>342</v>
      </c>
      <c r="L249">
        <v>969</v>
      </c>
      <c r="M249">
        <v>443</v>
      </c>
      <c r="N249">
        <v>247</v>
      </c>
      <c r="O249">
        <v>52</v>
      </c>
      <c r="P249">
        <v>488</v>
      </c>
      <c r="Q249">
        <v>561</v>
      </c>
      <c r="R249">
        <v>248</v>
      </c>
    </row>
    <row r="250" spans="1:18">
      <c r="A250" s="1" t="s">
        <v>295</v>
      </c>
      <c r="B250">
        <v>34</v>
      </c>
      <c r="C250">
        <v>20</v>
      </c>
      <c r="D250">
        <v>14</v>
      </c>
      <c r="E250">
        <v>-9.3800000000000008</v>
      </c>
      <c r="F250">
        <v>2386</v>
      </c>
      <c r="G250">
        <v>829</v>
      </c>
      <c r="H250">
        <v>2117</v>
      </c>
      <c r="I250">
        <v>515</v>
      </c>
      <c r="J250">
        <v>765</v>
      </c>
      <c r="K250">
        <v>590</v>
      </c>
      <c r="L250">
        <v>1393</v>
      </c>
      <c r="M250">
        <v>370</v>
      </c>
      <c r="N250">
        <v>237</v>
      </c>
      <c r="O250">
        <v>138</v>
      </c>
      <c r="P250">
        <v>485</v>
      </c>
      <c r="Q250">
        <v>485</v>
      </c>
      <c r="R250">
        <v>249</v>
      </c>
    </row>
    <row r="251" spans="1:18">
      <c r="A251" s="1" t="s">
        <v>217</v>
      </c>
      <c r="B251">
        <v>32</v>
      </c>
      <c r="C251">
        <v>15</v>
      </c>
      <c r="D251">
        <v>17</v>
      </c>
      <c r="E251">
        <v>8.7799999999999994</v>
      </c>
      <c r="F251">
        <v>2190</v>
      </c>
      <c r="G251">
        <v>796</v>
      </c>
      <c r="H251">
        <v>1821</v>
      </c>
      <c r="I251">
        <v>358</v>
      </c>
      <c r="J251">
        <v>584</v>
      </c>
      <c r="K251">
        <v>423</v>
      </c>
      <c r="L251">
        <v>1096</v>
      </c>
      <c r="M251">
        <v>446</v>
      </c>
      <c r="N251">
        <v>269</v>
      </c>
      <c r="O251">
        <v>109</v>
      </c>
      <c r="P251">
        <v>472</v>
      </c>
      <c r="Q251">
        <v>533</v>
      </c>
      <c r="R251">
        <v>250</v>
      </c>
    </row>
    <row r="252" spans="1:18">
      <c r="A252" s="1" t="s">
        <v>218</v>
      </c>
      <c r="B252">
        <v>31</v>
      </c>
      <c r="C252">
        <v>17</v>
      </c>
      <c r="D252">
        <v>14</v>
      </c>
      <c r="E252">
        <v>3.92</v>
      </c>
      <c r="F252">
        <v>2393</v>
      </c>
      <c r="G252">
        <v>860</v>
      </c>
      <c r="H252">
        <v>1878</v>
      </c>
      <c r="I252">
        <v>465</v>
      </c>
      <c r="J252">
        <v>726</v>
      </c>
      <c r="K252">
        <v>404</v>
      </c>
      <c r="L252">
        <v>1294</v>
      </c>
      <c r="M252">
        <v>529</v>
      </c>
      <c r="N252">
        <v>321</v>
      </c>
      <c r="O252">
        <v>122</v>
      </c>
      <c r="P252">
        <v>541</v>
      </c>
      <c r="Q252">
        <v>619</v>
      </c>
      <c r="R252">
        <v>251</v>
      </c>
    </row>
    <row r="253" spans="1:18">
      <c r="A253" s="1" t="s">
        <v>296</v>
      </c>
      <c r="B253">
        <v>31</v>
      </c>
      <c r="C253">
        <v>24</v>
      </c>
      <c r="D253">
        <v>7</v>
      </c>
      <c r="E253">
        <v>-2.48</v>
      </c>
      <c r="F253">
        <v>2154</v>
      </c>
      <c r="G253">
        <v>748</v>
      </c>
      <c r="H253">
        <v>1680</v>
      </c>
      <c r="I253">
        <v>465</v>
      </c>
      <c r="J253">
        <v>662</v>
      </c>
      <c r="K253">
        <v>346</v>
      </c>
      <c r="L253">
        <v>1140</v>
      </c>
      <c r="M253">
        <v>383</v>
      </c>
      <c r="N253">
        <v>188</v>
      </c>
      <c r="O253">
        <v>164</v>
      </c>
      <c r="P253">
        <v>478</v>
      </c>
      <c r="Q253">
        <v>542</v>
      </c>
      <c r="R253">
        <v>252</v>
      </c>
    </row>
    <row r="254" spans="1:18">
      <c r="A254" s="1" t="s">
        <v>219</v>
      </c>
      <c r="B254">
        <v>27</v>
      </c>
      <c r="C254">
        <v>10</v>
      </c>
      <c r="D254">
        <v>17</v>
      </c>
      <c r="E254">
        <v>-5.16</v>
      </c>
      <c r="F254">
        <v>1606</v>
      </c>
      <c r="G254">
        <v>556</v>
      </c>
      <c r="H254">
        <v>1362</v>
      </c>
      <c r="I254">
        <v>323</v>
      </c>
      <c r="J254">
        <v>478</v>
      </c>
      <c r="K254">
        <v>303</v>
      </c>
      <c r="L254">
        <v>901</v>
      </c>
      <c r="M254">
        <v>314</v>
      </c>
      <c r="N254">
        <v>212</v>
      </c>
      <c r="O254">
        <v>56</v>
      </c>
      <c r="R254">
        <v>253</v>
      </c>
    </row>
    <row r="255" spans="1:18">
      <c r="A255" s="1" t="s">
        <v>220</v>
      </c>
      <c r="B255">
        <v>30</v>
      </c>
      <c r="C255">
        <v>16</v>
      </c>
      <c r="D255">
        <v>14</v>
      </c>
      <c r="E255">
        <v>8.77</v>
      </c>
      <c r="F255">
        <v>2342</v>
      </c>
      <c r="G255">
        <v>842</v>
      </c>
      <c r="H255">
        <v>1840</v>
      </c>
      <c r="I255">
        <v>468</v>
      </c>
      <c r="J255">
        <v>672</v>
      </c>
      <c r="K255">
        <v>402</v>
      </c>
      <c r="L255">
        <v>1092</v>
      </c>
      <c r="M255">
        <v>518</v>
      </c>
      <c r="N255">
        <v>275</v>
      </c>
      <c r="O255">
        <v>120</v>
      </c>
      <c r="P255">
        <v>458</v>
      </c>
      <c r="Q255">
        <v>538</v>
      </c>
      <c r="R255">
        <v>254</v>
      </c>
    </row>
    <row r="256" spans="1:18">
      <c r="A256" s="1" t="s">
        <v>221</v>
      </c>
      <c r="B256">
        <v>33</v>
      </c>
      <c r="C256">
        <v>20</v>
      </c>
      <c r="D256">
        <v>13</v>
      </c>
      <c r="E256">
        <v>4.28</v>
      </c>
      <c r="F256">
        <v>2346</v>
      </c>
      <c r="G256">
        <v>806</v>
      </c>
      <c r="H256">
        <v>1915</v>
      </c>
      <c r="I256">
        <v>519</v>
      </c>
      <c r="J256">
        <v>784</v>
      </c>
      <c r="K256">
        <v>438</v>
      </c>
      <c r="L256">
        <v>1251</v>
      </c>
      <c r="M256">
        <v>512</v>
      </c>
      <c r="N256">
        <v>234</v>
      </c>
      <c r="O256">
        <v>66</v>
      </c>
      <c r="P256">
        <v>532</v>
      </c>
      <c r="Q256">
        <v>659</v>
      </c>
      <c r="R256">
        <v>255</v>
      </c>
    </row>
    <row r="257" spans="1:18">
      <c r="A257" s="1" t="s">
        <v>222</v>
      </c>
      <c r="B257">
        <v>30</v>
      </c>
      <c r="C257">
        <v>21</v>
      </c>
      <c r="D257">
        <v>9</v>
      </c>
      <c r="E257">
        <v>1.39</v>
      </c>
      <c r="F257">
        <v>2318</v>
      </c>
      <c r="G257">
        <v>807</v>
      </c>
      <c r="H257">
        <v>1978</v>
      </c>
      <c r="I257">
        <v>512</v>
      </c>
      <c r="J257">
        <v>790</v>
      </c>
      <c r="K257">
        <v>547</v>
      </c>
      <c r="L257">
        <v>1298</v>
      </c>
      <c r="M257">
        <v>418</v>
      </c>
      <c r="N257">
        <v>278</v>
      </c>
      <c r="O257">
        <v>107</v>
      </c>
      <c r="P257">
        <v>377</v>
      </c>
      <c r="Q257">
        <v>520</v>
      </c>
      <c r="R257">
        <v>256</v>
      </c>
    </row>
    <row r="258" spans="1:18">
      <c r="A258" s="1" t="s">
        <v>223</v>
      </c>
      <c r="B258">
        <v>29</v>
      </c>
      <c r="C258">
        <v>17</v>
      </c>
      <c r="D258">
        <v>12</v>
      </c>
      <c r="E258">
        <v>4.2</v>
      </c>
      <c r="F258">
        <v>1921</v>
      </c>
      <c r="G258">
        <v>654</v>
      </c>
      <c r="H258">
        <v>1550</v>
      </c>
      <c r="I258">
        <v>472</v>
      </c>
      <c r="J258">
        <v>673</v>
      </c>
      <c r="K258">
        <v>353</v>
      </c>
      <c r="L258">
        <v>1051</v>
      </c>
      <c r="M258">
        <v>323</v>
      </c>
      <c r="N258">
        <v>197</v>
      </c>
      <c r="O258">
        <v>149</v>
      </c>
      <c r="P258">
        <v>494</v>
      </c>
      <c r="Q258">
        <v>541</v>
      </c>
      <c r="R258">
        <v>257</v>
      </c>
    </row>
    <row r="259" spans="1:18">
      <c r="A259" s="1" t="s">
        <v>224</v>
      </c>
      <c r="B259">
        <v>29</v>
      </c>
      <c r="C259">
        <v>16</v>
      </c>
      <c r="D259">
        <v>13</v>
      </c>
      <c r="E259">
        <v>-3.99</v>
      </c>
      <c r="F259">
        <v>2112</v>
      </c>
      <c r="G259">
        <v>733</v>
      </c>
      <c r="H259">
        <v>1647</v>
      </c>
      <c r="I259">
        <v>427</v>
      </c>
      <c r="J259">
        <v>604</v>
      </c>
      <c r="K259">
        <v>324</v>
      </c>
      <c r="L259">
        <v>900</v>
      </c>
      <c r="M259">
        <v>436</v>
      </c>
      <c r="N259">
        <v>354</v>
      </c>
      <c r="O259">
        <v>83</v>
      </c>
      <c r="P259">
        <v>459</v>
      </c>
      <c r="Q259">
        <v>625</v>
      </c>
      <c r="R259">
        <v>258</v>
      </c>
    </row>
    <row r="260" spans="1:18">
      <c r="A260" s="1" t="s">
        <v>225</v>
      </c>
      <c r="B260">
        <v>29</v>
      </c>
      <c r="C260">
        <v>18</v>
      </c>
      <c r="D260">
        <v>11</v>
      </c>
      <c r="E260">
        <v>-14.41</v>
      </c>
      <c r="F260">
        <v>2163</v>
      </c>
      <c r="G260">
        <v>749</v>
      </c>
      <c r="H260">
        <v>1727</v>
      </c>
      <c r="I260">
        <v>519</v>
      </c>
      <c r="J260">
        <v>817</v>
      </c>
      <c r="K260">
        <v>413</v>
      </c>
      <c r="L260">
        <v>1064</v>
      </c>
      <c r="M260">
        <v>297</v>
      </c>
      <c r="N260">
        <v>294</v>
      </c>
      <c r="O260">
        <v>80</v>
      </c>
      <c r="P260">
        <v>610</v>
      </c>
      <c r="Q260">
        <v>612</v>
      </c>
      <c r="R260">
        <v>259</v>
      </c>
    </row>
    <row r="261" spans="1:18">
      <c r="A261" s="1" t="s">
        <v>297</v>
      </c>
      <c r="B261">
        <v>31</v>
      </c>
      <c r="C261">
        <v>21</v>
      </c>
      <c r="D261">
        <v>10</v>
      </c>
      <c r="E261">
        <v>5.29</v>
      </c>
      <c r="F261">
        <v>2136</v>
      </c>
      <c r="G261">
        <v>767</v>
      </c>
      <c r="H261">
        <v>1716</v>
      </c>
      <c r="I261">
        <v>425</v>
      </c>
      <c r="J261">
        <v>643</v>
      </c>
      <c r="K261">
        <v>431</v>
      </c>
      <c r="L261">
        <v>1131</v>
      </c>
      <c r="M261">
        <v>386</v>
      </c>
      <c r="N261">
        <v>257</v>
      </c>
      <c r="O261">
        <v>87</v>
      </c>
      <c r="P261">
        <v>488</v>
      </c>
      <c r="Q261">
        <v>560</v>
      </c>
      <c r="R261">
        <v>260</v>
      </c>
    </row>
    <row r="262" spans="1:18">
      <c r="A262" s="1" t="s">
        <v>226</v>
      </c>
      <c r="B262">
        <v>30</v>
      </c>
      <c r="C262">
        <v>18</v>
      </c>
      <c r="D262">
        <v>12</v>
      </c>
      <c r="E262">
        <v>-7.98</v>
      </c>
      <c r="F262">
        <v>2325</v>
      </c>
      <c r="G262">
        <v>822</v>
      </c>
      <c r="H262">
        <v>1879</v>
      </c>
      <c r="I262">
        <v>426</v>
      </c>
      <c r="J262">
        <v>610</v>
      </c>
      <c r="K262">
        <v>379</v>
      </c>
      <c r="L262">
        <v>1091</v>
      </c>
      <c r="M262">
        <v>470</v>
      </c>
      <c r="N262">
        <v>252</v>
      </c>
      <c r="O262">
        <v>94</v>
      </c>
      <c r="P262">
        <v>466</v>
      </c>
      <c r="Q262">
        <v>658</v>
      </c>
      <c r="R262">
        <v>261</v>
      </c>
    </row>
    <row r="263" spans="1:18">
      <c r="A263" s="1" t="s">
        <v>298</v>
      </c>
      <c r="B263">
        <v>33</v>
      </c>
      <c r="C263">
        <v>25</v>
      </c>
      <c r="D263">
        <v>8</v>
      </c>
      <c r="E263">
        <v>6.96</v>
      </c>
      <c r="F263">
        <v>2433</v>
      </c>
      <c r="G263">
        <v>929</v>
      </c>
      <c r="H263">
        <v>2002</v>
      </c>
      <c r="I263">
        <v>426</v>
      </c>
      <c r="J263">
        <v>629</v>
      </c>
      <c r="L263">
        <v>1133</v>
      </c>
      <c r="M263">
        <v>541</v>
      </c>
      <c r="N263">
        <v>352</v>
      </c>
      <c r="O263">
        <v>89</v>
      </c>
      <c r="P263">
        <v>399</v>
      </c>
      <c r="Q263">
        <v>631</v>
      </c>
      <c r="R263">
        <v>262</v>
      </c>
    </row>
    <row r="264" spans="1:18">
      <c r="A264" s="1" t="s">
        <v>342</v>
      </c>
      <c r="B264">
        <v>31</v>
      </c>
      <c r="C264">
        <v>27</v>
      </c>
      <c r="D264">
        <v>4</v>
      </c>
      <c r="E264">
        <v>7.12</v>
      </c>
      <c r="F264">
        <v>2447</v>
      </c>
      <c r="G264">
        <v>819</v>
      </c>
      <c r="H264">
        <v>1750</v>
      </c>
      <c r="I264">
        <v>564</v>
      </c>
      <c r="J264">
        <v>794</v>
      </c>
      <c r="K264">
        <v>399</v>
      </c>
      <c r="L264">
        <v>1309</v>
      </c>
      <c r="M264">
        <v>539</v>
      </c>
      <c r="N264">
        <v>141</v>
      </c>
      <c r="O264">
        <v>167</v>
      </c>
      <c r="P264">
        <v>450</v>
      </c>
      <c r="Q264">
        <v>518</v>
      </c>
      <c r="R264">
        <v>263</v>
      </c>
    </row>
    <row r="265" spans="1:18">
      <c r="A265" s="1" t="s">
        <v>227</v>
      </c>
      <c r="B265">
        <v>27</v>
      </c>
      <c r="C265">
        <v>6</v>
      </c>
      <c r="D265">
        <v>21</v>
      </c>
      <c r="E265">
        <v>-4.97</v>
      </c>
      <c r="F265">
        <v>1834</v>
      </c>
      <c r="G265">
        <v>653</v>
      </c>
      <c r="H265">
        <v>1488</v>
      </c>
      <c r="I265">
        <v>356</v>
      </c>
      <c r="J265">
        <v>536</v>
      </c>
      <c r="K265">
        <v>295</v>
      </c>
      <c r="L265">
        <v>872</v>
      </c>
      <c r="M265">
        <v>379</v>
      </c>
      <c r="N265">
        <v>239</v>
      </c>
      <c r="O265">
        <v>94</v>
      </c>
      <c r="P265">
        <v>490</v>
      </c>
      <c r="Q265">
        <v>581</v>
      </c>
      <c r="R265">
        <v>264</v>
      </c>
    </row>
    <row r="266" spans="1:18">
      <c r="A266" s="1" t="s">
        <v>228</v>
      </c>
      <c r="B266">
        <v>28</v>
      </c>
      <c r="C266">
        <v>13</v>
      </c>
      <c r="D266">
        <v>15</v>
      </c>
      <c r="E266">
        <v>-8.23</v>
      </c>
      <c r="F266">
        <v>1912</v>
      </c>
      <c r="G266">
        <v>695</v>
      </c>
      <c r="H266">
        <v>1664</v>
      </c>
      <c r="I266">
        <v>410</v>
      </c>
      <c r="J266">
        <v>634</v>
      </c>
      <c r="K266">
        <v>470</v>
      </c>
      <c r="L266">
        <v>1129</v>
      </c>
      <c r="M266">
        <v>351</v>
      </c>
      <c r="N266">
        <v>175</v>
      </c>
      <c r="O266">
        <v>77</v>
      </c>
      <c r="P266">
        <v>397</v>
      </c>
      <c r="Q266">
        <v>544</v>
      </c>
      <c r="R266">
        <v>265</v>
      </c>
    </row>
    <row r="267" spans="1:18">
      <c r="A267" s="1" t="s">
        <v>229</v>
      </c>
      <c r="B267">
        <v>29</v>
      </c>
      <c r="C267">
        <v>6</v>
      </c>
      <c r="D267">
        <v>23</v>
      </c>
      <c r="E267">
        <v>-2.39</v>
      </c>
      <c r="F267">
        <v>1648</v>
      </c>
      <c r="G267">
        <v>568</v>
      </c>
      <c r="H267">
        <v>1480</v>
      </c>
      <c r="I267">
        <v>331</v>
      </c>
      <c r="J267">
        <v>515</v>
      </c>
      <c r="K267">
        <v>293</v>
      </c>
      <c r="L267">
        <v>902</v>
      </c>
      <c r="M267">
        <v>320</v>
      </c>
      <c r="N267">
        <v>212</v>
      </c>
      <c r="O267">
        <v>62</v>
      </c>
      <c r="P267">
        <v>530</v>
      </c>
      <c r="Q267">
        <v>525</v>
      </c>
      <c r="R267">
        <v>266</v>
      </c>
    </row>
    <row r="268" spans="1:18">
      <c r="A268" s="1" t="s">
        <v>313</v>
      </c>
      <c r="B268">
        <v>32</v>
      </c>
      <c r="C268">
        <v>26</v>
      </c>
      <c r="D268">
        <v>6</v>
      </c>
      <c r="E268">
        <v>6.2</v>
      </c>
      <c r="F268">
        <v>2400</v>
      </c>
      <c r="G268">
        <v>876</v>
      </c>
      <c r="H268">
        <v>1869</v>
      </c>
      <c r="I268">
        <v>477</v>
      </c>
      <c r="J268">
        <v>677</v>
      </c>
      <c r="K268">
        <v>440</v>
      </c>
      <c r="L268">
        <v>1199</v>
      </c>
      <c r="M268">
        <v>564</v>
      </c>
      <c r="N268">
        <v>286</v>
      </c>
      <c r="O268">
        <v>167</v>
      </c>
      <c r="P268">
        <v>448</v>
      </c>
      <c r="Q268">
        <v>506</v>
      </c>
      <c r="R268">
        <v>267</v>
      </c>
    </row>
    <row r="269" spans="1:18">
      <c r="A269" s="1" t="s">
        <v>314</v>
      </c>
      <c r="B269">
        <v>33</v>
      </c>
      <c r="C269">
        <v>27</v>
      </c>
      <c r="D269">
        <v>6</v>
      </c>
      <c r="E269">
        <v>6.94</v>
      </c>
      <c r="F269">
        <v>2260</v>
      </c>
      <c r="G269">
        <v>790</v>
      </c>
      <c r="H269">
        <v>1913</v>
      </c>
      <c r="I269">
        <v>406</v>
      </c>
      <c r="J269">
        <v>619</v>
      </c>
      <c r="K269">
        <v>497</v>
      </c>
      <c r="L269">
        <v>1287</v>
      </c>
      <c r="M269">
        <v>471</v>
      </c>
      <c r="N269">
        <v>312</v>
      </c>
      <c r="O269">
        <v>140</v>
      </c>
      <c r="P269">
        <v>324</v>
      </c>
      <c r="Q269">
        <v>459</v>
      </c>
      <c r="R269">
        <v>268</v>
      </c>
    </row>
    <row r="270" spans="1:18">
      <c r="A270" s="1" t="s">
        <v>230</v>
      </c>
      <c r="B270">
        <v>29</v>
      </c>
      <c r="C270">
        <v>10</v>
      </c>
      <c r="D270">
        <v>19</v>
      </c>
      <c r="E270">
        <v>-0.02</v>
      </c>
      <c r="F270">
        <v>1979</v>
      </c>
      <c r="G270">
        <v>704</v>
      </c>
      <c r="H270">
        <v>1697</v>
      </c>
      <c r="I270">
        <v>448</v>
      </c>
      <c r="J270">
        <v>629</v>
      </c>
      <c r="K270">
        <v>426</v>
      </c>
      <c r="L270">
        <v>1019</v>
      </c>
      <c r="M270">
        <v>376</v>
      </c>
      <c r="N270">
        <v>271</v>
      </c>
      <c r="O270">
        <v>45</v>
      </c>
      <c r="P270">
        <v>522</v>
      </c>
      <c r="Q270">
        <v>594</v>
      </c>
      <c r="R270">
        <v>269</v>
      </c>
    </row>
    <row r="271" spans="1:18">
      <c r="A271" s="1" t="s">
        <v>231</v>
      </c>
      <c r="B271">
        <v>29</v>
      </c>
      <c r="C271">
        <v>7</v>
      </c>
      <c r="D271">
        <v>22</v>
      </c>
      <c r="E271">
        <v>-2.23</v>
      </c>
      <c r="F271">
        <v>1964</v>
      </c>
      <c r="G271">
        <v>658</v>
      </c>
      <c r="H271">
        <v>1713</v>
      </c>
      <c r="I271">
        <v>436</v>
      </c>
      <c r="J271">
        <v>624</v>
      </c>
      <c r="K271">
        <v>369</v>
      </c>
      <c r="L271">
        <v>1004</v>
      </c>
      <c r="M271">
        <v>331</v>
      </c>
      <c r="N271">
        <v>203</v>
      </c>
      <c r="O271">
        <v>62</v>
      </c>
      <c r="P271">
        <v>448</v>
      </c>
      <c r="Q271">
        <v>556</v>
      </c>
      <c r="R271">
        <v>270</v>
      </c>
    </row>
    <row r="272" spans="1:18">
      <c r="A272" s="1" t="s">
        <v>232</v>
      </c>
      <c r="B272">
        <v>28</v>
      </c>
      <c r="C272">
        <v>16</v>
      </c>
      <c r="D272">
        <v>12</v>
      </c>
      <c r="E272">
        <v>-3.64</v>
      </c>
      <c r="F272">
        <v>2279</v>
      </c>
      <c r="G272">
        <v>734</v>
      </c>
      <c r="H272">
        <v>1654</v>
      </c>
      <c r="I272">
        <v>532</v>
      </c>
      <c r="J272">
        <v>693</v>
      </c>
      <c r="K272">
        <v>394</v>
      </c>
      <c r="L272">
        <v>1025</v>
      </c>
      <c r="M272">
        <v>447</v>
      </c>
      <c r="N272">
        <v>214</v>
      </c>
      <c r="O272">
        <v>58</v>
      </c>
      <c r="P272">
        <v>375</v>
      </c>
      <c r="Q272">
        <v>555</v>
      </c>
      <c r="R272">
        <v>271</v>
      </c>
    </row>
    <row r="273" spans="1:18">
      <c r="A273" s="1" t="s">
        <v>315</v>
      </c>
      <c r="B273">
        <v>33</v>
      </c>
      <c r="C273">
        <v>26</v>
      </c>
      <c r="D273">
        <v>7</v>
      </c>
      <c r="E273">
        <v>8.1199999999999992</v>
      </c>
      <c r="F273">
        <v>2629</v>
      </c>
      <c r="G273">
        <v>909</v>
      </c>
      <c r="H273">
        <v>2019</v>
      </c>
      <c r="I273">
        <v>545</v>
      </c>
      <c r="J273">
        <v>798</v>
      </c>
      <c r="K273">
        <v>480</v>
      </c>
      <c r="L273">
        <v>1314</v>
      </c>
      <c r="M273">
        <v>481</v>
      </c>
      <c r="N273">
        <v>290</v>
      </c>
      <c r="O273">
        <v>193</v>
      </c>
      <c r="P273">
        <v>520</v>
      </c>
      <c r="Q273">
        <v>618</v>
      </c>
      <c r="R273">
        <v>272</v>
      </c>
    </row>
    <row r="274" spans="1:18">
      <c r="A274" s="1" t="s">
        <v>233</v>
      </c>
      <c r="B274">
        <v>28</v>
      </c>
      <c r="C274">
        <v>8</v>
      </c>
      <c r="D274">
        <v>20</v>
      </c>
      <c r="E274">
        <v>5.47</v>
      </c>
      <c r="F274">
        <v>1825</v>
      </c>
      <c r="G274">
        <v>644</v>
      </c>
      <c r="H274">
        <v>1565</v>
      </c>
      <c r="I274">
        <v>358</v>
      </c>
      <c r="J274">
        <v>534</v>
      </c>
      <c r="K274">
        <v>365</v>
      </c>
      <c r="L274">
        <v>996</v>
      </c>
      <c r="M274">
        <v>394</v>
      </c>
      <c r="N274">
        <v>205</v>
      </c>
      <c r="O274">
        <v>54</v>
      </c>
      <c r="P274">
        <v>475</v>
      </c>
      <c r="Q274">
        <v>528</v>
      </c>
      <c r="R274">
        <v>273</v>
      </c>
    </row>
    <row r="275" spans="1:18">
      <c r="A275" s="1" t="s">
        <v>234</v>
      </c>
      <c r="B275">
        <v>27</v>
      </c>
      <c r="C275">
        <v>15</v>
      </c>
      <c r="D275">
        <v>12</v>
      </c>
      <c r="E275">
        <v>-5.86</v>
      </c>
      <c r="F275">
        <v>2106</v>
      </c>
      <c r="G275">
        <v>757</v>
      </c>
      <c r="H275">
        <v>1818</v>
      </c>
      <c r="I275">
        <v>345</v>
      </c>
      <c r="J275">
        <v>516</v>
      </c>
      <c r="K275">
        <v>400</v>
      </c>
      <c r="L275">
        <v>995</v>
      </c>
      <c r="M275">
        <v>250</v>
      </c>
      <c r="N275">
        <v>271</v>
      </c>
      <c r="O275">
        <v>47</v>
      </c>
      <c r="P275">
        <v>495</v>
      </c>
      <c r="Q275">
        <v>446</v>
      </c>
      <c r="R275">
        <v>274</v>
      </c>
    </row>
    <row r="276" spans="1:18">
      <c r="A276" s="1" t="s">
        <v>235</v>
      </c>
      <c r="B276">
        <v>32</v>
      </c>
      <c r="C276">
        <v>18</v>
      </c>
      <c r="D276">
        <v>14</v>
      </c>
      <c r="E276">
        <v>2.81</v>
      </c>
      <c r="F276">
        <v>2813</v>
      </c>
      <c r="G276">
        <v>966</v>
      </c>
      <c r="H276">
        <v>2135</v>
      </c>
      <c r="I276">
        <v>621</v>
      </c>
      <c r="J276">
        <v>812</v>
      </c>
      <c r="K276">
        <v>479</v>
      </c>
      <c r="L276">
        <v>1273</v>
      </c>
      <c r="M276">
        <v>609</v>
      </c>
      <c r="N276">
        <v>293</v>
      </c>
      <c r="O276">
        <v>204</v>
      </c>
      <c r="P276">
        <v>492</v>
      </c>
      <c r="Q276">
        <v>632</v>
      </c>
      <c r="R276">
        <v>275</v>
      </c>
    </row>
    <row r="277" spans="1:18">
      <c r="A277" s="1" t="s">
        <v>236</v>
      </c>
      <c r="B277">
        <v>28</v>
      </c>
      <c r="C277">
        <v>13</v>
      </c>
      <c r="D277">
        <v>15</v>
      </c>
      <c r="E277">
        <v>3.23</v>
      </c>
      <c r="F277">
        <v>2158</v>
      </c>
      <c r="G277">
        <v>768</v>
      </c>
      <c r="H277">
        <v>1601</v>
      </c>
      <c r="I277">
        <v>463</v>
      </c>
      <c r="J277">
        <v>673</v>
      </c>
      <c r="K277">
        <v>327</v>
      </c>
      <c r="L277">
        <v>984</v>
      </c>
      <c r="M277">
        <v>455</v>
      </c>
      <c r="N277">
        <v>199</v>
      </c>
      <c r="O277">
        <v>87</v>
      </c>
      <c r="P277">
        <v>413</v>
      </c>
      <c r="Q277">
        <v>678</v>
      </c>
      <c r="R277">
        <v>276</v>
      </c>
    </row>
    <row r="278" spans="1:18">
      <c r="A278" s="1" t="s">
        <v>237</v>
      </c>
      <c r="B278">
        <v>28</v>
      </c>
      <c r="C278">
        <v>12</v>
      </c>
      <c r="D278">
        <v>16</v>
      </c>
      <c r="E278">
        <v>-0.19</v>
      </c>
      <c r="F278">
        <v>2016</v>
      </c>
      <c r="G278">
        <v>706</v>
      </c>
      <c r="H278">
        <v>1582</v>
      </c>
      <c r="I278">
        <v>413</v>
      </c>
      <c r="J278">
        <v>582</v>
      </c>
      <c r="K278">
        <v>312</v>
      </c>
      <c r="L278">
        <v>928</v>
      </c>
      <c r="M278">
        <v>371</v>
      </c>
      <c r="N278">
        <v>249</v>
      </c>
      <c r="O278">
        <v>67</v>
      </c>
      <c r="P278">
        <v>515</v>
      </c>
      <c r="Q278">
        <v>601</v>
      </c>
      <c r="R278">
        <v>277</v>
      </c>
    </row>
    <row r="279" spans="1:18">
      <c r="A279" s="1" t="s">
        <v>238</v>
      </c>
      <c r="B279">
        <v>28</v>
      </c>
      <c r="C279">
        <v>15</v>
      </c>
      <c r="D279">
        <v>13</v>
      </c>
      <c r="E279">
        <v>-4.59</v>
      </c>
      <c r="F279">
        <v>2149</v>
      </c>
      <c r="G279">
        <v>759</v>
      </c>
      <c r="H279">
        <v>1753</v>
      </c>
      <c r="I279">
        <v>443</v>
      </c>
      <c r="J279">
        <v>740</v>
      </c>
      <c r="K279">
        <v>521</v>
      </c>
      <c r="L279">
        <v>1240</v>
      </c>
      <c r="M279">
        <v>449</v>
      </c>
      <c r="N279">
        <v>243</v>
      </c>
      <c r="O279">
        <v>114</v>
      </c>
      <c r="P279">
        <v>514</v>
      </c>
      <c r="Q279">
        <v>546</v>
      </c>
      <c r="R279">
        <v>278</v>
      </c>
    </row>
    <row r="280" spans="1:18">
      <c r="A280" s="1" t="s">
        <v>239</v>
      </c>
      <c r="B280">
        <v>29</v>
      </c>
      <c r="C280">
        <v>15</v>
      </c>
      <c r="D280">
        <v>14</v>
      </c>
      <c r="E280">
        <v>-13.45</v>
      </c>
      <c r="F280">
        <v>2131</v>
      </c>
      <c r="G280">
        <v>760</v>
      </c>
      <c r="H280">
        <v>1750</v>
      </c>
      <c r="I280">
        <v>434</v>
      </c>
      <c r="J280">
        <v>638</v>
      </c>
      <c r="K280">
        <v>415</v>
      </c>
      <c r="L280">
        <v>1139</v>
      </c>
      <c r="M280">
        <v>332</v>
      </c>
      <c r="N280">
        <v>266</v>
      </c>
      <c r="O280">
        <v>51</v>
      </c>
      <c r="P280">
        <v>500</v>
      </c>
      <c r="Q280">
        <v>533</v>
      </c>
      <c r="R280">
        <v>279</v>
      </c>
    </row>
    <row r="281" spans="1:18">
      <c r="A281" s="1" t="s">
        <v>240</v>
      </c>
      <c r="B281">
        <v>29</v>
      </c>
      <c r="C281">
        <v>12</v>
      </c>
      <c r="D281">
        <v>17</v>
      </c>
      <c r="E281">
        <v>-5.52</v>
      </c>
      <c r="F281">
        <v>1989</v>
      </c>
      <c r="G281">
        <v>688</v>
      </c>
      <c r="H281">
        <v>1574</v>
      </c>
      <c r="I281">
        <v>445</v>
      </c>
      <c r="J281">
        <v>661</v>
      </c>
      <c r="K281">
        <v>343</v>
      </c>
      <c r="L281">
        <v>1070</v>
      </c>
      <c r="M281">
        <v>404</v>
      </c>
      <c r="N281">
        <v>162</v>
      </c>
      <c r="O281">
        <v>28</v>
      </c>
      <c r="P281">
        <v>406</v>
      </c>
      <c r="Q281">
        <v>566</v>
      </c>
      <c r="R281">
        <v>280</v>
      </c>
    </row>
    <row r="282" spans="1:18">
      <c r="A282" s="1" t="s">
        <v>241</v>
      </c>
      <c r="B282">
        <v>28</v>
      </c>
      <c r="C282">
        <v>12</v>
      </c>
      <c r="D282">
        <v>16</v>
      </c>
      <c r="E282">
        <v>5.69</v>
      </c>
      <c r="F282">
        <v>1969</v>
      </c>
      <c r="G282">
        <v>689</v>
      </c>
      <c r="H282">
        <v>1565</v>
      </c>
      <c r="I282">
        <v>430</v>
      </c>
      <c r="J282">
        <v>593</v>
      </c>
      <c r="K282">
        <v>293</v>
      </c>
      <c r="L282">
        <v>1004</v>
      </c>
      <c r="M282">
        <v>370</v>
      </c>
      <c r="N282">
        <v>172</v>
      </c>
      <c r="O282">
        <v>137</v>
      </c>
      <c r="P282">
        <v>418</v>
      </c>
      <c r="Q282">
        <v>460</v>
      </c>
      <c r="R282">
        <v>281</v>
      </c>
    </row>
    <row r="283" spans="1:18">
      <c r="A283" s="1" t="s">
        <v>362</v>
      </c>
      <c r="B283">
        <v>33</v>
      </c>
      <c r="C283">
        <v>24</v>
      </c>
      <c r="D283">
        <v>9</v>
      </c>
      <c r="E283">
        <v>9.61</v>
      </c>
      <c r="F283">
        <v>2460</v>
      </c>
      <c r="G283">
        <v>876</v>
      </c>
      <c r="H283">
        <v>1870</v>
      </c>
      <c r="I283">
        <v>523</v>
      </c>
      <c r="J283">
        <v>810</v>
      </c>
      <c r="K283">
        <v>431</v>
      </c>
      <c r="L283">
        <v>1296</v>
      </c>
      <c r="M283">
        <v>481</v>
      </c>
      <c r="N283">
        <v>244</v>
      </c>
      <c r="O283">
        <v>168</v>
      </c>
      <c r="P283">
        <v>515</v>
      </c>
      <c r="Q283">
        <v>594</v>
      </c>
      <c r="R283">
        <v>282</v>
      </c>
    </row>
    <row r="284" spans="1:18">
      <c r="A284" s="1" t="s">
        <v>242</v>
      </c>
      <c r="B284">
        <v>31</v>
      </c>
      <c r="C284">
        <v>18</v>
      </c>
      <c r="D284">
        <v>13</v>
      </c>
      <c r="E284">
        <v>2.56</v>
      </c>
      <c r="F284">
        <v>2197</v>
      </c>
      <c r="G284">
        <v>757</v>
      </c>
      <c r="H284">
        <v>1746</v>
      </c>
      <c r="I284">
        <v>458</v>
      </c>
      <c r="J284">
        <v>669</v>
      </c>
      <c r="K284">
        <v>404</v>
      </c>
      <c r="L284">
        <v>1191</v>
      </c>
      <c r="M284">
        <v>409</v>
      </c>
      <c r="N284">
        <v>202</v>
      </c>
      <c r="O284">
        <v>66</v>
      </c>
      <c r="P284">
        <v>529</v>
      </c>
      <c r="Q284">
        <v>602</v>
      </c>
      <c r="R284">
        <v>283</v>
      </c>
    </row>
    <row r="285" spans="1:18">
      <c r="A285" s="1" t="s">
        <v>243</v>
      </c>
      <c r="B285">
        <v>28</v>
      </c>
      <c r="C285">
        <v>11</v>
      </c>
      <c r="D285">
        <v>17</v>
      </c>
      <c r="E285">
        <v>-9.1</v>
      </c>
      <c r="F285">
        <v>1901</v>
      </c>
      <c r="G285">
        <v>668</v>
      </c>
      <c r="H285">
        <v>1525</v>
      </c>
      <c r="I285">
        <v>386</v>
      </c>
      <c r="J285">
        <v>561</v>
      </c>
      <c r="K285">
        <v>301</v>
      </c>
      <c r="L285">
        <v>943</v>
      </c>
      <c r="M285">
        <v>397</v>
      </c>
      <c r="N285">
        <v>220</v>
      </c>
      <c r="O285">
        <v>82</v>
      </c>
      <c r="P285">
        <v>480</v>
      </c>
      <c r="Q285">
        <v>520</v>
      </c>
      <c r="R285">
        <v>284</v>
      </c>
    </row>
    <row r="286" spans="1:18">
      <c r="A286" s="1" t="s">
        <v>244</v>
      </c>
      <c r="B286">
        <v>28</v>
      </c>
      <c r="C286">
        <v>17</v>
      </c>
      <c r="D286">
        <v>11</v>
      </c>
      <c r="E286">
        <v>-8.61</v>
      </c>
      <c r="F286">
        <v>2080</v>
      </c>
      <c r="G286">
        <v>710</v>
      </c>
      <c r="H286">
        <v>1567</v>
      </c>
      <c r="I286">
        <v>407</v>
      </c>
      <c r="J286">
        <v>544</v>
      </c>
      <c r="K286">
        <v>288</v>
      </c>
      <c r="L286">
        <v>973</v>
      </c>
      <c r="M286">
        <v>332</v>
      </c>
      <c r="N286">
        <v>157</v>
      </c>
      <c r="O286">
        <v>82</v>
      </c>
      <c r="P286">
        <v>349</v>
      </c>
      <c r="Q286">
        <v>457</v>
      </c>
      <c r="R286">
        <v>285</v>
      </c>
    </row>
    <row r="287" spans="1:18">
      <c r="A287" s="1" t="s">
        <v>245</v>
      </c>
      <c r="B287">
        <v>31</v>
      </c>
      <c r="C287">
        <v>20</v>
      </c>
      <c r="D287">
        <v>11</v>
      </c>
      <c r="E287">
        <v>3.54</v>
      </c>
      <c r="F287">
        <v>2102</v>
      </c>
      <c r="G287">
        <v>765</v>
      </c>
      <c r="H287">
        <v>1772</v>
      </c>
      <c r="I287">
        <v>448</v>
      </c>
      <c r="J287">
        <v>739</v>
      </c>
      <c r="K287">
        <v>436</v>
      </c>
      <c r="L287">
        <v>1155</v>
      </c>
      <c r="M287">
        <v>431</v>
      </c>
      <c r="N287">
        <v>298</v>
      </c>
      <c r="O287">
        <v>100</v>
      </c>
      <c r="P287">
        <v>502</v>
      </c>
      <c r="Q287">
        <v>609</v>
      </c>
      <c r="R287">
        <v>286</v>
      </c>
    </row>
    <row r="288" spans="1:18">
      <c r="A288" s="1" t="s">
        <v>299</v>
      </c>
      <c r="B288">
        <v>37</v>
      </c>
      <c r="C288">
        <v>32</v>
      </c>
      <c r="D288">
        <v>5</v>
      </c>
      <c r="E288">
        <v>2.42</v>
      </c>
      <c r="F288">
        <v>2974</v>
      </c>
      <c r="G288">
        <v>1050</v>
      </c>
      <c r="H288">
        <v>2223</v>
      </c>
      <c r="I288">
        <v>610</v>
      </c>
      <c r="J288">
        <v>865</v>
      </c>
      <c r="K288">
        <v>480</v>
      </c>
      <c r="L288">
        <v>1390</v>
      </c>
      <c r="M288">
        <v>631</v>
      </c>
      <c r="N288">
        <v>433</v>
      </c>
      <c r="O288">
        <v>175</v>
      </c>
      <c r="P288">
        <v>571</v>
      </c>
      <c r="Q288">
        <v>730</v>
      </c>
      <c r="R288">
        <v>287</v>
      </c>
    </row>
    <row r="289" spans="1:18">
      <c r="A289" s="1" t="s">
        <v>324</v>
      </c>
      <c r="B289">
        <v>33</v>
      </c>
      <c r="C289">
        <v>21</v>
      </c>
      <c r="D289">
        <v>12</v>
      </c>
      <c r="E289">
        <v>10.11</v>
      </c>
      <c r="F289">
        <v>2492</v>
      </c>
      <c r="G289">
        <v>952</v>
      </c>
      <c r="H289">
        <v>1984</v>
      </c>
      <c r="I289">
        <v>383</v>
      </c>
      <c r="J289">
        <v>652</v>
      </c>
      <c r="K289">
        <v>447</v>
      </c>
      <c r="L289">
        <v>1252</v>
      </c>
      <c r="M289">
        <v>545</v>
      </c>
      <c r="N289">
        <v>282</v>
      </c>
      <c r="O289">
        <v>145</v>
      </c>
      <c r="P289">
        <v>549</v>
      </c>
      <c r="Q289">
        <v>626</v>
      </c>
      <c r="R289">
        <v>288</v>
      </c>
    </row>
    <row r="290" spans="1:18">
      <c r="A290" s="1" t="s">
        <v>316</v>
      </c>
      <c r="B290">
        <v>34</v>
      </c>
      <c r="C290">
        <v>28</v>
      </c>
      <c r="D290">
        <v>6</v>
      </c>
      <c r="E290">
        <v>1.89</v>
      </c>
      <c r="F290">
        <v>2397</v>
      </c>
      <c r="G290">
        <v>879</v>
      </c>
      <c r="H290">
        <v>1888</v>
      </c>
      <c r="I290">
        <v>445</v>
      </c>
      <c r="J290">
        <v>709</v>
      </c>
      <c r="K290">
        <v>415</v>
      </c>
      <c r="L290">
        <v>1233</v>
      </c>
      <c r="M290">
        <v>487</v>
      </c>
      <c r="N290">
        <v>235</v>
      </c>
      <c r="O290">
        <v>126</v>
      </c>
      <c r="P290">
        <v>453</v>
      </c>
      <c r="Q290">
        <v>580</v>
      </c>
      <c r="R290">
        <v>289</v>
      </c>
    </row>
    <row r="291" spans="1:18">
      <c r="A291" s="1" t="s">
        <v>300</v>
      </c>
      <c r="B291">
        <v>32</v>
      </c>
      <c r="C291">
        <v>23</v>
      </c>
      <c r="D291">
        <v>9</v>
      </c>
      <c r="E291">
        <v>4.3600000000000003</v>
      </c>
      <c r="F291">
        <v>2252</v>
      </c>
      <c r="G291">
        <v>782</v>
      </c>
      <c r="H291">
        <v>1624</v>
      </c>
      <c r="I291">
        <v>466</v>
      </c>
      <c r="J291">
        <v>648</v>
      </c>
      <c r="K291">
        <v>326</v>
      </c>
      <c r="L291">
        <v>1077</v>
      </c>
      <c r="M291">
        <v>496</v>
      </c>
      <c r="N291">
        <v>198</v>
      </c>
      <c r="O291">
        <v>89</v>
      </c>
      <c r="P291">
        <v>462</v>
      </c>
      <c r="Q291">
        <v>586</v>
      </c>
      <c r="R291">
        <v>290</v>
      </c>
    </row>
    <row r="292" spans="1:18">
      <c r="A292" s="1" t="s">
        <v>301</v>
      </c>
      <c r="B292">
        <v>32</v>
      </c>
      <c r="C292">
        <v>19</v>
      </c>
      <c r="D292">
        <v>13</v>
      </c>
      <c r="E292">
        <v>-3.71</v>
      </c>
      <c r="F292">
        <v>2128</v>
      </c>
      <c r="G292">
        <v>758</v>
      </c>
      <c r="H292">
        <v>1702</v>
      </c>
      <c r="I292">
        <v>384</v>
      </c>
      <c r="J292">
        <v>590</v>
      </c>
      <c r="K292">
        <v>399</v>
      </c>
      <c r="L292">
        <v>1172</v>
      </c>
      <c r="M292">
        <v>459</v>
      </c>
      <c r="N292">
        <v>236</v>
      </c>
      <c r="O292">
        <v>120</v>
      </c>
      <c r="P292">
        <v>535</v>
      </c>
      <c r="Q292">
        <v>556</v>
      </c>
      <c r="R292">
        <v>291</v>
      </c>
    </row>
    <row r="293" spans="1:18">
      <c r="A293" s="1" t="s">
        <v>246</v>
      </c>
      <c r="B293">
        <v>30</v>
      </c>
      <c r="C293">
        <v>19</v>
      </c>
      <c r="D293">
        <v>11</v>
      </c>
      <c r="E293">
        <v>7.54</v>
      </c>
      <c r="F293">
        <v>2243</v>
      </c>
      <c r="G293">
        <v>782</v>
      </c>
      <c r="H293">
        <v>1710</v>
      </c>
      <c r="I293">
        <v>457</v>
      </c>
      <c r="J293">
        <v>624</v>
      </c>
      <c r="K293">
        <v>314</v>
      </c>
      <c r="L293">
        <v>1014</v>
      </c>
      <c r="M293">
        <v>457</v>
      </c>
      <c r="N293">
        <v>214</v>
      </c>
      <c r="O293">
        <v>63</v>
      </c>
      <c r="P293">
        <v>442</v>
      </c>
      <c r="Q293">
        <v>543</v>
      </c>
      <c r="R293">
        <v>292</v>
      </c>
    </row>
    <row r="294" spans="1:18">
      <c r="A294" s="1" t="s">
        <v>247</v>
      </c>
      <c r="B294">
        <v>28</v>
      </c>
      <c r="C294">
        <v>16</v>
      </c>
      <c r="D294">
        <v>12</v>
      </c>
      <c r="E294">
        <v>-8.25</v>
      </c>
      <c r="F294">
        <v>2005</v>
      </c>
      <c r="G294">
        <v>727</v>
      </c>
      <c r="H294">
        <v>1741</v>
      </c>
      <c r="I294">
        <v>379</v>
      </c>
      <c r="J294">
        <v>591</v>
      </c>
      <c r="K294">
        <v>401</v>
      </c>
      <c r="L294">
        <v>1078</v>
      </c>
      <c r="M294">
        <v>388</v>
      </c>
      <c r="N294">
        <v>200</v>
      </c>
      <c r="O294">
        <v>103</v>
      </c>
      <c r="P294">
        <v>377</v>
      </c>
      <c r="Q294">
        <v>504</v>
      </c>
      <c r="R294">
        <v>293</v>
      </c>
    </row>
    <row r="295" spans="1:18">
      <c r="A295" s="1" t="s">
        <v>248</v>
      </c>
      <c r="B295">
        <v>33</v>
      </c>
      <c r="C295">
        <v>20</v>
      </c>
      <c r="D295">
        <v>13</v>
      </c>
      <c r="E295">
        <v>6.74</v>
      </c>
      <c r="F295">
        <v>2308</v>
      </c>
      <c r="G295">
        <v>811</v>
      </c>
      <c r="H295">
        <v>1909</v>
      </c>
      <c r="I295">
        <v>479</v>
      </c>
      <c r="J295">
        <v>679</v>
      </c>
      <c r="K295">
        <v>441</v>
      </c>
      <c r="L295">
        <v>1264</v>
      </c>
      <c r="M295">
        <v>516</v>
      </c>
      <c r="N295">
        <v>243</v>
      </c>
      <c r="O295">
        <v>162</v>
      </c>
      <c r="P295">
        <v>544</v>
      </c>
      <c r="Q295">
        <v>565</v>
      </c>
      <c r="R295">
        <v>294</v>
      </c>
    </row>
    <row r="296" spans="1:18">
      <c r="A296" s="1" t="s">
        <v>249</v>
      </c>
      <c r="B296">
        <v>28</v>
      </c>
      <c r="C296">
        <v>14</v>
      </c>
      <c r="D296">
        <v>14</v>
      </c>
      <c r="E296">
        <v>-1.8</v>
      </c>
      <c r="F296">
        <v>1957</v>
      </c>
      <c r="G296">
        <v>707</v>
      </c>
      <c r="H296">
        <v>1729</v>
      </c>
      <c r="I296">
        <v>393</v>
      </c>
      <c r="J296">
        <v>598</v>
      </c>
      <c r="K296">
        <v>420</v>
      </c>
      <c r="L296">
        <v>1117</v>
      </c>
      <c r="M296">
        <v>369</v>
      </c>
      <c r="N296">
        <v>220</v>
      </c>
      <c r="O296">
        <v>151</v>
      </c>
      <c r="P296">
        <v>485</v>
      </c>
      <c r="Q296">
        <v>527</v>
      </c>
      <c r="R296">
        <v>295</v>
      </c>
    </row>
    <row r="297" spans="1:18">
      <c r="A297" s="1" t="s">
        <v>250</v>
      </c>
      <c r="B297">
        <v>29</v>
      </c>
      <c r="C297">
        <v>6</v>
      </c>
      <c r="D297">
        <v>23</v>
      </c>
      <c r="E297">
        <v>-2.7</v>
      </c>
      <c r="F297">
        <v>2064</v>
      </c>
      <c r="G297">
        <v>747</v>
      </c>
      <c r="H297">
        <v>1846</v>
      </c>
      <c r="I297">
        <v>399</v>
      </c>
      <c r="J297">
        <v>644</v>
      </c>
      <c r="K297">
        <v>404</v>
      </c>
      <c r="L297">
        <v>1081</v>
      </c>
      <c r="M297">
        <v>383</v>
      </c>
      <c r="N297">
        <v>279</v>
      </c>
      <c r="O297">
        <v>97</v>
      </c>
      <c r="P297">
        <v>544</v>
      </c>
      <c r="Q297">
        <v>616</v>
      </c>
      <c r="R297">
        <v>296</v>
      </c>
    </row>
    <row r="298" spans="1:18">
      <c r="A298" s="1" t="s">
        <v>251</v>
      </c>
      <c r="B298">
        <v>31</v>
      </c>
      <c r="C298">
        <v>16</v>
      </c>
      <c r="D298">
        <v>15</v>
      </c>
      <c r="E298">
        <v>2.4500000000000002</v>
      </c>
      <c r="F298">
        <v>1997</v>
      </c>
      <c r="G298">
        <v>720</v>
      </c>
      <c r="H298">
        <v>1647</v>
      </c>
      <c r="I298">
        <v>431</v>
      </c>
      <c r="J298">
        <v>655</v>
      </c>
      <c r="K298">
        <v>377</v>
      </c>
      <c r="L298">
        <v>1082</v>
      </c>
      <c r="M298">
        <v>383</v>
      </c>
      <c r="N298">
        <v>230</v>
      </c>
      <c r="O298">
        <v>155</v>
      </c>
      <c r="P298">
        <v>507</v>
      </c>
      <c r="Q298">
        <v>582</v>
      </c>
      <c r="R298">
        <v>297</v>
      </c>
    </row>
    <row r="299" spans="1:18">
      <c r="A299" s="1" t="s">
        <v>252</v>
      </c>
      <c r="B299">
        <v>31</v>
      </c>
      <c r="C299">
        <v>19</v>
      </c>
      <c r="D299">
        <v>12</v>
      </c>
      <c r="E299">
        <v>6.22</v>
      </c>
      <c r="F299">
        <v>2526</v>
      </c>
      <c r="G299">
        <v>879</v>
      </c>
      <c r="H299">
        <v>1950</v>
      </c>
      <c r="I299">
        <v>557</v>
      </c>
      <c r="J299">
        <v>822</v>
      </c>
      <c r="K299">
        <v>393</v>
      </c>
      <c r="L299">
        <v>1125</v>
      </c>
      <c r="M299">
        <v>440</v>
      </c>
      <c r="N299">
        <v>272</v>
      </c>
      <c r="O299">
        <v>95</v>
      </c>
      <c r="P299">
        <v>484</v>
      </c>
      <c r="Q299">
        <v>659</v>
      </c>
      <c r="R299">
        <v>298</v>
      </c>
    </row>
    <row r="300" spans="1:18">
      <c r="A300" s="1" t="s">
        <v>253</v>
      </c>
      <c r="B300">
        <v>27</v>
      </c>
      <c r="C300">
        <v>11</v>
      </c>
      <c r="D300">
        <v>16</v>
      </c>
      <c r="E300">
        <v>-9.7200000000000006</v>
      </c>
      <c r="F300">
        <v>2097</v>
      </c>
      <c r="G300">
        <v>778</v>
      </c>
      <c r="H300">
        <v>1847</v>
      </c>
      <c r="I300">
        <v>333</v>
      </c>
      <c r="J300">
        <v>465</v>
      </c>
      <c r="K300">
        <v>370</v>
      </c>
      <c r="L300">
        <v>957</v>
      </c>
      <c r="M300">
        <v>464</v>
      </c>
      <c r="N300">
        <v>309</v>
      </c>
      <c r="O300">
        <v>55</v>
      </c>
      <c r="P300">
        <v>445</v>
      </c>
      <c r="Q300">
        <v>551</v>
      </c>
      <c r="R300">
        <v>299</v>
      </c>
    </row>
    <row r="301" spans="1:18">
      <c r="A301" s="1" t="s">
        <v>254</v>
      </c>
      <c r="B301">
        <v>36</v>
      </c>
      <c r="C301">
        <v>22</v>
      </c>
      <c r="D301">
        <v>14</v>
      </c>
      <c r="E301">
        <v>8.9499999999999993</v>
      </c>
      <c r="F301">
        <v>2512</v>
      </c>
      <c r="G301">
        <v>911</v>
      </c>
      <c r="H301">
        <v>2100</v>
      </c>
      <c r="I301">
        <v>531</v>
      </c>
      <c r="J301">
        <v>788</v>
      </c>
      <c r="K301">
        <v>517</v>
      </c>
      <c r="L301">
        <v>1379</v>
      </c>
      <c r="M301">
        <v>479</v>
      </c>
      <c r="N301">
        <v>218</v>
      </c>
      <c r="O301">
        <v>146</v>
      </c>
      <c r="P301">
        <v>499</v>
      </c>
      <c r="Q301">
        <v>641</v>
      </c>
      <c r="R301">
        <v>300</v>
      </c>
    </row>
    <row r="302" spans="1:18">
      <c r="A302" s="1" t="s">
        <v>255</v>
      </c>
      <c r="B302">
        <v>28</v>
      </c>
      <c r="C302">
        <v>6</v>
      </c>
      <c r="D302">
        <v>22</v>
      </c>
      <c r="E302">
        <v>7.66</v>
      </c>
      <c r="F302">
        <v>1778</v>
      </c>
      <c r="G302">
        <v>613</v>
      </c>
      <c r="H302">
        <v>1482</v>
      </c>
      <c r="I302">
        <v>381</v>
      </c>
      <c r="J302">
        <v>543</v>
      </c>
      <c r="K302">
        <v>331</v>
      </c>
      <c r="L302">
        <v>879</v>
      </c>
      <c r="M302">
        <v>301</v>
      </c>
      <c r="N302">
        <v>180</v>
      </c>
      <c r="O302">
        <v>68</v>
      </c>
      <c r="P302">
        <v>497</v>
      </c>
      <c r="Q302">
        <v>590</v>
      </c>
      <c r="R302">
        <v>301</v>
      </c>
    </row>
    <row r="303" spans="1:18">
      <c r="A303" s="1" t="s">
        <v>256</v>
      </c>
      <c r="B303">
        <v>30</v>
      </c>
      <c r="C303">
        <v>10</v>
      </c>
      <c r="D303">
        <v>20</v>
      </c>
      <c r="E303">
        <v>9.98</v>
      </c>
      <c r="F303">
        <v>1981</v>
      </c>
      <c r="G303">
        <v>728</v>
      </c>
      <c r="H303">
        <v>1767</v>
      </c>
      <c r="I303">
        <v>365</v>
      </c>
      <c r="J303">
        <v>551</v>
      </c>
      <c r="K303">
        <v>359</v>
      </c>
      <c r="L303">
        <v>1053</v>
      </c>
      <c r="M303">
        <v>399</v>
      </c>
      <c r="N303">
        <v>200</v>
      </c>
      <c r="O303">
        <v>116</v>
      </c>
      <c r="P303">
        <v>498</v>
      </c>
      <c r="Q303">
        <v>569</v>
      </c>
      <c r="R303">
        <v>302</v>
      </c>
    </row>
    <row r="304" spans="1:18">
      <c r="A304" s="1" t="s">
        <v>257</v>
      </c>
      <c r="B304">
        <v>28</v>
      </c>
      <c r="C304">
        <v>18</v>
      </c>
      <c r="D304">
        <v>10</v>
      </c>
      <c r="E304">
        <v>0.46</v>
      </c>
      <c r="F304">
        <v>2165</v>
      </c>
      <c r="G304">
        <v>724</v>
      </c>
      <c r="H304">
        <v>1569</v>
      </c>
      <c r="I304">
        <v>540</v>
      </c>
      <c r="J304">
        <v>718</v>
      </c>
      <c r="K304">
        <v>281</v>
      </c>
      <c r="L304">
        <v>984</v>
      </c>
      <c r="M304">
        <v>434</v>
      </c>
      <c r="N304">
        <v>201</v>
      </c>
      <c r="O304">
        <v>66</v>
      </c>
      <c r="P304">
        <v>537</v>
      </c>
      <c r="Q304">
        <v>537</v>
      </c>
      <c r="R304">
        <v>303</v>
      </c>
    </row>
    <row r="305" spans="1:18">
      <c r="A305" s="1" t="s">
        <v>258</v>
      </c>
      <c r="B305">
        <v>28</v>
      </c>
      <c r="C305">
        <v>14</v>
      </c>
      <c r="D305">
        <v>14</v>
      </c>
      <c r="E305">
        <v>5</v>
      </c>
      <c r="F305">
        <v>1974</v>
      </c>
      <c r="G305">
        <v>736</v>
      </c>
      <c r="H305">
        <v>1634</v>
      </c>
      <c r="I305">
        <v>350</v>
      </c>
      <c r="J305">
        <v>536</v>
      </c>
      <c r="K305">
        <v>391</v>
      </c>
      <c r="L305">
        <v>1046</v>
      </c>
      <c r="M305">
        <v>433</v>
      </c>
      <c r="N305">
        <v>203</v>
      </c>
      <c r="O305">
        <v>123</v>
      </c>
      <c r="P305">
        <v>471</v>
      </c>
      <c r="Q305">
        <v>504</v>
      </c>
      <c r="R305">
        <v>304</v>
      </c>
    </row>
    <row r="306" spans="1:18">
      <c r="A306" s="1" t="s">
        <v>259</v>
      </c>
      <c r="B306">
        <v>28</v>
      </c>
      <c r="C306">
        <v>14</v>
      </c>
      <c r="D306">
        <v>14</v>
      </c>
      <c r="E306">
        <v>-4.9400000000000004</v>
      </c>
      <c r="F306">
        <v>2153</v>
      </c>
      <c r="G306">
        <v>813</v>
      </c>
      <c r="H306">
        <v>1797</v>
      </c>
      <c r="I306">
        <v>360</v>
      </c>
      <c r="J306">
        <v>518</v>
      </c>
      <c r="K306">
        <v>368</v>
      </c>
      <c r="L306">
        <v>1021</v>
      </c>
      <c r="M306">
        <v>446</v>
      </c>
      <c r="N306">
        <v>242</v>
      </c>
      <c r="O306">
        <v>69</v>
      </c>
      <c r="P306">
        <v>449</v>
      </c>
      <c r="Q306">
        <v>535</v>
      </c>
      <c r="R306">
        <v>305</v>
      </c>
    </row>
    <row r="307" spans="1:18">
      <c r="A307" s="1" t="s">
        <v>260</v>
      </c>
      <c r="B307">
        <v>30</v>
      </c>
      <c r="C307">
        <v>8</v>
      </c>
      <c r="D307">
        <v>22</v>
      </c>
      <c r="E307">
        <v>-2.68</v>
      </c>
      <c r="F307">
        <v>1975</v>
      </c>
      <c r="G307">
        <v>716</v>
      </c>
      <c r="H307">
        <v>1640</v>
      </c>
      <c r="I307">
        <v>333</v>
      </c>
      <c r="J307">
        <v>488</v>
      </c>
      <c r="K307">
        <v>372</v>
      </c>
      <c r="L307">
        <v>1062</v>
      </c>
      <c r="M307">
        <v>482</v>
      </c>
      <c r="N307">
        <v>201</v>
      </c>
      <c r="O307">
        <v>49</v>
      </c>
      <c r="P307">
        <v>556</v>
      </c>
      <c r="Q307">
        <v>534</v>
      </c>
      <c r="R307">
        <v>306</v>
      </c>
    </row>
    <row r="308" spans="1:18">
      <c r="A308" s="1" t="s">
        <v>261</v>
      </c>
      <c r="B308">
        <v>29</v>
      </c>
      <c r="C308">
        <v>11</v>
      </c>
      <c r="D308">
        <v>18</v>
      </c>
      <c r="E308">
        <v>-1.45</v>
      </c>
      <c r="F308">
        <v>1995</v>
      </c>
      <c r="G308">
        <v>728</v>
      </c>
      <c r="H308">
        <v>1642</v>
      </c>
      <c r="I308">
        <v>370</v>
      </c>
      <c r="J308">
        <v>558</v>
      </c>
      <c r="K308">
        <v>369</v>
      </c>
      <c r="L308">
        <v>1112</v>
      </c>
      <c r="M308">
        <v>384</v>
      </c>
      <c r="N308">
        <v>153</v>
      </c>
      <c r="O308">
        <v>119</v>
      </c>
      <c r="P308">
        <v>528</v>
      </c>
      <c r="Q308">
        <v>578</v>
      </c>
      <c r="R308">
        <v>307</v>
      </c>
    </row>
    <row r="309" spans="1:18">
      <c r="A309" s="1" t="s">
        <v>262</v>
      </c>
      <c r="B309">
        <v>28</v>
      </c>
      <c r="C309">
        <v>10</v>
      </c>
      <c r="D309">
        <v>18</v>
      </c>
      <c r="E309">
        <v>1.87</v>
      </c>
      <c r="F309">
        <v>2044</v>
      </c>
      <c r="G309">
        <v>715</v>
      </c>
      <c r="H309">
        <v>1682</v>
      </c>
      <c r="I309">
        <v>455</v>
      </c>
      <c r="J309">
        <v>668</v>
      </c>
      <c r="K309">
        <v>361</v>
      </c>
      <c r="L309">
        <v>1003</v>
      </c>
      <c r="M309">
        <v>360</v>
      </c>
      <c r="N309">
        <v>194</v>
      </c>
      <c r="O309">
        <v>70</v>
      </c>
      <c r="P309">
        <v>440</v>
      </c>
      <c r="Q309">
        <v>636</v>
      </c>
      <c r="R309">
        <v>308</v>
      </c>
    </row>
    <row r="310" spans="1:18">
      <c r="A310" s="1" t="s">
        <v>263</v>
      </c>
      <c r="B310">
        <v>29</v>
      </c>
      <c r="C310">
        <v>12</v>
      </c>
      <c r="D310">
        <v>17</v>
      </c>
      <c r="E310">
        <v>1.92</v>
      </c>
      <c r="F310">
        <v>1925</v>
      </c>
      <c r="G310">
        <v>648</v>
      </c>
      <c r="H310">
        <v>1593</v>
      </c>
      <c r="I310">
        <v>439</v>
      </c>
      <c r="J310">
        <v>621</v>
      </c>
      <c r="K310">
        <v>369</v>
      </c>
      <c r="L310">
        <v>1014</v>
      </c>
      <c r="M310">
        <v>407</v>
      </c>
      <c r="N310">
        <v>241</v>
      </c>
      <c r="O310">
        <v>58</v>
      </c>
      <c r="P310">
        <v>453</v>
      </c>
      <c r="Q310">
        <v>680</v>
      </c>
      <c r="R310">
        <v>309</v>
      </c>
    </row>
    <row r="311" spans="1:18">
      <c r="A311" s="1" t="s">
        <v>264</v>
      </c>
      <c r="B311">
        <v>28</v>
      </c>
      <c r="C311">
        <v>11</v>
      </c>
      <c r="D311">
        <v>17</v>
      </c>
      <c r="E311">
        <v>-0.92</v>
      </c>
      <c r="F311">
        <v>1922</v>
      </c>
      <c r="G311">
        <v>678</v>
      </c>
      <c r="H311">
        <v>1593</v>
      </c>
      <c r="I311">
        <v>378</v>
      </c>
      <c r="J311">
        <v>535</v>
      </c>
      <c r="K311">
        <v>310</v>
      </c>
      <c r="L311">
        <v>990</v>
      </c>
      <c r="M311">
        <v>394</v>
      </c>
      <c r="N311">
        <v>163</v>
      </c>
      <c r="O311">
        <v>122</v>
      </c>
      <c r="P311">
        <v>431</v>
      </c>
      <c r="Q311">
        <v>527</v>
      </c>
      <c r="R311">
        <v>310</v>
      </c>
    </row>
    <row r="312" spans="1:18">
      <c r="A312" s="1" t="s">
        <v>325</v>
      </c>
      <c r="B312">
        <v>30</v>
      </c>
      <c r="C312">
        <v>21</v>
      </c>
      <c r="D312">
        <v>9</v>
      </c>
      <c r="E312">
        <v>-7.41</v>
      </c>
      <c r="F312">
        <v>2193</v>
      </c>
      <c r="G312">
        <v>733</v>
      </c>
      <c r="H312">
        <v>1719</v>
      </c>
      <c r="I312">
        <v>476</v>
      </c>
      <c r="J312">
        <v>717</v>
      </c>
      <c r="K312">
        <v>394</v>
      </c>
      <c r="L312">
        <v>1171</v>
      </c>
      <c r="M312">
        <v>406</v>
      </c>
      <c r="N312">
        <v>215</v>
      </c>
      <c r="O312">
        <v>104</v>
      </c>
      <c r="P312">
        <v>474</v>
      </c>
      <c r="Q312">
        <v>584</v>
      </c>
      <c r="R312">
        <v>311</v>
      </c>
    </row>
    <row r="313" spans="1:18">
      <c r="A313" s="1" t="s">
        <v>367</v>
      </c>
      <c r="B313">
        <v>36</v>
      </c>
      <c r="C313">
        <v>22</v>
      </c>
      <c r="D313">
        <v>14</v>
      </c>
      <c r="E313">
        <v>12.5</v>
      </c>
      <c r="F313">
        <v>2157</v>
      </c>
      <c r="G313">
        <v>765</v>
      </c>
      <c r="H313">
        <v>1793</v>
      </c>
      <c r="I313">
        <v>420</v>
      </c>
      <c r="J313">
        <v>617</v>
      </c>
      <c r="K313">
        <v>298</v>
      </c>
      <c r="L313">
        <v>1107</v>
      </c>
      <c r="M313">
        <v>478</v>
      </c>
      <c r="N313">
        <v>236</v>
      </c>
      <c r="O313">
        <v>102</v>
      </c>
      <c r="P313">
        <v>408</v>
      </c>
      <c r="Q313">
        <v>658</v>
      </c>
      <c r="R313">
        <v>312</v>
      </c>
    </row>
    <row r="314" spans="1:18">
      <c r="A314" s="1" t="s">
        <v>265</v>
      </c>
      <c r="B314">
        <v>30</v>
      </c>
      <c r="C314">
        <v>14</v>
      </c>
      <c r="D314">
        <v>16</v>
      </c>
      <c r="E314">
        <v>-2.89</v>
      </c>
      <c r="F314">
        <v>2078</v>
      </c>
      <c r="G314">
        <v>721</v>
      </c>
      <c r="H314">
        <v>1756</v>
      </c>
      <c r="I314">
        <v>422</v>
      </c>
      <c r="J314">
        <v>623</v>
      </c>
      <c r="K314">
        <v>370</v>
      </c>
      <c r="L314">
        <v>1060</v>
      </c>
      <c r="M314">
        <v>383</v>
      </c>
      <c r="N314">
        <v>184</v>
      </c>
      <c r="O314">
        <v>91</v>
      </c>
      <c r="P314">
        <v>389</v>
      </c>
      <c r="Q314">
        <v>555</v>
      </c>
      <c r="R314">
        <v>313</v>
      </c>
    </row>
    <row r="315" spans="1:18">
      <c r="A315" s="1" t="s">
        <v>266</v>
      </c>
      <c r="B315">
        <v>28</v>
      </c>
      <c r="C315">
        <v>11</v>
      </c>
      <c r="D315">
        <v>17</v>
      </c>
      <c r="E315">
        <v>-0.15</v>
      </c>
      <c r="F315">
        <v>1717</v>
      </c>
      <c r="G315">
        <v>567</v>
      </c>
      <c r="H315">
        <v>1309</v>
      </c>
      <c r="I315">
        <v>444</v>
      </c>
      <c r="J315">
        <v>603</v>
      </c>
      <c r="K315">
        <v>244</v>
      </c>
      <c r="L315">
        <v>881</v>
      </c>
      <c r="M315">
        <v>328</v>
      </c>
      <c r="N315">
        <v>171</v>
      </c>
      <c r="O315">
        <v>53</v>
      </c>
      <c r="P315">
        <v>480</v>
      </c>
      <c r="Q315">
        <v>508</v>
      </c>
      <c r="R315">
        <v>314</v>
      </c>
    </row>
    <row r="316" spans="1:18">
      <c r="A316" s="1" t="s">
        <v>267</v>
      </c>
      <c r="B316">
        <v>31</v>
      </c>
      <c r="C316">
        <v>19</v>
      </c>
      <c r="D316">
        <v>12</v>
      </c>
      <c r="E316">
        <v>2.84</v>
      </c>
      <c r="F316">
        <v>2567</v>
      </c>
      <c r="G316">
        <v>916</v>
      </c>
      <c r="H316">
        <v>2085</v>
      </c>
      <c r="I316">
        <v>513</v>
      </c>
      <c r="J316">
        <v>727</v>
      </c>
      <c r="K316">
        <v>450</v>
      </c>
      <c r="L316">
        <v>1260</v>
      </c>
      <c r="M316">
        <v>501</v>
      </c>
      <c r="N316">
        <v>249</v>
      </c>
      <c r="O316">
        <v>102</v>
      </c>
      <c r="P316">
        <v>441</v>
      </c>
      <c r="Q316">
        <v>612</v>
      </c>
      <c r="R316">
        <v>315</v>
      </c>
    </row>
    <row r="317" spans="1:18">
      <c r="A317" s="1" t="s">
        <v>268</v>
      </c>
      <c r="B317">
        <v>33</v>
      </c>
      <c r="C317">
        <v>21</v>
      </c>
      <c r="D317">
        <v>12</v>
      </c>
      <c r="E317">
        <v>3.42</v>
      </c>
      <c r="F317">
        <v>2481</v>
      </c>
      <c r="G317">
        <v>856</v>
      </c>
      <c r="H317">
        <v>1979</v>
      </c>
      <c r="I317">
        <v>549</v>
      </c>
      <c r="J317">
        <v>773</v>
      </c>
      <c r="K317">
        <v>509</v>
      </c>
      <c r="L317">
        <v>1260</v>
      </c>
      <c r="M317">
        <v>474</v>
      </c>
      <c r="N317">
        <v>261</v>
      </c>
      <c r="O317">
        <v>118</v>
      </c>
      <c r="P317">
        <v>540</v>
      </c>
      <c r="Q317">
        <v>599</v>
      </c>
      <c r="R317">
        <v>316</v>
      </c>
    </row>
    <row r="318" spans="1:18">
      <c r="A318" s="1" t="s">
        <v>269</v>
      </c>
      <c r="B318">
        <v>27</v>
      </c>
      <c r="C318">
        <v>7</v>
      </c>
      <c r="D318">
        <v>20</v>
      </c>
      <c r="E318">
        <v>-8.4700000000000006</v>
      </c>
      <c r="F318">
        <v>1585</v>
      </c>
      <c r="G318">
        <v>563</v>
      </c>
      <c r="H318">
        <v>1436</v>
      </c>
      <c r="I318">
        <v>356</v>
      </c>
      <c r="J318">
        <v>530</v>
      </c>
      <c r="K318">
        <v>327</v>
      </c>
      <c r="L318">
        <v>963</v>
      </c>
      <c r="M318">
        <v>267</v>
      </c>
      <c r="N318">
        <v>160</v>
      </c>
      <c r="O318">
        <v>83</v>
      </c>
      <c r="P318">
        <v>439</v>
      </c>
      <c r="Q318">
        <v>512</v>
      </c>
      <c r="R318">
        <v>317</v>
      </c>
    </row>
    <row r="319" spans="1:18">
      <c r="A319" s="1" t="s">
        <v>270</v>
      </c>
      <c r="B319">
        <v>28</v>
      </c>
      <c r="C319">
        <v>12</v>
      </c>
      <c r="D319">
        <v>16</v>
      </c>
      <c r="E319">
        <v>-3.66</v>
      </c>
      <c r="F319">
        <v>1876</v>
      </c>
      <c r="G319">
        <v>696</v>
      </c>
      <c r="H319">
        <v>1593</v>
      </c>
      <c r="I319">
        <v>330</v>
      </c>
      <c r="J319">
        <v>484</v>
      </c>
      <c r="K319">
        <v>316</v>
      </c>
      <c r="L319">
        <v>1039</v>
      </c>
      <c r="M319">
        <v>410</v>
      </c>
      <c r="N319">
        <v>198</v>
      </c>
      <c r="O319">
        <v>94</v>
      </c>
      <c r="P319">
        <v>29</v>
      </c>
      <c r="Q319">
        <v>622</v>
      </c>
      <c r="R319">
        <v>318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08FE9-47B0-447B-ADC5-61879FA68CBE}">
  <sheetPr codeName="Sheet2"/>
  <dimension ref="A1:R319"/>
  <sheetViews>
    <sheetView workbookViewId="0">
      <selection activeCell="B1" sqref="B1:Q1"/>
    </sheetView>
  </sheetViews>
  <sheetFormatPr defaultColWidth="8.85546875" defaultRowHeight="15"/>
  <cols>
    <col min="1" max="1" width="31.28515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29</v>
      </c>
      <c r="C2">
        <v>8</v>
      </c>
      <c r="D2">
        <v>21</v>
      </c>
      <c r="E2">
        <v>1.99</v>
      </c>
      <c r="F2">
        <v>1667</v>
      </c>
      <c r="G2">
        <v>544</v>
      </c>
      <c r="H2">
        <v>1251</v>
      </c>
      <c r="I2">
        <v>334</v>
      </c>
      <c r="J2">
        <v>479</v>
      </c>
      <c r="K2">
        <v>182</v>
      </c>
      <c r="L2">
        <v>666</v>
      </c>
      <c r="M2">
        <v>367</v>
      </c>
      <c r="N2">
        <v>211</v>
      </c>
      <c r="O2">
        <v>54</v>
      </c>
      <c r="P2">
        <v>385</v>
      </c>
      <c r="Q2">
        <v>572</v>
      </c>
      <c r="R2">
        <v>1</v>
      </c>
    </row>
    <row r="3" spans="1:18">
      <c r="A3" s="1" t="s">
        <v>18</v>
      </c>
      <c r="B3">
        <v>28</v>
      </c>
      <c r="C3">
        <v>12</v>
      </c>
      <c r="D3">
        <v>16</v>
      </c>
      <c r="E3">
        <v>1.67</v>
      </c>
      <c r="F3">
        <v>1901</v>
      </c>
      <c r="G3">
        <v>613</v>
      </c>
      <c r="H3">
        <v>1355</v>
      </c>
      <c r="I3">
        <v>486</v>
      </c>
      <c r="J3">
        <v>670</v>
      </c>
      <c r="K3">
        <v>252</v>
      </c>
      <c r="L3">
        <v>823</v>
      </c>
      <c r="M3">
        <v>379</v>
      </c>
      <c r="N3">
        <v>161</v>
      </c>
      <c r="O3">
        <v>89</v>
      </c>
      <c r="P3">
        <v>445</v>
      </c>
      <c r="Q3">
        <v>516</v>
      </c>
      <c r="R3">
        <v>2</v>
      </c>
    </row>
    <row r="4" spans="1:18">
      <c r="A4" s="1" t="s">
        <v>19</v>
      </c>
      <c r="B4">
        <v>28</v>
      </c>
      <c r="C4">
        <v>17</v>
      </c>
      <c r="D4">
        <v>11</v>
      </c>
      <c r="E4">
        <v>-11.79</v>
      </c>
      <c r="F4">
        <v>2056</v>
      </c>
      <c r="G4">
        <v>743</v>
      </c>
      <c r="H4">
        <v>1902</v>
      </c>
      <c r="I4">
        <v>414</v>
      </c>
      <c r="J4">
        <v>661</v>
      </c>
      <c r="K4">
        <v>497</v>
      </c>
      <c r="L4">
        <v>1138</v>
      </c>
      <c r="M4">
        <v>388</v>
      </c>
      <c r="N4">
        <v>339</v>
      </c>
      <c r="O4">
        <v>78</v>
      </c>
      <c r="P4">
        <v>473</v>
      </c>
      <c r="Q4">
        <v>610</v>
      </c>
      <c r="R4">
        <v>3</v>
      </c>
    </row>
    <row r="5" spans="1:18">
      <c r="A5" s="1" t="s">
        <v>20</v>
      </c>
      <c r="B5">
        <v>31</v>
      </c>
      <c r="C5">
        <v>17</v>
      </c>
      <c r="D5">
        <v>14</v>
      </c>
      <c r="E5">
        <v>4.08</v>
      </c>
      <c r="F5">
        <v>2236</v>
      </c>
      <c r="G5">
        <v>799</v>
      </c>
      <c r="H5">
        <v>1882</v>
      </c>
      <c r="I5">
        <v>460</v>
      </c>
      <c r="J5">
        <v>709</v>
      </c>
      <c r="K5">
        <v>454</v>
      </c>
      <c r="L5">
        <v>1274</v>
      </c>
      <c r="M5">
        <v>392</v>
      </c>
      <c r="N5">
        <v>208</v>
      </c>
      <c r="O5">
        <v>125</v>
      </c>
      <c r="P5">
        <v>465</v>
      </c>
      <c r="Q5">
        <v>646</v>
      </c>
      <c r="R5">
        <v>4</v>
      </c>
    </row>
    <row r="6" spans="1:18">
      <c r="A6" s="1" t="s">
        <v>21</v>
      </c>
      <c r="B6">
        <v>31</v>
      </c>
      <c r="C6">
        <v>22</v>
      </c>
      <c r="D6">
        <v>9</v>
      </c>
      <c r="E6">
        <v>-13.61</v>
      </c>
      <c r="F6">
        <v>2135</v>
      </c>
      <c r="G6">
        <v>756</v>
      </c>
      <c r="H6">
        <v>1713</v>
      </c>
      <c r="I6">
        <v>458</v>
      </c>
      <c r="J6">
        <v>696</v>
      </c>
      <c r="K6">
        <v>386</v>
      </c>
      <c r="L6">
        <v>1175</v>
      </c>
      <c r="M6">
        <v>410</v>
      </c>
      <c r="N6">
        <v>260</v>
      </c>
      <c r="O6">
        <v>93</v>
      </c>
      <c r="P6">
        <v>510</v>
      </c>
      <c r="Q6">
        <v>502</v>
      </c>
      <c r="R6">
        <v>5</v>
      </c>
    </row>
    <row r="7" spans="1:18">
      <c r="A7" s="1" t="s">
        <v>22</v>
      </c>
      <c r="B7">
        <v>36</v>
      </c>
      <c r="C7">
        <v>25</v>
      </c>
      <c r="D7">
        <v>11</v>
      </c>
      <c r="E7">
        <v>6.27</v>
      </c>
      <c r="F7">
        <v>2761</v>
      </c>
      <c r="G7">
        <v>953</v>
      </c>
      <c r="H7">
        <v>2199</v>
      </c>
      <c r="I7">
        <v>623</v>
      </c>
      <c r="J7">
        <v>893</v>
      </c>
      <c r="K7">
        <v>580</v>
      </c>
      <c r="L7">
        <v>1519</v>
      </c>
      <c r="M7">
        <v>438</v>
      </c>
      <c r="N7">
        <v>257</v>
      </c>
      <c r="O7">
        <v>166</v>
      </c>
      <c r="P7">
        <v>547</v>
      </c>
      <c r="Q7">
        <v>690</v>
      </c>
      <c r="R7">
        <v>6</v>
      </c>
    </row>
    <row r="8" spans="1:18">
      <c r="A8" s="1" t="s">
        <v>23</v>
      </c>
      <c r="B8">
        <v>28</v>
      </c>
      <c r="C8">
        <v>6</v>
      </c>
      <c r="D8">
        <v>22</v>
      </c>
      <c r="E8">
        <v>-8.67</v>
      </c>
      <c r="F8">
        <v>1928</v>
      </c>
      <c r="G8">
        <v>712</v>
      </c>
      <c r="H8">
        <v>1656</v>
      </c>
      <c r="I8">
        <v>338</v>
      </c>
      <c r="J8">
        <v>501</v>
      </c>
      <c r="K8">
        <v>281</v>
      </c>
      <c r="L8">
        <v>920</v>
      </c>
      <c r="M8">
        <v>316</v>
      </c>
      <c r="N8">
        <v>225</v>
      </c>
      <c r="O8">
        <v>64</v>
      </c>
      <c r="P8">
        <v>428</v>
      </c>
      <c r="Q8">
        <v>570</v>
      </c>
      <c r="R8">
        <v>7</v>
      </c>
    </row>
    <row r="9" spans="1:18">
      <c r="A9" s="1" t="s">
        <v>24</v>
      </c>
      <c r="B9">
        <v>30</v>
      </c>
      <c r="C9">
        <v>15</v>
      </c>
      <c r="D9">
        <v>15</v>
      </c>
      <c r="E9">
        <v>-10.78</v>
      </c>
      <c r="F9">
        <v>2245</v>
      </c>
      <c r="G9">
        <v>784</v>
      </c>
      <c r="H9">
        <v>1790</v>
      </c>
      <c r="I9">
        <v>518</v>
      </c>
      <c r="J9">
        <v>746</v>
      </c>
      <c r="K9">
        <v>433</v>
      </c>
      <c r="L9">
        <v>1158</v>
      </c>
      <c r="M9">
        <v>366</v>
      </c>
      <c r="N9">
        <v>228</v>
      </c>
      <c r="O9">
        <v>95</v>
      </c>
      <c r="P9">
        <v>577</v>
      </c>
      <c r="Q9">
        <v>588</v>
      </c>
      <c r="R9">
        <v>8</v>
      </c>
    </row>
    <row r="10" spans="1:18">
      <c r="A10" s="1" t="s">
        <v>25</v>
      </c>
      <c r="B10">
        <v>27</v>
      </c>
      <c r="C10">
        <v>7</v>
      </c>
      <c r="D10">
        <v>20</v>
      </c>
      <c r="E10">
        <v>-2.81</v>
      </c>
      <c r="F10">
        <v>1579</v>
      </c>
      <c r="G10">
        <v>596</v>
      </c>
      <c r="H10">
        <v>1470</v>
      </c>
      <c r="I10">
        <v>277</v>
      </c>
      <c r="J10">
        <v>484</v>
      </c>
      <c r="K10">
        <v>348</v>
      </c>
      <c r="L10">
        <v>1000</v>
      </c>
      <c r="M10">
        <v>293</v>
      </c>
      <c r="N10">
        <v>137</v>
      </c>
      <c r="O10">
        <v>114</v>
      </c>
      <c r="P10">
        <v>431</v>
      </c>
      <c r="Q10">
        <v>473</v>
      </c>
      <c r="R10">
        <v>9</v>
      </c>
    </row>
    <row r="11" spans="1:18">
      <c r="A11" s="1" t="s">
        <v>271</v>
      </c>
      <c r="B11">
        <v>31</v>
      </c>
      <c r="C11">
        <v>11</v>
      </c>
      <c r="D11">
        <v>20</v>
      </c>
      <c r="E11">
        <v>-4.24</v>
      </c>
      <c r="F11">
        <v>2005</v>
      </c>
      <c r="G11">
        <v>743</v>
      </c>
      <c r="H11">
        <v>1715</v>
      </c>
      <c r="I11">
        <v>386</v>
      </c>
      <c r="J11">
        <v>572</v>
      </c>
      <c r="K11">
        <v>410</v>
      </c>
      <c r="L11">
        <v>1172</v>
      </c>
      <c r="M11">
        <v>444</v>
      </c>
      <c r="N11">
        <v>193</v>
      </c>
      <c r="O11">
        <v>79</v>
      </c>
      <c r="P11">
        <v>547</v>
      </c>
      <c r="Q11">
        <v>598</v>
      </c>
      <c r="R11">
        <v>10</v>
      </c>
    </row>
    <row r="12" spans="1:18">
      <c r="A12" s="1" t="s">
        <v>26</v>
      </c>
      <c r="B12">
        <v>29</v>
      </c>
      <c r="C12">
        <v>13</v>
      </c>
      <c r="D12">
        <v>16</v>
      </c>
      <c r="E12">
        <v>8.99</v>
      </c>
      <c r="F12">
        <v>2121</v>
      </c>
      <c r="G12">
        <v>779</v>
      </c>
      <c r="H12">
        <v>1757</v>
      </c>
      <c r="I12">
        <v>458</v>
      </c>
      <c r="J12">
        <v>681</v>
      </c>
      <c r="K12">
        <v>430</v>
      </c>
      <c r="L12">
        <v>1144</v>
      </c>
      <c r="M12">
        <v>458</v>
      </c>
      <c r="N12">
        <v>183</v>
      </c>
      <c r="O12">
        <v>119</v>
      </c>
      <c r="P12">
        <v>456</v>
      </c>
      <c r="Q12">
        <v>678</v>
      </c>
      <c r="R12">
        <v>11</v>
      </c>
    </row>
    <row r="13" spans="1:18">
      <c r="A13" s="1" t="s">
        <v>356</v>
      </c>
      <c r="B13">
        <v>36</v>
      </c>
      <c r="C13">
        <v>28</v>
      </c>
      <c r="D13">
        <v>8</v>
      </c>
      <c r="E13">
        <v>12.56</v>
      </c>
      <c r="F13">
        <v>2926</v>
      </c>
      <c r="G13">
        <v>1015</v>
      </c>
      <c r="H13">
        <v>2131</v>
      </c>
      <c r="I13">
        <v>703</v>
      </c>
      <c r="J13">
        <v>940</v>
      </c>
      <c r="K13">
        <v>487</v>
      </c>
      <c r="L13">
        <v>1433</v>
      </c>
      <c r="M13">
        <v>585</v>
      </c>
      <c r="N13">
        <v>283</v>
      </c>
      <c r="O13">
        <v>159</v>
      </c>
      <c r="P13">
        <v>546</v>
      </c>
      <c r="Q13">
        <v>630</v>
      </c>
      <c r="R13">
        <v>12</v>
      </c>
    </row>
    <row r="14" spans="1:18">
      <c r="A14" s="1" t="s">
        <v>27</v>
      </c>
      <c r="B14">
        <v>29</v>
      </c>
      <c r="C14">
        <v>18</v>
      </c>
      <c r="D14">
        <v>11</v>
      </c>
      <c r="E14">
        <v>-3.63</v>
      </c>
      <c r="F14">
        <v>2056</v>
      </c>
      <c r="G14">
        <v>704</v>
      </c>
      <c r="H14">
        <v>1484</v>
      </c>
      <c r="I14">
        <v>448</v>
      </c>
      <c r="J14">
        <v>635</v>
      </c>
      <c r="K14">
        <v>263</v>
      </c>
      <c r="L14">
        <v>957</v>
      </c>
      <c r="M14">
        <v>376</v>
      </c>
      <c r="N14">
        <v>218</v>
      </c>
      <c r="O14">
        <v>91</v>
      </c>
      <c r="P14">
        <v>466</v>
      </c>
      <c r="Q14">
        <v>578</v>
      </c>
      <c r="R14">
        <v>13</v>
      </c>
    </row>
    <row r="15" spans="1:18">
      <c r="A15" s="1" t="s">
        <v>28</v>
      </c>
      <c r="B15">
        <v>27</v>
      </c>
      <c r="C15">
        <v>2</v>
      </c>
      <c r="D15">
        <v>25</v>
      </c>
      <c r="E15">
        <v>-8.23</v>
      </c>
      <c r="F15">
        <v>1660</v>
      </c>
      <c r="G15">
        <v>612</v>
      </c>
      <c r="H15">
        <v>1662</v>
      </c>
      <c r="I15">
        <v>320</v>
      </c>
      <c r="J15">
        <v>543</v>
      </c>
      <c r="K15">
        <v>359</v>
      </c>
      <c r="L15">
        <v>1005</v>
      </c>
      <c r="M15">
        <v>269</v>
      </c>
      <c r="N15">
        <v>210</v>
      </c>
      <c r="O15">
        <v>90</v>
      </c>
      <c r="P15">
        <v>526</v>
      </c>
      <c r="Q15">
        <v>537</v>
      </c>
      <c r="R15">
        <v>14</v>
      </c>
    </row>
    <row r="16" spans="1:18">
      <c r="A16" s="1" t="s">
        <v>29</v>
      </c>
      <c r="B16">
        <v>30</v>
      </c>
      <c r="C16">
        <v>17</v>
      </c>
      <c r="D16">
        <v>13</v>
      </c>
      <c r="E16">
        <v>-2.76</v>
      </c>
      <c r="F16">
        <v>2189</v>
      </c>
      <c r="G16">
        <v>799</v>
      </c>
      <c r="H16">
        <v>1759</v>
      </c>
      <c r="I16">
        <v>411</v>
      </c>
      <c r="J16">
        <v>593</v>
      </c>
      <c r="K16">
        <v>358</v>
      </c>
      <c r="L16">
        <v>1114</v>
      </c>
      <c r="M16">
        <v>415</v>
      </c>
      <c r="N16">
        <v>155</v>
      </c>
      <c r="O16">
        <v>141</v>
      </c>
      <c r="P16">
        <v>442</v>
      </c>
      <c r="Q16">
        <v>614</v>
      </c>
      <c r="R16">
        <v>15</v>
      </c>
    </row>
    <row r="17" spans="1:18">
      <c r="A17" s="1" t="s">
        <v>302</v>
      </c>
      <c r="B17">
        <v>31</v>
      </c>
      <c r="C17">
        <v>20</v>
      </c>
      <c r="D17">
        <v>11</v>
      </c>
      <c r="E17">
        <v>6.16</v>
      </c>
      <c r="F17">
        <v>2476</v>
      </c>
      <c r="G17">
        <v>881</v>
      </c>
      <c r="H17">
        <v>1990</v>
      </c>
      <c r="I17">
        <v>441</v>
      </c>
      <c r="J17">
        <v>639</v>
      </c>
      <c r="K17">
        <v>410</v>
      </c>
      <c r="L17">
        <v>1100</v>
      </c>
      <c r="M17">
        <v>476</v>
      </c>
      <c r="N17">
        <v>365</v>
      </c>
      <c r="O17">
        <v>124</v>
      </c>
      <c r="P17">
        <v>451</v>
      </c>
      <c r="Q17">
        <v>654</v>
      </c>
      <c r="R17">
        <v>16</v>
      </c>
    </row>
    <row r="18" spans="1:18">
      <c r="A18" s="1" t="s">
        <v>30</v>
      </c>
      <c r="B18">
        <v>28</v>
      </c>
      <c r="C18">
        <v>9</v>
      </c>
      <c r="D18">
        <v>19</v>
      </c>
      <c r="E18">
        <v>-7.65</v>
      </c>
      <c r="F18">
        <v>2015</v>
      </c>
      <c r="G18">
        <v>644</v>
      </c>
      <c r="H18">
        <v>1502</v>
      </c>
      <c r="I18">
        <v>567</v>
      </c>
      <c r="J18">
        <v>756</v>
      </c>
      <c r="K18">
        <v>272</v>
      </c>
      <c r="L18">
        <v>919</v>
      </c>
      <c r="M18">
        <v>309</v>
      </c>
      <c r="N18">
        <v>169</v>
      </c>
      <c r="O18">
        <v>58</v>
      </c>
      <c r="P18">
        <v>498</v>
      </c>
      <c r="Q18">
        <v>662</v>
      </c>
      <c r="R18">
        <v>17</v>
      </c>
    </row>
    <row r="19" spans="1:18">
      <c r="A19" s="1" t="s">
        <v>272</v>
      </c>
      <c r="B19">
        <v>32</v>
      </c>
      <c r="C19">
        <v>18</v>
      </c>
      <c r="D19">
        <v>14</v>
      </c>
      <c r="E19">
        <v>7.14</v>
      </c>
      <c r="F19">
        <v>2477</v>
      </c>
      <c r="G19">
        <v>917</v>
      </c>
      <c r="H19">
        <v>2043</v>
      </c>
      <c r="I19">
        <v>445</v>
      </c>
      <c r="J19">
        <v>684</v>
      </c>
      <c r="K19">
        <v>466</v>
      </c>
      <c r="L19">
        <v>1243</v>
      </c>
      <c r="M19">
        <v>495</v>
      </c>
      <c r="N19">
        <v>265</v>
      </c>
      <c r="O19">
        <v>155</v>
      </c>
      <c r="P19">
        <v>450</v>
      </c>
      <c r="Q19">
        <v>629</v>
      </c>
      <c r="R19">
        <v>18</v>
      </c>
    </row>
    <row r="20" spans="1:18">
      <c r="A20" s="1" t="s">
        <v>31</v>
      </c>
      <c r="B20">
        <v>32</v>
      </c>
      <c r="C20">
        <v>22</v>
      </c>
      <c r="D20">
        <v>10</v>
      </c>
      <c r="E20">
        <v>-3.26</v>
      </c>
      <c r="F20">
        <v>2510</v>
      </c>
      <c r="G20">
        <v>935</v>
      </c>
      <c r="H20">
        <v>1845</v>
      </c>
      <c r="I20">
        <v>451</v>
      </c>
      <c r="J20">
        <v>641</v>
      </c>
      <c r="K20">
        <v>403</v>
      </c>
      <c r="L20">
        <v>1111</v>
      </c>
      <c r="M20">
        <v>472</v>
      </c>
      <c r="N20">
        <v>189</v>
      </c>
      <c r="O20">
        <v>148</v>
      </c>
      <c r="P20">
        <v>462</v>
      </c>
      <c r="Q20">
        <v>504</v>
      </c>
      <c r="R20">
        <v>19</v>
      </c>
    </row>
    <row r="21" spans="1:18">
      <c r="A21" s="1" t="s">
        <v>273</v>
      </c>
      <c r="B21">
        <v>30</v>
      </c>
      <c r="C21">
        <v>18</v>
      </c>
      <c r="D21">
        <v>12</v>
      </c>
      <c r="E21">
        <v>0.3</v>
      </c>
      <c r="F21">
        <v>2092</v>
      </c>
      <c r="G21">
        <v>784</v>
      </c>
      <c r="H21">
        <v>1736</v>
      </c>
      <c r="I21">
        <v>331</v>
      </c>
      <c r="J21">
        <v>508</v>
      </c>
      <c r="K21">
        <v>412</v>
      </c>
      <c r="L21">
        <v>1152</v>
      </c>
      <c r="M21">
        <v>381</v>
      </c>
      <c r="N21">
        <v>153</v>
      </c>
      <c r="O21">
        <v>98</v>
      </c>
      <c r="P21">
        <v>402</v>
      </c>
      <c r="Q21">
        <v>527</v>
      </c>
      <c r="R21">
        <v>20</v>
      </c>
    </row>
    <row r="22" spans="1:18">
      <c r="A22" s="1" t="s">
        <v>32</v>
      </c>
      <c r="B22">
        <v>31</v>
      </c>
      <c r="C22">
        <v>19</v>
      </c>
      <c r="D22">
        <v>12</v>
      </c>
      <c r="E22">
        <v>2.6</v>
      </c>
      <c r="F22">
        <v>2209</v>
      </c>
      <c r="G22">
        <v>784</v>
      </c>
      <c r="H22">
        <v>1748</v>
      </c>
      <c r="I22">
        <v>453</v>
      </c>
      <c r="J22">
        <v>673</v>
      </c>
      <c r="K22">
        <v>331</v>
      </c>
      <c r="L22">
        <v>1118</v>
      </c>
      <c r="M22">
        <v>473</v>
      </c>
      <c r="N22">
        <v>274</v>
      </c>
      <c r="O22">
        <v>75</v>
      </c>
      <c r="P22">
        <v>445</v>
      </c>
      <c r="Q22">
        <v>541</v>
      </c>
      <c r="R22">
        <v>21</v>
      </c>
    </row>
    <row r="23" spans="1:18">
      <c r="A23" s="1" t="s">
        <v>33</v>
      </c>
      <c r="B23">
        <v>28</v>
      </c>
      <c r="C23">
        <v>13</v>
      </c>
      <c r="D23">
        <v>15</v>
      </c>
      <c r="E23">
        <v>-5.45</v>
      </c>
      <c r="F23">
        <v>2133</v>
      </c>
      <c r="G23">
        <v>719</v>
      </c>
      <c r="H23">
        <v>1667</v>
      </c>
      <c r="I23">
        <v>407</v>
      </c>
      <c r="J23">
        <v>546</v>
      </c>
      <c r="K23">
        <v>350</v>
      </c>
      <c r="L23">
        <v>995</v>
      </c>
      <c r="M23">
        <v>490</v>
      </c>
      <c r="N23">
        <v>151</v>
      </c>
      <c r="O23">
        <v>45</v>
      </c>
      <c r="P23">
        <v>422</v>
      </c>
      <c r="Q23">
        <v>552</v>
      </c>
      <c r="R23">
        <v>22</v>
      </c>
    </row>
    <row r="24" spans="1:18">
      <c r="A24" s="1" t="s">
        <v>34</v>
      </c>
      <c r="B24">
        <v>29</v>
      </c>
      <c r="C24">
        <v>10</v>
      </c>
      <c r="D24">
        <v>19</v>
      </c>
      <c r="E24">
        <v>-10.37</v>
      </c>
      <c r="F24">
        <v>1822</v>
      </c>
      <c r="G24">
        <v>618</v>
      </c>
      <c r="H24">
        <v>1541</v>
      </c>
      <c r="I24">
        <v>471</v>
      </c>
      <c r="J24">
        <v>738</v>
      </c>
      <c r="K24">
        <v>367</v>
      </c>
      <c r="L24">
        <v>1028</v>
      </c>
      <c r="M24">
        <v>242</v>
      </c>
      <c r="N24">
        <v>207</v>
      </c>
      <c r="O24">
        <v>59</v>
      </c>
      <c r="P24">
        <v>499</v>
      </c>
      <c r="Q24">
        <v>644</v>
      </c>
      <c r="R24">
        <v>23</v>
      </c>
    </row>
    <row r="25" spans="1:18">
      <c r="A25" s="1" t="s">
        <v>35</v>
      </c>
      <c r="B25">
        <v>31</v>
      </c>
      <c r="C25">
        <v>17</v>
      </c>
      <c r="D25">
        <v>14</v>
      </c>
      <c r="E25">
        <v>-0.21</v>
      </c>
      <c r="F25">
        <v>2237</v>
      </c>
      <c r="G25">
        <v>811</v>
      </c>
      <c r="H25">
        <v>1778</v>
      </c>
      <c r="I25">
        <v>441</v>
      </c>
      <c r="J25">
        <v>653</v>
      </c>
      <c r="K25">
        <v>338</v>
      </c>
      <c r="L25">
        <v>1015</v>
      </c>
      <c r="M25">
        <v>433</v>
      </c>
      <c r="N25">
        <v>214</v>
      </c>
      <c r="O25">
        <v>92</v>
      </c>
      <c r="P25">
        <v>460</v>
      </c>
      <c r="Q25">
        <v>630</v>
      </c>
      <c r="R25">
        <v>24</v>
      </c>
    </row>
    <row r="26" spans="1:18">
      <c r="A26" s="1" t="s">
        <v>36</v>
      </c>
      <c r="B26">
        <v>32</v>
      </c>
      <c r="C26">
        <v>27</v>
      </c>
      <c r="D26">
        <v>5</v>
      </c>
      <c r="E26">
        <v>5.18</v>
      </c>
      <c r="F26">
        <v>2547</v>
      </c>
      <c r="G26">
        <v>879</v>
      </c>
      <c r="H26">
        <v>1934</v>
      </c>
      <c r="I26">
        <v>559</v>
      </c>
      <c r="J26">
        <v>788</v>
      </c>
      <c r="K26">
        <v>486</v>
      </c>
      <c r="L26">
        <v>1166</v>
      </c>
      <c r="M26">
        <v>464</v>
      </c>
      <c r="N26">
        <v>326</v>
      </c>
      <c r="O26">
        <v>97</v>
      </c>
      <c r="P26">
        <v>423</v>
      </c>
      <c r="Q26">
        <v>652</v>
      </c>
      <c r="R26">
        <v>25</v>
      </c>
    </row>
    <row r="27" spans="1:18">
      <c r="A27" s="1" t="s">
        <v>37</v>
      </c>
      <c r="B27">
        <v>28</v>
      </c>
      <c r="C27">
        <v>14</v>
      </c>
      <c r="D27">
        <v>14</v>
      </c>
      <c r="E27">
        <v>-5.84</v>
      </c>
      <c r="F27">
        <v>1913</v>
      </c>
      <c r="G27">
        <v>656</v>
      </c>
      <c r="H27">
        <v>1577</v>
      </c>
      <c r="I27">
        <v>407</v>
      </c>
      <c r="J27">
        <v>559</v>
      </c>
      <c r="K27">
        <v>353</v>
      </c>
      <c r="L27">
        <v>1011</v>
      </c>
      <c r="M27">
        <v>347</v>
      </c>
      <c r="N27">
        <v>189</v>
      </c>
      <c r="O27">
        <v>53</v>
      </c>
      <c r="P27">
        <v>376</v>
      </c>
      <c r="Q27">
        <v>568</v>
      </c>
      <c r="R27">
        <v>26</v>
      </c>
    </row>
    <row r="28" spans="1:18">
      <c r="A28" s="1" t="s">
        <v>38</v>
      </c>
      <c r="B28">
        <v>29</v>
      </c>
      <c r="C28">
        <v>15</v>
      </c>
      <c r="D28">
        <v>14</v>
      </c>
      <c r="E28">
        <v>1.4</v>
      </c>
      <c r="F28">
        <v>2202</v>
      </c>
      <c r="G28">
        <v>761</v>
      </c>
      <c r="H28">
        <v>1571</v>
      </c>
      <c r="I28">
        <v>546</v>
      </c>
      <c r="J28">
        <v>712</v>
      </c>
      <c r="K28">
        <v>276</v>
      </c>
      <c r="L28">
        <v>952</v>
      </c>
      <c r="M28">
        <v>442</v>
      </c>
      <c r="N28">
        <v>221</v>
      </c>
      <c r="O28">
        <v>98</v>
      </c>
      <c r="P28">
        <v>424</v>
      </c>
      <c r="Q28">
        <v>587</v>
      </c>
      <c r="R28">
        <v>27</v>
      </c>
    </row>
    <row r="29" spans="1:18">
      <c r="A29" s="1" t="s">
        <v>39</v>
      </c>
      <c r="B29">
        <v>31</v>
      </c>
      <c r="C29">
        <v>19</v>
      </c>
      <c r="D29">
        <v>12</v>
      </c>
      <c r="E29">
        <v>1.75</v>
      </c>
      <c r="F29">
        <v>2045</v>
      </c>
      <c r="G29">
        <v>699</v>
      </c>
      <c r="H29">
        <v>1590</v>
      </c>
      <c r="I29">
        <v>481</v>
      </c>
      <c r="J29">
        <v>644</v>
      </c>
      <c r="K29">
        <v>306</v>
      </c>
      <c r="L29">
        <v>1116</v>
      </c>
      <c r="M29">
        <v>403</v>
      </c>
      <c r="N29">
        <v>164</v>
      </c>
      <c r="O29">
        <v>127</v>
      </c>
      <c r="P29">
        <v>433</v>
      </c>
      <c r="Q29">
        <v>550</v>
      </c>
      <c r="R29">
        <v>28</v>
      </c>
    </row>
    <row r="30" spans="1:18">
      <c r="A30" s="1" t="s">
        <v>40</v>
      </c>
      <c r="B30">
        <v>33</v>
      </c>
      <c r="C30">
        <v>24</v>
      </c>
      <c r="D30">
        <v>9</v>
      </c>
      <c r="E30">
        <v>3.47</v>
      </c>
      <c r="F30">
        <v>2324</v>
      </c>
      <c r="G30">
        <v>744</v>
      </c>
      <c r="H30">
        <v>1620</v>
      </c>
      <c r="I30">
        <v>651</v>
      </c>
      <c r="J30">
        <v>835</v>
      </c>
      <c r="K30">
        <v>292</v>
      </c>
      <c r="L30">
        <v>1052</v>
      </c>
      <c r="M30">
        <v>414</v>
      </c>
      <c r="N30">
        <v>203</v>
      </c>
      <c r="O30">
        <v>108</v>
      </c>
      <c r="P30">
        <v>433</v>
      </c>
      <c r="Q30">
        <v>491</v>
      </c>
      <c r="R30">
        <v>29</v>
      </c>
    </row>
    <row r="31" spans="1:18">
      <c r="A31" s="1" t="s">
        <v>41</v>
      </c>
      <c r="B31">
        <v>27</v>
      </c>
      <c r="C31">
        <v>15</v>
      </c>
      <c r="D31">
        <v>12</v>
      </c>
      <c r="E31">
        <v>-6.78</v>
      </c>
      <c r="F31">
        <v>1968</v>
      </c>
      <c r="G31">
        <v>682</v>
      </c>
      <c r="H31">
        <v>1511</v>
      </c>
      <c r="I31">
        <v>450</v>
      </c>
      <c r="J31">
        <v>652</v>
      </c>
      <c r="K31">
        <v>327</v>
      </c>
      <c r="L31">
        <v>968</v>
      </c>
      <c r="M31">
        <v>384</v>
      </c>
      <c r="N31">
        <v>211</v>
      </c>
      <c r="O31">
        <v>71</v>
      </c>
      <c r="P31">
        <v>472</v>
      </c>
      <c r="Q31">
        <v>539</v>
      </c>
      <c r="R31">
        <v>30</v>
      </c>
    </row>
    <row r="32" spans="1:18">
      <c r="A32" s="1" t="s">
        <v>42</v>
      </c>
      <c r="B32">
        <v>29</v>
      </c>
      <c r="C32">
        <v>14</v>
      </c>
      <c r="D32">
        <v>15</v>
      </c>
      <c r="E32">
        <v>-6.27</v>
      </c>
      <c r="F32">
        <v>1909</v>
      </c>
      <c r="G32">
        <v>664</v>
      </c>
      <c r="H32">
        <v>1542</v>
      </c>
      <c r="I32">
        <v>469</v>
      </c>
      <c r="J32">
        <v>762</v>
      </c>
      <c r="K32">
        <v>342</v>
      </c>
      <c r="L32">
        <v>1015</v>
      </c>
      <c r="M32">
        <v>338</v>
      </c>
      <c r="N32">
        <v>216</v>
      </c>
      <c r="O32">
        <v>85</v>
      </c>
      <c r="P32">
        <v>497</v>
      </c>
      <c r="Q32">
        <v>540</v>
      </c>
      <c r="R32">
        <v>31</v>
      </c>
    </row>
    <row r="33" spans="1:18">
      <c r="A33" s="1" t="s">
        <v>43</v>
      </c>
      <c r="B33">
        <v>28</v>
      </c>
      <c r="C33">
        <v>4</v>
      </c>
      <c r="D33">
        <v>24</v>
      </c>
      <c r="E33">
        <v>0.7</v>
      </c>
      <c r="F33">
        <v>1873</v>
      </c>
      <c r="G33">
        <v>645</v>
      </c>
      <c r="H33">
        <v>1548</v>
      </c>
      <c r="I33">
        <v>394</v>
      </c>
      <c r="J33">
        <v>605</v>
      </c>
      <c r="K33">
        <v>329</v>
      </c>
      <c r="L33">
        <v>944</v>
      </c>
      <c r="M33">
        <v>331</v>
      </c>
      <c r="N33">
        <v>186</v>
      </c>
      <c r="O33">
        <v>66</v>
      </c>
      <c r="P33">
        <v>444</v>
      </c>
      <c r="Q33">
        <v>589</v>
      </c>
      <c r="R33">
        <v>32</v>
      </c>
    </row>
    <row r="34" spans="1:18">
      <c r="A34" s="1" t="s">
        <v>304</v>
      </c>
      <c r="B34">
        <v>32</v>
      </c>
      <c r="C34">
        <v>24</v>
      </c>
      <c r="D34">
        <v>8</v>
      </c>
      <c r="E34">
        <v>3.98</v>
      </c>
      <c r="F34">
        <v>2228</v>
      </c>
      <c r="G34">
        <v>755</v>
      </c>
      <c r="H34">
        <v>1643</v>
      </c>
      <c r="I34">
        <v>467</v>
      </c>
      <c r="J34">
        <v>652</v>
      </c>
      <c r="K34">
        <v>305</v>
      </c>
      <c r="L34">
        <v>922</v>
      </c>
      <c r="M34">
        <v>388</v>
      </c>
      <c r="N34">
        <v>222</v>
      </c>
      <c r="O34">
        <v>89</v>
      </c>
      <c r="P34">
        <v>377</v>
      </c>
      <c r="Q34">
        <v>505</v>
      </c>
      <c r="R34">
        <v>33</v>
      </c>
    </row>
    <row r="35" spans="1:18">
      <c r="A35" s="1" t="s">
        <v>44</v>
      </c>
      <c r="B35">
        <v>28</v>
      </c>
      <c r="C35">
        <v>9</v>
      </c>
      <c r="D35">
        <v>19</v>
      </c>
      <c r="E35">
        <v>-1.33</v>
      </c>
      <c r="F35">
        <v>2241</v>
      </c>
      <c r="G35">
        <v>773</v>
      </c>
      <c r="H35">
        <v>1764</v>
      </c>
      <c r="I35">
        <v>497</v>
      </c>
      <c r="J35">
        <v>728</v>
      </c>
      <c r="K35">
        <v>419</v>
      </c>
      <c r="L35">
        <v>1129</v>
      </c>
      <c r="M35">
        <v>334</v>
      </c>
      <c r="N35">
        <v>178</v>
      </c>
      <c r="O35">
        <v>96</v>
      </c>
      <c r="P35">
        <v>422</v>
      </c>
      <c r="Q35">
        <v>565</v>
      </c>
      <c r="R35">
        <v>34</v>
      </c>
    </row>
    <row r="36" spans="1:18">
      <c r="A36" s="1" t="s">
        <v>45</v>
      </c>
      <c r="B36">
        <v>28</v>
      </c>
      <c r="C36">
        <v>5</v>
      </c>
      <c r="D36">
        <v>23</v>
      </c>
      <c r="E36">
        <v>-0.2</v>
      </c>
      <c r="F36">
        <v>1657</v>
      </c>
      <c r="G36">
        <v>556</v>
      </c>
      <c r="H36">
        <v>1336</v>
      </c>
      <c r="I36">
        <v>401</v>
      </c>
      <c r="J36">
        <v>585</v>
      </c>
      <c r="K36">
        <v>253</v>
      </c>
      <c r="L36">
        <v>823</v>
      </c>
      <c r="M36">
        <v>327</v>
      </c>
      <c r="N36">
        <v>151</v>
      </c>
      <c r="O36">
        <v>56</v>
      </c>
      <c r="P36">
        <v>467</v>
      </c>
      <c r="Q36">
        <v>568</v>
      </c>
      <c r="R36">
        <v>35</v>
      </c>
    </row>
    <row r="37" spans="1:18">
      <c r="A37" s="1" t="s">
        <v>46</v>
      </c>
      <c r="B37">
        <v>32</v>
      </c>
      <c r="C37">
        <v>22</v>
      </c>
      <c r="D37">
        <v>10</v>
      </c>
      <c r="E37">
        <v>0.24</v>
      </c>
      <c r="F37">
        <v>2650</v>
      </c>
      <c r="G37">
        <v>910</v>
      </c>
      <c r="H37">
        <v>1842</v>
      </c>
      <c r="I37">
        <v>613</v>
      </c>
      <c r="J37">
        <v>865</v>
      </c>
      <c r="K37">
        <v>373</v>
      </c>
      <c r="L37">
        <v>1158</v>
      </c>
      <c r="M37">
        <v>608</v>
      </c>
      <c r="N37">
        <v>267</v>
      </c>
      <c r="O37">
        <v>77</v>
      </c>
      <c r="P37">
        <v>489</v>
      </c>
      <c r="Q37">
        <v>716</v>
      </c>
      <c r="R37">
        <v>36</v>
      </c>
    </row>
    <row r="38" spans="1:18">
      <c r="A38" s="1" t="s">
        <v>47</v>
      </c>
      <c r="B38">
        <v>30</v>
      </c>
      <c r="C38">
        <v>25</v>
      </c>
      <c r="D38">
        <v>5</v>
      </c>
      <c r="E38">
        <v>-2.58</v>
      </c>
      <c r="F38">
        <v>2108</v>
      </c>
      <c r="G38">
        <v>705</v>
      </c>
      <c r="H38">
        <v>1550</v>
      </c>
      <c r="I38">
        <v>517</v>
      </c>
      <c r="J38">
        <v>697</v>
      </c>
      <c r="K38">
        <v>274</v>
      </c>
      <c r="L38">
        <v>1062</v>
      </c>
      <c r="M38">
        <v>370</v>
      </c>
      <c r="N38">
        <v>194</v>
      </c>
      <c r="O38">
        <v>89</v>
      </c>
      <c r="P38">
        <v>461</v>
      </c>
      <c r="Q38">
        <v>606</v>
      </c>
      <c r="R38">
        <v>37</v>
      </c>
    </row>
    <row r="39" spans="1:18">
      <c r="A39" s="1" t="s">
        <v>48</v>
      </c>
      <c r="B39">
        <v>28</v>
      </c>
      <c r="C39">
        <v>13</v>
      </c>
      <c r="D39">
        <v>15</v>
      </c>
      <c r="E39">
        <v>-0.75</v>
      </c>
      <c r="F39">
        <v>1933</v>
      </c>
      <c r="G39">
        <v>655</v>
      </c>
      <c r="H39">
        <v>1512</v>
      </c>
      <c r="I39">
        <v>479</v>
      </c>
      <c r="J39">
        <v>662</v>
      </c>
      <c r="K39">
        <v>296</v>
      </c>
      <c r="L39">
        <v>1020</v>
      </c>
      <c r="M39">
        <v>394</v>
      </c>
      <c r="N39">
        <v>166</v>
      </c>
      <c r="O39">
        <v>63</v>
      </c>
      <c r="P39">
        <v>449</v>
      </c>
      <c r="Q39">
        <v>566</v>
      </c>
      <c r="R39">
        <v>38</v>
      </c>
    </row>
    <row r="40" spans="1:18">
      <c r="A40" s="1" t="s">
        <v>49</v>
      </c>
      <c r="B40">
        <v>31</v>
      </c>
      <c r="C40">
        <v>20</v>
      </c>
      <c r="D40">
        <v>11</v>
      </c>
      <c r="E40">
        <v>9.08</v>
      </c>
      <c r="F40">
        <v>2304</v>
      </c>
      <c r="G40">
        <v>813</v>
      </c>
      <c r="H40">
        <v>1699</v>
      </c>
      <c r="I40">
        <v>502</v>
      </c>
      <c r="J40">
        <v>732</v>
      </c>
      <c r="K40">
        <v>281</v>
      </c>
      <c r="L40">
        <v>998</v>
      </c>
      <c r="M40">
        <v>508</v>
      </c>
      <c r="N40">
        <v>225</v>
      </c>
      <c r="O40">
        <v>66</v>
      </c>
      <c r="P40">
        <v>424</v>
      </c>
      <c r="Q40">
        <v>570</v>
      </c>
      <c r="R40">
        <v>39</v>
      </c>
    </row>
    <row r="41" spans="1:18">
      <c r="A41" s="1" t="s">
        <v>50</v>
      </c>
      <c r="B41">
        <v>28</v>
      </c>
      <c r="C41">
        <v>7</v>
      </c>
      <c r="D41">
        <v>21</v>
      </c>
      <c r="E41">
        <v>-7.36</v>
      </c>
      <c r="F41">
        <v>1819</v>
      </c>
      <c r="G41">
        <v>682</v>
      </c>
      <c r="H41">
        <v>1599</v>
      </c>
      <c r="I41">
        <v>308</v>
      </c>
      <c r="J41">
        <v>464</v>
      </c>
      <c r="K41">
        <v>340</v>
      </c>
      <c r="L41">
        <v>943</v>
      </c>
      <c r="M41">
        <v>338</v>
      </c>
      <c r="N41">
        <v>155</v>
      </c>
      <c r="O41">
        <v>84</v>
      </c>
      <c r="P41">
        <v>401</v>
      </c>
      <c r="Q41">
        <v>510</v>
      </c>
      <c r="R41">
        <v>40</v>
      </c>
    </row>
    <row r="42" spans="1:18">
      <c r="A42" s="1" t="s">
        <v>51</v>
      </c>
      <c r="B42">
        <v>31</v>
      </c>
      <c r="C42">
        <v>20</v>
      </c>
      <c r="D42">
        <v>11</v>
      </c>
      <c r="E42">
        <v>-4.62</v>
      </c>
      <c r="F42">
        <v>2395</v>
      </c>
      <c r="G42">
        <v>840</v>
      </c>
      <c r="H42">
        <v>1850</v>
      </c>
      <c r="I42">
        <v>488</v>
      </c>
      <c r="J42">
        <v>706</v>
      </c>
      <c r="K42">
        <v>370</v>
      </c>
      <c r="L42">
        <v>1162</v>
      </c>
      <c r="M42">
        <v>494</v>
      </c>
      <c r="N42">
        <v>199</v>
      </c>
      <c r="O42">
        <v>99</v>
      </c>
      <c r="P42">
        <v>414</v>
      </c>
      <c r="Q42">
        <v>624</v>
      </c>
      <c r="R42">
        <v>41</v>
      </c>
    </row>
    <row r="43" spans="1:18">
      <c r="A43" s="1" t="s">
        <v>52</v>
      </c>
      <c r="B43">
        <v>27</v>
      </c>
      <c r="C43">
        <v>8</v>
      </c>
      <c r="D43">
        <v>19</v>
      </c>
      <c r="E43">
        <v>-1.53</v>
      </c>
      <c r="F43">
        <v>1854</v>
      </c>
      <c r="G43">
        <v>619</v>
      </c>
      <c r="H43">
        <v>1494</v>
      </c>
      <c r="I43">
        <v>483</v>
      </c>
      <c r="J43">
        <v>641</v>
      </c>
      <c r="L43">
        <v>950</v>
      </c>
      <c r="M43">
        <v>292</v>
      </c>
      <c r="N43">
        <v>156</v>
      </c>
      <c r="O43">
        <v>52</v>
      </c>
      <c r="P43">
        <v>392</v>
      </c>
      <c r="Q43">
        <v>640</v>
      </c>
      <c r="R43">
        <v>42</v>
      </c>
    </row>
    <row r="44" spans="1:18">
      <c r="A44" s="1" t="s">
        <v>274</v>
      </c>
      <c r="B44">
        <v>28</v>
      </c>
      <c r="C44">
        <v>14</v>
      </c>
      <c r="D44">
        <v>14</v>
      </c>
      <c r="E44">
        <v>-10.18</v>
      </c>
      <c r="F44">
        <v>2050</v>
      </c>
      <c r="G44">
        <v>710</v>
      </c>
      <c r="H44">
        <v>1610</v>
      </c>
      <c r="I44">
        <v>475</v>
      </c>
      <c r="J44">
        <v>681</v>
      </c>
      <c r="K44">
        <v>419</v>
      </c>
      <c r="L44">
        <v>1090</v>
      </c>
      <c r="M44">
        <v>337</v>
      </c>
      <c r="N44">
        <v>209</v>
      </c>
      <c r="O44">
        <v>91</v>
      </c>
      <c r="P44">
        <v>466</v>
      </c>
      <c r="Q44">
        <v>568</v>
      </c>
      <c r="R44">
        <v>43</v>
      </c>
    </row>
    <row r="45" spans="1:18">
      <c r="A45" s="1" t="s">
        <v>53</v>
      </c>
      <c r="B45">
        <v>31</v>
      </c>
      <c r="C45">
        <v>8</v>
      </c>
      <c r="D45">
        <v>23</v>
      </c>
      <c r="E45">
        <v>-5.26</v>
      </c>
      <c r="F45">
        <v>2182</v>
      </c>
      <c r="G45">
        <v>795</v>
      </c>
      <c r="H45">
        <v>1846</v>
      </c>
      <c r="I45">
        <v>398</v>
      </c>
      <c r="J45">
        <v>581</v>
      </c>
      <c r="K45">
        <v>393</v>
      </c>
      <c r="L45">
        <v>1096</v>
      </c>
      <c r="M45">
        <v>420</v>
      </c>
      <c r="N45">
        <v>240</v>
      </c>
      <c r="O45">
        <v>109</v>
      </c>
      <c r="P45">
        <v>469</v>
      </c>
      <c r="Q45">
        <v>583</v>
      </c>
      <c r="R45">
        <v>44</v>
      </c>
    </row>
    <row r="46" spans="1:18">
      <c r="A46" s="1" t="s">
        <v>54</v>
      </c>
      <c r="B46">
        <v>28</v>
      </c>
      <c r="C46">
        <v>20</v>
      </c>
      <c r="D46">
        <v>8</v>
      </c>
      <c r="E46">
        <v>0.02</v>
      </c>
      <c r="F46">
        <v>1998</v>
      </c>
      <c r="G46">
        <v>669</v>
      </c>
      <c r="H46">
        <v>1370</v>
      </c>
      <c r="I46">
        <v>530</v>
      </c>
      <c r="J46">
        <v>723</v>
      </c>
      <c r="K46">
        <v>259</v>
      </c>
      <c r="L46">
        <v>921</v>
      </c>
      <c r="M46">
        <v>374</v>
      </c>
      <c r="N46">
        <v>167</v>
      </c>
      <c r="O46">
        <v>65</v>
      </c>
      <c r="P46">
        <v>426</v>
      </c>
      <c r="Q46">
        <v>546</v>
      </c>
      <c r="R46">
        <v>45</v>
      </c>
    </row>
    <row r="47" spans="1:18">
      <c r="A47" s="1" t="s">
        <v>55</v>
      </c>
      <c r="B47">
        <v>29</v>
      </c>
      <c r="C47">
        <v>10</v>
      </c>
      <c r="D47">
        <v>19</v>
      </c>
      <c r="E47">
        <v>-7.06</v>
      </c>
      <c r="F47">
        <v>1860</v>
      </c>
      <c r="G47">
        <v>677</v>
      </c>
      <c r="H47">
        <v>1583</v>
      </c>
      <c r="I47">
        <v>371</v>
      </c>
      <c r="J47">
        <v>580</v>
      </c>
      <c r="K47">
        <v>353</v>
      </c>
      <c r="L47">
        <v>966</v>
      </c>
      <c r="M47">
        <v>345</v>
      </c>
      <c r="N47">
        <v>283</v>
      </c>
      <c r="O47">
        <v>91</v>
      </c>
      <c r="P47">
        <v>531</v>
      </c>
      <c r="Q47">
        <v>648</v>
      </c>
      <c r="R47">
        <v>46</v>
      </c>
    </row>
    <row r="48" spans="1:18">
      <c r="A48" s="1" t="s">
        <v>56</v>
      </c>
      <c r="B48">
        <v>33</v>
      </c>
      <c r="C48">
        <v>22</v>
      </c>
      <c r="D48">
        <v>11</v>
      </c>
      <c r="E48">
        <v>7.91</v>
      </c>
      <c r="F48">
        <v>2583</v>
      </c>
      <c r="G48">
        <v>873</v>
      </c>
      <c r="H48">
        <v>1998</v>
      </c>
      <c r="I48">
        <v>532</v>
      </c>
      <c r="J48">
        <v>777</v>
      </c>
      <c r="K48">
        <v>411</v>
      </c>
      <c r="L48">
        <v>1267</v>
      </c>
      <c r="M48">
        <v>471</v>
      </c>
      <c r="N48">
        <v>231</v>
      </c>
      <c r="O48">
        <v>97</v>
      </c>
      <c r="P48">
        <v>418</v>
      </c>
      <c r="Q48">
        <v>663</v>
      </c>
      <c r="R48">
        <v>47</v>
      </c>
    </row>
    <row r="49" spans="1:18">
      <c r="A49" s="1" t="s">
        <v>57</v>
      </c>
      <c r="B49">
        <v>30</v>
      </c>
      <c r="C49">
        <v>17</v>
      </c>
      <c r="D49">
        <v>13</v>
      </c>
      <c r="E49">
        <v>-3.81</v>
      </c>
      <c r="F49">
        <v>2195</v>
      </c>
      <c r="G49">
        <v>742</v>
      </c>
      <c r="H49">
        <v>1654</v>
      </c>
      <c r="I49">
        <v>514</v>
      </c>
      <c r="J49">
        <v>733</v>
      </c>
      <c r="K49">
        <v>409</v>
      </c>
      <c r="L49">
        <v>1122</v>
      </c>
      <c r="M49">
        <v>411</v>
      </c>
      <c r="N49">
        <v>202</v>
      </c>
      <c r="O49">
        <v>68</v>
      </c>
      <c r="P49">
        <v>461</v>
      </c>
      <c r="Q49">
        <v>545</v>
      </c>
      <c r="R49">
        <v>48</v>
      </c>
    </row>
    <row r="50" spans="1:18">
      <c r="A50" s="1" t="s">
        <v>58</v>
      </c>
      <c r="B50">
        <v>28</v>
      </c>
      <c r="C50">
        <v>5</v>
      </c>
      <c r="D50">
        <v>23</v>
      </c>
      <c r="E50">
        <v>-1.29</v>
      </c>
      <c r="F50">
        <v>1776</v>
      </c>
      <c r="G50">
        <v>682</v>
      </c>
      <c r="H50">
        <v>1586</v>
      </c>
      <c r="I50">
        <v>281</v>
      </c>
      <c r="J50">
        <v>456</v>
      </c>
      <c r="K50">
        <v>355</v>
      </c>
      <c r="L50">
        <v>986</v>
      </c>
      <c r="M50">
        <v>381</v>
      </c>
      <c r="N50">
        <v>171</v>
      </c>
      <c r="O50">
        <v>90</v>
      </c>
      <c r="P50">
        <v>496</v>
      </c>
      <c r="Q50">
        <v>599</v>
      </c>
      <c r="R50">
        <v>49</v>
      </c>
    </row>
    <row r="51" spans="1:18">
      <c r="A51" s="1" t="s">
        <v>335</v>
      </c>
      <c r="B51">
        <v>35</v>
      </c>
      <c r="C51">
        <v>25</v>
      </c>
      <c r="D51">
        <v>10</v>
      </c>
      <c r="E51">
        <v>7.84</v>
      </c>
      <c r="F51">
        <v>2586</v>
      </c>
      <c r="G51">
        <v>921</v>
      </c>
      <c r="H51">
        <v>2076</v>
      </c>
      <c r="I51">
        <v>530</v>
      </c>
      <c r="J51">
        <v>760</v>
      </c>
      <c r="K51">
        <v>464</v>
      </c>
      <c r="L51">
        <v>1216</v>
      </c>
      <c r="M51">
        <v>451</v>
      </c>
      <c r="N51">
        <v>194</v>
      </c>
      <c r="O51">
        <v>118</v>
      </c>
      <c r="P51">
        <v>380</v>
      </c>
      <c r="Q51">
        <v>666</v>
      </c>
      <c r="R51">
        <v>50</v>
      </c>
    </row>
    <row r="52" spans="1:18">
      <c r="A52" s="1" t="s">
        <v>59</v>
      </c>
      <c r="B52">
        <v>28</v>
      </c>
      <c r="C52">
        <v>16</v>
      </c>
      <c r="D52">
        <v>12</v>
      </c>
      <c r="E52">
        <v>-6</v>
      </c>
      <c r="F52">
        <v>1927</v>
      </c>
      <c r="G52">
        <v>646</v>
      </c>
      <c r="H52">
        <v>1566</v>
      </c>
      <c r="I52">
        <v>452</v>
      </c>
      <c r="J52">
        <v>715</v>
      </c>
      <c r="K52">
        <v>390</v>
      </c>
      <c r="L52">
        <v>1036</v>
      </c>
      <c r="M52">
        <v>337</v>
      </c>
      <c r="N52">
        <v>218</v>
      </c>
      <c r="O52">
        <v>102</v>
      </c>
      <c r="P52">
        <v>414</v>
      </c>
      <c r="Q52">
        <v>619</v>
      </c>
      <c r="R52">
        <v>51</v>
      </c>
    </row>
    <row r="53" spans="1:18">
      <c r="A53" s="1" t="s">
        <v>60</v>
      </c>
      <c r="B53">
        <v>31</v>
      </c>
      <c r="C53">
        <v>12</v>
      </c>
      <c r="D53">
        <v>19</v>
      </c>
      <c r="E53">
        <v>8.31</v>
      </c>
      <c r="F53">
        <v>2298</v>
      </c>
      <c r="G53">
        <v>797</v>
      </c>
      <c r="H53">
        <v>1879</v>
      </c>
      <c r="I53">
        <v>456</v>
      </c>
      <c r="J53">
        <v>650</v>
      </c>
      <c r="K53">
        <v>384</v>
      </c>
      <c r="L53">
        <v>1185</v>
      </c>
      <c r="M53">
        <v>434</v>
      </c>
      <c r="N53">
        <v>187</v>
      </c>
      <c r="O53">
        <v>69</v>
      </c>
      <c r="P53">
        <v>496</v>
      </c>
      <c r="Q53">
        <v>668</v>
      </c>
      <c r="R53">
        <v>52</v>
      </c>
    </row>
    <row r="54" spans="1:18">
      <c r="A54" s="1" t="s">
        <v>61</v>
      </c>
      <c r="B54">
        <v>32</v>
      </c>
      <c r="C54">
        <v>19</v>
      </c>
      <c r="D54">
        <v>13</v>
      </c>
      <c r="E54">
        <v>1.56</v>
      </c>
      <c r="F54">
        <v>2192</v>
      </c>
      <c r="G54">
        <v>725</v>
      </c>
      <c r="H54">
        <v>1717</v>
      </c>
      <c r="I54">
        <v>546</v>
      </c>
      <c r="J54">
        <v>795</v>
      </c>
      <c r="K54">
        <v>434</v>
      </c>
      <c r="L54">
        <v>1185</v>
      </c>
      <c r="M54">
        <v>324</v>
      </c>
      <c r="N54">
        <v>210</v>
      </c>
      <c r="O54">
        <v>130</v>
      </c>
      <c r="P54">
        <v>488</v>
      </c>
      <c r="Q54">
        <v>647</v>
      </c>
      <c r="R54">
        <v>53</v>
      </c>
    </row>
    <row r="55" spans="1:18">
      <c r="A55" s="1" t="s">
        <v>62</v>
      </c>
      <c r="B55">
        <v>28</v>
      </c>
      <c r="C55">
        <v>8</v>
      </c>
      <c r="D55">
        <v>20</v>
      </c>
      <c r="E55">
        <v>-6.62</v>
      </c>
      <c r="F55">
        <v>1984</v>
      </c>
      <c r="G55">
        <v>694</v>
      </c>
      <c r="H55">
        <v>1582</v>
      </c>
      <c r="I55">
        <v>425</v>
      </c>
      <c r="J55">
        <v>604</v>
      </c>
      <c r="K55">
        <v>340</v>
      </c>
      <c r="L55">
        <v>914</v>
      </c>
      <c r="M55">
        <v>390</v>
      </c>
      <c r="N55">
        <v>243</v>
      </c>
      <c r="O55">
        <v>56</v>
      </c>
      <c r="P55">
        <v>518</v>
      </c>
      <c r="Q55">
        <v>606</v>
      </c>
      <c r="R55">
        <v>54</v>
      </c>
    </row>
    <row r="56" spans="1:18">
      <c r="A56" s="1" t="s">
        <v>63</v>
      </c>
      <c r="B56">
        <v>28</v>
      </c>
      <c r="C56">
        <v>13</v>
      </c>
      <c r="D56">
        <v>15</v>
      </c>
      <c r="E56">
        <v>-8.1300000000000008</v>
      </c>
      <c r="F56">
        <v>1979</v>
      </c>
      <c r="G56">
        <v>658</v>
      </c>
      <c r="H56">
        <v>1501</v>
      </c>
      <c r="I56">
        <v>533</v>
      </c>
      <c r="J56">
        <v>749</v>
      </c>
      <c r="K56">
        <v>337</v>
      </c>
      <c r="L56">
        <v>958</v>
      </c>
      <c r="M56">
        <v>357</v>
      </c>
      <c r="N56">
        <v>203</v>
      </c>
      <c r="O56">
        <v>70</v>
      </c>
      <c r="P56">
        <v>482</v>
      </c>
      <c r="Q56">
        <v>643</v>
      </c>
      <c r="R56">
        <v>55</v>
      </c>
    </row>
    <row r="57" spans="1:18">
      <c r="A57" s="1" t="s">
        <v>64</v>
      </c>
      <c r="B57">
        <v>29</v>
      </c>
      <c r="C57">
        <v>22</v>
      </c>
      <c r="D57">
        <v>7</v>
      </c>
      <c r="E57">
        <v>-4.5599999999999996</v>
      </c>
      <c r="F57">
        <v>1942</v>
      </c>
      <c r="G57">
        <v>678</v>
      </c>
      <c r="H57">
        <v>1494</v>
      </c>
      <c r="I57">
        <v>467</v>
      </c>
      <c r="J57">
        <v>615</v>
      </c>
      <c r="K57">
        <v>317</v>
      </c>
      <c r="L57">
        <v>983</v>
      </c>
      <c r="M57">
        <v>431</v>
      </c>
      <c r="N57">
        <v>206</v>
      </c>
      <c r="O57">
        <v>147</v>
      </c>
      <c r="P57">
        <v>367</v>
      </c>
      <c r="Q57">
        <v>465</v>
      </c>
      <c r="R57">
        <v>56</v>
      </c>
    </row>
    <row r="58" spans="1:18">
      <c r="A58" s="1" t="s">
        <v>65</v>
      </c>
      <c r="B58">
        <v>28</v>
      </c>
      <c r="C58">
        <v>15</v>
      </c>
      <c r="D58">
        <v>13</v>
      </c>
      <c r="E58">
        <v>2.33</v>
      </c>
      <c r="F58">
        <v>1932</v>
      </c>
      <c r="G58">
        <v>666</v>
      </c>
      <c r="H58">
        <v>1391</v>
      </c>
      <c r="I58">
        <v>417</v>
      </c>
      <c r="J58">
        <v>625</v>
      </c>
      <c r="K58">
        <v>297</v>
      </c>
      <c r="L58">
        <v>971</v>
      </c>
      <c r="M58">
        <v>432</v>
      </c>
      <c r="N58">
        <v>162</v>
      </c>
      <c r="O58">
        <v>42</v>
      </c>
      <c r="P58">
        <v>424</v>
      </c>
      <c r="Q58">
        <v>556</v>
      </c>
      <c r="R58">
        <v>57</v>
      </c>
    </row>
    <row r="59" spans="1:18">
      <c r="A59" s="1" t="s">
        <v>66</v>
      </c>
      <c r="B59">
        <v>30</v>
      </c>
      <c r="C59">
        <v>15</v>
      </c>
      <c r="D59">
        <v>15</v>
      </c>
      <c r="E59">
        <v>5.65</v>
      </c>
      <c r="F59">
        <v>2419</v>
      </c>
      <c r="G59">
        <v>837</v>
      </c>
      <c r="H59">
        <v>1818</v>
      </c>
      <c r="I59">
        <v>559</v>
      </c>
      <c r="J59">
        <v>783</v>
      </c>
      <c r="K59">
        <v>402</v>
      </c>
      <c r="L59">
        <v>1186</v>
      </c>
      <c r="M59">
        <v>517</v>
      </c>
      <c r="N59">
        <v>227</v>
      </c>
      <c r="O59">
        <v>96</v>
      </c>
      <c r="P59">
        <v>494</v>
      </c>
      <c r="Q59">
        <v>653</v>
      </c>
      <c r="R59">
        <v>58</v>
      </c>
    </row>
    <row r="60" spans="1:18">
      <c r="A60" s="1" t="s">
        <v>67</v>
      </c>
      <c r="B60">
        <v>27</v>
      </c>
      <c r="C60">
        <v>12</v>
      </c>
      <c r="D60">
        <v>15</v>
      </c>
      <c r="E60">
        <v>-7.51</v>
      </c>
      <c r="F60">
        <v>1539</v>
      </c>
      <c r="G60">
        <v>514</v>
      </c>
      <c r="H60">
        <v>1230</v>
      </c>
      <c r="I60">
        <v>354</v>
      </c>
      <c r="J60">
        <v>500</v>
      </c>
      <c r="K60">
        <v>200</v>
      </c>
      <c r="L60">
        <v>838</v>
      </c>
      <c r="M60">
        <v>333</v>
      </c>
      <c r="N60">
        <v>140</v>
      </c>
      <c r="O60">
        <v>99</v>
      </c>
      <c r="P60">
        <v>415</v>
      </c>
      <c r="Q60">
        <v>512</v>
      </c>
      <c r="R60">
        <v>59</v>
      </c>
    </row>
    <row r="61" spans="1:18">
      <c r="A61" s="1" t="s">
        <v>275</v>
      </c>
      <c r="B61">
        <v>32</v>
      </c>
      <c r="C61">
        <v>20</v>
      </c>
      <c r="D61">
        <v>12</v>
      </c>
      <c r="E61">
        <v>5.43</v>
      </c>
      <c r="F61">
        <v>2348</v>
      </c>
      <c r="G61">
        <v>860</v>
      </c>
      <c r="H61">
        <v>1850</v>
      </c>
      <c r="I61">
        <v>526</v>
      </c>
      <c r="J61">
        <v>751</v>
      </c>
      <c r="K61">
        <v>475</v>
      </c>
      <c r="L61">
        <v>1231</v>
      </c>
      <c r="M61">
        <v>444</v>
      </c>
      <c r="N61">
        <v>257</v>
      </c>
      <c r="O61">
        <v>120</v>
      </c>
      <c r="P61">
        <v>481</v>
      </c>
      <c r="Q61">
        <v>593</v>
      </c>
      <c r="R61">
        <v>60</v>
      </c>
    </row>
    <row r="62" spans="1:18">
      <c r="A62" s="1" t="s">
        <v>68</v>
      </c>
      <c r="B62">
        <v>28</v>
      </c>
      <c r="C62">
        <v>13</v>
      </c>
      <c r="D62">
        <v>15</v>
      </c>
      <c r="E62">
        <v>-9.39</v>
      </c>
      <c r="F62">
        <v>1806</v>
      </c>
      <c r="G62">
        <v>628</v>
      </c>
      <c r="H62">
        <v>1523</v>
      </c>
      <c r="I62">
        <v>421</v>
      </c>
      <c r="J62">
        <v>566</v>
      </c>
      <c r="K62">
        <v>326</v>
      </c>
      <c r="L62">
        <v>959</v>
      </c>
      <c r="M62">
        <v>256</v>
      </c>
      <c r="N62">
        <v>162</v>
      </c>
      <c r="O62">
        <v>85</v>
      </c>
      <c r="P62">
        <v>436</v>
      </c>
      <c r="Q62">
        <v>556</v>
      </c>
      <c r="R62">
        <v>61</v>
      </c>
    </row>
    <row r="63" spans="1:18">
      <c r="A63" s="1" t="s">
        <v>69</v>
      </c>
      <c r="B63">
        <v>27</v>
      </c>
      <c r="C63">
        <v>7</v>
      </c>
      <c r="D63">
        <v>20</v>
      </c>
      <c r="E63">
        <v>-7.52</v>
      </c>
      <c r="F63">
        <v>1686</v>
      </c>
      <c r="G63">
        <v>578</v>
      </c>
      <c r="H63">
        <v>1487</v>
      </c>
      <c r="I63">
        <v>357</v>
      </c>
      <c r="J63">
        <v>535</v>
      </c>
      <c r="K63">
        <v>330</v>
      </c>
      <c r="L63">
        <v>904</v>
      </c>
      <c r="M63">
        <v>292</v>
      </c>
      <c r="N63">
        <v>193</v>
      </c>
      <c r="O63">
        <v>38</v>
      </c>
      <c r="P63">
        <v>361</v>
      </c>
      <c r="Q63">
        <v>529</v>
      </c>
      <c r="R63">
        <v>62</v>
      </c>
    </row>
    <row r="64" spans="1:18">
      <c r="A64" s="1" t="s">
        <v>326</v>
      </c>
      <c r="B64">
        <v>32</v>
      </c>
      <c r="C64">
        <v>24</v>
      </c>
      <c r="D64">
        <v>8</v>
      </c>
      <c r="E64">
        <v>3</v>
      </c>
      <c r="F64">
        <v>2325</v>
      </c>
      <c r="G64">
        <v>788</v>
      </c>
      <c r="H64">
        <v>1782</v>
      </c>
      <c r="I64">
        <v>500</v>
      </c>
      <c r="J64">
        <v>712</v>
      </c>
      <c r="K64">
        <v>357</v>
      </c>
      <c r="L64">
        <v>1084</v>
      </c>
      <c r="M64">
        <v>490</v>
      </c>
      <c r="N64">
        <v>293</v>
      </c>
      <c r="O64">
        <v>114</v>
      </c>
      <c r="P64">
        <v>426</v>
      </c>
      <c r="Q64">
        <v>646</v>
      </c>
      <c r="R64">
        <v>63</v>
      </c>
    </row>
    <row r="65" spans="1:18">
      <c r="A65" s="1" t="s">
        <v>70</v>
      </c>
      <c r="B65">
        <v>27</v>
      </c>
      <c r="C65">
        <v>8</v>
      </c>
      <c r="D65">
        <v>19</v>
      </c>
      <c r="E65">
        <v>-7.34</v>
      </c>
      <c r="F65">
        <v>1720</v>
      </c>
      <c r="G65">
        <v>577</v>
      </c>
      <c r="H65">
        <v>1436</v>
      </c>
      <c r="I65">
        <v>348</v>
      </c>
      <c r="J65">
        <v>489</v>
      </c>
      <c r="K65">
        <v>221</v>
      </c>
      <c r="L65">
        <v>851</v>
      </c>
      <c r="M65">
        <v>389</v>
      </c>
      <c r="N65">
        <v>160</v>
      </c>
      <c r="O65">
        <v>64</v>
      </c>
      <c r="P65">
        <v>374</v>
      </c>
      <c r="Q65">
        <v>481</v>
      </c>
      <c r="R65">
        <v>64</v>
      </c>
    </row>
    <row r="66" spans="1:18">
      <c r="A66" s="1" t="s">
        <v>71</v>
      </c>
      <c r="B66">
        <v>32</v>
      </c>
      <c r="C66">
        <v>15</v>
      </c>
      <c r="D66">
        <v>17</v>
      </c>
      <c r="E66">
        <v>-3.65</v>
      </c>
      <c r="F66">
        <v>2208</v>
      </c>
      <c r="G66">
        <v>774</v>
      </c>
      <c r="H66">
        <v>1816</v>
      </c>
      <c r="I66">
        <v>463</v>
      </c>
      <c r="J66">
        <v>699</v>
      </c>
      <c r="K66">
        <v>404</v>
      </c>
      <c r="L66">
        <v>1247</v>
      </c>
      <c r="M66">
        <v>438</v>
      </c>
      <c r="N66">
        <v>209</v>
      </c>
      <c r="O66">
        <v>119</v>
      </c>
      <c r="P66">
        <v>576</v>
      </c>
      <c r="Q66">
        <v>708</v>
      </c>
      <c r="R66">
        <v>65</v>
      </c>
    </row>
    <row r="67" spans="1:18">
      <c r="A67" s="1" t="s">
        <v>276</v>
      </c>
      <c r="B67">
        <v>34</v>
      </c>
      <c r="C67">
        <v>21</v>
      </c>
      <c r="D67">
        <v>13</v>
      </c>
      <c r="E67">
        <v>6.14</v>
      </c>
      <c r="F67">
        <v>2418</v>
      </c>
      <c r="G67">
        <v>819</v>
      </c>
      <c r="H67">
        <v>1854</v>
      </c>
      <c r="I67">
        <v>526</v>
      </c>
      <c r="J67">
        <v>718</v>
      </c>
      <c r="K67">
        <v>446</v>
      </c>
      <c r="L67">
        <v>1208</v>
      </c>
      <c r="M67">
        <v>517</v>
      </c>
      <c r="N67">
        <v>206</v>
      </c>
      <c r="O67">
        <v>85</v>
      </c>
      <c r="P67">
        <v>482</v>
      </c>
      <c r="Q67">
        <v>615</v>
      </c>
      <c r="R67">
        <v>66</v>
      </c>
    </row>
    <row r="68" spans="1:18">
      <c r="A68" s="1" t="s">
        <v>72</v>
      </c>
      <c r="B68">
        <v>28</v>
      </c>
      <c r="C68">
        <v>13</v>
      </c>
      <c r="D68">
        <v>15</v>
      </c>
      <c r="E68">
        <v>-10.97</v>
      </c>
      <c r="F68">
        <v>1785</v>
      </c>
      <c r="G68">
        <v>646</v>
      </c>
      <c r="H68">
        <v>1500</v>
      </c>
      <c r="I68">
        <v>310</v>
      </c>
      <c r="J68">
        <v>469</v>
      </c>
      <c r="K68">
        <v>309</v>
      </c>
      <c r="L68">
        <v>851</v>
      </c>
      <c r="M68">
        <v>398</v>
      </c>
      <c r="N68">
        <v>191</v>
      </c>
      <c r="O68">
        <v>71</v>
      </c>
      <c r="P68">
        <v>378</v>
      </c>
      <c r="Q68">
        <v>497</v>
      </c>
      <c r="R68">
        <v>67</v>
      </c>
    </row>
    <row r="69" spans="1:18">
      <c r="A69" s="1" t="s">
        <v>73</v>
      </c>
      <c r="B69">
        <v>30</v>
      </c>
      <c r="C69">
        <v>20</v>
      </c>
      <c r="D69">
        <v>10</v>
      </c>
      <c r="E69">
        <v>-6.04</v>
      </c>
      <c r="F69">
        <v>2252</v>
      </c>
      <c r="G69">
        <v>801</v>
      </c>
      <c r="H69">
        <v>1732</v>
      </c>
      <c r="I69">
        <v>399</v>
      </c>
      <c r="J69">
        <v>578</v>
      </c>
      <c r="K69">
        <v>366</v>
      </c>
      <c r="L69">
        <v>1142</v>
      </c>
      <c r="M69">
        <v>463</v>
      </c>
      <c r="N69">
        <v>219</v>
      </c>
      <c r="O69">
        <v>157</v>
      </c>
      <c r="P69">
        <v>486</v>
      </c>
      <c r="Q69">
        <v>604</v>
      </c>
      <c r="R69">
        <v>68</v>
      </c>
    </row>
    <row r="70" spans="1:18">
      <c r="A70" s="1" t="s">
        <v>74</v>
      </c>
      <c r="B70">
        <v>28</v>
      </c>
      <c r="C70">
        <v>10</v>
      </c>
      <c r="D70">
        <v>18</v>
      </c>
      <c r="E70">
        <v>-1.3</v>
      </c>
      <c r="F70">
        <v>1888</v>
      </c>
      <c r="G70">
        <v>701</v>
      </c>
      <c r="H70">
        <v>1664</v>
      </c>
      <c r="I70">
        <v>323</v>
      </c>
      <c r="J70">
        <v>540</v>
      </c>
      <c r="K70">
        <v>376</v>
      </c>
      <c r="L70">
        <v>1086</v>
      </c>
      <c r="M70">
        <v>359</v>
      </c>
      <c r="N70">
        <v>185</v>
      </c>
      <c r="O70">
        <v>71</v>
      </c>
      <c r="P70">
        <v>467</v>
      </c>
      <c r="Q70">
        <v>526</v>
      </c>
      <c r="R70">
        <v>69</v>
      </c>
    </row>
    <row r="71" spans="1:18">
      <c r="A71" s="1" t="s">
        <v>277</v>
      </c>
      <c r="B71">
        <v>30</v>
      </c>
      <c r="C71">
        <v>12</v>
      </c>
      <c r="D71">
        <v>18</v>
      </c>
      <c r="E71">
        <v>8.02</v>
      </c>
      <c r="F71">
        <v>2168</v>
      </c>
      <c r="G71">
        <v>766</v>
      </c>
      <c r="H71">
        <v>1744</v>
      </c>
      <c r="I71">
        <v>452</v>
      </c>
      <c r="J71">
        <v>669</v>
      </c>
      <c r="K71">
        <v>396</v>
      </c>
      <c r="L71">
        <v>1130</v>
      </c>
      <c r="M71">
        <v>439</v>
      </c>
      <c r="N71">
        <v>160</v>
      </c>
      <c r="O71">
        <v>108</v>
      </c>
      <c r="P71">
        <v>434</v>
      </c>
      <c r="Q71">
        <v>559</v>
      </c>
      <c r="R71">
        <v>70</v>
      </c>
    </row>
    <row r="72" spans="1:18">
      <c r="A72" s="1" t="s">
        <v>75</v>
      </c>
      <c r="B72">
        <v>37</v>
      </c>
      <c r="C72">
        <v>25</v>
      </c>
      <c r="D72">
        <v>12</v>
      </c>
      <c r="E72">
        <v>2.44</v>
      </c>
      <c r="F72">
        <v>2600</v>
      </c>
      <c r="G72">
        <v>920</v>
      </c>
      <c r="H72">
        <v>2036</v>
      </c>
      <c r="I72">
        <v>481</v>
      </c>
      <c r="J72">
        <v>706</v>
      </c>
      <c r="K72">
        <v>467</v>
      </c>
      <c r="L72">
        <v>1292</v>
      </c>
      <c r="M72">
        <v>473</v>
      </c>
      <c r="N72">
        <v>214</v>
      </c>
      <c r="O72">
        <v>105</v>
      </c>
      <c r="P72">
        <v>448</v>
      </c>
      <c r="Q72">
        <v>711</v>
      </c>
      <c r="R72">
        <v>71</v>
      </c>
    </row>
    <row r="73" spans="1:18">
      <c r="A73" s="1" t="s">
        <v>76</v>
      </c>
      <c r="B73">
        <v>28</v>
      </c>
      <c r="C73">
        <v>12</v>
      </c>
      <c r="D73">
        <v>16</v>
      </c>
      <c r="E73">
        <v>-0.21</v>
      </c>
      <c r="F73">
        <v>1965</v>
      </c>
      <c r="G73">
        <v>668</v>
      </c>
      <c r="H73">
        <v>1449</v>
      </c>
      <c r="I73">
        <v>428</v>
      </c>
      <c r="J73">
        <v>562</v>
      </c>
      <c r="K73">
        <v>240</v>
      </c>
      <c r="L73">
        <v>934</v>
      </c>
      <c r="M73">
        <v>385</v>
      </c>
      <c r="N73">
        <v>139</v>
      </c>
      <c r="O73">
        <v>64</v>
      </c>
      <c r="P73">
        <v>380</v>
      </c>
      <c r="Q73">
        <v>480</v>
      </c>
      <c r="R73">
        <v>72</v>
      </c>
    </row>
    <row r="74" spans="1:18">
      <c r="A74" s="1" t="s">
        <v>77</v>
      </c>
      <c r="B74">
        <v>27</v>
      </c>
      <c r="C74">
        <v>15</v>
      </c>
      <c r="D74">
        <v>12</v>
      </c>
      <c r="E74">
        <v>-5.43</v>
      </c>
      <c r="F74">
        <v>2025</v>
      </c>
      <c r="G74">
        <v>723</v>
      </c>
      <c r="H74">
        <v>1523</v>
      </c>
      <c r="I74">
        <v>416</v>
      </c>
      <c r="J74">
        <v>610</v>
      </c>
      <c r="K74">
        <v>316</v>
      </c>
      <c r="L74">
        <v>1047</v>
      </c>
      <c r="M74">
        <v>411</v>
      </c>
      <c r="N74">
        <v>144</v>
      </c>
      <c r="O74">
        <v>51</v>
      </c>
      <c r="P74">
        <v>444</v>
      </c>
      <c r="Q74">
        <v>560</v>
      </c>
      <c r="R74">
        <v>73</v>
      </c>
    </row>
    <row r="75" spans="1:18">
      <c r="A75" s="1" t="s">
        <v>373</v>
      </c>
      <c r="B75">
        <v>39</v>
      </c>
      <c r="C75">
        <v>35</v>
      </c>
      <c r="D75">
        <v>4</v>
      </c>
      <c r="E75">
        <v>11.98</v>
      </c>
      <c r="F75">
        <v>3538</v>
      </c>
      <c r="G75">
        <v>1217</v>
      </c>
      <c r="H75">
        <v>2530</v>
      </c>
      <c r="I75">
        <v>697</v>
      </c>
      <c r="J75">
        <v>1002</v>
      </c>
      <c r="K75">
        <v>538</v>
      </c>
      <c r="L75">
        <v>1505</v>
      </c>
      <c r="M75">
        <v>701</v>
      </c>
      <c r="N75">
        <v>411</v>
      </c>
      <c r="O75">
        <v>196</v>
      </c>
      <c r="P75">
        <v>531</v>
      </c>
      <c r="Q75">
        <v>659</v>
      </c>
      <c r="R75">
        <v>74</v>
      </c>
    </row>
    <row r="76" spans="1:18">
      <c r="A76" s="1" t="s">
        <v>78</v>
      </c>
      <c r="B76">
        <v>30</v>
      </c>
      <c r="C76">
        <v>9</v>
      </c>
      <c r="D76">
        <v>21</v>
      </c>
      <c r="E76">
        <v>3.96</v>
      </c>
      <c r="F76">
        <v>2116</v>
      </c>
      <c r="G76">
        <v>735</v>
      </c>
      <c r="H76">
        <v>1660</v>
      </c>
      <c r="I76">
        <v>490</v>
      </c>
      <c r="J76">
        <v>702</v>
      </c>
      <c r="K76">
        <v>352</v>
      </c>
      <c r="L76">
        <v>990</v>
      </c>
      <c r="M76">
        <v>331</v>
      </c>
      <c r="N76">
        <v>196</v>
      </c>
      <c r="O76">
        <v>64</v>
      </c>
      <c r="P76">
        <v>509</v>
      </c>
      <c r="Q76">
        <v>594</v>
      </c>
      <c r="R76">
        <v>75</v>
      </c>
    </row>
    <row r="77" spans="1:18">
      <c r="A77" s="1" t="s">
        <v>79</v>
      </c>
      <c r="B77">
        <v>28</v>
      </c>
      <c r="C77">
        <v>14</v>
      </c>
      <c r="D77">
        <v>14</v>
      </c>
      <c r="E77">
        <v>-3.16</v>
      </c>
      <c r="F77">
        <v>2018</v>
      </c>
      <c r="G77">
        <v>659</v>
      </c>
      <c r="H77">
        <v>1603</v>
      </c>
      <c r="I77">
        <v>472</v>
      </c>
      <c r="J77">
        <v>651</v>
      </c>
      <c r="K77">
        <v>295</v>
      </c>
      <c r="L77">
        <v>1002</v>
      </c>
      <c r="M77">
        <v>356</v>
      </c>
      <c r="N77">
        <v>165</v>
      </c>
      <c r="O77">
        <v>47</v>
      </c>
      <c r="P77">
        <v>386</v>
      </c>
      <c r="Q77">
        <v>565</v>
      </c>
      <c r="R77">
        <v>76</v>
      </c>
    </row>
    <row r="78" spans="1:18">
      <c r="A78" s="1" t="s">
        <v>80</v>
      </c>
      <c r="B78">
        <v>28</v>
      </c>
      <c r="C78">
        <v>18</v>
      </c>
      <c r="D78">
        <v>10</v>
      </c>
      <c r="E78">
        <v>-6.12</v>
      </c>
      <c r="F78">
        <v>2034</v>
      </c>
      <c r="G78">
        <v>727</v>
      </c>
      <c r="H78">
        <v>1638</v>
      </c>
      <c r="I78">
        <v>427</v>
      </c>
      <c r="J78">
        <v>693</v>
      </c>
      <c r="K78">
        <v>408</v>
      </c>
      <c r="L78">
        <v>1095</v>
      </c>
      <c r="M78">
        <v>375</v>
      </c>
      <c r="N78">
        <v>279</v>
      </c>
      <c r="O78">
        <v>90</v>
      </c>
      <c r="P78">
        <v>462</v>
      </c>
      <c r="Q78">
        <v>624</v>
      </c>
      <c r="R78">
        <v>77</v>
      </c>
    </row>
    <row r="79" spans="1:18">
      <c r="A79" s="1" t="s">
        <v>81</v>
      </c>
      <c r="B79">
        <v>31</v>
      </c>
      <c r="C79">
        <v>21</v>
      </c>
      <c r="D79">
        <v>10</v>
      </c>
      <c r="E79">
        <v>-2.46</v>
      </c>
      <c r="F79">
        <v>2564</v>
      </c>
      <c r="G79">
        <v>915</v>
      </c>
      <c r="H79">
        <v>1931</v>
      </c>
      <c r="I79">
        <v>504</v>
      </c>
      <c r="J79">
        <v>650</v>
      </c>
      <c r="K79">
        <v>359</v>
      </c>
      <c r="L79">
        <v>1124</v>
      </c>
      <c r="M79">
        <v>514</v>
      </c>
      <c r="N79">
        <v>197</v>
      </c>
      <c r="O79">
        <v>116</v>
      </c>
      <c r="P79">
        <v>427</v>
      </c>
      <c r="Q79">
        <v>577</v>
      </c>
      <c r="R79">
        <v>78</v>
      </c>
    </row>
    <row r="80" spans="1:18">
      <c r="A80" s="1" t="s">
        <v>82</v>
      </c>
      <c r="B80">
        <v>26</v>
      </c>
      <c r="C80">
        <v>7</v>
      </c>
      <c r="D80">
        <v>19</v>
      </c>
      <c r="E80">
        <v>-2.73</v>
      </c>
      <c r="F80">
        <v>1895</v>
      </c>
      <c r="G80">
        <v>677</v>
      </c>
      <c r="H80">
        <v>1612</v>
      </c>
      <c r="I80">
        <v>372</v>
      </c>
      <c r="J80">
        <v>589</v>
      </c>
      <c r="K80">
        <v>374</v>
      </c>
      <c r="L80">
        <v>998</v>
      </c>
      <c r="M80">
        <v>335</v>
      </c>
      <c r="N80">
        <v>176</v>
      </c>
      <c r="O80">
        <v>101</v>
      </c>
      <c r="P80">
        <v>451</v>
      </c>
      <c r="Q80">
        <v>574</v>
      </c>
      <c r="R80">
        <v>79</v>
      </c>
    </row>
    <row r="81" spans="1:18">
      <c r="A81" s="1" t="s">
        <v>83</v>
      </c>
      <c r="B81">
        <v>28</v>
      </c>
      <c r="C81">
        <v>3</v>
      </c>
      <c r="D81">
        <v>25</v>
      </c>
      <c r="E81">
        <v>-0.76</v>
      </c>
      <c r="F81">
        <v>1672</v>
      </c>
      <c r="G81">
        <v>593</v>
      </c>
      <c r="H81">
        <v>1403</v>
      </c>
      <c r="I81">
        <v>347</v>
      </c>
      <c r="J81">
        <v>542</v>
      </c>
      <c r="K81">
        <v>256</v>
      </c>
      <c r="L81">
        <v>865</v>
      </c>
      <c r="M81">
        <v>314</v>
      </c>
      <c r="N81">
        <v>132</v>
      </c>
      <c r="O81">
        <v>80</v>
      </c>
      <c r="P81">
        <v>433</v>
      </c>
      <c r="Q81">
        <v>511</v>
      </c>
      <c r="R81">
        <v>80</v>
      </c>
    </row>
    <row r="82" spans="1:18">
      <c r="A82" s="1" t="s">
        <v>84</v>
      </c>
      <c r="B82">
        <v>28</v>
      </c>
      <c r="C82">
        <v>17</v>
      </c>
      <c r="D82">
        <v>11</v>
      </c>
      <c r="E82">
        <v>-0.76</v>
      </c>
      <c r="F82">
        <v>2010</v>
      </c>
      <c r="G82">
        <v>680</v>
      </c>
      <c r="H82">
        <v>1413</v>
      </c>
      <c r="I82">
        <v>523</v>
      </c>
      <c r="J82">
        <v>716</v>
      </c>
      <c r="K82">
        <v>250</v>
      </c>
      <c r="L82">
        <v>809</v>
      </c>
      <c r="M82">
        <v>427</v>
      </c>
      <c r="N82">
        <v>213</v>
      </c>
      <c r="O82">
        <v>51</v>
      </c>
      <c r="P82">
        <v>466</v>
      </c>
      <c r="Q82">
        <v>596</v>
      </c>
      <c r="R82">
        <v>81</v>
      </c>
    </row>
    <row r="83" spans="1:18">
      <c r="A83" s="1" t="s">
        <v>85</v>
      </c>
      <c r="B83">
        <v>29</v>
      </c>
      <c r="C83">
        <v>9</v>
      </c>
      <c r="D83">
        <v>20</v>
      </c>
      <c r="E83">
        <v>-9.17</v>
      </c>
      <c r="F83">
        <v>1873</v>
      </c>
      <c r="G83">
        <v>669</v>
      </c>
      <c r="H83">
        <v>1523</v>
      </c>
      <c r="I83">
        <v>364</v>
      </c>
      <c r="J83">
        <v>528</v>
      </c>
      <c r="K83">
        <v>294</v>
      </c>
      <c r="L83">
        <v>893</v>
      </c>
      <c r="M83">
        <v>331</v>
      </c>
      <c r="N83">
        <v>196</v>
      </c>
      <c r="O83">
        <v>92</v>
      </c>
      <c r="P83">
        <v>470</v>
      </c>
      <c r="Q83">
        <v>555</v>
      </c>
      <c r="R83">
        <v>82</v>
      </c>
    </row>
    <row r="84" spans="1:18">
      <c r="A84" s="1" t="s">
        <v>86</v>
      </c>
      <c r="B84">
        <v>30</v>
      </c>
      <c r="C84">
        <v>14</v>
      </c>
      <c r="D84">
        <v>16</v>
      </c>
      <c r="E84">
        <v>1.77</v>
      </c>
      <c r="F84">
        <v>2066</v>
      </c>
      <c r="G84">
        <v>733</v>
      </c>
      <c r="H84">
        <v>1515</v>
      </c>
      <c r="I84">
        <v>414</v>
      </c>
      <c r="J84">
        <v>590</v>
      </c>
      <c r="K84">
        <v>219</v>
      </c>
      <c r="L84">
        <v>916</v>
      </c>
      <c r="M84">
        <v>515</v>
      </c>
      <c r="N84">
        <v>149</v>
      </c>
      <c r="O84">
        <v>66</v>
      </c>
      <c r="P84">
        <v>454</v>
      </c>
      <c r="Q84">
        <v>525</v>
      </c>
      <c r="R84">
        <v>83</v>
      </c>
    </row>
    <row r="85" spans="1:18">
      <c r="A85" s="1" t="s">
        <v>87</v>
      </c>
      <c r="B85">
        <v>28</v>
      </c>
      <c r="C85">
        <v>12</v>
      </c>
      <c r="D85">
        <v>16</v>
      </c>
      <c r="E85">
        <v>-3.51</v>
      </c>
      <c r="F85">
        <v>2069</v>
      </c>
      <c r="G85">
        <v>708</v>
      </c>
      <c r="H85">
        <v>1624</v>
      </c>
      <c r="I85">
        <v>535</v>
      </c>
      <c r="J85">
        <v>740</v>
      </c>
      <c r="K85">
        <v>377</v>
      </c>
      <c r="L85">
        <v>1049</v>
      </c>
      <c r="M85">
        <v>366</v>
      </c>
      <c r="N85">
        <v>224</v>
      </c>
      <c r="O85">
        <v>113</v>
      </c>
      <c r="P85">
        <v>469</v>
      </c>
      <c r="Q85">
        <v>568</v>
      </c>
      <c r="R85">
        <v>84</v>
      </c>
    </row>
    <row r="86" spans="1:18">
      <c r="A86" s="1" t="s">
        <v>88</v>
      </c>
      <c r="B86">
        <v>28</v>
      </c>
      <c r="C86">
        <v>13</v>
      </c>
      <c r="D86">
        <v>15</v>
      </c>
      <c r="E86">
        <v>-8.4499999999999993</v>
      </c>
      <c r="F86">
        <v>1919</v>
      </c>
      <c r="G86">
        <v>661</v>
      </c>
      <c r="H86">
        <v>1519</v>
      </c>
      <c r="I86">
        <v>402</v>
      </c>
      <c r="J86">
        <v>667</v>
      </c>
      <c r="K86">
        <v>345</v>
      </c>
      <c r="L86">
        <v>986</v>
      </c>
      <c r="M86">
        <v>375</v>
      </c>
      <c r="N86">
        <v>211</v>
      </c>
      <c r="O86">
        <v>71</v>
      </c>
      <c r="P86">
        <v>448</v>
      </c>
      <c r="Q86">
        <v>513</v>
      </c>
      <c r="R86">
        <v>85</v>
      </c>
    </row>
    <row r="87" spans="1:18">
      <c r="A87" s="1" t="s">
        <v>89</v>
      </c>
      <c r="B87">
        <v>28</v>
      </c>
      <c r="C87">
        <v>6</v>
      </c>
      <c r="D87">
        <v>22</v>
      </c>
      <c r="E87">
        <v>-10.220000000000001</v>
      </c>
      <c r="F87">
        <v>1876</v>
      </c>
      <c r="G87">
        <v>621</v>
      </c>
      <c r="H87">
        <v>1563</v>
      </c>
      <c r="I87">
        <v>469</v>
      </c>
      <c r="J87">
        <v>723</v>
      </c>
      <c r="K87">
        <v>391</v>
      </c>
      <c r="L87">
        <v>956</v>
      </c>
      <c r="M87">
        <v>290</v>
      </c>
      <c r="N87">
        <v>235</v>
      </c>
      <c r="O87">
        <v>100</v>
      </c>
      <c r="P87">
        <v>545</v>
      </c>
      <c r="Q87">
        <v>704</v>
      </c>
      <c r="R87">
        <v>86</v>
      </c>
    </row>
    <row r="88" spans="1:18">
      <c r="A88" s="1" t="s">
        <v>90</v>
      </c>
      <c r="B88">
        <v>31</v>
      </c>
      <c r="C88">
        <v>7</v>
      </c>
      <c r="D88">
        <v>24</v>
      </c>
      <c r="E88">
        <v>-3.79</v>
      </c>
      <c r="F88">
        <v>2119</v>
      </c>
      <c r="G88">
        <v>761</v>
      </c>
      <c r="H88">
        <v>1928</v>
      </c>
      <c r="I88">
        <v>391</v>
      </c>
      <c r="J88">
        <v>566</v>
      </c>
      <c r="K88">
        <v>462</v>
      </c>
      <c r="L88">
        <v>1164</v>
      </c>
      <c r="M88">
        <v>414</v>
      </c>
      <c r="N88">
        <v>198</v>
      </c>
      <c r="O88">
        <v>64</v>
      </c>
      <c r="P88">
        <v>534</v>
      </c>
      <c r="Q88">
        <v>665</v>
      </c>
      <c r="R88">
        <v>87</v>
      </c>
    </row>
    <row r="89" spans="1:18">
      <c r="A89" s="1" t="s">
        <v>91</v>
      </c>
      <c r="B89">
        <v>29</v>
      </c>
      <c r="C89">
        <v>8</v>
      </c>
      <c r="D89">
        <v>21</v>
      </c>
      <c r="E89">
        <v>-0.7</v>
      </c>
      <c r="F89">
        <v>1727</v>
      </c>
      <c r="G89">
        <v>608</v>
      </c>
      <c r="H89">
        <v>1444</v>
      </c>
      <c r="I89">
        <v>369</v>
      </c>
      <c r="J89">
        <v>528</v>
      </c>
      <c r="K89">
        <v>268</v>
      </c>
      <c r="L89">
        <v>801</v>
      </c>
      <c r="M89">
        <v>255</v>
      </c>
      <c r="N89">
        <v>175</v>
      </c>
      <c r="O89">
        <v>26</v>
      </c>
      <c r="P89">
        <v>388</v>
      </c>
      <c r="Q89">
        <v>532</v>
      </c>
      <c r="R89">
        <v>88</v>
      </c>
    </row>
    <row r="90" spans="1:18">
      <c r="A90" s="1" t="s">
        <v>92</v>
      </c>
      <c r="B90">
        <v>30</v>
      </c>
      <c r="C90">
        <v>9</v>
      </c>
      <c r="D90">
        <v>21</v>
      </c>
      <c r="E90">
        <v>10.99</v>
      </c>
      <c r="F90">
        <v>2085</v>
      </c>
      <c r="G90">
        <v>742</v>
      </c>
      <c r="H90">
        <v>1739</v>
      </c>
      <c r="I90">
        <v>453</v>
      </c>
      <c r="J90">
        <v>675</v>
      </c>
      <c r="K90">
        <v>394</v>
      </c>
      <c r="L90">
        <v>1097</v>
      </c>
      <c r="M90">
        <v>389</v>
      </c>
      <c r="N90">
        <v>186</v>
      </c>
      <c r="O90">
        <v>103</v>
      </c>
      <c r="P90">
        <v>448</v>
      </c>
      <c r="Q90">
        <v>600</v>
      </c>
      <c r="R90">
        <v>89</v>
      </c>
    </row>
    <row r="91" spans="1:18">
      <c r="A91" s="1" t="s">
        <v>347</v>
      </c>
      <c r="B91">
        <v>31</v>
      </c>
      <c r="C91">
        <v>24</v>
      </c>
      <c r="D91">
        <v>7</v>
      </c>
      <c r="E91">
        <v>7.51</v>
      </c>
      <c r="F91">
        <v>2509</v>
      </c>
      <c r="G91">
        <v>849</v>
      </c>
      <c r="H91">
        <v>1764</v>
      </c>
      <c r="I91">
        <v>555</v>
      </c>
      <c r="J91">
        <v>761</v>
      </c>
      <c r="K91">
        <v>319</v>
      </c>
      <c r="L91">
        <v>1145</v>
      </c>
      <c r="M91">
        <v>538</v>
      </c>
      <c r="N91">
        <v>271</v>
      </c>
      <c r="O91">
        <v>114</v>
      </c>
      <c r="P91">
        <v>451</v>
      </c>
      <c r="Q91">
        <v>589</v>
      </c>
      <c r="R91">
        <v>90</v>
      </c>
    </row>
    <row r="92" spans="1:18">
      <c r="A92" s="1" t="s">
        <v>93</v>
      </c>
      <c r="B92">
        <v>29</v>
      </c>
      <c r="C92">
        <v>12</v>
      </c>
      <c r="D92">
        <v>17</v>
      </c>
      <c r="E92">
        <v>5.32</v>
      </c>
      <c r="F92">
        <v>2148</v>
      </c>
      <c r="G92">
        <v>775</v>
      </c>
      <c r="H92">
        <v>1846</v>
      </c>
      <c r="I92">
        <v>409</v>
      </c>
      <c r="J92">
        <v>611</v>
      </c>
      <c r="K92">
        <v>424</v>
      </c>
      <c r="L92">
        <v>1126</v>
      </c>
      <c r="M92">
        <v>429</v>
      </c>
      <c r="N92">
        <v>261</v>
      </c>
      <c r="O92">
        <v>112</v>
      </c>
      <c r="P92">
        <v>470</v>
      </c>
      <c r="Q92">
        <v>587</v>
      </c>
      <c r="R92">
        <v>91</v>
      </c>
    </row>
    <row r="93" spans="1:18">
      <c r="A93" s="1" t="s">
        <v>306</v>
      </c>
      <c r="B93">
        <v>33</v>
      </c>
      <c r="C93">
        <v>26</v>
      </c>
      <c r="D93">
        <v>7</v>
      </c>
      <c r="E93">
        <v>5.14</v>
      </c>
      <c r="F93">
        <v>2689</v>
      </c>
      <c r="G93">
        <v>954</v>
      </c>
      <c r="H93">
        <v>2030</v>
      </c>
      <c r="I93">
        <v>540</v>
      </c>
      <c r="J93">
        <v>793</v>
      </c>
      <c r="K93">
        <v>389</v>
      </c>
      <c r="L93">
        <v>1240</v>
      </c>
      <c r="M93">
        <v>592</v>
      </c>
      <c r="N93">
        <v>330</v>
      </c>
      <c r="O93">
        <v>209</v>
      </c>
      <c r="P93">
        <v>551</v>
      </c>
      <c r="Q93">
        <v>626</v>
      </c>
      <c r="R93">
        <v>92</v>
      </c>
    </row>
    <row r="94" spans="1:18">
      <c r="A94" s="1" t="s">
        <v>94</v>
      </c>
      <c r="B94">
        <v>26</v>
      </c>
      <c r="C94">
        <v>10</v>
      </c>
      <c r="D94">
        <v>16</v>
      </c>
      <c r="E94">
        <v>-6.02</v>
      </c>
      <c r="F94">
        <v>1730</v>
      </c>
      <c r="G94">
        <v>633</v>
      </c>
      <c r="H94">
        <v>1473</v>
      </c>
      <c r="I94">
        <v>315</v>
      </c>
      <c r="J94">
        <v>484</v>
      </c>
      <c r="K94">
        <v>303</v>
      </c>
      <c r="L94">
        <v>891</v>
      </c>
      <c r="M94">
        <v>349</v>
      </c>
      <c r="N94">
        <v>179</v>
      </c>
      <c r="O94">
        <v>75</v>
      </c>
      <c r="P94">
        <v>340</v>
      </c>
      <c r="Q94">
        <v>490</v>
      </c>
      <c r="R94">
        <v>93</v>
      </c>
    </row>
    <row r="95" spans="1:18">
      <c r="A95" s="1" t="s">
        <v>95</v>
      </c>
      <c r="B95">
        <v>30</v>
      </c>
      <c r="C95">
        <v>18</v>
      </c>
      <c r="D95">
        <v>12</v>
      </c>
      <c r="E95">
        <v>-0.35</v>
      </c>
      <c r="F95">
        <v>2127</v>
      </c>
      <c r="G95">
        <v>784</v>
      </c>
      <c r="H95">
        <v>1705</v>
      </c>
      <c r="I95">
        <v>417</v>
      </c>
      <c r="J95">
        <v>633</v>
      </c>
      <c r="K95">
        <v>357</v>
      </c>
      <c r="L95">
        <v>1018</v>
      </c>
      <c r="M95">
        <v>411</v>
      </c>
      <c r="N95">
        <v>252</v>
      </c>
      <c r="O95">
        <v>129</v>
      </c>
      <c r="P95">
        <v>429</v>
      </c>
      <c r="Q95">
        <v>544</v>
      </c>
      <c r="R95">
        <v>94</v>
      </c>
    </row>
    <row r="96" spans="1:18">
      <c r="A96" s="1" t="s">
        <v>96</v>
      </c>
      <c r="B96">
        <v>32</v>
      </c>
      <c r="C96">
        <v>14</v>
      </c>
      <c r="D96">
        <v>18</v>
      </c>
      <c r="E96">
        <v>6.3</v>
      </c>
      <c r="F96">
        <v>2470</v>
      </c>
      <c r="G96">
        <v>835</v>
      </c>
      <c r="H96">
        <v>1986</v>
      </c>
      <c r="I96">
        <v>577</v>
      </c>
      <c r="J96">
        <v>812</v>
      </c>
      <c r="K96">
        <v>475</v>
      </c>
      <c r="L96">
        <v>1245</v>
      </c>
      <c r="M96">
        <v>424</v>
      </c>
      <c r="N96">
        <v>256</v>
      </c>
      <c r="O96">
        <v>110</v>
      </c>
      <c r="P96">
        <v>461</v>
      </c>
      <c r="Q96">
        <v>753</v>
      </c>
      <c r="R96">
        <v>95</v>
      </c>
    </row>
    <row r="97" spans="1:18">
      <c r="A97" s="1" t="s">
        <v>97</v>
      </c>
      <c r="B97">
        <v>33</v>
      </c>
      <c r="C97">
        <v>25</v>
      </c>
      <c r="D97">
        <v>8</v>
      </c>
      <c r="E97">
        <v>1.58</v>
      </c>
      <c r="F97">
        <v>2574</v>
      </c>
      <c r="G97">
        <v>924</v>
      </c>
      <c r="H97">
        <v>2115</v>
      </c>
      <c r="I97">
        <v>540</v>
      </c>
      <c r="J97">
        <v>817</v>
      </c>
      <c r="K97">
        <v>607</v>
      </c>
      <c r="L97">
        <v>1481</v>
      </c>
      <c r="M97">
        <v>547</v>
      </c>
      <c r="N97">
        <v>324</v>
      </c>
      <c r="O97">
        <v>198</v>
      </c>
      <c r="P97">
        <v>550</v>
      </c>
      <c r="Q97">
        <v>694</v>
      </c>
      <c r="R97">
        <v>96</v>
      </c>
    </row>
    <row r="98" spans="1:18">
      <c r="A98" s="1" t="s">
        <v>98</v>
      </c>
      <c r="B98">
        <v>30</v>
      </c>
      <c r="C98">
        <v>15</v>
      </c>
      <c r="D98">
        <v>15</v>
      </c>
      <c r="E98">
        <v>-5.5</v>
      </c>
      <c r="F98">
        <v>2296</v>
      </c>
      <c r="G98">
        <v>839</v>
      </c>
      <c r="H98">
        <v>1908</v>
      </c>
      <c r="I98">
        <v>437</v>
      </c>
      <c r="J98">
        <v>652</v>
      </c>
      <c r="K98">
        <v>443</v>
      </c>
      <c r="L98">
        <v>1182</v>
      </c>
      <c r="M98">
        <v>405</v>
      </c>
      <c r="N98">
        <v>230</v>
      </c>
      <c r="O98">
        <v>77</v>
      </c>
      <c r="P98">
        <v>463</v>
      </c>
      <c r="Q98">
        <v>581</v>
      </c>
      <c r="R98">
        <v>97</v>
      </c>
    </row>
    <row r="99" spans="1:18">
      <c r="A99" s="1" t="s">
        <v>99</v>
      </c>
      <c r="B99">
        <v>34</v>
      </c>
      <c r="C99">
        <v>29</v>
      </c>
      <c r="D99">
        <v>5</v>
      </c>
      <c r="E99">
        <v>-3.72</v>
      </c>
      <c r="F99">
        <v>2701</v>
      </c>
      <c r="G99">
        <v>929</v>
      </c>
      <c r="H99">
        <v>2068</v>
      </c>
      <c r="I99">
        <v>567</v>
      </c>
      <c r="J99">
        <v>808</v>
      </c>
      <c r="K99">
        <v>441</v>
      </c>
      <c r="L99">
        <v>1171</v>
      </c>
      <c r="M99">
        <v>449</v>
      </c>
      <c r="N99">
        <v>351</v>
      </c>
      <c r="O99">
        <v>129</v>
      </c>
      <c r="P99">
        <v>435</v>
      </c>
      <c r="Q99">
        <v>617</v>
      </c>
      <c r="R99">
        <v>98</v>
      </c>
    </row>
    <row r="100" spans="1:18">
      <c r="A100" s="1" t="s">
        <v>100</v>
      </c>
      <c r="B100">
        <v>30</v>
      </c>
      <c r="C100">
        <v>17</v>
      </c>
      <c r="D100">
        <v>13</v>
      </c>
      <c r="E100">
        <v>11.78</v>
      </c>
      <c r="F100">
        <v>2269</v>
      </c>
      <c r="G100">
        <v>776</v>
      </c>
      <c r="H100">
        <v>1822</v>
      </c>
      <c r="I100">
        <v>457</v>
      </c>
      <c r="J100">
        <v>662</v>
      </c>
      <c r="K100">
        <v>345</v>
      </c>
      <c r="L100">
        <v>1125</v>
      </c>
      <c r="M100">
        <v>488</v>
      </c>
      <c r="N100">
        <v>238</v>
      </c>
      <c r="O100">
        <v>136</v>
      </c>
      <c r="P100">
        <v>474</v>
      </c>
      <c r="Q100">
        <v>645</v>
      </c>
      <c r="R100">
        <v>99</v>
      </c>
    </row>
    <row r="101" spans="1:18">
      <c r="A101" s="1" t="s">
        <v>101</v>
      </c>
      <c r="B101">
        <v>31</v>
      </c>
      <c r="C101">
        <v>16</v>
      </c>
      <c r="D101">
        <v>15</v>
      </c>
      <c r="E101">
        <v>12.71</v>
      </c>
      <c r="F101">
        <v>2257</v>
      </c>
      <c r="G101">
        <v>845</v>
      </c>
      <c r="H101">
        <v>1820</v>
      </c>
      <c r="I101">
        <v>425</v>
      </c>
      <c r="J101">
        <v>632</v>
      </c>
      <c r="K101">
        <v>397</v>
      </c>
      <c r="L101">
        <v>1193</v>
      </c>
      <c r="M101">
        <v>471</v>
      </c>
      <c r="N101">
        <v>195</v>
      </c>
      <c r="O101">
        <v>149</v>
      </c>
      <c r="P101">
        <v>485</v>
      </c>
      <c r="Q101">
        <v>569</v>
      </c>
      <c r="R101">
        <v>100</v>
      </c>
    </row>
    <row r="102" spans="1:18">
      <c r="A102" s="1" t="s">
        <v>374</v>
      </c>
      <c r="B102">
        <v>33</v>
      </c>
      <c r="C102">
        <v>26</v>
      </c>
      <c r="D102">
        <v>7</v>
      </c>
      <c r="E102">
        <v>0.32</v>
      </c>
      <c r="F102">
        <v>2720</v>
      </c>
      <c r="G102">
        <v>915</v>
      </c>
      <c r="H102">
        <v>1793</v>
      </c>
      <c r="I102">
        <v>645</v>
      </c>
      <c r="J102">
        <v>947</v>
      </c>
      <c r="K102">
        <v>369</v>
      </c>
      <c r="L102">
        <v>1265</v>
      </c>
      <c r="M102">
        <v>537</v>
      </c>
      <c r="N102">
        <v>191</v>
      </c>
      <c r="O102">
        <v>135</v>
      </c>
      <c r="P102">
        <v>472</v>
      </c>
      <c r="Q102">
        <v>619</v>
      </c>
      <c r="R102">
        <v>101</v>
      </c>
    </row>
    <row r="103" spans="1:18">
      <c r="A103" s="1" t="s">
        <v>102</v>
      </c>
      <c r="B103">
        <v>26</v>
      </c>
      <c r="C103">
        <v>8</v>
      </c>
      <c r="D103">
        <v>18</v>
      </c>
      <c r="E103">
        <v>-10.18</v>
      </c>
      <c r="F103">
        <v>1953</v>
      </c>
      <c r="G103">
        <v>692</v>
      </c>
      <c r="H103">
        <v>1657</v>
      </c>
      <c r="I103">
        <v>411</v>
      </c>
      <c r="J103">
        <v>584</v>
      </c>
      <c r="K103">
        <v>350</v>
      </c>
      <c r="L103">
        <v>958</v>
      </c>
      <c r="M103">
        <v>302</v>
      </c>
      <c r="N103">
        <v>196</v>
      </c>
      <c r="O103">
        <v>106</v>
      </c>
      <c r="P103">
        <v>437</v>
      </c>
      <c r="Q103">
        <v>560</v>
      </c>
      <c r="R103">
        <v>102</v>
      </c>
    </row>
    <row r="104" spans="1:18">
      <c r="A104" s="1" t="s">
        <v>103</v>
      </c>
      <c r="B104">
        <v>28</v>
      </c>
      <c r="C104">
        <v>11</v>
      </c>
      <c r="D104">
        <v>17</v>
      </c>
      <c r="E104">
        <v>2.56</v>
      </c>
      <c r="F104">
        <v>1632</v>
      </c>
      <c r="G104">
        <v>565</v>
      </c>
      <c r="H104">
        <v>1326</v>
      </c>
      <c r="I104">
        <v>372</v>
      </c>
      <c r="J104">
        <v>533</v>
      </c>
      <c r="K104">
        <v>247</v>
      </c>
      <c r="L104">
        <v>835</v>
      </c>
      <c r="M104">
        <v>288</v>
      </c>
      <c r="N104">
        <v>123</v>
      </c>
      <c r="O104">
        <v>68</v>
      </c>
      <c r="P104">
        <v>361</v>
      </c>
      <c r="Q104">
        <v>522</v>
      </c>
      <c r="R104">
        <v>103</v>
      </c>
    </row>
    <row r="105" spans="1:18">
      <c r="A105" s="1" t="s">
        <v>104</v>
      </c>
      <c r="B105">
        <v>32</v>
      </c>
      <c r="C105">
        <v>25</v>
      </c>
      <c r="D105">
        <v>7</v>
      </c>
      <c r="E105">
        <v>-10.6</v>
      </c>
      <c r="F105">
        <v>2471</v>
      </c>
      <c r="G105">
        <v>850</v>
      </c>
      <c r="H105">
        <v>1846</v>
      </c>
      <c r="I105">
        <v>571</v>
      </c>
      <c r="J105">
        <v>835</v>
      </c>
      <c r="K105">
        <v>434</v>
      </c>
      <c r="L105">
        <v>1243</v>
      </c>
      <c r="M105">
        <v>449</v>
      </c>
      <c r="N105">
        <v>218</v>
      </c>
      <c r="O105">
        <v>185</v>
      </c>
      <c r="P105">
        <v>489</v>
      </c>
      <c r="Q105">
        <v>596</v>
      </c>
      <c r="R105">
        <v>104</v>
      </c>
    </row>
    <row r="106" spans="1:18">
      <c r="A106" s="1" t="s">
        <v>105</v>
      </c>
      <c r="B106">
        <v>28</v>
      </c>
      <c r="C106">
        <v>4</v>
      </c>
      <c r="D106">
        <v>24</v>
      </c>
      <c r="E106">
        <v>-5.79</v>
      </c>
      <c r="F106">
        <v>1821</v>
      </c>
      <c r="G106">
        <v>628</v>
      </c>
      <c r="H106">
        <v>1539</v>
      </c>
      <c r="I106">
        <v>397</v>
      </c>
      <c r="J106">
        <v>611</v>
      </c>
      <c r="K106">
        <v>380</v>
      </c>
      <c r="L106">
        <v>968</v>
      </c>
      <c r="M106">
        <v>323</v>
      </c>
      <c r="N106">
        <v>171</v>
      </c>
      <c r="O106">
        <v>67</v>
      </c>
      <c r="P106">
        <v>473</v>
      </c>
      <c r="Q106">
        <v>624</v>
      </c>
      <c r="R106">
        <v>105</v>
      </c>
    </row>
    <row r="107" spans="1:18">
      <c r="A107" s="1" t="s">
        <v>106</v>
      </c>
      <c r="B107">
        <v>26</v>
      </c>
      <c r="C107">
        <v>14</v>
      </c>
      <c r="D107">
        <v>12</v>
      </c>
      <c r="E107">
        <v>-8.51</v>
      </c>
      <c r="F107">
        <v>1864</v>
      </c>
      <c r="G107">
        <v>671</v>
      </c>
      <c r="H107">
        <v>1531</v>
      </c>
      <c r="I107">
        <v>319</v>
      </c>
      <c r="J107">
        <v>473</v>
      </c>
      <c r="K107">
        <v>287</v>
      </c>
      <c r="L107">
        <v>911</v>
      </c>
      <c r="M107">
        <v>405</v>
      </c>
      <c r="N107">
        <v>260</v>
      </c>
      <c r="O107">
        <v>55</v>
      </c>
      <c r="P107">
        <v>450</v>
      </c>
      <c r="Q107">
        <v>559</v>
      </c>
      <c r="R107">
        <v>106</v>
      </c>
    </row>
    <row r="108" spans="1:18">
      <c r="A108" s="1" t="s">
        <v>107</v>
      </c>
      <c r="B108">
        <v>31</v>
      </c>
      <c r="C108">
        <v>17</v>
      </c>
      <c r="D108">
        <v>14</v>
      </c>
      <c r="E108">
        <v>7.25</v>
      </c>
      <c r="F108">
        <v>2254</v>
      </c>
      <c r="G108">
        <v>797</v>
      </c>
      <c r="H108">
        <v>1703</v>
      </c>
      <c r="I108">
        <v>483</v>
      </c>
      <c r="J108">
        <v>666</v>
      </c>
      <c r="K108">
        <v>335</v>
      </c>
      <c r="L108">
        <v>999</v>
      </c>
      <c r="M108">
        <v>557</v>
      </c>
      <c r="N108">
        <v>183</v>
      </c>
      <c r="O108">
        <v>74</v>
      </c>
      <c r="P108">
        <v>516</v>
      </c>
      <c r="Q108">
        <v>605</v>
      </c>
      <c r="R108">
        <v>107</v>
      </c>
    </row>
    <row r="109" spans="1:18">
      <c r="A109" s="1" t="s">
        <v>108</v>
      </c>
      <c r="B109">
        <v>28</v>
      </c>
      <c r="C109">
        <v>8</v>
      </c>
      <c r="D109">
        <v>20</v>
      </c>
      <c r="E109">
        <v>-7.98</v>
      </c>
      <c r="F109">
        <v>1681</v>
      </c>
      <c r="G109">
        <v>608</v>
      </c>
      <c r="H109">
        <v>1548</v>
      </c>
      <c r="I109">
        <v>327</v>
      </c>
      <c r="J109">
        <v>503</v>
      </c>
      <c r="K109">
        <v>354</v>
      </c>
      <c r="L109">
        <v>936</v>
      </c>
      <c r="M109">
        <v>328</v>
      </c>
      <c r="N109">
        <v>246</v>
      </c>
      <c r="O109">
        <v>60</v>
      </c>
      <c r="P109">
        <v>476</v>
      </c>
      <c r="Q109">
        <v>514</v>
      </c>
      <c r="R109">
        <v>108</v>
      </c>
    </row>
    <row r="110" spans="1:18">
      <c r="A110" s="1" t="s">
        <v>307</v>
      </c>
      <c r="B110">
        <v>31</v>
      </c>
      <c r="C110">
        <v>26</v>
      </c>
      <c r="D110">
        <v>5</v>
      </c>
      <c r="E110">
        <v>-5.47</v>
      </c>
      <c r="F110">
        <v>2257</v>
      </c>
      <c r="G110">
        <v>784</v>
      </c>
      <c r="H110">
        <v>1657</v>
      </c>
      <c r="I110">
        <v>522</v>
      </c>
      <c r="J110">
        <v>807</v>
      </c>
      <c r="K110">
        <v>373</v>
      </c>
      <c r="L110">
        <v>1166</v>
      </c>
      <c r="M110">
        <v>414</v>
      </c>
      <c r="N110">
        <v>237</v>
      </c>
      <c r="O110">
        <v>119</v>
      </c>
      <c r="P110">
        <v>511</v>
      </c>
      <c r="Q110">
        <v>547</v>
      </c>
      <c r="R110">
        <v>109</v>
      </c>
    </row>
    <row r="111" spans="1:18">
      <c r="A111" s="1" t="s">
        <v>109</v>
      </c>
      <c r="B111">
        <v>30</v>
      </c>
      <c r="C111">
        <v>22</v>
      </c>
      <c r="D111">
        <v>8</v>
      </c>
      <c r="E111">
        <v>-5.84</v>
      </c>
      <c r="F111">
        <v>2034</v>
      </c>
      <c r="G111">
        <v>640</v>
      </c>
      <c r="H111">
        <v>1437</v>
      </c>
      <c r="I111">
        <v>618</v>
      </c>
      <c r="J111">
        <v>940</v>
      </c>
      <c r="K111">
        <v>388</v>
      </c>
      <c r="L111">
        <v>1155</v>
      </c>
      <c r="M111">
        <v>385</v>
      </c>
      <c r="N111">
        <v>188</v>
      </c>
      <c r="O111">
        <v>157</v>
      </c>
      <c r="P111">
        <v>512</v>
      </c>
      <c r="Q111">
        <v>583</v>
      </c>
      <c r="R111">
        <v>110</v>
      </c>
    </row>
    <row r="112" spans="1:18">
      <c r="A112" s="1" t="s">
        <v>110</v>
      </c>
      <c r="B112">
        <v>29</v>
      </c>
      <c r="C112">
        <v>9</v>
      </c>
      <c r="D112">
        <v>20</v>
      </c>
      <c r="E112">
        <v>4.91</v>
      </c>
      <c r="F112">
        <v>1897</v>
      </c>
      <c r="G112">
        <v>644</v>
      </c>
      <c r="H112">
        <v>1549</v>
      </c>
      <c r="I112">
        <v>504</v>
      </c>
      <c r="J112">
        <v>729</v>
      </c>
      <c r="K112">
        <v>379</v>
      </c>
      <c r="L112">
        <v>1079</v>
      </c>
      <c r="M112">
        <v>321</v>
      </c>
      <c r="N112">
        <v>164</v>
      </c>
      <c r="O112">
        <v>77</v>
      </c>
      <c r="P112">
        <v>463</v>
      </c>
      <c r="Q112">
        <v>616</v>
      </c>
      <c r="R112">
        <v>111</v>
      </c>
    </row>
    <row r="113" spans="1:18">
      <c r="A113" s="1" t="s">
        <v>111</v>
      </c>
      <c r="B113">
        <v>28</v>
      </c>
      <c r="C113">
        <v>10</v>
      </c>
      <c r="D113">
        <v>18</v>
      </c>
      <c r="E113">
        <v>-10.37</v>
      </c>
      <c r="F113">
        <v>1914</v>
      </c>
      <c r="G113">
        <v>621</v>
      </c>
      <c r="H113">
        <v>1598</v>
      </c>
      <c r="I113">
        <v>479</v>
      </c>
      <c r="J113">
        <v>672</v>
      </c>
      <c r="K113">
        <v>323</v>
      </c>
      <c r="L113">
        <v>885</v>
      </c>
      <c r="M113">
        <v>328</v>
      </c>
      <c r="N113">
        <v>198</v>
      </c>
      <c r="O113">
        <v>47</v>
      </c>
      <c r="P113">
        <v>421</v>
      </c>
      <c r="Q113">
        <v>614</v>
      </c>
      <c r="R113">
        <v>112</v>
      </c>
    </row>
    <row r="114" spans="1:18">
      <c r="A114" s="1" t="s">
        <v>112</v>
      </c>
      <c r="B114">
        <v>28</v>
      </c>
      <c r="C114">
        <v>14</v>
      </c>
      <c r="D114">
        <v>14</v>
      </c>
      <c r="E114">
        <v>-1.41</v>
      </c>
      <c r="F114">
        <v>2074</v>
      </c>
      <c r="G114">
        <v>709</v>
      </c>
      <c r="H114">
        <v>1585</v>
      </c>
      <c r="I114">
        <v>421</v>
      </c>
      <c r="J114">
        <v>559</v>
      </c>
      <c r="K114">
        <v>287</v>
      </c>
      <c r="L114">
        <v>952</v>
      </c>
      <c r="M114">
        <v>432</v>
      </c>
      <c r="N114">
        <v>145</v>
      </c>
      <c r="O114">
        <v>82</v>
      </c>
      <c r="P114">
        <v>394</v>
      </c>
      <c r="Q114">
        <v>559</v>
      </c>
      <c r="R114">
        <v>113</v>
      </c>
    </row>
    <row r="115" spans="1:18">
      <c r="A115" s="1" t="s">
        <v>113</v>
      </c>
      <c r="B115">
        <v>27</v>
      </c>
      <c r="C115">
        <v>6</v>
      </c>
      <c r="D115">
        <v>21</v>
      </c>
      <c r="E115">
        <v>-0.02</v>
      </c>
      <c r="F115">
        <v>1720</v>
      </c>
      <c r="G115">
        <v>584</v>
      </c>
      <c r="H115">
        <v>1536</v>
      </c>
      <c r="I115">
        <v>392</v>
      </c>
      <c r="J115">
        <v>610</v>
      </c>
      <c r="K115">
        <v>315</v>
      </c>
      <c r="L115">
        <v>883</v>
      </c>
      <c r="M115">
        <v>296</v>
      </c>
      <c r="N115">
        <v>188</v>
      </c>
      <c r="O115">
        <v>60</v>
      </c>
      <c r="P115">
        <v>396</v>
      </c>
      <c r="Q115">
        <v>584</v>
      </c>
      <c r="R115">
        <v>114</v>
      </c>
    </row>
    <row r="116" spans="1:18">
      <c r="A116" s="1" t="s">
        <v>114</v>
      </c>
      <c r="B116">
        <v>28</v>
      </c>
      <c r="C116">
        <v>11</v>
      </c>
      <c r="D116">
        <v>17</v>
      </c>
      <c r="E116">
        <v>3.55</v>
      </c>
      <c r="F116">
        <v>1901</v>
      </c>
      <c r="G116">
        <v>663</v>
      </c>
      <c r="H116">
        <v>1666</v>
      </c>
      <c r="I116">
        <v>446</v>
      </c>
      <c r="J116">
        <v>683</v>
      </c>
      <c r="K116">
        <v>396</v>
      </c>
      <c r="L116">
        <v>1038</v>
      </c>
      <c r="M116">
        <v>385</v>
      </c>
      <c r="N116">
        <v>165</v>
      </c>
      <c r="O116">
        <v>62</v>
      </c>
      <c r="P116">
        <v>351</v>
      </c>
      <c r="Q116">
        <v>543</v>
      </c>
      <c r="R116">
        <v>115</v>
      </c>
    </row>
    <row r="117" spans="1:18">
      <c r="A117" s="1" t="s">
        <v>115</v>
      </c>
      <c r="B117">
        <v>30</v>
      </c>
      <c r="C117">
        <v>21</v>
      </c>
      <c r="D117">
        <v>9</v>
      </c>
      <c r="E117">
        <v>0.56000000000000005</v>
      </c>
      <c r="F117">
        <v>2257</v>
      </c>
      <c r="G117">
        <v>766</v>
      </c>
      <c r="H117">
        <v>1655</v>
      </c>
      <c r="I117">
        <v>570</v>
      </c>
      <c r="J117">
        <v>783</v>
      </c>
      <c r="K117">
        <v>307</v>
      </c>
      <c r="L117">
        <v>1021</v>
      </c>
      <c r="M117">
        <v>416</v>
      </c>
      <c r="N117">
        <v>246</v>
      </c>
      <c r="O117">
        <v>91</v>
      </c>
      <c r="P117">
        <v>414</v>
      </c>
      <c r="Q117">
        <v>610</v>
      </c>
      <c r="R117">
        <v>116</v>
      </c>
    </row>
    <row r="118" spans="1:18">
      <c r="A118" s="1" t="s">
        <v>348</v>
      </c>
      <c r="B118">
        <v>35</v>
      </c>
      <c r="C118">
        <v>27</v>
      </c>
      <c r="D118">
        <v>8</v>
      </c>
      <c r="E118">
        <v>11.38</v>
      </c>
      <c r="F118">
        <v>2725</v>
      </c>
      <c r="G118">
        <v>929</v>
      </c>
      <c r="H118">
        <v>2046</v>
      </c>
      <c r="I118">
        <v>620</v>
      </c>
      <c r="J118">
        <v>880</v>
      </c>
      <c r="K118">
        <v>479</v>
      </c>
      <c r="L118">
        <v>1400</v>
      </c>
      <c r="M118">
        <v>550</v>
      </c>
      <c r="N118">
        <v>269</v>
      </c>
      <c r="O118">
        <v>146</v>
      </c>
      <c r="P118">
        <v>524</v>
      </c>
      <c r="Q118">
        <v>772</v>
      </c>
      <c r="R118">
        <v>117</v>
      </c>
    </row>
    <row r="119" spans="1:18">
      <c r="A119" s="1" t="s">
        <v>308</v>
      </c>
      <c r="B119">
        <v>34</v>
      </c>
      <c r="C119">
        <v>22</v>
      </c>
      <c r="D119">
        <v>12</v>
      </c>
      <c r="E119">
        <v>2.5</v>
      </c>
      <c r="F119">
        <v>2479</v>
      </c>
      <c r="G119">
        <v>861</v>
      </c>
      <c r="H119">
        <v>1872</v>
      </c>
      <c r="I119">
        <v>544</v>
      </c>
      <c r="J119">
        <v>772</v>
      </c>
      <c r="K119">
        <v>334</v>
      </c>
      <c r="L119">
        <v>1069</v>
      </c>
      <c r="M119">
        <v>521</v>
      </c>
      <c r="N119">
        <v>237</v>
      </c>
      <c r="O119">
        <v>100</v>
      </c>
      <c r="P119">
        <v>402</v>
      </c>
      <c r="Q119">
        <v>576</v>
      </c>
      <c r="R119">
        <v>118</v>
      </c>
    </row>
    <row r="120" spans="1:18">
      <c r="A120" s="1" t="s">
        <v>327</v>
      </c>
      <c r="B120">
        <v>34</v>
      </c>
      <c r="C120">
        <v>21</v>
      </c>
      <c r="D120">
        <v>13</v>
      </c>
      <c r="E120">
        <v>11.05</v>
      </c>
      <c r="F120">
        <v>2408</v>
      </c>
      <c r="G120">
        <v>858</v>
      </c>
      <c r="H120">
        <v>1896</v>
      </c>
      <c r="I120">
        <v>511</v>
      </c>
      <c r="J120">
        <v>804</v>
      </c>
      <c r="K120">
        <v>377</v>
      </c>
      <c r="L120">
        <v>1268</v>
      </c>
      <c r="M120">
        <v>513</v>
      </c>
      <c r="N120">
        <v>231</v>
      </c>
      <c r="O120">
        <v>178</v>
      </c>
      <c r="P120">
        <v>496</v>
      </c>
      <c r="Q120">
        <v>650</v>
      </c>
      <c r="R120">
        <v>119</v>
      </c>
    </row>
    <row r="121" spans="1:18">
      <c r="A121" s="1" t="s">
        <v>309</v>
      </c>
      <c r="B121">
        <v>33</v>
      </c>
      <c r="C121">
        <v>22</v>
      </c>
      <c r="D121">
        <v>11</v>
      </c>
      <c r="E121">
        <v>-4.09</v>
      </c>
      <c r="F121">
        <v>2549</v>
      </c>
      <c r="G121">
        <v>912</v>
      </c>
      <c r="H121">
        <v>1896</v>
      </c>
      <c r="I121">
        <v>566</v>
      </c>
      <c r="J121">
        <v>822</v>
      </c>
      <c r="K121">
        <v>378</v>
      </c>
      <c r="L121">
        <v>1239</v>
      </c>
      <c r="M121">
        <v>481</v>
      </c>
      <c r="N121">
        <v>259</v>
      </c>
      <c r="O121">
        <v>183</v>
      </c>
      <c r="P121">
        <v>557</v>
      </c>
      <c r="Q121">
        <v>717</v>
      </c>
      <c r="R121">
        <v>120</v>
      </c>
    </row>
    <row r="122" spans="1:18">
      <c r="A122" s="1" t="s">
        <v>310</v>
      </c>
      <c r="B122">
        <v>31</v>
      </c>
      <c r="C122">
        <v>25</v>
      </c>
      <c r="D122">
        <v>6</v>
      </c>
      <c r="E122">
        <v>4.87</v>
      </c>
      <c r="F122">
        <v>2451</v>
      </c>
      <c r="G122">
        <v>823</v>
      </c>
      <c r="H122">
        <v>1735</v>
      </c>
      <c r="I122">
        <v>623</v>
      </c>
      <c r="J122">
        <v>856</v>
      </c>
      <c r="K122">
        <v>375</v>
      </c>
      <c r="L122">
        <v>1228</v>
      </c>
      <c r="M122">
        <v>429</v>
      </c>
      <c r="N122">
        <v>190</v>
      </c>
      <c r="O122">
        <v>102</v>
      </c>
      <c r="P122">
        <v>467</v>
      </c>
      <c r="Q122">
        <v>636</v>
      </c>
      <c r="R122">
        <v>121</v>
      </c>
    </row>
    <row r="123" spans="1:18">
      <c r="A123" s="1" t="s">
        <v>116</v>
      </c>
      <c r="B123">
        <v>35</v>
      </c>
      <c r="C123">
        <v>23</v>
      </c>
      <c r="D123">
        <v>12</v>
      </c>
      <c r="E123">
        <v>10.7</v>
      </c>
      <c r="F123">
        <v>2593</v>
      </c>
      <c r="G123">
        <v>815</v>
      </c>
      <c r="H123">
        <v>1895</v>
      </c>
      <c r="I123">
        <v>753</v>
      </c>
      <c r="J123">
        <v>1068</v>
      </c>
      <c r="K123">
        <v>482</v>
      </c>
      <c r="L123">
        <v>1351</v>
      </c>
      <c r="M123">
        <v>474</v>
      </c>
      <c r="N123">
        <v>191</v>
      </c>
      <c r="O123">
        <v>83</v>
      </c>
      <c r="P123">
        <v>520</v>
      </c>
      <c r="Q123">
        <v>783</v>
      </c>
      <c r="R123">
        <v>122</v>
      </c>
    </row>
    <row r="124" spans="1:18">
      <c r="A124" s="1" t="s">
        <v>117</v>
      </c>
      <c r="B124">
        <v>29</v>
      </c>
      <c r="C124">
        <v>11</v>
      </c>
      <c r="D124">
        <v>18</v>
      </c>
      <c r="E124">
        <v>-3.37</v>
      </c>
      <c r="F124">
        <v>2057</v>
      </c>
      <c r="G124">
        <v>701</v>
      </c>
      <c r="H124">
        <v>1620</v>
      </c>
      <c r="I124">
        <v>526</v>
      </c>
      <c r="J124">
        <v>751</v>
      </c>
      <c r="K124">
        <v>380</v>
      </c>
      <c r="L124">
        <v>1007</v>
      </c>
      <c r="M124">
        <v>342</v>
      </c>
      <c r="N124">
        <v>220</v>
      </c>
      <c r="O124">
        <v>95</v>
      </c>
      <c r="P124">
        <v>418</v>
      </c>
      <c r="Q124">
        <v>536</v>
      </c>
      <c r="R124">
        <v>123</v>
      </c>
    </row>
    <row r="125" spans="1:18">
      <c r="A125" s="1" t="s">
        <v>278</v>
      </c>
      <c r="B125">
        <v>30</v>
      </c>
      <c r="C125">
        <v>7</v>
      </c>
      <c r="D125">
        <v>23</v>
      </c>
      <c r="E125">
        <v>-10.35</v>
      </c>
      <c r="F125">
        <v>2012</v>
      </c>
      <c r="G125">
        <v>743</v>
      </c>
      <c r="H125">
        <v>1794</v>
      </c>
      <c r="I125">
        <v>416</v>
      </c>
      <c r="J125">
        <v>632</v>
      </c>
      <c r="K125">
        <v>420</v>
      </c>
      <c r="L125">
        <v>1145</v>
      </c>
      <c r="M125">
        <v>352</v>
      </c>
      <c r="N125">
        <v>193</v>
      </c>
      <c r="O125">
        <v>68</v>
      </c>
      <c r="P125">
        <v>511</v>
      </c>
      <c r="Q125">
        <v>616</v>
      </c>
      <c r="R125">
        <v>124</v>
      </c>
    </row>
    <row r="126" spans="1:18">
      <c r="A126" s="1" t="s">
        <v>118</v>
      </c>
      <c r="B126">
        <v>28</v>
      </c>
      <c r="C126">
        <v>9</v>
      </c>
      <c r="D126">
        <v>19</v>
      </c>
      <c r="E126">
        <v>-5.72</v>
      </c>
      <c r="F126">
        <v>1819</v>
      </c>
      <c r="G126">
        <v>642</v>
      </c>
      <c r="H126">
        <v>1554</v>
      </c>
      <c r="I126">
        <v>371</v>
      </c>
      <c r="J126">
        <v>567</v>
      </c>
      <c r="K126">
        <v>376</v>
      </c>
      <c r="L126">
        <v>1033</v>
      </c>
      <c r="M126">
        <v>402</v>
      </c>
      <c r="N126">
        <v>185</v>
      </c>
      <c r="O126">
        <v>92</v>
      </c>
      <c r="P126">
        <v>517</v>
      </c>
      <c r="Q126">
        <v>534</v>
      </c>
      <c r="R126">
        <v>125</v>
      </c>
    </row>
    <row r="127" spans="1:18">
      <c r="A127" s="1" t="s">
        <v>119</v>
      </c>
      <c r="B127">
        <v>28</v>
      </c>
      <c r="C127">
        <v>18</v>
      </c>
      <c r="D127">
        <v>10</v>
      </c>
      <c r="E127">
        <v>-8.31</v>
      </c>
      <c r="F127">
        <v>1962</v>
      </c>
      <c r="G127">
        <v>701</v>
      </c>
      <c r="H127">
        <v>1549</v>
      </c>
      <c r="I127">
        <v>385</v>
      </c>
      <c r="J127">
        <v>574</v>
      </c>
      <c r="K127">
        <v>352</v>
      </c>
      <c r="L127">
        <v>1008</v>
      </c>
      <c r="M127">
        <v>350</v>
      </c>
      <c r="N127">
        <v>224</v>
      </c>
      <c r="O127">
        <v>151</v>
      </c>
      <c r="P127">
        <v>416</v>
      </c>
      <c r="Q127">
        <v>474</v>
      </c>
      <c r="R127">
        <v>126</v>
      </c>
    </row>
    <row r="128" spans="1:18">
      <c r="A128" s="1" t="s">
        <v>120</v>
      </c>
      <c r="B128">
        <v>29</v>
      </c>
      <c r="C128">
        <v>12</v>
      </c>
      <c r="D128">
        <v>17</v>
      </c>
      <c r="E128">
        <v>-1.85</v>
      </c>
      <c r="F128">
        <v>1880</v>
      </c>
      <c r="G128">
        <v>666</v>
      </c>
      <c r="H128">
        <v>1624</v>
      </c>
      <c r="I128">
        <v>407</v>
      </c>
      <c r="J128">
        <v>607</v>
      </c>
      <c r="K128">
        <v>392</v>
      </c>
      <c r="L128">
        <v>1057</v>
      </c>
      <c r="M128">
        <v>330</v>
      </c>
      <c r="N128">
        <v>184</v>
      </c>
      <c r="O128">
        <v>80</v>
      </c>
      <c r="P128">
        <v>435</v>
      </c>
      <c r="Q128">
        <v>560</v>
      </c>
      <c r="R128">
        <v>127</v>
      </c>
    </row>
    <row r="129" spans="1:18">
      <c r="A129" s="1" t="s">
        <v>121</v>
      </c>
      <c r="B129">
        <v>29</v>
      </c>
      <c r="C129">
        <v>11</v>
      </c>
      <c r="D129">
        <v>18</v>
      </c>
      <c r="E129">
        <v>8.4</v>
      </c>
      <c r="F129">
        <v>1843</v>
      </c>
      <c r="G129">
        <v>669</v>
      </c>
      <c r="H129">
        <v>1625</v>
      </c>
      <c r="I129">
        <v>407</v>
      </c>
      <c r="J129">
        <v>625</v>
      </c>
      <c r="K129">
        <v>367</v>
      </c>
      <c r="L129">
        <v>1098</v>
      </c>
      <c r="M129">
        <v>349</v>
      </c>
      <c r="N129">
        <v>157</v>
      </c>
      <c r="O129">
        <v>94</v>
      </c>
      <c r="P129">
        <v>454</v>
      </c>
      <c r="Q129">
        <v>563</v>
      </c>
      <c r="R129">
        <v>128</v>
      </c>
    </row>
    <row r="130" spans="1:18">
      <c r="A130" s="1" t="s">
        <v>375</v>
      </c>
      <c r="B130">
        <v>33</v>
      </c>
      <c r="C130">
        <v>26</v>
      </c>
      <c r="D130">
        <v>7</v>
      </c>
      <c r="E130">
        <v>9.0299999999999994</v>
      </c>
      <c r="F130">
        <v>2707</v>
      </c>
      <c r="G130">
        <v>1002</v>
      </c>
      <c r="H130">
        <v>1996</v>
      </c>
      <c r="I130">
        <v>520</v>
      </c>
      <c r="J130">
        <v>789</v>
      </c>
      <c r="K130">
        <v>443</v>
      </c>
      <c r="L130">
        <v>1407</v>
      </c>
      <c r="M130">
        <v>641</v>
      </c>
      <c r="N130">
        <v>217</v>
      </c>
      <c r="O130">
        <v>170</v>
      </c>
      <c r="P130">
        <v>532</v>
      </c>
      <c r="Q130">
        <v>648</v>
      </c>
      <c r="R130">
        <v>129</v>
      </c>
    </row>
    <row r="131" spans="1:18">
      <c r="A131" s="1" t="s">
        <v>122</v>
      </c>
      <c r="B131">
        <v>34</v>
      </c>
      <c r="C131">
        <v>24</v>
      </c>
      <c r="D131">
        <v>10</v>
      </c>
      <c r="E131">
        <v>1.44</v>
      </c>
      <c r="F131">
        <v>2390</v>
      </c>
      <c r="G131">
        <v>823</v>
      </c>
      <c r="H131">
        <v>1917</v>
      </c>
      <c r="I131">
        <v>564</v>
      </c>
      <c r="J131">
        <v>739</v>
      </c>
      <c r="K131">
        <v>403</v>
      </c>
      <c r="L131">
        <v>1103</v>
      </c>
      <c r="M131">
        <v>429</v>
      </c>
      <c r="N131">
        <v>233</v>
      </c>
      <c r="O131">
        <v>105</v>
      </c>
      <c r="P131">
        <v>346</v>
      </c>
      <c r="Q131">
        <v>671</v>
      </c>
      <c r="R131">
        <v>130</v>
      </c>
    </row>
    <row r="132" spans="1:18">
      <c r="A132" s="1" t="s">
        <v>354</v>
      </c>
      <c r="B132">
        <v>34</v>
      </c>
      <c r="C132">
        <v>24</v>
      </c>
      <c r="D132">
        <v>10</v>
      </c>
      <c r="E132">
        <v>11.06</v>
      </c>
      <c r="F132">
        <v>2713</v>
      </c>
      <c r="G132">
        <v>988</v>
      </c>
      <c r="H132">
        <v>2051</v>
      </c>
      <c r="I132">
        <v>492</v>
      </c>
      <c r="J132">
        <v>751</v>
      </c>
      <c r="K132">
        <v>464</v>
      </c>
      <c r="L132">
        <v>1311</v>
      </c>
      <c r="M132">
        <v>539</v>
      </c>
      <c r="N132">
        <v>229</v>
      </c>
      <c r="O132">
        <v>151</v>
      </c>
      <c r="P132">
        <v>513</v>
      </c>
      <c r="Q132">
        <v>631</v>
      </c>
      <c r="R132">
        <v>131</v>
      </c>
    </row>
    <row r="133" spans="1:18">
      <c r="A133" s="1" t="s">
        <v>123</v>
      </c>
      <c r="B133">
        <v>29</v>
      </c>
      <c r="C133">
        <v>12</v>
      </c>
      <c r="D133">
        <v>17</v>
      </c>
      <c r="E133">
        <v>4.79</v>
      </c>
      <c r="F133">
        <v>2011</v>
      </c>
      <c r="G133">
        <v>712</v>
      </c>
      <c r="H133">
        <v>1728</v>
      </c>
      <c r="I133">
        <v>381</v>
      </c>
      <c r="J133">
        <v>558</v>
      </c>
      <c r="K133">
        <v>413</v>
      </c>
      <c r="L133">
        <v>1080</v>
      </c>
      <c r="M133">
        <v>373</v>
      </c>
      <c r="N133">
        <v>167</v>
      </c>
      <c r="O133">
        <v>118</v>
      </c>
      <c r="P133">
        <v>419</v>
      </c>
      <c r="Q133">
        <v>467</v>
      </c>
      <c r="R133">
        <v>132</v>
      </c>
    </row>
    <row r="134" spans="1:18">
      <c r="A134" s="1" t="s">
        <v>279</v>
      </c>
      <c r="B134">
        <v>28</v>
      </c>
      <c r="C134">
        <v>12</v>
      </c>
      <c r="D134">
        <v>16</v>
      </c>
      <c r="E134">
        <v>-7.45</v>
      </c>
      <c r="F134">
        <v>2110</v>
      </c>
      <c r="G134">
        <v>709</v>
      </c>
      <c r="H134">
        <v>1629</v>
      </c>
      <c r="I134">
        <v>467</v>
      </c>
      <c r="J134">
        <v>639</v>
      </c>
      <c r="K134">
        <v>308</v>
      </c>
      <c r="L134">
        <v>933</v>
      </c>
      <c r="M134">
        <v>434</v>
      </c>
      <c r="N134">
        <v>245</v>
      </c>
      <c r="O134">
        <v>121</v>
      </c>
      <c r="P134">
        <v>418</v>
      </c>
      <c r="Q134">
        <v>592</v>
      </c>
      <c r="R134">
        <v>133</v>
      </c>
    </row>
    <row r="135" spans="1:18">
      <c r="A135" s="1" t="s">
        <v>280</v>
      </c>
      <c r="B135">
        <v>27</v>
      </c>
      <c r="C135">
        <v>9</v>
      </c>
      <c r="D135">
        <v>18</v>
      </c>
      <c r="E135">
        <v>-8.94</v>
      </c>
      <c r="F135">
        <v>1696</v>
      </c>
      <c r="G135">
        <v>588</v>
      </c>
      <c r="H135">
        <v>1421</v>
      </c>
      <c r="I135">
        <v>374</v>
      </c>
      <c r="J135">
        <v>601</v>
      </c>
      <c r="K135">
        <v>314</v>
      </c>
      <c r="L135">
        <v>968</v>
      </c>
      <c r="M135">
        <v>266</v>
      </c>
      <c r="N135">
        <v>138</v>
      </c>
      <c r="O135">
        <v>74</v>
      </c>
      <c r="P135">
        <v>416</v>
      </c>
      <c r="Q135">
        <v>545</v>
      </c>
      <c r="R135">
        <v>134</v>
      </c>
    </row>
    <row r="136" spans="1:18">
      <c r="A136" s="1" t="s">
        <v>124</v>
      </c>
      <c r="B136">
        <v>29</v>
      </c>
      <c r="C136">
        <v>13</v>
      </c>
      <c r="D136">
        <v>16</v>
      </c>
      <c r="E136">
        <v>-8.33</v>
      </c>
      <c r="F136">
        <v>2036</v>
      </c>
      <c r="G136">
        <v>672</v>
      </c>
      <c r="H136">
        <v>1567</v>
      </c>
      <c r="I136">
        <v>524</v>
      </c>
      <c r="J136">
        <v>720</v>
      </c>
      <c r="K136">
        <v>331</v>
      </c>
      <c r="L136">
        <v>1106</v>
      </c>
      <c r="M136">
        <v>405</v>
      </c>
      <c r="N136">
        <v>234</v>
      </c>
      <c r="O136">
        <v>120</v>
      </c>
      <c r="P136">
        <v>571</v>
      </c>
      <c r="Q136">
        <v>608</v>
      </c>
      <c r="R136">
        <v>135</v>
      </c>
    </row>
    <row r="137" spans="1:18">
      <c r="A137" s="1" t="s">
        <v>125</v>
      </c>
      <c r="B137">
        <v>28</v>
      </c>
      <c r="C137">
        <v>13</v>
      </c>
      <c r="D137">
        <v>15</v>
      </c>
      <c r="E137">
        <v>-9.6999999999999993</v>
      </c>
      <c r="F137">
        <v>1847</v>
      </c>
      <c r="G137">
        <v>676</v>
      </c>
      <c r="H137">
        <v>1594</v>
      </c>
      <c r="I137">
        <v>437</v>
      </c>
      <c r="J137">
        <v>660</v>
      </c>
      <c r="K137">
        <v>391</v>
      </c>
      <c r="L137">
        <v>1054</v>
      </c>
      <c r="M137">
        <v>371</v>
      </c>
      <c r="N137">
        <v>299</v>
      </c>
      <c r="O137">
        <v>75</v>
      </c>
      <c r="P137">
        <v>500</v>
      </c>
      <c r="Q137">
        <v>567</v>
      </c>
      <c r="R137">
        <v>136</v>
      </c>
    </row>
    <row r="138" spans="1:18">
      <c r="A138" s="1" t="s">
        <v>126</v>
      </c>
      <c r="B138">
        <v>31</v>
      </c>
      <c r="C138">
        <v>18</v>
      </c>
      <c r="D138">
        <v>13</v>
      </c>
      <c r="E138">
        <v>-0.1</v>
      </c>
      <c r="F138">
        <v>2325</v>
      </c>
      <c r="G138">
        <v>824</v>
      </c>
      <c r="H138">
        <v>1826</v>
      </c>
      <c r="I138">
        <v>499</v>
      </c>
      <c r="J138">
        <v>796</v>
      </c>
      <c r="K138">
        <v>402</v>
      </c>
      <c r="L138">
        <v>1142</v>
      </c>
      <c r="M138">
        <v>421</v>
      </c>
      <c r="N138">
        <v>256</v>
      </c>
      <c r="O138">
        <v>71</v>
      </c>
      <c r="P138">
        <v>473</v>
      </c>
      <c r="Q138">
        <v>618</v>
      </c>
      <c r="R138">
        <v>137</v>
      </c>
    </row>
    <row r="139" spans="1:18">
      <c r="A139" s="1" t="s">
        <v>127</v>
      </c>
      <c r="B139">
        <v>28</v>
      </c>
      <c r="C139">
        <v>12</v>
      </c>
      <c r="D139">
        <v>16</v>
      </c>
      <c r="E139">
        <v>-8.57</v>
      </c>
      <c r="F139">
        <v>1899</v>
      </c>
      <c r="G139">
        <v>682</v>
      </c>
      <c r="H139">
        <v>1654</v>
      </c>
      <c r="I139">
        <v>354</v>
      </c>
      <c r="J139">
        <v>467</v>
      </c>
      <c r="K139">
        <v>297</v>
      </c>
      <c r="L139">
        <v>953</v>
      </c>
      <c r="M139">
        <v>322</v>
      </c>
      <c r="N139">
        <v>218</v>
      </c>
      <c r="O139">
        <v>113</v>
      </c>
      <c r="P139">
        <v>459</v>
      </c>
      <c r="Q139">
        <v>518</v>
      </c>
      <c r="R139">
        <v>138</v>
      </c>
    </row>
    <row r="140" spans="1:18">
      <c r="A140" s="1" t="s">
        <v>281</v>
      </c>
      <c r="B140">
        <v>29</v>
      </c>
      <c r="C140">
        <v>16</v>
      </c>
      <c r="D140">
        <v>13</v>
      </c>
      <c r="E140">
        <v>-0.46</v>
      </c>
      <c r="F140">
        <v>2226</v>
      </c>
      <c r="G140">
        <v>809</v>
      </c>
      <c r="H140">
        <v>1795</v>
      </c>
      <c r="I140">
        <v>406</v>
      </c>
      <c r="J140">
        <v>675</v>
      </c>
      <c r="K140">
        <v>406</v>
      </c>
      <c r="L140">
        <v>1064</v>
      </c>
      <c r="M140">
        <v>473</v>
      </c>
      <c r="N140">
        <v>210</v>
      </c>
      <c r="O140">
        <v>81</v>
      </c>
      <c r="P140">
        <v>474</v>
      </c>
      <c r="Q140">
        <v>630</v>
      </c>
      <c r="R140">
        <v>139</v>
      </c>
    </row>
    <row r="141" spans="1:18">
      <c r="A141" s="1" t="s">
        <v>128</v>
      </c>
      <c r="B141">
        <v>28</v>
      </c>
      <c r="C141">
        <v>11</v>
      </c>
      <c r="D141">
        <v>17</v>
      </c>
      <c r="E141">
        <v>-6.95</v>
      </c>
      <c r="F141">
        <v>2023</v>
      </c>
      <c r="G141">
        <v>707</v>
      </c>
      <c r="H141">
        <v>1651</v>
      </c>
      <c r="I141">
        <v>411</v>
      </c>
      <c r="J141">
        <v>650</v>
      </c>
      <c r="K141">
        <v>348</v>
      </c>
      <c r="L141">
        <v>1031</v>
      </c>
      <c r="M141">
        <v>427</v>
      </c>
      <c r="N141">
        <v>205</v>
      </c>
      <c r="O141">
        <v>151</v>
      </c>
      <c r="P141">
        <v>525</v>
      </c>
      <c r="Q141">
        <v>546</v>
      </c>
      <c r="R141">
        <v>140</v>
      </c>
    </row>
    <row r="142" spans="1:18">
      <c r="A142" s="1" t="s">
        <v>282</v>
      </c>
      <c r="B142">
        <v>29</v>
      </c>
      <c r="C142">
        <v>13</v>
      </c>
      <c r="D142">
        <v>16</v>
      </c>
      <c r="E142">
        <v>7.58</v>
      </c>
      <c r="F142">
        <v>2069</v>
      </c>
      <c r="G142">
        <v>720</v>
      </c>
      <c r="H142">
        <v>1624</v>
      </c>
      <c r="I142">
        <v>435</v>
      </c>
      <c r="J142">
        <v>629</v>
      </c>
      <c r="K142">
        <v>335</v>
      </c>
      <c r="L142">
        <v>1020</v>
      </c>
      <c r="M142">
        <v>438</v>
      </c>
      <c r="N142">
        <v>257</v>
      </c>
      <c r="O142">
        <v>65</v>
      </c>
      <c r="P142">
        <v>454</v>
      </c>
      <c r="Q142">
        <v>507</v>
      </c>
      <c r="R142">
        <v>141</v>
      </c>
    </row>
    <row r="143" spans="1:18">
      <c r="A143" s="1" t="s">
        <v>129</v>
      </c>
      <c r="B143">
        <v>29</v>
      </c>
      <c r="C143">
        <v>17</v>
      </c>
      <c r="D143">
        <v>12</v>
      </c>
      <c r="E143">
        <v>-3.87</v>
      </c>
      <c r="F143">
        <v>1982</v>
      </c>
      <c r="G143">
        <v>693</v>
      </c>
      <c r="H143">
        <v>1521</v>
      </c>
      <c r="I143">
        <v>441</v>
      </c>
      <c r="J143">
        <v>646</v>
      </c>
      <c r="K143">
        <v>318</v>
      </c>
      <c r="L143">
        <v>1003</v>
      </c>
      <c r="M143">
        <v>368</v>
      </c>
      <c r="N143">
        <v>188</v>
      </c>
      <c r="O143">
        <v>58</v>
      </c>
      <c r="P143">
        <v>432</v>
      </c>
      <c r="Q143">
        <v>519</v>
      </c>
      <c r="R143">
        <v>142</v>
      </c>
    </row>
    <row r="144" spans="1:18">
      <c r="A144" s="1" t="s">
        <v>283</v>
      </c>
      <c r="B144">
        <v>31</v>
      </c>
      <c r="C144">
        <v>12</v>
      </c>
      <c r="D144">
        <v>19</v>
      </c>
      <c r="E144">
        <v>8.67</v>
      </c>
      <c r="F144">
        <v>2156</v>
      </c>
      <c r="G144">
        <v>763</v>
      </c>
      <c r="H144">
        <v>1848</v>
      </c>
      <c r="I144">
        <v>440</v>
      </c>
      <c r="J144">
        <v>662</v>
      </c>
      <c r="K144">
        <v>416</v>
      </c>
      <c r="L144">
        <v>1081</v>
      </c>
      <c r="M144">
        <v>436</v>
      </c>
      <c r="N144">
        <v>189</v>
      </c>
      <c r="O144">
        <v>131</v>
      </c>
      <c r="P144">
        <v>437</v>
      </c>
      <c r="Q144">
        <v>667</v>
      </c>
      <c r="R144">
        <v>143</v>
      </c>
    </row>
    <row r="145" spans="1:18">
      <c r="A145" s="1" t="s">
        <v>130</v>
      </c>
      <c r="B145">
        <v>28</v>
      </c>
      <c r="C145">
        <v>7</v>
      </c>
      <c r="D145">
        <v>21</v>
      </c>
      <c r="E145">
        <v>0.92</v>
      </c>
      <c r="F145">
        <v>1932</v>
      </c>
      <c r="G145">
        <v>736</v>
      </c>
      <c r="H145">
        <v>1709</v>
      </c>
      <c r="I145">
        <v>330</v>
      </c>
      <c r="J145">
        <v>502</v>
      </c>
      <c r="K145">
        <v>404</v>
      </c>
      <c r="L145">
        <v>1047</v>
      </c>
      <c r="M145">
        <v>409</v>
      </c>
      <c r="N145">
        <v>166</v>
      </c>
      <c r="O145">
        <v>88</v>
      </c>
      <c r="P145">
        <v>419</v>
      </c>
      <c r="Q145">
        <v>555</v>
      </c>
      <c r="R145">
        <v>144</v>
      </c>
    </row>
    <row r="146" spans="1:18">
      <c r="A146" s="1" t="s">
        <v>131</v>
      </c>
      <c r="B146">
        <v>28</v>
      </c>
      <c r="C146">
        <v>9</v>
      </c>
      <c r="D146">
        <v>19</v>
      </c>
      <c r="E146">
        <v>-0.23</v>
      </c>
      <c r="F146">
        <v>1870</v>
      </c>
      <c r="G146">
        <v>655</v>
      </c>
      <c r="H146">
        <v>1556</v>
      </c>
      <c r="I146">
        <v>439</v>
      </c>
      <c r="J146">
        <v>648</v>
      </c>
      <c r="K146">
        <v>368</v>
      </c>
      <c r="L146">
        <v>1021</v>
      </c>
      <c r="M146">
        <v>396</v>
      </c>
      <c r="N146">
        <v>153</v>
      </c>
      <c r="O146">
        <v>56</v>
      </c>
      <c r="P146">
        <v>440</v>
      </c>
      <c r="Q146">
        <v>577</v>
      </c>
      <c r="R146">
        <v>145</v>
      </c>
    </row>
    <row r="147" spans="1:18">
      <c r="A147" s="1" t="s">
        <v>132</v>
      </c>
      <c r="B147">
        <v>29</v>
      </c>
      <c r="C147">
        <v>6</v>
      </c>
      <c r="D147">
        <v>23</v>
      </c>
      <c r="E147">
        <v>-4.66</v>
      </c>
      <c r="F147">
        <v>1798</v>
      </c>
      <c r="G147">
        <v>636</v>
      </c>
      <c r="H147">
        <v>1542</v>
      </c>
      <c r="I147">
        <v>353</v>
      </c>
      <c r="J147">
        <v>568</v>
      </c>
      <c r="K147">
        <v>305</v>
      </c>
      <c r="L147">
        <v>1016</v>
      </c>
      <c r="M147">
        <v>384</v>
      </c>
      <c r="N147">
        <v>161</v>
      </c>
      <c r="O147">
        <v>104</v>
      </c>
      <c r="P147">
        <v>461</v>
      </c>
      <c r="Q147">
        <v>520</v>
      </c>
      <c r="R147">
        <v>146</v>
      </c>
    </row>
    <row r="148" spans="1:18">
      <c r="A148" s="1" t="s">
        <v>133</v>
      </c>
      <c r="B148">
        <v>29</v>
      </c>
      <c r="C148">
        <v>18</v>
      </c>
      <c r="D148">
        <v>11</v>
      </c>
      <c r="E148">
        <v>-6.51</v>
      </c>
      <c r="F148">
        <v>2273</v>
      </c>
      <c r="G148">
        <v>781</v>
      </c>
      <c r="H148">
        <v>1687</v>
      </c>
      <c r="I148">
        <v>517</v>
      </c>
      <c r="J148">
        <v>717</v>
      </c>
      <c r="K148">
        <v>375</v>
      </c>
      <c r="L148">
        <v>1102</v>
      </c>
      <c r="M148">
        <v>459</v>
      </c>
      <c r="N148">
        <v>221</v>
      </c>
      <c r="O148">
        <v>78</v>
      </c>
      <c r="P148">
        <v>466</v>
      </c>
      <c r="Q148">
        <v>581</v>
      </c>
      <c r="R148">
        <v>147</v>
      </c>
    </row>
    <row r="149" spans="1:18">
      <c r="A149" s="1" t="s">
        <v>134</v>
      </c>
      <c r="B149">
        <v>29</v>
      </c>
      <c r="C149">
        <v>14</v>
      </c>
      <c r="D149">
        <v>15</v>
      </c>
      <c r="E149">
        <v>-3.89</v>
      </c>
      <c r="F149">
        <v>2082</v>
      </c>
      <c r="G149">
        <v>726</v>
      </c>
      <c r="H149">
        <v>1700</v>
      </c>
      <c r="I149">
        <v>471</v>
      </c>
      <c r="J149">
        <v>618</v>
      </c>
      <c r="K149">
        <v>355</v>
      </c>
      <c r="L149">
        <v>971</v>
      </c>
      <c r="M149">
        <v>416</v>
      </c>
      <c r="N149">
        <v>294</v>
      </c>
      <c r="O149">
        <v>67</v>
      </c>
      <c r="P149">
        <v>397</v>
      </c>
      <c r="Q149">
        <v>667</v>
      </c>
      <c r="R149">
        <v>148</v>
      </c>
    </row>
    <row r="150" spans="1:18">
      <c r="A150" s="1" t="s">
        <v>135</v>
      </c>
      <c r="B150">
        <v>30</v>
      </c>
      <c r="C150">
        <v>17</v>
      </c>
      <c r="D150">
        <v>13</v>
      </c>
      <c r="E150">
        <v>-3.94</v>
      </c>
      <c r="F150">
        <v>2119</v>
      </c>
      <c r="G150">
        <v>759</v>
      </c>
      <c r="H150">
        <v>1818</v>
      </c>
      <c r="I150">
        <v>408</v>
      </c>
      <c r="J150">
        <v>602</v>
      </c>
      <c r="K150">
        <v>377</v>
      </c>
      <c r="L150">
        <v>1055</v>
      </c>
      <c r="M150">
        <v>470</v>
      </c>
      <c r="N150">
        <v>237</v>
      </c>
      <c r="O150">
        <v>113</v>
      </c>
      <c r="P150">
        <v>384</v>
      </c>
      <c r="Q150">
        <v>582</v>
      </c>
      <c r="R150">
        <v>149</v>
      </c>
    </row>
    <row r="151" spans="1:18">
      <c r="A151" s="1" t="s">
        <v>136</v>
      </c>
      <c r="B151">
        <v>29</v>
      </c>
      <c r="C151">
        <v>15</v>
      </c>
      <c r="D151">
        <v>14</v>
      </c>
      <c r="E151">
        <v>6.61</v>
      </c>
      <c r="F151">
        <v>1902</v>
      </c>
      <c r="G151">
        <v>651</v>
      </c>
      <c r="H151">
        <v>1516</v>
      </c>
      <c r="I151">
        <v>460</v>
      </c>
      <c r="J151">
        <v>646</v>
      </c>
      <c r="K151">
        <v>358</v>
      </c>
      <c r="L151">
        <v>989</v>
      </c>
      <c r="M151">
        <v>325</v>
      </c>
      <c r="N151">
        <v>144</v>
      </c>
      <c r="O151">
        <v>67</v>
      </c>
      <c r="P151">
        <v>396</v>
      </c>
      <c r="Q151">
        <v>578</v>
      </c>
      <c r="R151">
        <v>150</v>
      </c>
    </row>
    <row r="152" spans="1:18">
      <c r="A152" s="1" t="s">
        <v>137</v>
      </c>
      <c r="B152">
        <v>27</v>
      </c>
      <c r="C152">
        <v>18</v>
      </c>
      <c r="D152">
        <v>9</v>
      </c>
      <c r="E152">
        <v>0.81</v>
      </c>
      <c r="F152">
        <v>2062</v>
      </c>
      <c r="G152">
        <v>732</v>
      </c>
      <c r="H152">
        <v>1587</v>
      </c>
      <c r="I152">
        <v>431</v>
      </c>
      <c r="J152">
        <v>601</v>
      </c>
      <c r="K152">
        <v>320</v>
      </c>
      <c r="L152">
        <v>1018</v>
      </c>
      <c r="M152">
        <v>402</v>
      </c>
      <c r="N152">
        <v>166</v>
      </c>
      <c r="O152">
        <v>114</v>
      </c>
      <c r="P152">
        <v>345</v>
      </c>
      <c r="Q152">
        <v>479</v>
      </c>
      <c r="R152">
        <v>151</v>
      </c>
    </row>
    <row r="153" spans="1:18">
      <c r="A153" s="1" t="s">
        <v>138</v>
      </c>
      <c r="B153">
        <v>29</v>
      </c>
      <c r="C153">
        <v>18</v>
      </c>
      <c r="D153">
        <v>11</v>
      </c>
      <c r="E153">
        <v>-9.66</v>
      </c>
      <c r="F153">
        <v>2259</v>
      </c>
      <c r="G153">
        <v>795</v>
      </c>
      <c r="H153">
        <v>1761</v>
      </c>
      <c r="I153">
        <v>533</v>
      </c>
      <c r="J153">
        <v>767</v>
      </c>
      <c r="K153">
        <v>427</v>
      </c>
      <c r="L153">
        <v>1167</v>
      </c>
      <c r="M153">
        <v>418</v>
      </c>
      <c r="N153">
        <v>217</v>
      </c>
      <c r="O153">
        <v>96</v>
      </c>
      <c r="P153">
        <v>456</v>
      </c>
      <c r="Q153">
        <v>626</v>
      </c>
      <c r="R153">
        <v>152</v>
      </c>
    </row>
    <row r="154" spans="1:18">
      <c r="A154" s="1" t="s">
        <v>139</v>
      </c>
      <c r="B154">
        <v>28</v>
      </c>
      <c r="C154">
        <v>12</v>
      </c>
      <c r="D154">
        <v>16</v>
      </c>
      <c r="E154">
        <v>-9.66</v>
      </c>
      <c r="F154">
        <v>1862</v>
      </c>
      <c r="G154">
        <v>676</v>
      </c>
      <c r="H154">
        <v>1638</v>
      </c>
      <c r="I154">
        <v>344</v>
      </c>
      <c r="J154">
        <v>530</v>
      </c>
      <c r="K154">
        <v>379</v>
      </c>
      <c r="L154">
        <v>988</v>
      </c>
      <c r="M154">
        <v>318</v>
      </c>
      <c r="N154">
        <v>191</v>
      </c>
      <c r="O154">
        <v>48</v>
      </c>
      <c r="P154">
        <v>488</v>
      </c>
      <c r="Q154">
        <v>645</v>
      </c>
      <c r="R154">
        <v>153</v>
      </c>
    </row>
    <row r="155" spans="1:18">
      <c r="A155" s="1" t="s">
        <v>332</v>
      </c>
      <c r="B155">
        <v>36</v>
      </c>
      <c r="C155">
        <v>25</v>
      </c>
      <c r="D155">
        <v>11</v>
      </c>
      <c r="E155">
        <v>10.99</v>
      </c>
      <c r="F155">
        <v>3067</v>
      </c>
      <c r="G155">
        <v>1120</v>
      </c>
      <c r="H155">
        <v>2313</v>
      </c>
      <c r="I155">
        <v>622</v>
      </c>
      <c r="J155">
        <v>894</v>
      </c>
      <c r="K155">
        <v>543</v>
      </c>
      <c r="L155">
        <v>1478</v>
      </c>
      <c r="M155">
        <v>692</v>
      </c>
      <c r="N155">
        <v>322</v>
      </c>
      <c r="O155">
        <v>213</v>
      </c>
      <c r="P155">
        <v>523</v>
      </c>
      <c r="Q155">
        <v>713</v>
      </c>
      <c r="R155">
        <v>154</v>
      </c>
    </row>
    <row r="156" spans="1:18">
      <c r="A156" s="1" t="s">
        <v>140</v>
      </c>
      <c r="B156">
        <v>30</v>
      </c>
      <c r="C156">
        <v>15</v>
      </c>
      <c r="D156">
        <v>15</v>
      </c>
      <c r="E156">
        <v>8.0500000000000007</v>
      </c>
      <c r="F156">
        <v>2040</v>
      </c>
      <c r="G156">
        <v>713</v>
      </c>
      <c r="H156">
        <v>1698</v>
      </c>
      <c r="I156">
        <v>454</v>
      </c>
      <c r="J156">
        <v>684</v>
      </c>
      <c r="K156">
        <v>389</v>
      </c>
      <c r="L156">
        <v>1099</v>
      </c>
      <c r="M156">
        <v>399</v>
      </c>
      <c r="N156">
        <v>189</v>
      </c>
      <c r="O156">
        <v>152</v>
      </c>
      <c r="R156">
        <v>155</v>
      </c>
    </row>
    <row r="157" spans="1:18">
      <c r="A157" s="1" t="s">
        <v>141</v>
      </c>
      <c r="B157">
        <v>31</v>
      </c>
      <c r="C157">
        <v>22</v>
      </c>
      <c r="D157">
        <v>9</v>
      </c>
      <c r="E157">
        <v>-8.42</v>
      </c>
      <c r="F157">
        <v>2580</v>
      </c>
      <c r="G157">
        <v>909</v>
      </c>
      <c r="H157">
        <v>2046</v>
      </c>
      <c r="I157">
        <v>541</v>
      </c>
      <c r="J157">
        <v>761</v>
      </c>
      <c r="K157">
        <v>422</v>
      </c>
      <c r="L157">
        <v>1177</v>
      </c>
      <c r="M157">
        <v>415</v>
      </c>
      <c r="N157">
        <v>328</v>
      </c>
      <c r="O157">
        <v>171</v>
      </c>
      <c r="P157">
        <v>415</v>
      </c>
      <c r="Q157">
        <v>607</v>
      </c>
      <c r="R157">
        <v>156</v>
      </c>
    </row>
    <row r="158" spans="1:18">
      <c r="A158" s="1" t="s">
        <v>142</v>
      </c>
      <c r="B158">
        <v>36</v>
      </c>
      <c r="C158">
        <v>21</v>
      </c>
      <c r="D158">
        <v>15</v>
      </c>
      <c r="E158">
        <v>7.09</v>
      </c>
      <c r="F158">
        <v>2703</v>
      </c>
      <c r="G158">
        <v>965</v>
      </c>
      <c r="H158">
        <v>2208</v>
      </c>
      <c r="I158">
        <v>577</v>
      </c>
      <c r="J158">
        <v>908</v>
      </c>
      <c r="K158">
        <v>531</v>
      </c>
      <c r="L158">
        <v>1437</v>
      </c>
      <c r="M158">
        <v>557</v>
      </c>
      <c r="N158">
        <v>231</v>
      </c>
      <c r="O158">
        <v>183</v>
      </c>
      <c r="P158">
        <v>498</v>
      </c>
      <c r="Q158">
        <v>736</v>
      </c>
      <c r="R158">
        <v>157</v>
      </c>
    </row>
    <row r="159" spans="1:18">
      <c r="A159" s="1" t="s">
        <v>143</v>
      </c>
      <c r="B159">
        <v>28</v>
      </c>
      <c r="C159">
        <v>13</v>
      </c>
      <c r="D159">
        <v>15</v>
      </c>
      <c r="E159">
        <v>-5.53</v>
      </c>
      <c r="F159">
        <v>1961</v>
      </c>
      <c r="G159">
        <v>691</v>
      </c>
      <c r="H159">
        <v>1543</v>
      </c>
      <c r="I159">
        <v>414</v>
      </c>
      <c r="J159">
        <v>592</v>
      </c>
      <c r="K159">
        <v>338</v>
      </c>
      <c r="L159">
        <v>1006</v>
      </c>
      <c r="M159">
        <v>381</v>
      </c>
      <c r="N159">
        <v>162</v>
      </c>
      <c r="O159">
        <v>114</v>
      </c>
      <c r="P159">
        <v>445</v>
      </c>
      <c r="Q159">
        <v>501</v>
      </c>
      <c r="R159">
        <v>158</v>
      </c>
    </row>
    <row r="160" spans="1:18">
      <c r="A160" s="1" t="s">
        <v>284</v>
      </c>
      <c r="B160">
        <v>29</v>
      </c>
      <c r="C160">
        <v>16</v>
      </c>
      <c r="D160">
        <v>13</v>
      </c>
      <c r="E160">
        <v>4.92</v>
      </c>
      <c r="F160">
        <v>2039</v>
      </c>
      <c r="G160">
        <v>713</v>
      </c>
      <c r="H160">
        <v>1728</v>
      </c>
      <c r="I160">
        <v>407</v>
      </c>
      <c r="J160">
        <v>568</v>
      </c>
      <c r="K160">
        <v>397</v>
      </c>
      <c r="L160">
        <v>1024</v>
      </c>
      <c r="M160">
        <v>409</v>
      </c>
      <c r="N160">
        <v>257</v>
      </c>
      <c r="O160">
        <v>137</v>
      </c>
      <c r="P160">
        <v>434</v>
      </c>
      <c r="Q160">
        <v>567</v>
      </c>
      <c r="R160">
        <v>159</v>
      </c>
    </row>
    <row r="161" spans="1:18">
      <c r="A161" s="1" t="s">
        <v>144</v>
      </c>
      <c r="B161">
        <v>33</v>
      </c>
      <c r="C161">
        <v>17</v>
      </c>
      <c r="D161">
        <v>16</v>
      </c>
      <c r="E161">
        <v>2.54</v>
      </c>
      <c r="F161">
        <v>1997</v>
      </c>
      <c r="G161">
        <v>726</v>
      </c>
      <c r="H161">
        <v>1667</v>
      </c>
      <c r="I161">
        <v>413</v>
      </c>
      <c r="J161">
        <v>558</v>
      </c>
      <c r="K161">
        <v>337</v>
      </c>
      <c r="L161">
        <v>1036</v>
      </c>
      <c r="M161">
        <v>346</v>
      </c>
      <c r="N161">
        <v>176</v>
      </c>
      <c r="O161">
        <v>51</v>
      </c>
      <c r="P161">
        <v>362</v>
      </c>
      <c r="Q161">
        <v>606</v>
      </c>
      <c r="R161">
        <v>160</v>
      </c>
    </row>
    <row r="162" spans="1:18">
      <c r="A162" s="1" t="s">
        <v>377</v>
      </c>
      <c r="B162">
        <v>33</v>
      </c>
      <c r="C162">
        <v>28</v>
      </c>
      <c r="D162">
        <v>5</v>
      </c>
      <c r="E162">
        <v>9.5399999999999991</v>
      </c>
      <c r="F162">
        <v>2553</v>
      </c>
      <c r="G162">
        <v>957</v>
      </c>
      <c r="H162">
        <v>1957</v>
      </c>
      <c r="I162">
        <v>493</v>
      </c>
      <c r="J162">
        <v>686</v>
      </c>
      <c r="K162">
        <v>514</v>
      </c>
      <c r="L162">
        <v>1404</v>
      </c>
      <c r="M162">
        <v>579</v>
      </c>
      <c r="N162">
        <v>210</v>
      </c>
      <c r="O162">
        <v>133</v>
      </c>
      <c r="P162">
        <v>451</v>
      </c>
      <c r="Q162">
        <v>611</v>
      </c>
      <c r="R162">
        <v>161</v>
      </c>
    </row>
    <row r="163" spans="1:18">
      <c r="A163" s="1" t="s">
        <v>145</v>
      </c>
      <c r="B163">
        <v>28</v>
      </c>
      <c r="C163">
        <v>10</v>
      </c>
      <c r="D163">
        <v>18</v>
      </c>
      <c r="E163">
        <v>11.39</v>
      </c>
      <c r="F163">
        <v>1983</v>
      </c>
      <c r="G163">
        <v>697</v>
      </c>
      <c r="H163">
        <v>1546</v>
      </c>
      <c r="I163">
        <v>455</v>
      </c>
      <c r="J163">
        <v>642</v>
      </c>
      <c r="K163">
        <v>348</v>
      </c>
      <c r="L163">
        <v>1019</v>
      </c>
      <c r="M163">
        <v>381</v>
      </c>
      <c r="N163">
        <v>138</v>
      </c>
      <c r="O163">
        <v>112</v>
      </c>
      <c r="P163">
        <v>475</v>
      </c>
      <c r="Q163">
        <v>607</v>
      </c>
      <c r="R163">
        <v>162</v>
      </c>
    </row>
    <row r="164" spans="1:18">
      <c r="A164" s="1" t="s">
        <v>146</v>
      </c>
      <c r="B164">
        <v>27</v>
      </c>
      <c r="C164">
        <v>5</v>
      </c>
      <c r="D164">
        <v>22</v>
      </c>
      <c r="E164">
        <v>-2.11</v>
      </c>
      <c r="F164">
        <v>1790</v>
      </c>
      <c r="G164">
        <v>646</v>
      </c>
      <c r="H164">
        <v>1469</v>
      </c>
      <c r="I164">
        <v>316</v>
      </c>
      <c r="J164">
        <v>463</v>
      </c>
      <c r="K164">
        <v>261</v>
      </c>
      <c r="L164">
        <v>842</v>
      </c>
      <c r="M164">
        <v>420</v>
      </c>
      <c r="N164">
        <v>179</v>
      </c>
      <c r="O164">
        <v>83</v>
      </c>
      <c r="P164">
        <v>420</v>
      </c>
      <c r="Q164">
        <v>442</v>
      </c>
      <c r="R164">
        <v>163</v>
      </c>
    </row>
    <row r="165" spans="1:18">
      <c r="A165" s="1" t="s">
        <v>147</v>
      </c>
      <c r="B165">
        <v>28</v>
      </c>
      <c r="C165">
        <v>15</v>
      </c>
      <c r="D165">
        <v>13</v>
      </c>
      <c r="E165">
        <v>2.16</v>
      </c>
      <c r="F165">
        <v>1939</v>
      </c>
      <c r="G165">
        <v>669</v>
      </c>
      <c r="H165">
        <v>1603</v>
      </c>
      <c r="I165">
        <v>357</v>
      </c>
      <c r="J165">
        <v>546</v>
      </c>
      <c r="K165">
        <v>318</v>
      </c>
      <c r="L165">
        <v>915</v>
      </c>
      <c r="M165">
        <v>410</v>
      </c>
      <c r="N165">
        <v>182</v>
      </c>
      <c r="O165">
        <v>82</v>
      </c>
      <c r="P165">
        <v>327</v>
      </c>
      <c r="Q165">
        <v>561</v>
      </c>
      <c r="R165">
        <v>164</v>
      </c>
    </row>
    <row r="166" spans="1:18">
      <c r="A166" s="1" t="s">
        <v>148</v>
      </c>
      <c r="B166">
        <v>32</v>
      </c>
      <c r="C166">
        <v>18</v>
      </c>
      <c r="D166">
        <v>14</v>
      </c>
      <c r="E166">
        <v>9.4700000000000006</v>
      </c>
      <c r="F166">
        <v>2330</v>
      </c>
      <c r="G166">
        <v>800</v>
      </c>
      <c r="H166">
        <v>1878</v>
      </c>
      <c r="I166">
        <v>482</v>
      </c>
      <c r="J166">
        <v>689</v>
      </c>
      <c r="K166">
        <v>385</v>
      </c>
      <c r="L166">
        <v>1116</v>
      </c>
      <c r="M166">
        <v>492</v>
      </c>
      <c r="N166">
        <v>231</v>
      </c>
      <c r="O166">
        <v>120</v>
      </c>
      <c r="P166">
        <v>437</v>
      </c>
      <c r="Q166">
        <v>606</v>
      </c>
      <c r="R166">
        <v>165</v>
      </c>
    </row>
    <row r="167" spans="1:18">
      <c r="A167" s="1" t="s">
        <v>149</v>
      </c>
      <c r="B167">
        <v>31</v>
      </c>
      <c r="C167">
        <v>18</v>
      </c>
      <c r="D167">
        <v>13</v>
      </c>
      <c r="E167">
        <v>8.69</v>
      </c>
      <c r="F167">
        <v>2323</v>
      </c>
      <c r="G167">
        <v>845</v>
      </c>
      <c r="H167">
        <v>1890</v>
      </c>
      <c r="I167">
        <v>457</v>
      </c>
      <c r="J167">
        <v>693</v>
      </c>
      <c r="K167">
        <v>496</v>
      </c>
      <c r="L167">
        <v>1277</v>
      </c>
      <c r="M167">
        <v>424</v>
      </c>
      <c r="N167">
        <v>205</v>
      </c>
      <c r="O167">
        <v>91</v>
      </c>
      <c r="P167">
        <v>479</v>
      </c>
      <c r="Q167">
        <v>605</v>
      </c>
      <c r="R167">
        <v>166</v>
      </c>
    </row>
    <row r="168" spans="1:18">
      <c r="A168" s="1" t="s">
        <v>150</v>
      </c>
      <c r="B168">
        <v>27</v>
      </c>
      <c r="C168">
        <v>18</v>
      </c>
      <c r="D168">
        <v>9</v>
      </c>
      <c r="E168">
        <v>-12.72</v>
      </c>
      <c r="F168">
        <v>2159</v>
      </c>
      <c r="G168">
        <v>770</v>
      </c>
      <c r="H168">
        <v>1878</v>
      </c>
      <c r="I168">
        <v>369</v>
      </c>
      <c r="J168">
        <v>530</v>
      </c>
      <c r="K168">
        <v>471</v>
      </c>
      <c r="L168">
        <v>1186</v>
      </c>
      <c r="M168">
        <v>361</v>
      </c>
      <c r="N168">
        <v>139</v>
      </c>
      <c r="O168">
        <v>141</v>
      </c>
      <c r="P168">
        <v>317</v>
      </c>
      <c r="Q168">
        <v>521</v>
      </c>
      <c r="R168">
        <v>167</v>
      </c>
    </row>
    <row r="169" spans="1:18">
      <c r="A169" s="1" t="s">
        <v>151</v>
      </c>
      <c r="B169">
        <v>35</v>
      </c>
      <c r="C169">
        <v>27</v>
      </c>
      <c r="D169">
        <v>8</v>
      </c>
      <c r="E169">
        <v>9.1999999999999993</v>
      </c>
      <c r="F169">
        <v>2496</v>
      </c>
      <c r="G169">
        <v>865</v>
      </c>
      <c r="H169">
        <v>1958</v>
      </c>
      <c r="I169">
        <v>542</v>
      </c>
      <c r="J169">
        <v>829</v>
      </c>
      <c r="K169">
        <v>416</v>
      </c>
      <c r="L169">
        <v>1227</v>
      </c>
      <c r="M169">
        <v>500</v>
      </c>
      <c r="N169">
        <v>285</v>
      </c>
      <c r="O169">
        <v>115</v>
      </c>
      <c r="P169">
        <v>500</v>
      </c>
      <c r="Q169">
        <v>719</v>
      </c>
      <c r="R169">
        <v>168</v>
      </c>
    </row>
    <row r="170" spans="1:18">
      <c r="A170" s="1" t="s">
        <v>152</v>
      </c>
      <c r="B170">
        <v>30</v>
      </c>
      <c r="C170">
        <v>14</v>
      </c>
      <c r="D170">
        <v>16</v>
      </c>
      <c r="E170">
        <v>-3.46</v>
      </c>
      <c r="F170">
        <v>1889</v>
      </c>
      <c r="G170">
        <v>665</v>
      </c>
      <c r="H170">
        <v>1655</v>
      </c>
      <c r="I170">
        <v>315</v>
      </c>
      <c r="J170">
        <v>414</v>
      </c>
      <c r="K170">
        <v>269</v>
      </c>
      <c r="L170">
        <v>874</v>
      </c>
      <c r="M170">
        <v>378</v>
      </c>
      <c r="N170">
        <v>225</v>
      </c>
      <c r="O170">
        <v>80</v>
      </c>
      <c r="P170">
        <v>285</v>
      </c>
      <c r="Q170">
        <v>499</v>
      </c>
      <c r="R170">
        <v>169</v>
      </c>
    </row>
    <row r="171" spans="1:18">
      <c r="A171" s="1" t="s">
        <v>153</v>
      </c>
      <c r="B171">
        <v>29</v>
      </c>
      <c r="C171">
        <v>13</v>
      </c>
      <c r="D171">
        <v>16</v>
      </c>
      <c r="E171">
        <v>2.19</v>
      </c>
      <c r="F171">
        <v>1850</v>
      </c>
      <c r="G171">
        <v>670</v>
      </c>
      <c r="H171">
        <v>1539</v>
      </c>
      <c r="I171">
        <v>378</v>
      </c>
      <c r="J171">
        <v>530</v>
      </c>
      <c r="K171">
        <v>339</v>
      </c>
      <c r="L171">
        <v>1013</v>
      </c>
      <c r="M171">
        <v>344</v>
      </c>
      <c r="N171">
        <v>126</v>
      </c>
      <c r="O171">
        <v>107</v>
      </c>
      <c r="P171">
        <v>402</v>
      </c>
      <c r="Q171">
        <v>555</v>
      </c>
      <c r="R171">
        <v>170</v>
      </c>
    </row>
    <row r="172" spans="1:18">
      <c r="A172" s="1" t="s">
        <v>328</v>
      </c>
      <c r="B172">
        <v>33</v>
      </c>
      <c r="C172">
        <v>20</v>
      </c>
      <c r="D172">
        <v>13</v>
      </c>
      <c r="E172">
        <v>9.19</v>
      </c>
      <c r="F172">
        <v>2493</v>
      </c>
      <c r="G172">
        <v>847</v>
      </c>
      <c r="H172">
        <v>2015</v>
      </c>
      <c r="I172">
        <v>520</v>
      </c>
      <c r="J172">
        <v>742</v>
      </c>
      <c r="K172">
        <v>466</v>
      </c>
      <c r="L172">
        <v>1259</v>
      </c>
      <c r="M172">
        <v>418</v>
      </c>
      <c r="N172">
        <v>258</v>
      </c>
      <c r="O172">
        <v>132</v>
      </c>
      <c r="P172">
        <v>497</v>
      </c>
      <c r="Q172">
        <v>679</v>
      </c>
      <c r="R172">
        <v>171</v>
      </c>
    </row>
    <row r="173" spans="1:18">
      <c r="A173" s="1" t="s">
        <v>154</v>
      </c>
      <c r="B173">
        <v>31</v>
      </c>
      <c r="C173">
        <v>21</v>
      </c>
      <c r="D173">
        <v>10</v>
      </c>
      <c r="E173">
        <v>-8.85</v>
      </c>
      <c r="F173">
        <v>2180</v>
      </c>
      <c r="G173">
        <v>756</v>
      </c>
      <c r="H173">
        <v>1664</v>
      </c>
      <c r="I173">
        <v>467</v>
      </c>
      <c r="J173">
        <v>678</v>
      </c>
      <c r="K173">
        <v>300</v>
      </c>
      <c r="L173">
        <v>1055</v>
      </c>
      <c r="M173">
        <v>439</v>
      </c>
      <c r="N173">
        <v>280</v>
      </c>
      <c r="O173">
        <v>105</v>
      </c>
      <c r="P173">
        <v>471</v>
      </c>
      <c r="Q173">
        <v>517</v>
      </c>
      <c r="R173">
        <v>172</v>
      </c>
    </row>
    <row r="174" spans="1:18">
      <c r="A174" s="1" t="s">
        <v>155</v>
      </c>
      <c r="B174">
        <v>30</v>
      </c>
      <c r="C174">
        <v>16</v>
      </c>
      <c r="D174">
        <v>14</v>
      </c>
      <c r="E174">
        <v>-2.92</v>
      </c>
      <c r="F174">
        <v>2257</v>
      </c>
      <c r="G174">
        <v>771</v>
      </c>
      <c r="H174">
        <v>1588</v>
      </c>
      <c r="I174">
        <v>489</v>
      </c>
      <c r="J174">
        <v>715</v>
      </c>
      <c r="K174">
        <v>274</v>
      </c>
      <c r="L174">
        <v>927</v>
      </c>
      <c r="M174">
        <v>489</v>
      </c>
      <c r="N174">
        <v>206</v>
      </c>
      <c r="O174">
        <v>83</v>
      </c>
      <c r="P174">
        <v>466</v>
      </c>
      <c r="Q174">
        <v>613</v>
      </c>
      <c r="R174">
        <v>173</v>
      </c>
    </row>
    <row r="175" spans="1:18">
      <c r="A175" s="1" t="s">
        <v>156</v>
      </c>
      <c r="B175">
        <v>27</v>
      </c>
      <c r="C175">
        <v>11</v>
      </c>
      <c r="D175">
        <v>16</v>
      </c>
      <c r="E175">
        <v>-2.06</v>
      </c>
      <c r="F175">
        <v>1946</v>
      </c>
      <c r="G175">
        <v>667</v>
      </c>
      <c r="H175">
        <v>1456</v>
      </c>
      <c r="I175">
        <v>440</v>
      </c>
      <c r="J175">
        <v>646</v>
      </c>
      <c r="K175">
        <v>320</v>
      </c>
      <c r="L175">
        <v>942</v>
      </c>
      <c r="M175">
        <v>408</v>
      </c>
      <c r="N175">
        <v>156</v>
      </c>
      <c r="O175">
        <v>95</v>
      </c>
      <c r="P175">
        <v>402</v>
      </c>
      <c r="Q175">
        <v>567</v>
      </c>
      <c r="R175">
        <v>174</v>
      </c>
    </row>
    <row r="176" spans="1:18">
      <c r="A176" s="1" t="s">
        <v>157</v>
      </c>
      <c r="B176">
        <v>28</v>
      </c>
      <c r="C176">
        <v>12</v>
      </c>
      <c r="D176">
        <v>16</v>
      </c>
      <c r="E176">
        <v>-4.22</v>
      </c>
      <c r="F176">
        <v>1976</v>
      </c>
      <c r="G176">
        <v>696</v>
      </c>
      <c r="H176">
        <v>1518</v>
      </c>
      <c r="I176">
        <v>410</v>
      </c>
      <c r="J176">
        <v>564</v>
      </c>
      <c r="K176">
        <v>280</v>
      </c>
      <c r="L176">
        <v>851</v>
      </c>
      <c r="M176">
        <v>436</v>
      </c>
      <c r="N176">
        <v>206</v>
      </c>
      <c r="O176">
        <v>38</v>
      </c>
      <c r="P176">
        <v>457</v>
      </c>
      <c r="Q176">
        <v>489</v>
      </c>
      <c r="R176">
        <v>175</v>
      </c>
    </row>
    <row r="177" spans="1:18">
      <c r="A177" s="1" t="s">
        <v>158</v>
      </c>
      <c r="B177">
        <v>29</v>
      </c>
      <c r="C177">
        <v>6</v>
      </c>
      <c r="D177">
        <v>23</v>
      </c>
      <c r="E177">
        <v>-10.039999999999999</v>
      </c>
      <c r="F177">
        <v>1954</v>
      </c>
      <c r="G177">
        <v>692</v>
      </c>
      <c r="H177">
        <v>1593</v>
      </c>
      <c r="I177">
        <v>452</v>
      </c>
      <c r="J177">
        <v>702</v>
      </c>
      <c r="K177">
        <v>348</v>
      </c>
      <c r="L177">
        <v>988</v>
      </c>
      <c r="M177">
        <v>308</v>
      </c>
      <c r="N177">
        <v>200</v>
      </c>
      <c r="O177">
        <v>82</v>
      </c>
      <c r="P177">
        <v>478</v>
      </c>
      <c r="Q177">
        <v>600</v>
      </c>
      <c r="R177">
        <v>176</v>
      </c>
    </row>
    <row r="178" spans="1:18">
      <c r="A178" s="1" t="s">
        <v>159</v>
      </c>
      <c r="B178">
        <v>28</v>
      </c>
      <c r="C178">
        <v>7</v>
      </c>
      <c r="D178">
        <v>21</v>
      </c>
      <c r="E178">
        <v>-8.6300000000000008</v>
      </c>
      <c r="F178">
        <v>1779</v>
      </c>
      <c r="G178">
        <v>616</v>
      </c>
      <c r="H178">
        <v>1594</v>
      </c>
      <c r="I178">
        <v>398</v>
      </c>
      <c r="J178">
        <v>575</v>
      </c>
      <c r="K178">
        <v>316</v>
      </c>
      <c r="L178">
        <v>922</v>
      </c>
      <c r="M178">
        <v>303</v>
      </c>
      <c r="N178">
        <v>232</v>
      </c>
      <c r="O178">
        <v>117</v>
      </c>
      <c r="P178">
        <v>489</v>
      </c>
      <c r="Q178">
        <v>551</v>
      </c>
      <c r="R178">
        <v>177</v>
      </c>
    </row>
    <row r="179" spans="1:18">
      <c r="A179" s="1" t="s">
        <v>160</v>
      </c>
      <c r="B179">
        <v>29</v>
      </c>
      <c r="C179">
        <v>17</v>
      </c>
      <c r="D179">
        <v>12</v>
      </c>
      <c r="E179">
        <v>-1.51</v>
      </c>
      <c r="F179">
        <v>2317</v>
      </c>
      <c r="G179">
        <v>860</v>
      </c>
      <c r="H179">
        <v>1811</v>
      </c>
      <c r="I179">
        <v>404</v>
      </c>
      <c r="J179">
        <v>615</v>
      </c>
      <c r="K179">
        <v>422</v>
      </c>
      <c r="L179">
        <v>1166</v>
      </c>
      <c r="M179">
        <v>469</v>
      </c>
      <c r="N179">
        <v>196</v>
      </c>
      <c r="O179">
        <v>132</v>
      </c>
      <c r="P179">
        <v>481</v>
      </c>
      <c r="Q179">
        <v>589</v>
      </c>
      <c r="R179">
        <v>178</v>
      </c>
    </row>
    <row r="180" spans="1:18">
      <c r="A180" s="1" t="s">
        <v>161</v>
      </c>
      <c r="B180">
        <v>31</v>
      </c>
      <c r="C180">
        <v>19</v>
      </c>
      <c r="D180">
        <v>12</v>
      </c>
      <c r="E180">
        <v>-5.67</v>
      </c>
      <c r="F180">
        <v>2338</v>
      </c>
      <c r="G180">
        <v>812</v>
      </c>
      <c r="H180">
        <v>1842</v>
      </c>
      <c r="I180">
        <v>577</v>
      </c>
      <c r="J180">
        <v>889</v>
      </c>
      <c r="K180">
        <v>470</v>
      </c>
      <c r="L180">
        <v>1232</v>
      </c>
      <c r="M180">
        <v>358</v>
      </c>
      <c r="N180">
        <v>299</v>
      </c>
      <c r="O180">
        <v>145</v>
      </c>
      <c r="P180">
        <v>579</v>
      </c>
      <c r="Q180">
        <v>800</v>
      </c>
      <c r="R180">
        <v>179</v>
      </c>
    </row>
    <row r="181" spans="1:18">
      <c r="A181" s="1" t="s">
        <v>162</v>
      </c>
      <c r="B181">
        <v>30</v>
      </c>
      <c r="C181">
        <v>14</v>
      </c>
      <c r="D181">
        <v>16</v>
      </c>
      <c r="E181">
        <v>7.28</v>
      </c>
      <c r="F181">
        <v>2134</v>
      </c>
      <c r="G181">
        <v>775</v>
      </c>
      <c r="H181">
        <v>1591</v>
      </c>
      <c r="I181">
        <v>400</v>
      </c>
      <c r="J181">
        <v>670</v>
      </c>
      <c r="K181">
        <v>381</v>
      </c>
      <c r="L181">
        <v>1075</v>
      </c>
      <c r="M181">
        <v>459</v>
      </c>
      <c r="N181">
        <v>237</v>
      </c>
      <c r="O181">
        <v>114</v>
      </c>
      <c r="P181">
        <v>529</v>
      </c>
      <c r="Q181">
        <v>574</v>
      </c>
      <c r="R181">
        <v>180</v>
      </c>
    </row>
    <row r="182" spans="1:18">
      <c r="A182" s="1" t="s">
        <v>285</v>
      </c>
      <c r="B182">
        <v>29</v>
      </c>
      <c r="C182">
        <v>16</v>
      </c>
      <c r="D182">
        <v>13</v>
      </c>
      <c r="E182">
        <v>5.04</v>
      </c>
      <c r="F182">
        <v>2199</v>
      </c>
      <c r="G182">
        <v>774</v>
      </c>
      <c r="H182">
        <v>1752</v>
      </c>
      <c r="I182">
        <v>477</v>
      </c>
      <c r="J182">
        <v>700</v>
      </c>
      <c r="K182">
        <v>362</v>
      </c>
      <c r="L182">
        <v>1101</v>
      </c>
      <c r="M182">
        <v>458</v>
      </c>
      <c r="N182">
        <v>215</v>
      </c>
      <c r="O182">
        <v>159</v>
      </c>
      <c r="P182">
        <v>445</v>
      </c>
      <c r="Q182">
        <v>614</v>
      </c>
      <c r="R182">
        <v>181</v>
      </c>
    </row>
    <row r="183" spans="1:18">
      <c r="A183" s="1" t="s">
        <v>163</v>
      </c>
      <c r="B183">
        <v>28</v>
      </c>
      <c r="C183">
        <v>10</v>
      </c>
      <c r="D183">
        <v>18</v>
      </c>
      <c r="E183">
        <v>4.09</v>
      </c>
      <c r="F183">
        <v>1980</v>
      </c>
      <c r="G183">
        <v>681</v>
      </c>
      <c r="H183">
        <v>1690</v>
      </c>
      <c r="I183">
        <v>474</v>
      </c>
      <c r="J183">
        <v>705</v>
      </c>
      <c r="K183">
        <v>383</v>
      </c>
      <c r="L183">
        <v>1053</v>
      </c>
      <c r="M183">
        <v>370</v>
      </c>
      <c r="N183">
        <v>204</v>
      </c>
      <c r="O183">
        <v>46</v>
      </c>
      <c r="P183">
        <v>417</v>
      </c>
      <c r="Q183">
        <v>651</v>
      </c>
      <c r="R183">
        <v>182</v>
      </c>
    </row>
    <row r="184" spans="1:18">
      <c r="A184" s="1" t="s">
        <v>164</v>
      </c>
      <c r="B184">
        <v>28</v>
      </c>
      <c r="C184">
        <v>7</v>
      </c>
      <c r="D184">
        <v>21</v>
      </c>
      <c r="E184">
        <v>-4.91</v>
      </c>
      <c r="F184">
        <v>2032</v>
      </c>
      <c r="G184">
        <v>686</v>
      </c>
      <c r="H184">
        <v>1768</v>
      </c>
      <c r="I184">
        <v>431</v>
      </c>
      <c r="J184">
        <v>654</v>
      </c>
      <c r="K184">
        <v>378</v>
      </c>
      <c r="L184">
        <v>1033</v>
      </c>
      <c r="M184">
        <v>406</v>
      </c>
      <c r="N184">
        <v>243</v>
      </c>
      <c r="O184">
        <v>76</v>
      </c>
      <c r="P184">
        <v>489</v>
      </c>
      <c r="Q184">
        <v>685</v>
      </c>
      <c r="R184">
        <v>183</v>
      </c>
    </row>
    <row r="185" spans="1:18">
      <c r="A185" s="1" t="s">
        <v>165</v>
      </c>
      <c r="B185">
        <v>28</v>
      </c>
      <c r="C185">
        <v>14</v>
      </c>
      <c r="D185">
        <v>14</v>
      </c>
      <c r="E185">
        <v>-2.57</v>
      </c>
      <c r="F185">
        <v>2079</v>
      </c>
      <c r="G185">
        <v>753</v>
      </c>
      <c r="H185">
        <v>1713</v>
      </c>
      <c r="I185">
        <v>409</v>
      </c>
      <c r="J185">
        <v>599</v>
      </c>
      <c r="K185">
        <v>396</v>
      </c>
      <c r="L185">
        <v>1042</v>
      </c>
      <c r="M185">
        <v>354</v>
      </c>
      <c r="N185">
        <v>217</v>
      </c>
      <c r="O185">
        <v>107</v>
      </c>
      <c r="P185">
        <v>374</v>
      </c>
      <c r="Q185">
        <v>555</v>
      </c>
      <c r="R185">
        <v>184</v>
      </c>
    </row>
    <row r="186" spans="1:18">
      <c r="A186" s="1" t="s">
        <v>166</v>
      </c>
      <c r="B186">
        <v>34</v>
      </c>
      <c r="C186">
        <v>21</v>
      </c>
      <c r="D186">
        <v>13</v>
      </c>
      <c r="E186">
        <v>5.27</v>
      </c>
      <c r="F186">
        <v>2361</v>
      </c>
      <c r="G186">
        <v>829</v>
      </c>
      <c r="H186">
        <v>1879</v>
      </c>
      <c r="I186">
        <v>520</v>
      </c>
      <c r="J186">
        <v>818</v>
      </c>
      <c r="K186">
        <v>384</v>
      </c>
      <c r="L186">
        <v>1178</v>
      </c>
      <c r="M186">
        <v>423</v>
      </c>
      <c r="N186">
        <v>227</v>
      </c>
      <c r="O186">
        <v>136</v>
      </c>
      <c r="P186">
        <v>398</v>
      </c>
      <c r="Q186">
        <v>704</v>
      </c>
      <c r="R186">
        <v>185</v>
      </c>
    </row>
    <row r="187" spans="1:18">
      <c r="A187" s="1" t="s">
        <v>167</v>
      </c>
      <c r="B187">
        <v>29</v>
      </c>
      <c r="C187">
        <v>17</v>
      </c>
      <c r="D187">
        <v>12</v>
      </c>
      <c r="E187">
        <v>-3.83</v>
      </c>
      <c r="F187">
        <v>2012</v>
      </c>
      <c r="G187">
        <v>696</v>
      </c>
      <c r="H187">
        <v>1524</v>
      </c>
      <c r="I187">
        <v>434</v>
      </c>
      <c r="J187">
        <v>638</v>
      </c>
      <c r="L187">
        <v>967</v>
      </c>
      <c r="M187">
        <v>391</v>
      </c>
      <c r="N187">
        <v>226</v>
      </c>
      <c r="O187">
        <v>84</v>
      </c>
      <c r="P187">
        <v>443</v>
      </c>
      <c r="Q187">
        <v>548</v>
      </c>
      <c r="R187">
        <v>186</v>
      </c>
    </row>
    <row r="188" spans="1:18">
      <c r="A188" s="1" t="s">
        <v>168</v>
      </c>
      <c r="B188">
        <v>28</v>
      </c>
      <c r="C188">
        <v>15</v>
      </c>
      <c r="D188">
        <v>13</v>
      </c>
      <c r="E188">
        <v>-3.62</v>
      </c>
      <c r="F188">
        <v>2099</v>
      </c>
      <c r="G188">
        <v>712</v>
      </c>
      <c r="H188">
        <v>1739</v>
      </c>
      <c r="I188">
        <v>475</v>
      </c>
      <c r="J188">
        <v>691</v>
      </c>
      <c r="K188">
        <v>436</v>
      </c>
      <c r="L188">
        <v>1082</v>
      </c>
      <c r="M188">
        <v>370</v>
      </c>
      <c r="N188">
        <v>199</v>
      </c>
      <c r="O188">
        <v>120</v>
      </c>
      <c r="P188">
        <v>415</v>
      </c>
      <c r="Q188">
        <v>615</v>
      </c>
      <c r="R188">
        <v>187</v>
      </c>
    </row>
    <row r="189" spans="1:18">
      <c r="A189" s="1" t="s">
        <v>169</v>
      </c>
      <c r="B189">
        <v>28</v>
      </c>
      <c r="C189">
        <v>14</v>
      </c>
      <c r="D189">
        <v>14</v>
      </c>
      <c r="E189">
        <v>-8.68</v>
      </c>
      <c r="F189">
        <v>1919</v>
      </c>
      <c r="G189">
        <v>700</v>
      </c>
      <c r="H189">
        <v>1618</v>
      </c>
      <c r="I189">
        <v>386</v>
      </c>
      <c r="J189">
        <v>627</v>
      </c>
      <c r="K189">
        <v>402</v>
      </c>
      <c r="L189">
        <v>1024</v>
      </c>
      <c r="M189">
        <v>412</v>
      </c>
      <c r="N189">
        <v>213</v>
      </c>
      <c r="O189">
        <v>39</v>
      </c>
      <c r="P189">
        <v>477</v>
      </c>
      <c r="Q189">
        <v>590</v>
      </c>
      <c r="R189">
        <v>188</v>
      </c>
    </row>
    <row r="190" spans="1:18">
      <c r="A190" s="1" t="s">
        <v>170</v>
      </c>
      <c r="B190">
        <v>29</v>
      </c>
      <c r="C190">
        <v>12</v>
      </c>
      <c r="D190">
        <v>17</v>
      </c>
      <c r="E190">
        <v>-7.74</v>
      </c>
      <c r="F190">
        <v>2126</v>
      </c>
      <c r="G190">
        <v>757</v>
      </c>
      <c r="H190">
        <v>1761</v>
      </c>
      <c r="I190">
        <v>455</v>
      </c>
      <c r="J190">
        <v>691</v>
      </c>
      <c r="K190">
        <v>411</v>
      </c>
      <c r="L190">
        <v>1102</v>
      </c>
      <c r="M190">
        <v>350</v>
      </c>
      <c r="N190">
        <v>214</v>
      </c>
      <c r="O190">
        <v>87</v>
      </c>
      <c r="P190">
        <v>496</v>
      </c>
      <c r="Q190">
        <v>610</v>
      </c>
      <c r="R190">
        <v>189</v>
      </c>
    </row>
    <row r="191" spans="1:18">
      <c r="A191" s="1" t="s">
        <v>171</v>
      </c>
      <c r="B191">
        <v>28</v>
      </c>
      <c r="C191">
        <v>15</v>
      </c>
      <c r="D191">
        <v>13</v>
      </c>
      <c r="E191">
        <v>-7.67</v>
      </c>
      <c r="F191">
        <v>1910</v>
      </c>
      <c r="G191">
        <v>640</v>
      </c>
      <c r="H191">
        <v>1417</v>
      </c>
      <c r="I191">
        <v>488</v>
      </c>
      <c r="J191">
        <v>696</v>
      </c>
      <c r="K191">
        <v>297</v>
      </c>
      <c r="L191">
        <v>983</v>
      </c>
      <c r="M191">
        <v>340</v>
      </c>
      <c r="N191">
        <v>215</v>
      </c>
      <c r="O191">
        <v>110</v>
      </c>
      <c r="P191">
        <v>498</v>
      </c>
      <c r="Q191">
        <v>559</v>
      </c>
      <c r="R191">
        <v>190</v>
      </c>
    </row>
    <row r="192" spans="1:18">
      <c r="A192" s="1" t="s">
        <v>172</v>
      </c>
      <c r="B192">
        <v>30</v>
      </c>
      <c r="C192">
        <v>13</v>
      </c>
      <c r="D192">
        <v>17</v>
      </c>
      <c r="E192">
        <v>-10.96</v>
      </c>
      <c r="F192">
        <v>2051</v>
      </c>
      <c r="G192">
        <v>726</v>
      </c>
      <c r="H192">
        <v>1773</v>
      </c>
      <c r="I192">
        <v>438</v>
      </c>
      <c r="J192">
        <v>668</v>
      </c>
      <c r="K192">
        <v>425</v>
      </c>
      <c r="L192">
        <v>1169</v>
      </c>
      <c r="M192">
        <v>350</v>
      </c>
      <c r="N192">
        <v>208</v>
      </c>
      <c r="O192">
        <v>71</v>
      </c>
      <c r="P192">
        <v>498</v>
      </c>
      <c r="Q192">
        <v>583</v>
      </c>
      <c r="R192">
        <v>191</v>
      </c>
    </row>
    <row r="193" spans="1:18">
      <c r="A193" s="1" t="s">
        <v>173</v>
      </c>
      <c r="B193">
        <v>31</v>
      </c>
      <c r="C193">
        <v>19</v>
      </c>
      <c r="D193">
        <v>12</v>
      </c>
      <c r="E193">
        <v>-5.85</v>
      </c>
      <c r="F193">
        <v>2282</v>
      </c>
      <c r="G193">
        <v>773</v>
      </c>
      <c r="H193">
        <v>1741</v>
      </c>
      <c r="I193">
        <v>552</v>
      </c>
      <c r="J193">
        <v>718</v>
      </c>
      <c r="K193">
        <v>343</v>
      </c>
      <c r="L193">
        <v>1049</v>
      </c>
      <c r="M193">
        <v>414</v>
      </c>
      <c r="N193">
        <v>271</v>
      </c>
      <c r="O193">
        <v>118</v>
      </c>
      <c r="P193">
        <v>475</v>
      </c>
      <c r="Q193">
        <v>648</v>
      </c>
      <c r="R193">
        <v>192</v>
      </c>
    </row>
    <row r="194" spans="1:18">
      <c r="A194" s="1" t="s">
        <v>174</v>
      </c>
      <c r="B194">
        <v>29</v>
      </c>
      <c r="C194">
        <v>13</v>
      </c>
      <c r="D194">
        <v>16</v>
      </c>
      <c r="E194">
        <v>10.8</v>
      </c>
      <c r="F194">
        <v>2141</v>
      </c>
      <c r="G194">
        <v>732</v>
      </c>
      <c r="H194">
        <v>1668</v>
      </c>
      <c r="I194">
        <v>507</v>
      </c>
      <c r="J194">
        <v>753</v>
      </c>
      <c r="K194">
        <v>398</v>
      </c>
      <c r="L194">
        <v>1099</v>
      </c>
      <c r="M194">
        <v>372</v>
      </c>
      <c r="N194">
        <v>234</v>
      </c>
      <c r="O194">
        <v>119</v>
      </c>
      <c r="P194">
        <v>482</v>
      </c>
      <c r="Q194">
        <v>579</v>
      </c>
      <c r="R194">
        <v>193</v>
      </c>
    </row>
    <row r="195" spans="1:18">
      <c r="A195" s="1" t="s">
        <v>286</v>
      </c>
      <c r="B195">
        <v>30</v>
      </c>
      <c r="C195">
        <v>19</v>
      </c>
      <c r="D195">
        <v>11</v>
      </c>
      <c r="E195">
        <v>-0.56999999999999995</v>
      </c>
      <c r="F195">
        <v>1842</v>
      </c>
      <c r="G195">
        <v>676</v>
      </c>
      <c r="H195">
        <v>1605</v>
      </c>
      <c r="I195">
        <v>314</v>
      </c>
      <c r="J195">
        <v>472</v>
      </c>
      <c r="K195">
        <v>330</v>
      </c>
      <c r="L195">
        <v>999</v>
      </c>
      <c r="M195">
        <v>334</v>
      </c>
      <c r="N195">
        <v>204</v>
      </c>
      <c r="O195">
        <v>92</v>
      </c>
      <c r="P195">
        <v>380</v>
      </c>
      <c r="Q195">
        <v>536</v>
      </c>
      <c r="R195">
        <v>194</v>
      </c>
    </row>
    <row r="196" spans="1:18">
      <c r="A196" s="1" t="s">
        <v>312</v>
      </c>
      <c r="B196">
        <v>33</v>
      </c>
      <c r="C196">
        <v>26</v>
      </c>
      <c r="D196">
        <v>7</v>
      </c>
      <c r="E196">
        <v>11.77</v>
      </c>
      <c r="F196">
        <v>2611</v>
      </c>
      <c r="G196">
        <v>945</v>
      </c>
      <c r="H196">
        <v>1972</v>
      </c>
      <c r="I196">
        <v>532</v>
      </c>
      <c r="J196">
        <v>794</v>
      </c>
      <c r="K196">
        <v>411</v>
      </c>
      <c r="L196">
        <v>1363</v>
      </c>
      <c r="M196">
        <v>576</v>
      </c>
      <c r="N196">
        <v>244</v>
      </c>
      <c r="O196">
        <v>184</v>
      </c>
      <c r="P196">
        <v>518</v>
      </c>
      <c r="Q196">
        <v>576</v>
      </c>
      <c r="R196">
        <v>195</v>
      </c>
    </row>
    <row r="197" spans="1:18">
      <c r="A197" s="1" t="s">
        <v>175</v>
      </c>
      <c r="B197">
        <v>28</v>
      </c>
      <c r="C197">
        <v>4</v>
      </c>
      <c r="D197">
        <v>24</v>
      </c>
      <c r="E197">
        <v>1.81</v>
      </c>
      <c r="F197">
        <v>2015</v>
      </c>
      <c r="G197">
        <v>708</v>
      </c>
      <c r="H197">
        <v>1611</v>
      </c>
      <c r="I197">
        <v>492</v>
      </c>
      <c r="J197">
        <v>731</v>
      </c>
      <c r="K197">
        <v>351</v>
      </c>
      <c r="L197">
        <v>990</v>
      </c>
      <c r="M197">
        <v>342</v>
      </c>
      <c r="N197">
        <v>200</v>
      </c>
      <c r="O197">
        <v>89</v>
      </c>
      <c r="P197">
        <v>552</v>
      </c>
      <c r="Q197">
        <v>517</v>
      </c>
      <c r="R197">
        <v>196</v>
      </c>
    </row>
    <row r="198" spans="1:18">
      <c r="A198" s="1" t="s">
        <v>176</v>
      </c>
      <c r="B198">
        <v>29</v>
      </c>
      <c r="C198">
        <v>10</v>
      </c>
      <c r="D198">
        <v>19</v>
      </c>
      <c r="E198">
        <v>-4.13</v>
      </c>
      <c r="F198">
        <v>2129</v>
      </c>
      <c r="G198">
        <v>807</v>
      </c>
      <c r="H198">
        <v>1768</v>
      </c>
      <c r="I198">
        <v>367</v>
      </c>
      <c r="J198">
        <v>524</v>
      </c>
      <c r="K198">
        <v>360</v>
      </c>
      <c r="L198">
        <v>935</v>
      </c>
      <c r="M198">
        <v>420</v>
      </c>
      <c r="N198">
        <v>264</v>
      </c>
      <c r="O198">
        <v>101</v>
      </c>
      <c r="P198">
        <v>510</v>
      </c>
      <c r="Q198">
        <v>510</v>
      </c>
      <c r="R198">
        <v>197</v>
      </c>
    </row>
    <row r="199" spans="1:18">
      <c r="A199" s="1" t="s">
        <v>287</v>
      </c>
      <c r="B199">
        <v>29</v>
      </c>
      <c r="C199">
        <v>15</v>
      </c>
      <c r="D199">
        <v>14</v>
      </c>
      <c r="E199">
        <v>-3.54</v>
      </c>
      <c r="F199">
        <v>2109</v>
      </c>
      <c r="G199">
        <v>717</v>
      </c>
      <c r="H199">
        <v>1512</v>
      </c>
      <c r="I199">
        <v>438</v>
      </c>
      <c r="J199">
        <v>611</v>
      </c>
      <c r="K199">
        <v>285</v>
      </c>
      <c r="L199">
        <v>1015</v>
      </c>
      <c r="M199">
        <v>446</v>
      </c>
      <c r="N199">
        <v>125</v>
      </c>
      <c r="O199">
        <v>41</v>
      </c>
      <c r="P199">
        <v>460</v>
      </c>
      <c r="Q199">
        <v>546</v>
      </c>
      <c r="R199">
        <v>198</v>
      </c>
    </row>
    <row r="200" spans="1:18">
      <c r="A200" s="1" t="s">
        <v>177</v>
      </c>
      <c r="B200">
        <v>28</v>
      </c>
      <c r="C200">
        <v>5</v>
      </c>
      <c r="D200">
        <v>23</v>
      </c>
      <c r="E200">
        <v>0.68</v>
      </c>
      <c r="F200">
        <v>1864</v>
      </c>
      <c r="G200">
        <v>702</v>
      </c>
      <c r="H200">
        <v>1595</v>
      </c>
      <c r="I200">
        <v>279</v>
      </c>
      <c r="J200">
        <v>442</v>
      </c>
      <c r="K200">
        <v>331</v>
      </c>
      <c r="L200">
        <v>927</v>
      </c>
      <c r="M200">
        <v>335</v>
      </c>
      <c r="N200">
        <v>181</v>
      </c>
      <c r="O200">
        <v>99</v>
      </c>
      <c r="P200">
        <v>450</v>
      </c>
      <c r="Q200">
        <v>574</v>
      </c>
      <c r="R200">
        <v>199</v>
      </c>
    </row>
    <row r="201" spans="1:18">
      <c r="A201" s="1" t="s">
        <v>178</v>
      </c>
      <c r="B201">
        <v>31</v>
      </c>
      <c r="C201">
        <v>7</v>
      </c>
      <c r="D201">
        <v>24</v>
      </c>
      <c r="E201">
        <v>2.23</v>
      </c>
      <c r="F201">
        <v>1865</v>
      </c>
      <c r="G201">
        <v>664</v>
      </c>
      <c r="H201">
        <v>1587</v>
      </c>
      <c r="I201">
        <v>390</v>
      </c>
      <c r="J201">
        <v>621</v>
      </c>
      <c r="K201">
        <v>278</v>
      </c>
      <c r="L201">
        <v>961</v>
      </c>
      <c r="M201">
        <v>355</v>
      </c>
      <c r="N201">
        <v>224</v>
      </c>
      <c r="O201">
        <v>61</v>
      </c>
      <c r="P201">
        <v>474</v>
      </c>
      <c r="Q201">
        <v>617</v>
      </c>
      <c r="R201">
        <v>200</v>
      </c>
    </row>
    <row r="202" spans="1:18">
      <c r="A202" s="1" t="s">
        <v>179</v>
      </c>
      <c r="B202">
        <v>32</v>
      </c>
      <c r="C202">
        <v>19</v>
      </c>
      <c r="D202">
        <v>13</v>
      </c>
      <c r="E202">
        <v>-7.82</v>
      </c>
      <c r="F202">
        <v>2292</v>
      </c>
      <c r="G202">
        <v>768</v>
      </c>
      <c r="H202">
        <v>1856</v>
      </c>
      <c r="I202">
        <v>581</v>
      </c>
      <c r="J202">
        <v>877</v>
      </c>
      <c r="K202">
        <v>410</v>
      </c>
      <c r="L202">
        <v>1178</v>
      </c>
      <c r="M202">
        <v>392</v>
      </c>
      <c r="N202">
        <v>308</v>
      </c>
      <c r="O202">
        <v>133</v>
      </c>
      <c r="P202">
        <v>537</v>
      </c>
      <c r="Q202">
        <v>765</v>
      </c>
      <c r="R202">
        <v>201</v>
      </c>
    </row>
    <row r="203" spans="1:18">
      <c r="A203" s="1" t="s">
        <v>180</v>
      </c>
      <c r="B203">
        <v>30</v>
      </c>
      <c r="C203">
        <v>11</v>
      </c>
      <c r="D203">
        <v>19</v>
      </c>
      <c r="E203">
        <v>7.88</v>
      </c>
      <c r="F203">
        <v>1801</v>
      </c>
      <c r="G203">
        <v>622</v>
      </c>
      <c r="H203">
        <v>1538</v>
      </c>
      <c r="I203">
        <v>355</v>
      </c>
      <c r="J203">
        <v>529</v>
      </c>
      <c r="K203">
        <v>311</v>
      </c>
      <c r="L203">
        <v>903</v>
      </c>
      <c r="M203">
        <v>423</v>
      </c>
      <c r="N203">
        <v>215</v>
      </c>
      <c r="O203">
        <v>65</v>
      </c>
      <c r="P203">
        <v>410</v>
      </c>
      <c r="Q203">
        <v>520</v>
      </c>
      <c r="R203">
        <v>202</v>
      </c>
    </row>
    <row r="204" spans="1:18">
      <c r="A204" s="1" t="s">
        <v>181</v>
      </c>
      <c r="B204">
        <v>30</v>
      </c>
      <c r="C204">
        <v>20</v>
      </c>
      <c r="D204">
        <v>10</v>
      </c>
      <c r="E204">
        <v>5.68</v>
      </c>
      <c r="F204">
        <v>2338</v>
      </c>
      <c r="G204">
        <v>814</v>
      </c>
      <c r="H204">
        <v>1763</v>
      </c>
      <c r="I204">
        <v>491</v>
      </c>
      <c r="J204">
        <v>714</v>
      </c>
      <c r="K204">
        <v>370</v>
      </c>
      <c r="L204">
        <v>1214</v>
      </c>
      <c r="M204">
        <v>527</v>
      </c>
      <c r="N204">
        <v>199</v>
      </c>
      <c r="O204">
        <v>178</v>
      </c>
      <c r="P204">
        <v>434</v>
      </c>
      <c r="Q204">
        <v>501</v>
      </c>
      <c r="R204">
        <v>203</v>
      </c>
    </row>
    <row r="205" spans="1:18">
      <c r="A205" s="1" t="s">
        <v>182</v>
      </c>
      <c r="B205">
        <v>28</v>
      </c>
      <c r="C205">
        <v>12</v>
      </c>
      <c r="D205">
        <v>16</v>
      </c>
      <c r="E205">
        <v>-1.04</v>
      </c>
      <c r="F205">
        <v>2089</v>
      </c>
      <c r="G205">
        <v>686</v>
      </c>
      <c r="H205">
        <v>1544</v>
      </c>
      <c r="I205">
        <v>498</v>
      </c>
      <c r="J205">
        <v>708</v>
      </c>
      <c r="K205">
        <v>294</v>
      </c>
      <c r="L205">
        <v>924</v>
      </c>
      <c r="M205">
        <v>397</v>
      </c>
      <c r="N205">
        <v>166</v>
      </c>
      <c r="O205">
        <v>51</v>
      </c>
      <c r="P205">
        <v>425</v>
      </c>
      <c r="Q205">
        <v>572</v>
      </c>
      <c r="R205">
        <v>204</v>
      </c>
    </row>
    <row r="206" spans="1:18">
      <c r="A206" s="1" t="s">
        <v>321</v>
      </c>
      <c r="B206">
        <v>31</v>
      </c>
      <c r="C206">
        <v>20</v>
      </c>
      <c r="D206">
        <v>11</v>
      </c>
      <c r="E206">
        <v>8.17</v>
      </c>
      <c r="F206">
        <v>2206</v>
      </c>
      <c r="G206">
        <v>775</v>
      </c>
      <c r="H206">
        <v>1645</v>
      </c>
      <c r="I206">
        <v>487</v>
      </c>
      <c r="J206">
        <v>697</v>
      </c>
      <c r="K206">
        <v>355</v>
      </c>
      <c r="L206">
        <v>1090</v>
      </c>
      <c r="M206">
        <v>473</v>
      </c>
      <c r="N206">
        <v>161</v>
      </c>
      <c r="O206">
        <v>160</v>
      </c>
      <c r="P206">
        <v>471</v>
      </c>
      <c r="Q206">
        <v>607</v>
      </c>
      <c r="R206">
        <v>205</v>
      </c>
    </row>
    <row r="207" spans="1:18">
      <c r="A207" s="1" t="s">
        <v>183</v>
      </c>
      <c r="B207">
        <v>30</v>
      </c>
      <c r="C207">
        <v>19</v>
      </c>
      <c r="D207">
        <v>11</v>
      </c>
      <c r="E207">
        <v>1.51</v>
      </c>
      <c r="F207">
        <v>2248</v>
      </c>
      <c r="G207">
        <v>771</v>
      </c>
      <c r="H207">
        <v>1687</v>
      </c>
      <c r="I207">
        <v>510</v>
      </c>
      <c r="J207">
        <v>761</v>
      </c>
      <c r="K207">
        <v>384</v>
      </c>
      <c r="L207">
        <v>1108</v>
      </c>
      <c r="M207">
        <v>446</v>
      </c>
      <c r="N207">
        <v>215</v>
      </c>
      <c r="O207">
        <v>146</v>
      </c>
      <c r="P207">
        <v>462</v>
      </c>
      <c r="Q207">
        <v>695</v>
      </c>
      <c r="R207">
        <v>206</v>
      </c>
    </row>
    <row r="208" spans="1:18">
      <c r="A208" s="1" t="s">
        <v>340</v>
      </c>
      <c r="B208">
        <v>30</v>
      </c>
      <c r="C208">
        <v>20</v>
      </c>
      <c r="D208">
        <v>10</v>
      </c>
      <c r="E208">
        <v>4.7</v>
      </c>
      <c r="F208">
        <v>2129</v>
      </c>
      <c r="G208">
        <v>767</v>
      </c>
      <c r="H208">
        <v>1652</v>
      </c>
      <c r="I208">
        <v>466</v>
      </c>
      <c r="J208">
        <v>736</v>
      </c>
      <c r="K208">
        <v>364</v>
      </c>
      <c r="L208">
        <v>1139</v>
      </c>
      <c r="M208">
        <v>406</v>
      </c>
      <c r="N208">
        <v>241</v>
      </c>
      <c r="O208">
        <v>115</v>
      </c>
      <c r="P208">
        <v>506</v>
      </c>
      <c r="Q208">
        <v>568</v>
      </c>
      <c r="R208">
        <v>207</v>
      </c>
    </row>
    <row r="209" spans="1:18">
      <c r="A209" s="1" t="s">
        <v>329</v>
      </c>
      <c r="B209">
        <v>33</v>
      </c>
      <c r="C209">
        <v>26</v>
      </c>
      <c r="D209">
        <v>7</v>
      </c>
      <c r="E209">
        <v>5.48</v>
      </c>
      <c r="F209">
        <v>2454</v>
      </c>
      <c r="G209">
        <v>859</v>
      </c>
      <c r="H209">
        <v>1924</v>
      </c>
      <c r="I209">
        <v>494</v>
      </c>
      <c r="J209">
        <v>668</v>
      </c>
      <c r="K209">
        <v>420</v>
      </c>
      <c r="L209">
        <v>1184</v>
      </c>
      <c r="M209">
        <v>444</v>
      </c>
      <c r="N209">
        <v>281</v>
      </c>
      <c r="O209">
        <v>91</v>
      </c>
      <c r="P209">
        <v>420</v>
      </c>
      <c r="Q209">
        <v>706</v>
      </c>
      <c r="R209">
        <v>208</v>
      </c>
    </row>
    <row r="210" spans="1:18">
      <c r="A210" s="1" t="s">
        <v>184</v>
      </c>
      <c r="B210">
        <v>31</v>
      </c>
      <c r="C210">
        <v>13</v>
      </c>
      <c r="D210">
        <v>18</v>
      </c>
      <c r="E210">
        <v>1.23</v>
      </c>
      <c r="F210">
        <v>2094</v>
      </c>
      <c r="G210">
        <v>724</v>
      </c>
      <c r="H210">
        <v>1726</v>
      </c>
      <c r="I210">
        <v>471</v>
      </c>
      <c r="J210">
        <v>683</v>
      </c>
      <c r="K210">
        <v>375</v>
      </c>
      <c r="L210">
        <v>1126</v>
      </c>
      <c r="M210">
        <v>408</v>
      </c>
      <c r="N210">
        <v>209</v>
      </c>
      <c r="O210">
        <v>113</v>
      </c>
      <c r="P210">
        <v>463</v>
      </c>
      <c r="Q210">
        <v>632</v>
      </c>
      <c r="R210">
        <v>209</v>
      </c>
    </row>
    <row r="211" spans="1:18">
      <c r="A211" s="1" t="s">
        <v>185</v>
      </c>
      <c r="B211">
        <v>29</v>
      </c>
      <c r="C211">
        <v>10</v>
      </c>
      <c r="D211">
        <v>19</v>
      </c>
      <c r="E211">
        <v>-2.63</v>
      </c>
      <c r="F211">
        <v>2071</v>
      </c>
      <c r="G211">
        <v>726</v>
      </c>
      <c r="H211">
        <v>1551</v>
      </c>
      <c r="I211">
        <v>431</v>
      </c>
      <c r="J211">
        <v>597</v>
      </c>
      <c r="K211">
        <v>270</v>
      </c>
      <c r="L211">
        <v>921</v>
      </c>
      <c r="M211">
        <v>400</v>
      </c>
      <c r="N211">
        <v>152</v>
      </c>
      <c r="O211">
        <v>59</v>
      </c>
      <c r="P211">
        <v>470</v>
      </c>
      <c r="Q211">
        <v>616</v>
      </c>
      <c r="R211">
        <v>210</v>
      </c>
    </row>
    <row r="212" spans="1:18">
      <c r="A212" s="1" t="s">
        <v>186</v>
      </c>
      <c r="B212">
        <v>30</v>
      </c>
      <c r="C212">
        <v>10</v>
      </c>
      <c r="D212">
        <v>20</v>
      </c>
      <c r="E212">
        <v>8.8000000000000007</v>
      </c>
      <c r="F212">
        <v>1856</v>
      </c>
      <c r="G212">
        <v>632</v>
      </c>
      <c r="H212">
        <v>1448</v>
      </c>
      <c r="I212">
        <v>375</v>
      </c>
      <c r="J212">
        <v>516</v>
      </c>
      <c r="K212">
        <v>224</v>
      </c>
      <c r="L212">
        <v>821</v>
      </c>
      <c r="M212">
        <v>399</v>
      </c>
      <c r="N212">
        <v>155</v>
      </c>
      <c r="O212">
        <v>46</v>
      </c>
      <c r="P212">
        <v>380</v>
      </c>
      <c r="Q212">
        <v>544</v>
      </c>
      <c r="R212">
        <v>211</v>
      </c>
    </row>
    <row r="213" spans="1:18">
      <c r="A213" s="1" t="s">
        <v>288</v>
      </c>
      <c r="B213">
        <v>28</v>
      </c>
      <c r="C213">
        <v>14</v>
      </c>
      <c r="D213">
        <v>14</v>
      </c>
      <c r="E213">
        <v>7.9</v>
      </c>
      <c r="F213">
        <v>2187</v>
      </c>
      <c r="G213">
        <v>735</v>
      </c>
      <c r="H213">
        <v>1641</v>
      </c>
      <c r="I213">
        <v>509</v>
      </c>
      <c r="J213">
        <v>709</v>
      </c>
      <c r="K213">
        <v>334</v>
      </c>
      <c r="L213">
        <v>1006</v>
      </c>
      <c r="M213">
        <v>426</v>
      </c>
      <c r="N213">
        <v>176</v>
      </c>
      <c r="O213">
        <v>98</v>
      </c>
      <c r="P213">
        <v>450</v>
      </c>
      <c r="Q213">
        <v>656</v>
      </c>
      <c r="R213">
        <v>212</v>
      </c>
    </row>
    <row r="214" spans="1:18">
      <c r="A214" s="1" t="s">
        <v>187</v>
      </c>
      <c r="B214">
        <v>30</v>
      </c>
      <c r="C214">
        <v>18</v>
      </c>
      <c r="D214">
        <v>12</v>
      </c>
      <c r="E214">
        <v>-1.07</v>
      </c>
      <c r="F214">
        <v>2065</v>
      </c>
      <c r="G214">
        <v>701</v>
      </c>
      <c r="H214">
        <v>1569</v>
      </c>
      <c r="I214">
        <v>455</v>
      </c>
      <c r="J214">
        <v>692</v>
      </c>
      <c r="K214">
        <v>319</v>
      </c>
      <c r="L214">
        <v>1085</v>
      </c>
      <c r="M214">
        <v>404</v>
      </c>
      <c r="N214">
        <v>156</v>
      </c>
      <c r="O214">
        <v>58</v>
      </c>
      <c r="P214">
        <v>454</v>
      </c>
      <c r="Q214">
        <v>588</v>
      </c>
      <c r="R214">
        <v>213</v>
      </c>
    </row>
    <row r="215" spans="1:18">
      <c r="A215" s="1" t="s">
        <v>188</v>
      </c>
      <c r="B215">
        <v>33</v>
      </c>
      <c r="C215">
        <v>21</v>
      </c>
      <c r="D215">
        <v>12</v>
      </c>
      <c r="E215">
        <v>10.54</v>
      </c>
      <c r="F215">
        <v>2535</v>
      </c>
      <c r="G215">
        <v>835</v>
      </c>
      <c r="H215">
        <v>1962</v>
      </c>
      <c r="I215">
        <v>587</v>
      </c>
      <c r="J215">
        <v>768</v>
      </c>
      <c r="K215">
        <v>349</v>
      </c>
      <c r="L215">
        <v>1069</v>
      </c>
      <c r="M215">
        <v>481</v>
      </c>
      <c r="N215">
        <v>279</v>
      </c>
      <c r="O215">
        <v>117</v>
      </c>
      <c r="P215">
        <v>407</v>
      </c>
      <c r="Q215">
        <v>657</v>
      </c>
      <c r="R215">
        <v>214</v>
      </c>
    </row>
    <row r="216" spans="1:18">
      <c r="A216" s="1" t="s">
        <v>289</v>
      </c>
      <c r="B216">
        <v>29</v>
      </c>
      <c r="C216">
        <v>12</v>
      </c>
      <c r="D216">
        <v>17</v>
      </c>
      <c r="E216">
        <v>-2.73</v>
      </c>
      <c r="F216">
        <v>1925</v>
      </c>
      <c r="G216">
        <v>666</v>
      </c>
      <c r="H216">
        <v>1582</v>
      </c>
      <c r="I216">
        <v>370</v>
      </c>
      <c r="J216">
        <v>595</v>
      </c>
      <c r="K216">
        <v>352</v>
      </c>
      <c r="L216">
        <v>1049</v>
      </c>
      <c r="M216">
        <v>405</v>
      </c>
      <c r="N216">
        <v>159</v>
      </c>
      <c r="O216">
        <v>98</v>
      </c>
      <c r="P216">
        <v>556</v>
      </c>
      <c r="Q216">
        <v>556</v>
      </c>
      <c r="R216">
        <v>215</v>
      </c>
    </row>
    <row r="217" spans="1:18">
      <c r="A217" s="1" t="s">
        <v>290</v>
      </c>
      <c r="B217">
        <v>31</v>
      </c>
      <c r="C217">
        <v>22</v>
      </c>
      <c r="D217">
        <v>9</v>
      </c>
      <c r="E217">
        <v>1.77</v>
      </c>
      <c r="F217">
        <v>2344</v>
      </c>
      <c r="G217">
        <v>828</v>
      </c>
      <c r="H217">
        <v>1866</v>
      </c>
      <c r="I217">
        <v>474</v>
      </c>
      <c r="J217">
        <v>667</v>
      </c>
      <c r="K217">
        <v>399</v>
      </c>
      <c r="L217">
        <v>1113</v>
      </c>
      <c r="M217">
        <v>409</v>
      </c>
      <c r="N217">
        <v>288</v>
      </c>
      <c r="O217">
        <v>83</v>
      </c>
      <c r="P217">
        <v>413</v>
      </c>
      <c r="Q217">
        <v>680</v>
      </c>
      <c r="R217">
        <v>216</v>
      </c>
    </row>
    <row r="218" spans="1:18">
      <c r="A218" s="1" t="s">
        <v>189</v>
      </c>
      <c r="B218">
        <v>33</v>
      </c>
      <c r="C218">
        <v>19</v>
      </c>
      <c r="D218">
        <v>14</v>
      </c>
      <c r="E218">
        <v>5.19</v>
      </c>
      <c r="F218">
        <v>2247</v>
      </c>
      <c r="G218">
        <v>820</v>
      </c>
      <c r="H218">
        <v>1803</v>
      </c>
      <c r="I218">
        <v>417</v>
      </c>
      <c r="J218">
        <v>676</v>
      </c>
      <c r="K218">
        <v>404</v>
      </c>
      <c r="L218">
        <v>1171</v>
      </c>
      <c r="M218">
        <v>496</v>
      </c>
      <c r="N218">
        <v>234</v>
      </c>
      <c r="O218">
        <v>123</v>
      </c>
      <c r="P218">
        <v>510</v>
      </c>
      <c r="Q218">
        <v>566</v>
      </c>
      <c r="R218">
        <v>217</v>
      </c>
    </row>
    <row r="219" spans="1:18">
      <c r="A219" s="1" t="s">
        <v>190</v>
      </c>
      <c r="B219">
        <v>27</v>
      </c>
      <c r="C219">
        <v>9</v>
      </c>
      <c r="D219">
        <v>18</v>
      </c>
      <c r="E219">
        <v>-1.22</v>
      </c>
      <c r="F219">
        <v>1910</v>
      </c>
      <c r="G219">
        <v>669</v>
      </c>
      <c r="H219">
        <v>1533</v>
      </c>
      <c r="I219">
        <v>379</v>
      </c>
      <c r="J219">
        <v>548</v>
      </c>
      <c r="K219">
        <v>281</v>
      </c>
      <c r="L219">
        <v>866</v>
      </c>
      <c r="M219">
        <v>410</v>
      </c>
      <c r="N219">
        <v>213</v>
      </c>
      <c r="O219">
        <v>82</v>
      </c>
      <c r="P219">
        <v>480</v>
      </c>
      <c r="Q219">
        <v>639</v>
      </c>
      <c r="R219">
        <v>218</v>
      </c>
    </row>
    <row r="220" spans="1:18">
      <c r="A220" s="1" t="s">
        <v>191</v>
      </c>
      <c r="B220">
        <v>28</v>
      </c>
      <c r="C220">
        <v>11</v>
      </c>
      <c r="D220">
        <v>17</v>
      </c>
      <c r="E220">
        <v>0.53</v>
      </c>
      <c r="F220">
        <v>1954</v>
      </c>
      <c r="G220">
        <v>682</v>
      </c>
      <c r="H220">
        <v>1567</v>
      </c>
      <c r="I220">
        <v>442</v>
      </c>
      <c r="J220">
        <v>617</v>
      </c>
      <c r="K220">
        <v>307</v>
      </c>
      <c r="L220">
        <v>964</v>
      </c>
      <c r="M220">
        <v>403</v>
      </c>
      <c r="N220">
        <v>204</v>
      </c>
      <c r="O220">
        <v>93</v>
      </c>
      <c r="P220">
        <v>468</v>
      </c>
      <c r="Q220">
        <v>561</v>
      </c>
      <c r="R220">
        <v>219</v>
      </c>
    </row>
    <row r="221" spans="1:18">
      <c r="A221" s="1" t="s">
        <v>192</v>
      </c>
      <c r="B221">
        <v>28</v>
      </c>
      <c r="C221">
        <v>6</v>
      </c>
      <c r="D221">
        <v>22</v>
      </c>
      <c r="E221">
        <v>-11.11</v>
      </c>
      <c r="F221">
        <v>1974</v>
      </c>
      <c r="G221">
        <v>743</v>
      </c>
      <c r="H221">
        <v>1801</v>
      </c>
      <c r="I221">
        <v>322</v>
      </c>
      <c r="J221">
        <v>507</v>
      </c>
      <c r="K221">
        <v>384</v>
      </c>
      <c r="L221">
        <v>1090</v>
      </c>
      <c r="M221">
        <v>330</v>
      </c>
      <c r="N221">
        <v>214</v>
      </c>
      <c r="O221">
        <v>95</v>
      </c>
      <c r="P221">
        <v>504</v>
      </c>
      <c r="Q221">
        <v>548</v>
      </c>
      <c r="R221">
        <v>220</v>
      </c>
    </row>
    <row r="222" spans="1:18">
      <c r="A222" s="1" t="s">
        <v>193</v>
      </c>
      <c r="B222">
        <v>27</v>
      </c>
      <c r="C222">
        <v>16</v>
      </c>
      <c r="D222">
        <v>11</v>
      </c>
      <c r="E222">
        <v>-1.88</v>
      </c>
      <c r="F222">
        <v>1562</v>
      </c>
      <c r="G222">
        <v>540</v>
      </c>
      <c r="H222">
        <v>1203</v>
      </c>
      <c r="I222">
        <v>264</v>
      </c>
      <c r="J222">
        <v>363</v>
      </c>
      <c r="K222">
        <v>174</v>
      </c>
      <c r="L222">
        <v>692</v>
      </c>
      <c r="M222">
        <v>383</v>
      </c>
      <c r="N222">
        <v>180</v>
      </c>
      <c r="O222">
        <v>61</v>
      </c>
      <c r="P222">
        <v>340</v>
      </c>
      <c r="Q222">
        <v>456</v>
      </c>
      <c r="R222">
        <v>221</v>
      </c>
    </row>
    <row r="223" spans="1:18">
      <c r="A223" s="1" t="s">
        <v>194</v>
      </c>
      <c r="B223">
        <v>31</v>
      </c>
      <c r="C223">
        <v>21</v>
      </c>
      <c r="D223">
        <v>10</v>
      </c>
      <c r="E223">
        <v>5.44</v>
      </c>
      <c r="F223">
        <v>2359</v>
      </c>
      <c r="G223">
        <v>806</v>
      </c>
      <c r="H223">
        <v>1809</v>
      </c>
      <c r="I223">
        <v>498</v>
      </c>
      <c r="J223">
        <v>693</v>
      </c>
      <c r="K223">
        <v>391</v>
      </c>
      <c r="L223">
        <v>1129</v>
      </c>
      <c r="M223">
        <v>506</v>
      </c>
      <c r="N223">
        <v>286</v>
      </c>
      <c r="O223">
        <v>172</v>
      </c>
      <c r="P223">
        <v>467</v>
      </c>
      <c r="Q223">
        <v>644</v>
      </c>
      <c r="R223">
        <v>222</v>
      </c>
    </row>
    <row r="224" spans="1:18">
      <c r="A224" s="1" t="s">
        <v>291</v>
      </c>
      <c r="B224">
        <v>32</v>
      </c>
      <c r="C224">
        <v>17</v>
      </c>
      <c r="D224">
        <v>15</v>
      </c>
      <c r="E224">
        <v>9.23</v>
      </c>
      <c r="F224">
        <v>2391</v>
      </c>
      <c r="G224">
        <v>810</v>
      </c>
      <c r="H224">
        <v>1821</v>
      </c>
      <c r="I224">
        <v>566</v>
      </c>
      <c r="J224">
        <v>781</v>
      </c>
      <c r="K224">
        <v>339</v>
      </c>
      <c r="L224">
        <v>1076</v>
      </c>
      <c r="M224">
        <v>484</v>
      </c>
      <c r="N224">
        <v>226</v>
      </c>
      <c r="O224">
        <v>147</v>
      </c>
      <c r="P224">
        <v>441</v>
      </c>
      <c r="Q224">
        <v>683</v>
      </c>
      <c r="R224">
        <v>223</v>
      </c>
    </row>
    <row r="225" spans="1:18">
      <c r="A225" s="1" t="s">
        <v>195</v>
      </c>
      <c r="B225">
        <v>27</v>
      </c>
      <c r="C225">
        <v>6</v>
      </c>
      <c r="D225">
        <v>21</v>
      </c>
      <c r="E225">
        <v>-9.43</v>
      </c>
      <c r="F225">
        <v>1906</v>
      </c>
      <c r="G225">
        <v>684</v>
      </c>
      <c r="H225">
        <v>1572</v>
      </c>
      <c r="I225">
        <v>378</v>
      </c>
      <c r="J225">
        <v>563</v>
      </c>
      <c r="K225">
        <v>284</v>
      </c>
      <c r="L225">
        <v>989</v>
      </c>
      <c r="M225">
        <v>397</v>
      </c>
      <c r="N225">
        <v>155</v>
      </c>
      <c r="O225">
        <v>80</v>
      </c>
      <c r="P225">
        <v>486</v>
      </c>
      <c r="Q225">
        <v>674</v>
      </c>
      <c r="R225">
        <v>224</v>
      </c>
    </row>
    <row r="226" spans="1:18">
      <c r="A226" s="1" t="s">
        <v>196</v>
      </c>
      <c r="B226">
        <v>29</v>
      </c>
      <c r="C226">
        <v>19</v>
      </c>
      <c r="D226">
        <v>10</v>
      </c>
      <c r="E226">
        <v>-7.78</v>
      </c>
      <c r="F226">
        <v>2110</v>
      </c>
      <c r="G226">
        <v>723</v>
      </c>
      <c r="H226">
        <v>1676</v>
      </c>
      <c r="I226">
        <v>468</v>
      </c>
      <c r="J226">
        <v>717</v>
      </c>
      <c r="K226">
        <v>371</v>
      </c>
      <c r="L226">
        <v>1095</v>
      </c>
      <c r="M226">
        <v>391</v>
      </c>
      <c r="N226">
        <v>265</v>
      </c>
      <c r="O226">
        <v>136</v>
      </c>
      <c r="P226">
        <v>498</v>
      </c>
      <c r="Q226">
        <v>589</v>
      </c>
      <c r="R226">
        <v>225</v>
      </c>
    </row>
    <row r="227" spans="1:18">
      <c r="A227" s="1" t="s">
        <v>197</v>
      </c>
      <c r="B227">
        <v>30</v>
      </c>
      <c r="C227">
        <v>7</v>
      </c>
      <c r="D227">
        <v>23</v>
      </c>
      <c r="E227">
        <v>4.28</v>
      </c>
      <c r="F227">
        <v>2090</v>
      </c>
      <c r="G227">
        <v>732</v>
      </c>
      <c r="H227">
        <v>1777</v>
      </c>
      <c r="I227">
        <v>495</v>
      </c>
      <c r="J227">
        <v>713</v>
      </c>
      <c r="K227">
        <v>342</v>
      </c>
      <c r="L227">
        <v>1016</v>
      </c>
      <c r="M227">
        <v>400</v>
      </c>
      <c r="N227">
        <v>246</v>
      </c>
      <c r="O227">
        <v>105</v>
      </c>
      <c r="P227">
        <v>479</v>
      </c>
      <c r="Q227">
        <v>596</v>
      </c>
      <c r="R227">
        <v>226</v>
      </c>
    </row>
    <row r="228" spans="1:18">
      <c r="A228" s="1" t="s">
        <v>198</v>
      </c>
      <c r="B228">
        <v>30</v>
      </c>
      <c r="C228">
        <v>14</v>
      </c>
      <c r="D228">
        <v>16</v>
      </c>
      <c r="E228">
        <v>3.71</v>
      </c>
      <c r="F228">
        <v>1886</v>
      </c>
      <c r="G228">
        <v>632</v>
      </c>
      <c r="H228">
        <v>1589</v>
      </c>
      <c r="I228">
        <v>439</v>
      </c>
      <c r="J228">
        <v>623</v>
      </c>
      <c r="K228">
        <v>346</v>
      </c>
      <c r="L228">
        <v>1061</v>
      </c>
      <c r="M228">
        <v>329</v>
      </c>
      <c r="N228">
        <v>197</v>
      </c>
      <c r="O228">
        <v>78</v>
      </c>
      <c r="P228">
        <v>414</v>
      </c>
      <c r="Q228">
        <v>616</v>
      </c>
      <c r="R228">
        <v>227</v>
      </c>
    </row>
    <row r="229" spans="1:18">
      <c r="A229" s="1" t="s">
        <v>199</v>
      </c>
      <c r="B229">
        <v>29</v>
      </c>
      <c r="C229">
        <v>22</v>
      </c>
      <c r="D229">
        <v>7</v>
      </c>
      <c r="E229">
        <v>-0.09</v>
      </c>
      <c r="F229">
        <v>2029</v>
      </c>
      <c r="G229">
        <v>723</v>
      </c>
      <c r="H229">
        <v>1580</v>
      </c>
      <c r="I229">
        <v>360</v>
      </c>
      <c r="J229">
        <v>509</v>
      </c>
      <c r="K229">
        <v>272</v>
      </c>
      <c r="L229">
        <v>937</v>
      </c>
      <c r="M229">
        <v>470</v>
      </c>
      <c r="N229">
        <v>162</v>
      </c>
      <c r="O229">
        <v>139</v>
      </c>
      <c r="P229">
        <v>317</v>
      </c>
      <c r="Q229">
        <v>445</v>
      </c>
      <c r="R229">
        <v>228</v>
      </c>
    </row>
    <row r="230" spans="1:18">
      <c r="A230" s="1" t="s">
        <v>200</v>
      </c>
      <c r="B230">
        <v>28</v>
      </c>
      <c r="C230">
        <v>16</v>
      </c>
      <c r="D230">
        <v>12</v>
      </c>
      <c r="E230">
        <v>-4.97</v>
      </c>
      <c r="F230">
        <v>2022</v>
      </c>
      <c r="G230">
        <v>702</v>
      </c>
      <c r="H230">
        <v>1520</v>
      </c>
      <c r="I230">
        <v>470</v>
      </c>
      <c r="J230">
        <v>677</v>
      </c>
      <c r="K230">
        <v>309</v>
      </c>
      <c r="L230">
        <v>982</v>
      </c>
      <c r="M230">
        <v>410</v>
      </c>
      <c r="N230">
        <v>203</v>
      </c>
      <c r="O230">
        <v>74</v>
      </c>
      <c r="P230">
        <v>410</v>
      </c>
      <c r="Q230">
        <v>410</v>
      </c>
      <c r="R230">
        <v>229</v>
      </c>
    </row>
    <row r="231" spans="1:18">
      <c r="A231" s="1" t="s">
        <v>201</v>
      </c>
      <c r="B231">
        <v>29</v>
      </c>
      <c r="C231">
        <v>7</v>
      </c>
      <c r="D231">
        <v>22</v>
      </c>
      <c r="E231">
        <v>-7.3</v>
      </c>
      <c r="F231">
        <v>1964</v>
      </c>
      <c r="G231">
        <v>708</v>
      </c>
      <c r="H231">
        <v>1600</v>
      </c>
      <c r="I231">
        <v>434</v>
      </c>
      <c r="J231">
        <v>634</v>
      </c>
      <c r="K231">
        <v>303</v>
      </c>
      <c r="L231">
        <v>974</v>
      </c>
      <c r="M231">
        <v>406</v>
      </c>
      <c r="N231">
        <v>232</v>
      </c>
      <c r="O231">
        <v>66</v>
      </c>
      <c r="P231">
        <v>515</v>
      </c>
      <c r="Q231">
        <v>614</v>
      </c>
      <c r="R231">
        <v>230</v>
      </c>
    </row>
    <row r="232" spans="1:18">
      <c r="A232" s="1" t="s">
        <v>202</v>
      </c>
      <c r="B232">
        <v>27</v>
      </c>
      <c r="C232">
        <v>11</v>
      </c>
      <c r="D232">
        <v>16</v>
      </c>
      <c r="E232">
        <v>5.23</v>
      </c>
      <c r="F232">
        <v>1764</v>
      </c>
      <c r="G232">
        <v>627</v>
      </c>
      <c r="H232">
        <v>1417</v>
      </c>
      <c r="I232">
        <v>368</v>
      </c>
      <c r="J232">
        <v>621</v>
      </c>
      <c r="K232">
        <v>369</v>
      </c>
      <c r="L232">
        <v>955</v>
      </c>
      <c r="M232">
        <v>360</v>
      </c>
      <c r="N232">
        <v>135</v>
      </c>
      <c r="O232">
        <v>96</v>
      </c>
      <c r="P232">
        <v>391</v>
      </c>
      <c r="Q232">
        <v>488</v>
      </c>
      <c r="R232">
        <v>231</v>
      </c>
    </row>
    <row r="233" spans="1:18">
      <c r="A233" s="1" t="s">
        <v>203</v>
      </c>
      <c r="B233">
        <v>27</v>
      </c>
      <c r="C233">
        <v>5</v>
      </c>
      <c r="D233">
        <v>22</v>
      </c>
      <c r="E233">
        <v>-1.75</v>
      </c>
      <c r="F233">
        <v>1905</v>
      </c>
      <c r="G233">
        <v>680</v>
      </c>
      <c r="H233">
        <v>1598</v>
      </c>
      <c r="I233">
        <v>397</v>
      </c>
      <c r="J233">
        <v>619</v>
      </c>
      <c r="K233">
        <v>362</v>
      </c>
      <c r="L233">
        <v>872</v>
      </c>
      <c r="M233">
        <v>377</v>
      </c>
      <c r="N233">
        <v>269</v>
      </c>
      <c r="O233">
        <v>68</v>
      </c>
      <c r="P233">
        <v>476</v>
      </c>
      <c r="Q233">
        <v>567</v>
      </c>
      <c r="R233">
        <v>232</v>
      </c>
    </row>
    <row r="234" spans="1:18">
      <c r="A234" s="1" t="s">
        <v>204</v>
      </c>
      <c r="B234">
        <v>28</v>
      </c>
      <c r="C234">
        <v>7</v>
      </c>
      <c r="D234">
        <v>21</v>
      </c>
      <c r="E234">
        <v>-7.85</v>
      </c>
      <c r="F234">
        <v>1870</v>
      </c>
      <c r="G234">
        <v>685</v>
      </c>
      <c r="H234">
        <v>1633</v>
      </c>
      <c r="I234">
        <v>327</v>
      </c>
      <c r="J234">
        <v>545</v>
      </c>
      <c r="K234">
        <v>365</v>
      </c>
      <c r="L234">
        <v>984</v>
      </c>
      <c r="M234">
        <v>390</v>
      </c>
      <c r="N234">
        <v>165</v>
      </c>
      <c r="O234">
        <v>65</v>
      </c>
      <c r="P234">
        <v>465</v>
      </c>
      <c r="Q234">
        <v>585</v>
      </c>
      <c r="R234">
        <v>233</v>
      </c>
    </row>
    <row r="235" spans="1:18">
      <c r="A235" s="1" t="s">
        <v>205</v>
      </c>
      <c r="B235">
        <v>27</v>
      </c>
      <c r="C235">
        <v>9</v>
      </c>
      <c r="D235">
        <v>18</v>
      </c>
      <c r="E235">
        <v>-8.8800000000000008</v>
      </c>
      <c r="F235">
        <v>1814</v>
      </c>
      <c r="G235">
        <v>596</v>
      </c>
      <c r="H235">
        <v>1389</v>
      </c>
      <c r="I235">
        <v>430</v>
      </c>
      <c r="J235">
        <v>610</v>
      </c>
      <c r="K235">
        <v>299</v>
      </c>
      <c r="L235">
        <v>887</v>
      </c>
      <c r="M235">
        <v>386</v>
      </c>
      <c r="N235">
        <v>151</v>
      </c>
      <c r="O235">
        <v>90</v>
      </c>
      <c r="P235">
        <v>418</v>
      </c>
      <c r="Q235">
        <v>474</v>
      </c>
      <c r="R235">
        <v>234</v>
      </c>
    </row>
    <row r="236" spans="1:18">
      <c r="A236" s="1" t="s">
        <v>206</v>
      </c>
      <c r="B236">
        <v>33</v>
      </c>
      <c r="C236">
        <v>26</v>
      </c>
      <c r="D236">
        <v>7</v>
      </c>
      <c r="E236">
        <v>4.45</v>
      </c>
      <c r="F236">
        <v>2625</v>
      </c>
      <c r="G236">
        <v>905</v>
      </c>
      <c r="H236">
        <v>1879</v>
      </c>
      <c r="I236">
        <v>560</v>
      </c>
      <c r="J236">
        <v>808</v>
      </c>
      <c r="K236">
        <v>368</v>
      </c>
      <c r="L236">
        <v>1241</v>
      </c>
      <c r="M236">
        <v>590</v>
      </c>
      <c r="N236">
        <v>204</v>
      </c>
      <c r="O236">
        <v>128</v>
      </c>
      <c r="P236">
        <v>479</v>
      </c>
      <c r="Q236">
        <v>652</v>
      </c>
      <c r="R236">
        <v>235</v>
      </c>
    </row>
    <row r="237" spans="1:18">
      <c r="A237" s="1" t="s">
        <v>292</v>
      </c>
      <c r="B237">
        <v>31</v>
      </c>
      <c r="C237">
        <v>17</v>
      </c>
      <c r="D237">
        <v>14</v>
      </c>
      <c r="E237">
        <v>5.9</v>
      </c>
      <c r="F237">
        <v>2173</v>
      </c>
      <c r="G237">
        <v>759</v>
      </c>
      <c r="H237">
        <v>1663</v>
      </c>
      <c r="I237">
        <v>540</v>
      </c>
      <c r="J237">
        <v>774</v>
      </c>
      <c r="K237">
        <v>337</v>
      </c>
      <c r="L237">
        <v>1101</v>
      </c>
      <c r="M237">
        <v>417</v>
      </c>
      <c r="N237">
        <v>204</v>
      </c>
      <c r="O237">
        <v>111</v>
      </c>
      <c r="P237">
        <v>451</v>
      </c>
      <c r="Q237">
        <v>681</v>
      </c>
      <c r="R237">
        <v>236</v>
      </c>
    </row>
    <row r="238" spans="1:18">
      <c r="A238" s="1" t="s">
        <v>207</v>
      </c>
      <c r="B238">
        <v>29</v>
      </c>
      <c r="C238">
        <v>2</v>
      </c>
      <c r="D238">
        <v>27</v>
      </c>
      <c r="E238">
        <v>3.12</v>
      </c>
      <c r="F238">
        <v>1777</v>
      </c>
      <c r="G238">
        <v>615</v>
      </c>
      <c r="H238">
        <v>1652</v>
      </c>
      <c r="I238">
        <v>365</v>
      </c>
      <c r="J238">
        <v>602</v>
      </c>
      <c r="K238">
        <v>333</v>
      </c>
      <c r="L238">
        <v>963</v>
      </c>
      <c r="M238">
        <v>330</v>
      </c>
      <c r="N238">
        <v>204</v>
      </c>
      <c r="O238">
        <v>58</v>
      </c>
      <c r="P238">
        <v>488</v>
      </c>
      <c r="Q238">
        <v>640</v>
      </c>
      <c r="R238">
        <v>237</v>
      </c>
    </row>
    <row r="239" spans="1:18">
      <c r="A239" s="1" t="s">
        <v>208</v>
      </c>
      <c r="B239">
        <v>28</v>
      </c>
      <c r="C239">
        <v>4</v>
      </c>
      <c r="D239">
        <v>24</v>
      </c>
      <c r="E239">
        <v>-2.04</v>
      </c>
      <c r="F239">
        <v>1941</v>
      </c>
      <c r="G239">
        <v>737</v>
      </c>
      <c r="H239">
        <v>1701</v>
      </c>
      <c r="I239">
        <v>312</v>
      </c>
      <c r="J239">
        <v>467</v>
      </c>
      <c r="K239">
        <v>342</v>
      </c>
      <c r="L239">
        <v>897</v>
      </c>
      <c r="M239">
        <v>398</v>
      </c>
      <c r="N239">
        <v>193</v>
      </c>
      <c r="O239">
        <v>58</v>
      </c>
      <c r="P239">
        <v>451</v>
      </c>
      <c r="Q239">
        <v>609</v>
      </c>
      <c r="R239">
        <v>238</v>
      </c>
    </row>
    <row r="240" spans="1:18">
      <c r="A240" s="1" t="s">
        <v>209</v>
      </c>
      <c r="B240">
        <v>29</v>
      </c>
      <c r="C240">
        <v>16</v>
      </c>
      <c r="D240">
        <v>13</v>
      </c>
      <c r="E240">
        <v>-9.23</v>
      </c>
      <c r="F240">
        <v>2224</v>
      </c>
      <c r="G240">
        <v>768</v>
      </c>
      <c r="H240">
        <v>1767</v>
      </c>
      <c r="I240">
        <v>517</v>
      </c>
      <c r="J240">
        <v>755</v>
      </c>
      <c r="K240">
        <v>419</v>
      </c>
      <c r="L240">
        <v>1177</v>
      </c>
      <c r="M240">
        <v>499</v>
      </c>
      <c r="N240">
        <v>281</v>
      </c>
      <c r="O240">
        <v>143</v>
      </c>
      <c r="P240">
        <v>504</v>
      </c>
      <c r="Q240">
        <v>677</v>
      </c>
      <c r="R240">
        <v>239</v>
      </c>
    </row>
    <row r="241" spans="1:18">
      <c r="A241" s="1" t="s">
        <v>293</v>
      </c>
      <c r="B241">
        <v>29</v>
      </c>
      <c r="C241">
        <v>15</v>
      </c>
      <c r="D241">
        <v>14</v>
      </c>
      <c r="E241">
        <v>-6.14</v>
      </c>
      <c r="F241">
        <v>1890</v>
      </c>
      <c r="G241">
        <v>669</v>
      </c>
      <c r="H241">
        <v>1431</v>
      </c>
      <c r="I241">
        <v>268</v>
      </c>
      <c r="J241">
        <v>423</v>
      </c>
      <c r="K241">
        <v>223</v>
      </c>
      <c r="L241">
        <v>902</v>
      </c>
      <c r="M241">
        <v>482</v>
      </c>
      <c r="N241">
        <v>136</v>
      </c>
      <c r="O241">
        <v>73</v>
      </c>
      <c r="P241">
        <v>407</v>
      </c>
      <c r="Q241">
        <v>507</v>
      </c>
      <c r="R241">
        <v>240</v>
      </c>
    </row>
    <row r="242" spans="1:18">
      <c r="A242" s="1" t="s">
        <v>210</v>
      </c>
      <c r="B242">
        <v>28</v>
      </c>
      <c r="C242">
        <v>14</v>
      </c>
      <c r="D242">
        <v>14</v>
      </c>
      <c r="E242">
        <v>2.71</v>
      </c>
      <c r="F242">
        <v>1925</v>
      </c>
      <c r="G242">
        <v>671</v>
      </c>
      <c r="H242">
        <v>1508</v>
      </c>
      <c r="I242">
        <v>419</v>
      </c>
      <c r="J242">
        <v>636</v>
      </c>
      <c r="K242">
        <v>286</v>
      </c>
      <c r="L242">
        <v>973</v>
      </c>
      <c r="M242">
        <v>427</v>
      </c>
      <c r="N242">
        <v>183</v>
      </c>
      <c r="O242">
        <v>89</v>
      </c>
      <c r="P242">
        <v>427</v>
      </c>
      <c r="Q242">
        <v>520</v>
      </c>
      <c r="R242">
        <v>241</v>
      </c>
    </row>
    <row r="243" spans="1:18">
      <c r="A243" s="1" t="s">
        <v>211</v>
      </c>
      <c r="B243">
        <v>29</v>
      </c>
      <c r="C243">
        <v>16</v>
      </c>
      <c r="D243">
        <v>13</v>
      </c>
      <c r="E243">
        <v>0.27</v>
      </c>
      <c r="F243">
        <v>2024</v>
      </c>
      <c r="G243">
        <v>656</v>
      </c>
      <c r="H243">
        <v>1484</v>
      </c>
      <c r="I243">
        <v>551</v>
      </c>
      <c r="J243">
        <v>812</v>
      </c>
      <c r="K243">
        <v>340</v>
      </c>
      <c r="L243">
        <v>1049</v>
      </c>
      <c r="M243">
        <v>386</v>
      </c>
      <c r="N243">
        <v>175</v>
      </c>
      <c r="O243">
        <v>56</v>
      </c>
      <c r="P243">
        <v>432</v>
      </c>
      <c r="Q243">
        <v>630</v>
      </c>
      <c r="R243">
        <v>242</v>
      </c>
    </row>
    <row r="244" spans="1:18">
      <c r="A244" s="1" t="s">
        <v>212</v>
      </c>
      <c r="B244">
        <v>30</v>
      </c>
      <c r="C244">
        <v>12</v>
      </c>
      <c r="D244">
        <v>18</v>
      </c>
      <c r="E244">
        <v>0.81</v>
      </c>
      <c r="F244">
        <v>2050</v>
      </c>
      <c r="G244">
        <v>697</v>
      </c>
      <c r="H244">
        <v>1559</v>
      </c>
      <c r="I244">
        <v>497</v>
      </c>
      <c r="J244">
        <v>707</v>
      </c>
      <c r="K244">
        <v>332</v>
      </c>
      <c r="L244">
        <v>1072</v>
      </c>
      <c r="M244">
        <v>378</v>
      </c>
      <c r="N244">
        <v>153</v>
      </c>
      <c r="O244">
        <v>148</v>
      </c>
      <c r="P244">
        <v>550</v>
      </c>
      <c r="Q244">
        <v>646</v>
      </c>
      <c r="R244">
        <v>243</v>
      </c>
    </row>
    <row r="245" spans="1:18">
      <c r="A245" s="1" t="s">
        <v>213</v>
      </c>
      <c r="B245">
        <v>28</v>
      </c>
      <c r="C245">
        <v>14</v>
      </c>
      <c r="D245">
        <v>14</v>
      </c>
      <c r="E245">
        <v>5.56</v>
      </c>
      <c r="F245">
        <v>1806</v>
      </c>
      <c r="G245">
        <v>663</v>
      </c>
      <c r="H245">
        <v>1471</v>
      </c>
      <c r="I245">
        <v>360</v>
      </c>
      <c r="J245">
        <v>498</v>
      </c>
      <c r="K245">
        <v>310</v>
      </c>
      <c r="L245">
        <v>980</v>
      </c>
      <c r="M245">
        <v>332</v>
      </c>
      <c r="N245">
        <v>134</v>
      </c>
      <c r="O245">
        <v>88</v>
      </c>
      <c r="P245">
        <v>410</v>
      </c>
      <c r="Q245">
        <v>524</v>
      </c>
      <c r="R245">
        <v>244</v>
      </c>
    </row>
    <row r="246" spans="1:18">
      <c r="A246" s="1" t="s">
        <v>214</v>
      </c>
      <c r="B246">
        <v>32</v>
      </c>
      <c r="C246">
        <v>20</v>
      </c>
      <c r="D246">
        <v>12</v>
      </c>
      <c r="E246">
        <v>2.84</v>
      </c>
      <c r="F246">
        <v>2238</v>
      </c>
      <c r="G246">
        <v>750</v>
      </c>
      <c r="H246">
        <v>1873</v>
      </c>
      <c r="I246">
        <v>550</v>
      </c>
      <c r="J246">
        <v>770</v>
      </c>
      <c r="K246">
        <v>431</v>
      </c>
      <c r="L246">
        <v>1255</v>
      </c>
      <c r="M246">
        <v>381</v>
      </c>
      <c r="N246">
        <v>200</v>
      </c>
      <c r="O246">
        <v>72</v>
      </c>
      <c r="P246">
        <v>474</v>
      </c>
      <c r="Q246">
        <v>691</v>
      </c>
      <c r="R246">
        <v>245</v>
      </c>
    </row>
    <row r="247" spans="1:18">
      <c r="A247" s="1" t="s">
        <v>294</v>
      </c>
      <c r="B247">
        <v>31</v>
      </c>
      <c r="C247">
        <v>16</v>
      </c>
      <c r="D247">
        <v>15</v>
      </c>
      <c r="E247">
        <v>6.03</v>
      </c>
      <c r="F247">
        <v>2306</v>
      </c>
      <c r="G247">
        <v>840</v>
      </c>
      <c r="H247">
        <v>2030</v>
      </c>
      <c r="I247">
        <v>376</v>
      </c>
      <c r="J247">
        <v>587</v>
      </c>
      <c r="K247">
        <v>431</v>
      </c>
      <c r="L247">
        <v>1278</v>
      </c>
      <c r="M247">
        <v>491</v>
      </c>
      <c r="N247">
        <v>217</v>
      </c>
      <c r="O247">
        <v>236</v>
      </c>
      <c r="P247">
        <v>432</v>
      </c>
      <c r="Q247">
        <v>520</v>
      </c>
      <c r="R247">
        <v>246</v>
      </c>
    </row>
    <row r="248" spans="1:18">
      <c r="A248" s="1" t="s">
        <v>215</v>
      </c>
      <c r="B248">
        <v>31</v>
      </c>
      <c r="C248">
        <v>20</v>
      </c>
      <c r="D248">
        <v>11</v>
      </c>
      <c r="E248">
        <v>-3.27</v>
      </c>
      <c r="F248">
        <v>2408</v>
      </c>
      <c r="G248">
        <v>815</v>
      </c>
      <c r="H248">
        <v>1848</v>
      </c>
      <c r="I248">
        <v>512</v>
      </c>
      <c r="J248">
        <v>694</v>
      </c>
      <c r="K248">
        <v>352</v>
      </c>
      <c r="L248">
        <v>1115</v>
      </c>
      <c r="M248">
        <v>495</v>
      </c>
      <c r="N248">
        <v>214</v>
      </c>
      <c r="O248">
        <v>98</v>
      </c>
      <c r="P248">
        <v>473</v>
      </c>
      <c r="Q248">
        <v>702</v>
      </c>
      <c r="R248">
        <v>247</v>
      </c>
    </row>
    <row r="249" spans="1:18">
      <c r="A249" s="1" t="s">
        <v>216</v>
      </c>
      <c r="B249">
        <v>33</v>
      </c>
      <c r="C249">
        <v>22</v>
      </c>
      <c r="D249">
        <v>11</v>
      </c>
      <c r="E249">
        <v>-0.91</v>
      </c>
      <c r="F249">
        <v>2262</v>
      </c>
      <c r="G249">
        <v>780</v>
      </c>
      <c r="H249">
        <v>1713</v>
      </c>
      <c r="I249">
        <v>526</v>
      </c>
      <c r="J249">
        <v>769</v>
      </c>
      <c r="K249">
        <v>387</v>
      </c>
      <c r="L249">
        <v>1104</v>
      </c>
      <c r="M249">
        <v>461</v>
      </c>
      <c r="N249">
        <v>299</v>
      </c>
      <c r="O249">
        <v>52</v>
      </c>
      <c r="P249">
        <v>537</v>
      </c>
      <c r="Q249">
        <v>642</v>
      </c>
      <c r="R249">
        <v>248</v>
      </c>
    </row>
    <row r="250" spans="1:18">
      <c r="A250" s="1" t="s">
        <v>295</v>
      </c>
      <c r="B250">
        <v>32</v>
      </c>
      <c r="C250">
        <v>19</v>
      </c>
      <c r="D250">
        <v>13</v>
      </c>
      <c r="E250">
        <v>-7.8</v>
      </c>
      <c r="F250">
        <v>2093</v>
      </c>
      <c r="G250">
        <v>748</v>
      </c>
      <c r="H250">
        <v>1792</v>
      </c>
      <c r="I250">
        <v>438</v>
      </c>
      <c r="J250">
        <v>646</v>
      </c>
      <c r="K250">
        <v>432</v>
      </c>
      <c r="L250">
        <v>1151</v>
      </c>
      <c r="M250">
        <v>350</v>
      </c>
      <c r="N250">
        <v>283</v>
      </c>
      <c r="O250">
        <v>94</v>
      </c>
      <c r="P250">
        <v>512</v>
      </c>
      <c r="Q250">
        <v>600</v>
      </c>
      <c r="R250">
        <v>249</v>
      </c>
    </row>
    <row r="251" spans="1:18">
      <c r="A251" s="1" t="s">
        <v>217</v>
      </c>
      <c r="B251">
        <v>30</v>
      </c>
      <c r="C251">
        <v>15</v>
      </c>
      <c r="D251">
        <v>15</v>
      </c>
      <c r="E251">
        <v>9.0299999999999994</v>
      </c>
      <c r="F251">
        <v>2042</v>
      </c>
      <c r="G251">
        <v>701</v>
      </c>
      <c r="H251">
        <v>1682</v>
      </c>
      <c r="I251">
        <v>451</v>
      </c>
      <c r="J251">
        <v>670</v>
      </c>
      <c r="K251">
        <v>395</v>
      </c>
      <c r="L251">
        <v>1077</v>
      </c>
      <c r="M251">
        <v>411</v>
      </c>
      <c r="N251">
        <v>257</v>
      </c>
      <c r="O251">
        <v>89</v>
      </c>
      <c r="P251">
        <v>439</v>
      </c>
      <c r="Q251">
        <v>471</v>
      </c>
      <c r="R251">
        <v>250</v>
      </c>
    </row>
    <row r="252" spans="1:18">
      <c r="A252" s="1" t="s">
        <v>218</v>
      </c>
      <c r="B252">
        <v>31</v>
      </c>
      <c r="C252">
        <v>18</v>
      </c>
      <c r="D252">
        <v>13</v>
      </c>
      <c r="E252">
        <v>5.49</v>
      </c>
      <c r="F252">
        <v>2305</v>
      </c>
      <c r="G252">
        <v>849</v>
      </c>
      <c r="H252">
        <v>1864</v>
      </c>
      <c r="I252">
        <v>447</v>
      </c>
      <c r="J252">
        <v>742</v>
      </c>
      <c r="K252">
        <v>423</v>
      </c>
      <c r="L252">
        <v>1161</v>
      </c>
      <c r="M252">
        <v>513</v>
      </c>
      <c r="N252">
        <v>292</v>
      </c>
      <c r="O252">
        <v>132</v>
      </c>
      <c r="P252">
        <v>484</v>
      </c>
      <c r="Q252">
        <v>708</v>
      </c>
      <c r="R252">
        <v>251</v>
      </c>
    </row>
    <row r="253" spans="1:18">
      <c r="A253" s="1" t="s">
        <v>296</v>
      </c>
      <c r="B253">
        <v>30</v>
      </c>
      <c r="C253">
        <v>18</v>
      </c>
      <c r="D253">
        <v>12</v>
      </c>
      <c r="E253">
        <v>-5.0999999999999996</v>
      </c>
      <c r="F253">
        <v>2172</v>
      </c>
      <c r="G253">
        <v>761</v>
      </c>
      <c r="H253">
        <v>1616</v>
      </c>
      <c r="I253">
        <v>441</v>
      </c>
      <c r="J253">
        <v>597</v>
      </c>
      <c r="K253">
        <v>274</v>
      </c>
      <c r="L253">
        <v>1008</v>
      </c>
      <c r="M253">
        <v>411</v>
      </c>
      <c r="N253">
        <v>151</v>
      </c>
      <c r="O253">
        <v>111</v>
      </c>
      <c r="P253">
        <v>431</v>
      </c>
      <c r="Q253">
        <v>531</v>
      </c>
      <c r="R253">
        <v>252</v>
      </c>
    </row>
    <row r="254" spans="1:18">
      <c r="A254" s="1" t="s">
        <v>219</v>
      </c>
      <c r="B254">
        <v>29</v>
      </c>
      <c r="C254">
        <v>8</v>
      </c>
      <c r="D254">
        <v>21</v>
      </c>
      <c r="E254">
        <v>-8.58</v>
      </c>
      <c r="F254">
        <v>1673</v>
      </c>
      <c r="G254">
        <v>584</v>
      </c>
      <c r="H254">
        <v>1408</v>
      </c>
      <c r="I254">
        <v>361</v>
      </c>
      <c r="J254">
        <v>574</v>
      </c>
      <c r="K254">
        <v>308</v>
      </c>
      <c r="L254">
        <v>897</v>
      </c>
      <c r="M254">
        <v>323</v>
      </c>
      <c r="N254">
        <v>203</v>
      </c>
      <c r="O254">
        <v>71</v>
      </c>
      <c r="P254">
        <v>483</v>
      </c>
      <c r="Q254">
        <v>612</v>
      </c>
      <c r="R254">
        <v>253</v>
      </c>
    </row>
    <row r="255" spans="1:18">
      <c r="A255" s="1" t="s">
        <v>220</v>
      </c>
      <c r="B255">
        <v>34</v>
      </c>
      <c r="C255">
        <v>24</v>
      </c>
      <c r="D255">
        <v>10</v>
      </c>
      <c r="E255">
        <v>10.83</v>
      </c>
      <c r="F255">
        <v>2620</v>
      </c>
      <c r="G255">
        <v>898</v>
      </c>
      <c r="H255">
        <v>1955</v>
      </c>
      <c r="I255">
        <v>616</v>
      </c>
      <c r="J255">
        <v>873</v>
      </c>
      <c r="K255">
        <v>422</v>
      </c>
      <c r="L255">
        <v>1250</v>
      </c>
      <c r="M255">
        <v>514</v>
      </c>
      <c r="N255">
        <v>259</v>
      </c>
      <c r="O255">
        <v>151</v>
      </c>
      <c r="P255">
        <v>512</v>
      </c>
      <c r="Q255">
        <v>617</v>
      </c>
      <c r="R255">
        <v>254</v>
      </c>
    </row>
    <row r="256" spans="1:18">
      <c r="A256" s="1" t="s">
        <v>221</v>
      </c>
      <c r="B256">
        <v>30</v>
      </c>
      <c r="C256">
        <v>16</v>
      </c>
      <c r="D256">
        <v>14</v>
      </c>
      <c r="E256">
        <v>2.2799999999999998</v>
      </c>
      <c r="F256">
        <v>2189</v>
      </c>
      <c r="G256">
        <v>749</v>
      </c>
      <c r="H256">
        <v>1708</v>
      </c>
      <c r="I256">
        <v>511</v>
      </c>
      <c r="J256">
        <v>747</v>
      </c>
      <c r="K256">
        <v>371</v>
      </c>
      <c r="L256">
        <v>1086</v>
      </c>
      <c r="M256">
        <v>468</v>
      </c>
      <c r="N256">
        <v>207</v>
      </c>
      <c r="O256">
        <v>68</v>
      </c>
      <c r="P256">
        <v>438</v>
      </c>
      <c r="Q256">
        <v>657</v>
      </c>
      <c r="R256">
        <v>255</v>
      </c>
    </row>
    <row r="257" spans="1:18">
      <c r="A257" s="1" t="s">
        <v>222</v>
      </c>
      <c r="B257">
        <v>30</v>
      </c>
      <c r="C257">
        <v>18</v>
      </c>
      <c r="D257">
        <v>12</v>
      </c>
      <c r="E257">
        <v>3.95</v>
      </c>
      <c r="F257">
        <v>2306</v>
      </c>
      <c r="G257">
        <v>802</v>
      </c>
      <c r="H257">
        <v>1833</v>
      </c>
      <c r="I257">
        <v>543</v>
      </c>
      <c r="J257">
        <v>786</v>
      </c>
      <c r="K257">
        <v>440</v>
      </c>
      <c r="L257">
        <v>1212</v>
      </c>
      <c r="M257">
        <v>393</v>
      </c>
      <c r="N257">
        <v>194</v>
      </c>
      <c r="O257">
        <v>97</v>
      </c>
      <c r="P257">
        <v>378</v>
      </c>
      <c r="Q257">
        <v>529</v>
      </c>
      <c r="R257">
        <v>256</v>
      </c>
    </row>
    <row r="258" spans="1:18">
      <c r="A258" s="1" t="s">
        <v>223</v>
      </c>
      <c r="B258">
        <v>31</v>
      </c>
      <c r="C258">
        <v>22</v>
      </c>
      <c r="D258">
        <v>9</v>
      </c>
      <c r="E258">
        <v>4.5</v>
      </c>
      <c r="F258">
        <v>2176</v>
      </c>
      <c r="G258">
        <v>720</v>
      </c>
      <c r="H258">
        <v>1659</v>
      </c>
      <c r="I258">
        <v>526</v>
      </c>
      <c r="J258">
        <v>787</v>
      </c>
      <c r="K258">
        <v>367</v>
      </c>
      <c r="L258">
        <v>1147</v>
      </c>
      <c r="M258">
        <v>418</v>
      </c>
      <c r="N258">
        <v>185</v>
      </c>
      <c r="O258">
        <v>126</v>
      </c>
      <c r="P258">
        <v>428</v>
      </c>
      <c r="Q258">
        <v>640</v>
      </c>
      <c r="R258">
        <v>257</v>
      </c>
    </row>
    <row r="259" spans="1:18">
      <c r="A259" s="1" t="s">
        <v>224</v>
      </c>
      <c r="B259">
        <v>31</v>
      </c>
      <c r="C259">
        <v>25</v>
      </c>
      <c r="D259">
        <v>6</v>
      </c>
      <c r="E259">
        <v>-3.42</v>
      </c>
      <c r="F259">
        <v>2243</v>
      </c>
      <c r="G259">
        <v>783</v>
      </c>
      <c r="H259">
        <v>1602</v>
      </c>
      <c r="I259">
        <v>480</v>
      </c>
      <c r="J259">
        <v>673</v>
      </c>
      <c r="K259">
        <v>335</v>
      </c>
      <c r="L259">
        <v>997</v>
      </c>
      <c r="M259">
        <v>462</v>
      </c>
      <c r="N259">
        <v>321</v>
      </c>
      <c r="O259">
        <v>87</v>
      </c>
      <c r="P259">
        <v>470</v>
      </c>
      <c r="Q259">
        <v>613</v>
      </c>
      <c r="R259">
        <v>258</v>
      </c>
    </row>
    <row r="260" spans="1:18">
      <c r="A260" s="1" t="s">
        <v>225</v>
      </c>
      <c r="B260">
        <v>27</v>
      </c>
      <c r="C260">
        <v>11</v>
      </c>
      <c r="D260">
        <v>16</v>
      </c>
      <c r="E260">
        <v>-14.44</v>
      </c>
      <c r="F260">
        <v>1965</v>
      </c>
      <c r="G260">
        <v>669</v>
      </c>
      <c r="H260">
        <v>1607</v>
      </c>
      <c r="I260">
        <v>468</v>
      </c>
      <c r="J260">
        <v>715</v>
      </c>
      <c r="K260">
        <v>376</v>
      </c>
      <c r="L260">
        <v>1057</v>
      </c>
      <c r="M260">
        <v>330</v>
      </c>
      <c r="N260">
        <v>215</v>
      </c>
      <c r="O260">
        <v>83</v>
      </c>
      <c r="P260">
        <v>445</v>
      </c>
      <c r="Q260">
        <v>568</v>
      </c>
      <c r="R260">
        <v>259</v>
      </c>
    </row>
    <row r="261" spans="1:18">
      <c r="A261" s="1" t="s">
        <v>297</v>
      </c>
      <c r="B261">
        <v>30</v>
      </c>
      <c r="C261">
        <v>18</v>
      </c>
      <c r="D261">
        <v>12</v>
      </c>
      <c r="E261">
        <v>4.54</v>
      </c>
      <c r="F261">
        <v>2231</v>
      </c>
      <c r="G261">
        <v>746</v>
      </c>
      <c r="H261">
        <v>1734</v>
      </c>
      <c r="I261">
        <v>510</v>
      </c>
      <c r="J261">
        <v>724</v>
      </c>
      <c r="K261">
        <v>409</v>
      </c>
      <c r="L261">
        <v>1048</v>
      </c>
      <c r="M261">
        <v>393</v>
      </c>
      <c r="N261">
        <v>231</v>
      </c>
      <c r="O261">
        <v>52</v>
      </c>
      <c r="P261">
        <v>408</v>
      </c>
      <c r="Q261">
        <v>583</v>
      </c>
      <c r="R261">
        <v>260</v>
      </c>
    </row>
    <row r="262" spans="1:18">
      <c r="A262" s="1" t="s">
        <v>226</v>
      </c>
      <c r="B262">
        <v>29</v>
      </c>
      <c r="C262">
        <v>18</v>
      </c>
      <c r="D262">
        <v>11</v>
      </c>
      <c r="E262">
        <v>-8.6199999999999992</v>
      </c>
      <c r="F262">
        <v>2297</v>
      </c>
      <c r="G262">
        <v>769</v>
      </c>
      <c r="H262">
        <v>1682</v>
      </c>
      <c r="I262">
        <v>558</v>
      </c>
      <c r="J262">
        <v>809</v>
      </c>
      <c r="K262">
        <v>349</v>
      </c>
      <c r="L262">
        <v>1060</v>
      </c>
      <c r="M262">
        <v>438</v>
      </c>
      <c r="N262">
        <v>256</v>
      </c>
      <c r="O262">
        <v>107</v>
      </c>
      <c r="P262">
        <v>529</v>
      </c>
      <c r="Q262">
        <v>664</v>
      </c>
      <c r="R262">
        <v>261</v>
      </c>
    </row>
    <row r="263" spans="1:18">
      <c r="A263" s="1" t="s">
        <v>298</v>
      </c>
      <c r="B263">
        <v>29</v>
      </c>
      <c r="C263">
        <v>14</v>
      </c>
      <c r="D263">
        <v>15</v>
      </c>
      <c r="E263">
        <v>8.27</v>
      </c>
      <c r="F263">
        <v>2131</v>
      </c>
      <c r="G263">
        <v>780</v>
      </c>
      <c r="H263">
        <v>1770</v>
      </c>
      <c r="I263">
        <v>424</v>
      </c>
      <c r="J263">
        <v>680</v>
      </c>
      <c r="L263">
        <v>1052</v>
      </c>
      <c r="M263">
        <v>432</v>
      </c>
      <c r="N263">
        <v>281</v>
      </c>
      <c r="O263">
        <v>84</v>
      </c>
      <c r="P263">
        <v>472</v>
      </c>
      <c r="Q263">
        <v>657</v>
      </c>
      <c r="R263">
        <v>262</v>
      </c>
    </row>
    <row r="264" spans="1:18">
      <c r="A264" s="1" t="s">
        <v>342</v>
      </c>
      <c r="B264">
        <v>34</v>
      </c>
      <c r="C264">
        <v>31</v>
      </c>
      <c r="D264">
        <v>3</v>
      </c>
      <c r="E264">
        <v>9.86</v>
      </c>
      <c r="F264">
        <v>2829</v>
      </c>
      <c r="G264">
        <v>953</v>
      </c>
      <c r="H264">
        <v>1865</v>
      </c>
      <c r="I264">
        <v>671</v>
      </c>
      <c r="J264">
        <v>903</v>
      </c>
      <c r="K264">
        <v>365</v>
      </c>
      <c r="L264">
        <v>1244</v>
      </c>
      <c r="M264">
        <v>568</v>
      </c>
      <c r="N264">
        <v>187</v>
      </c>
      <c r="O264">
        <v>108</v>
      </c>
      <c r="P264">
        <v>438</v>
      </c>
      <c r="Q264">
        <v>778</v>
      </c>
      <c r="R264">
        <v>263</v>
      </c>
    </row>
    <row r="265" spans="1:18">
      <c r="A265" s="1" t="s">
        <v>227</v>
      </c>
      <c r="B265">
        <v>26</v>
      </c>
      <c r="C265">
        <v>9</v>
      </c>
      <c r="D265">
        <v>17</v>
      </c>
      <c r="E265">
        <v>-9.6999999999999993</v>
      </c>
      <c r="F265">
        <v>1551</v>
      </c>
      <c r="G265">
        <v>546</v>
      </c>
      <c r="H265">
        <v>1249</v>
      </c>
      <c r="I265">
        <v>350</v>
      </c>
      <c r="J265">
        <v>504</v>
      </c>
      <c r="K265">
        <v>264</v>
      </c>
      <c r="L265">
        <v>852</v>
      </c>
      <c r="M265">
        <v>288</v>
      </c>
      <c r="N265">
        <v>189</v>
      </c>
      <c r="O265">
        <v>59</v>
      </c>
      <c r="P265">
        <v>431</v>
      </c>
      <c r="Q265">
        <v>472</v>
      </c>
      <c r="R265">
        <v>264</v>
      </c>
    </row>
    <row r="266" spans="1:18">
      <c r="A266" s="1" t="s">
        <v>228</v>
      </c>
      <c r="B266">
        <v>29</v>
      </c>
      <c r="C266">
        <v>17</v>
      </c>
      <c r="D266">
        <v>12</v>
      </c>
      <c r="E266">
        <v>-7.99</v>
      </c>
      <c r="F266">
        <v>2178</v>
      </c>
      <c r="G266">
        <v>813</v>
      </c>
      <c r="H266">
        <v>1811</v>
      </c>
      <c r="I266">
        <v>371</v>
      </c>
      <c r="J266">
        <v>569</v>
      </c>
      <c r="K266">
        <v>452</v>
      </c>
      <c r="L266">
        <v>1168</v>
      </c>
      <c r="M266">
        <v>437</v>
      </c>
      <c r="N266">
        <v>186</v>
      </c>
      <c r="O266">
        <v>50</v>
      </c>
      <c r="P266">
        <v>416</v>
      </c>
      <c r="Q266">
        <v>512</v>
      </c>
      <c r="R266">
        <v>265</v>
      </c>
    </row>
    <row r="267" spans="1:18">
      <c r="A267" s="1" t="s">
        <v>229</v>
      </c>
      <c r="B267">
        <v>28</v>
      </c>
      <c r="C267">
        <v>17</v>
      </c>
      <c r="D267">
        <v>11</v>
      </c>
      <c r="E267">
        <v>-6.81</v>
      </c>
      <c r="F267">
        <v>1966</v>
      </c>
      <c r="G267">
        <v>661</v>
      </c>
      <c r="H267">
        <v>1398</v>
      </c>
      <c r="I267">
        <v>493</v>
      </c>
      <c r="J267">
        <v>694</v>
      </c>
      <c r="K267">
        <v>282</v>
      </c>
      <c r="L267">
        <v>952</v>
      </c>
      <c r="M267">
        <v>405</v>
      </c>
      <c r="N267">
        <v>193</v>
      </c>
      <c r="O267">
        <v>92</v>
      </c>
      <c r="P267">
        <v>487</v>
      </c>
      <c r="Q267">
        <v>494</v>
      </c>
      <c r="R267">
        <v>266</v>
      </c>
    </row>
    <row r="268" spans="1:18">
      <c r="A268" s="1" t="s">
        <v>313</v>
      </c>
      <c r="B268">
        <v>34</v>
      </c>
      <c r="C268">
        <v>25</v>
      </c>
      <c r="D268">
        <v>9</v>
      </c>
      <c r="E268">
        <v>5.82</v>
      </c>
      <c r="F268">
        <v>2475</v>
      </c>
      <c r="G268">
        <v>885</v>
      </c>
      <c r="H268">
        <v>2029</v>
      </c>
      <c r="I268">
        <v>520</v>
      </c>
      <c r="J268">
        <v>727</v>
      </c>
      <c r="K268">
        <v>442</v>
      </c>
      <c r="L268">
        <v>1213</v>
      </c>
      <c r="M268">
        <v>545</v>
      </c>
      <c r="N268">
        <v>325</v>
      </c>
      <c r="O268">
        <v>203</v>
      </c>
      <c r="P268">
        <v>441</v>
      </c>
      <c r="Q268">
        <v>681</v>
      </c>
      <c r="R268">
        <v>267</v>
      </c>
    </row>
    <row r="269" spans="1:18">
      <c r="A269" s="1" t="s">
        <v>314</v>
      </c>
      <c r="B269">
        <v>37</v>
      </c>
      <c r="C269">
        <v>24</v>
      </c>
      <c r="D269">
        <v>13</v>
      </c>
      <c r="E269">
        <v>9.77</v>
      </c>
      <c r="F269">
        <v>2604</v>
      </c>
      <c r="G269">
        <v>926</v>
      </c>
      <c r="H269">
        <v>2168</v>
      </c>
      <c r="I269">
        <v>471</v>
      </c>
      <c r="J269">
        <v>673</v>
      </c>
      <c r="K269">
        <v>494</v>
      </c>
      <c r="L269">
        <v>1322</v>
      </c>
      <c r="M269">
        <v>416</v>
      </c>
      <c r="N269">
        <v>270</v>
      </c>
      <c r="O269">
        <v>138</v>
      </c>
      <c r="P269">
        <v>307</v>
      </c>
      <c r="Q269">
        <v>585</v>
      </c>
      <c r="R269">
        <v>268</v>
      </c>
    </row>
    <row r="270" spans="1:18">
      <c r="A270" s="1" t="s">
        <v>230</v>
      </c>
      <c r="B270">
        <v>28</v>
      </c>
      <c r="C270">
        <v>10</v>
      </c>
      <c r="D270">
        <v>18</v>
      </c>
      <c r="E270">
        <v>-3.37</v>
      </c>
      <c r="F270">
        <v>2021</v>
      </c>
      <c r="G270">
        <v>776</v>
      </c>
      <c r="H270">
        <v>1662</v>
      </c>
      <c r="I270">
        <v>360</v>
      </c>
      <c r="J270">
        <v>586</v>
      </c>
      <c r="K270">
        <v>356</v>
      </c>
      <c r="L270">
        <v>997</v>
      </c>
      <c r="M270">
        <v>464</v>
      </c>
      <c r="N270">
        <v>209</v>
      </c>
      <c r="O270">
        <v>93</v>
      </c>
      <c r="P270">
        <v>460</v>
      </c>
      <c r="Q270">
        <v>571</v>
      </c>
      <c r="R270">
        <v>269</v>
      </c>
    </row>
    <row r="271" spans="1:18">
      <c r="A271" s="1" t="s">
        <v>231</v>
      </c>
      <c r="B271">
        <v>29</v>
      </c>
      <c r="C271">
        <v>10</v>
      </c>
      <c r="D271">
        <v>19</v>
      </c>
      <c r="E271">
        <v>-3.25</v>
      </c>
      <c r="F271">
        <v>2317</v>
      </c>
      <c r="G271">
        <v>847</v>
      </c>
      <c r="H271">
        <v>1910</v>
      </c>
      <c r="I271">
        <v>363</v>
      </c>
      <c r="J271">
        <v>505</v>
      </c>
      <c r="K271">
        <v>296</v>
      </c>
      <c r="L271">
        <v>901</v>
      </c>
      <c r="M271">
        <v>492</v>
      </c>
      <c r="N271">
        <v>312</v>
      </c>
      <c r="O271">
        <v>58</v>
      </c>
      <c r="P271">
        <v>398</v>
      </c>
      <c r="Q271">
        <v>615</v>
      </c>
      <c r="R271">
        <v>270</v>
      </c>
    </row>
    <row r="272" spans="1:18">
      <c r="A272" s="1" t="s">
        <v>232</v>
      </c>
      <c r="B272">
        <v>29</v>
      </c>
      <c r="C272">
        <v>20</v>
      </c>
      <c r="D272">
        <v>9</v>
      </c>
      <c r="E272">
        <v>-3.4</v>
      </c>
      <c r="F272">
        <v>2296</v>
      </c>
      <c r="G272">
        <v>768</v>
      </c>
      <c r="H272">
        <v>1706</v>
      </c>
      <c r="I272">
        <v>516</v>
      </c>
      <c r="J272">
        <v>689</v>
      </c>
      <c r="K272">
        <v>390</v>
      </c>
      <c r="L272">
        <v>1061</v>
      </c>
      <c r="M272">
        <v>480</v>
      </c>
      <c r="N272">
        <v>254</v>
      </c>
      <c r="O272">
        <v>39</v>
      </c>
      <c r="P272">
        <v>397</v>
      </c>
      <c r="Q272">
        <v>500</v>
      </c>
      <c r="R272">
        <v>271</v>
      </c>
    </row>
    <row r="273" spans="1:18">
      <c r="A273" s="1" t="s">
        <v>315</v>
      </c>
      <c r="B273">
        <v>33</v>
      </c>
      <c r="C273">
        <v>22</v>
      </c>
      <c r="D273">
        <v>11</v>
      </c>
      <c r="E273">
        <v>10.28</v>
      </c>
      <c r="F273">
        <v>2668</v>
      </c>
      <c r="G273">
        <v>909</v>
      </c>
      <c r="H273">
        <v>1980</v>
      </c>
      <c r="I273">
        <v>593</v>
      </c>
      <c r="J273">
        <v>872</v>
      </c>
      <c r="K273">
        <v>421</v>
      </c>
      <c r="L273">
        <v>1301</v>
      </c>
      <c r="M273">
        <v>528</v>
      </c>
      <c r="N273">
        <v>232</v>
      </c>
      <c r="O273">
        <v>191</v>
      </c>
      <c r="P273">
        <v>528</v>
      </c>
      <c r="Q273">
        <v>712</v>
      </c>
      <c r="R273">
        <v>272</v>
      </c>
    </row>
    <row r="274" spans="1:18">
      <c r="A274" s="1" t="s">
        <v>233</v>
      </c>
      <c r="B274">
        <v>30</v>
      </c>
      <c r="C274">
        <v>10</v>
      </c>
      <c r="D274">
        <v>20</v>
      </c>
      <c r="E274">
        <v>5.95</v>
      </c>
      <c r="F274">
        <v>2083</v>
      </c>
      <c r="G274">
        <v>716</v>
      </c>
      <c r="H274">
        <v>1692</v>
      </c>
      <c r="I274">
        <v>522</v>
      </c>
      <c r="J274">
        <v>778</v>
      </c>
      <c r="K274">
        <v>400</v>
      </c>
      <c r="L274">
        <v>1114</v>
      </c>
      <c r="M274">
        <v>395</v>
      </c>
      <c r="N274">
        <v>180</v>
      </c>
      <c r="O274">
        <v>71</v>
      </c>
      <c r="P274">
        <v>487</v>
      </c>
      <c r="Q274">
        <v>650</v>
      </c>
      <c r="R274">
        <v>273</v>
      </c>
    </row>
    <row r="275" spans="1:18">
      <c r="A275" s="1" t="s">
        <v>234</v>
      </c>
      <c r="B275">
        <v>28</v>
      </c>
      <c r="C275">
        <v>13</v>
      </c>
      <c r="D275">
        <v>15</v>
      </c>
      <c r="E275">
        <v>-8.86</v>
      </c>
      <c r="F275">
        <v>2049</v>
      </c>
      <c r="G275">
        <v>694</v>
      </c>
      <c r="H275">
        <v>1703</v>
      </c>
      <c r="I275">
        <v>492</v>
      </c>
      <c r="J275">
        <v>702</v>
      </c>
      <c r="K275">
        <v>353</v>
      </c>
      <c r="L275">
        <v>1084</v>
      </c>
      <c r="M275">
        <v>337</v>
      </c>
      <c r="N275">
        <v>240</v>
      </c>
      <c r="O275">
        <v>65</v>
      </c>
      <c r="P275">
        <v>465</v>
      </c>
      <c r="Q275">
        <v>585</v>
      </c>
      <c r="R275">
        <v>274</v>
      </c>
    </row>
    <row r="276" spans="1:18">
      <c r="A276" s="1" t="s">
        <v>235</v>
      </c>
      <c r="B276">
        <v>31</v>
      </c>
      <c r="C276">
        <v>20</v>
      </c>
      <c r="D276">
        <v>11</v>
      </c>
      <c r="E276">
        <v>1.79</v>
      </c>
      <c r="F276">
        <v>2902</v>
      </c>
      <c r="G276">
        <v>968</v>
      </c>
      <c r="H276">
        <v>2110</v>
      </c>
      <c r="I276">
        <v>698</v>
      </c>
      <c r="J276">
        <v>934</v>
      </c>
      <c r="K276">
        <v>465</v>
      </c>
      <c r="L276">
        <v>1232</v>
      </c>
      <c r="M276">
        <v>587</v>
      </c>
      <c r="N276">
        <v>372</v>
      </c>
      <c r="O276">
        <v>175</v>
      </c>
      <c r="P276">
        <v>434</v>
      </c>
      <c r="Q276">
        <v>664</v>
      </c>
      <c r="R276">
        <v>275</v>
      </c>
    </row>
    <row r="277" spans="1:18">
      <c r="A277" s="1" t="s">
        <v>236</v>
      </c>
      <c r="B277">
        <v>32</v>
      </c>
      <c r="C277">
        <v>23</v>
      </c>
      <c r="D277">
        <v>9</v>
      </c>
      <c r="E277">
        <v>3.04</v>
      </c>
      <c r="F277">
        <v>2571</v>
      </c>
      <c r="G277">
        <v>878</v>
      </c>
      <c r="H277">
        <v>1786</v>
      </c>
      <c r="I277">
        <v>633</v>
      </c>
      <c r="J277">
        <v>841</v>
      </c>
      <c r="K277">
        <v>295</v>
      </c>
      <c r="L277">
        <v>1178</v>
      </c>
      <c r="M277">
        <v>523</v>
      </c>
      <c r="N277">
        <v>195</v>
      </c>
      <c r="O277">
        <v>142</v>
      </c>
      <c r="P277">
        <v>528</v>
      </c>
      <c r="Q277">
        <v>610</v>
      </c>
      <c r="R277">
        <v>276</v>
      </c>
    </row>
    <row r="278" spans="1:18">
      <c r="A278" s="1" t="s">
        <v>237</v>
      </c>
      <c r="B278">
        <v>29</v>
      </c>
      <c r="C278">
        <v>12</v>
      </c>
      <c r="D278">
        <v>17</v>
      </c>
      <c r="E278">
        <v>-2.42</v>
      </c>
      <c r="F278">
        <v>2228</v>
      </c>
      <c r="G278">
        <v>822</v>
      </c>
      <c r="H278">
        <v>1711</v>
      </c>
      <c r="I278">
        <v>358</v>
      </c>
      <c r="J278">
        <v>551</v>
      </c>
      <c r="K278">
        <v>371</v>
      </c>
      <c r="L278">
        <v>1012</v>
      </c>
      <c r="M278">
        <v>437</v>
      </c>
      <c r="N278">
        <v>258</v>
      </c>
      <c r="O278">
        <v>57</v>
      </c>
      <c r="P278">
        <v>558</v>
      </c>
      <c r="Q278">
        <v>504</v>
      </c>
      <c r="R278">
        <v>277</v>
      </c>
    </row>
    <row r="279" spans="1:18">
      <c r="A279" s="1" t="s">
        <v>238</v>
      </c>
      <c r="B279">
        <v>29</v>
      </c>
      <c r="C279">
        <v>14</v>
      </c>
      <c r="D279">
        <v>15</v>
      </c>
      <c r="E279">
        <v>-7.76</v>
      </c>
      <c r="F279">
        <v>2144</v>
      </c>
      <c r="G279">
        <v>732</v>
      </c>
      <c r="H279">
        <v>1772</v>
      </c>
      <c r="I279">
        <v>514</v>
      </c>
      <c r="J279">
        <v>834</v>
      </c>
      <c r="K279">
        <v>448</v>
      </c>
      <c r="L279">
        <v>1263</v>
      </c>
      <c r="M279">
        <v>431</v>
      </c>
      <c r="N279">
        <v>184</v>
      </c>
      <c r="O279">
        <v>78</v>
      </c>
      <c r="P279">
        <v>497</v>
      </c>
      <c r="Q279">
        <v>636</v>
      </c>
      <c r="R279">
        <v>278</v>
      </c>
    </row>
    <row r="280" spans="1:18">
      <c r="A280" s="1" t="s">
        <v>239</v>
      </c>
      <c r="B280">
        <v>29</v>
      </c>
      <c r="C280">
        <v>7</v>
      </c>
      <c r="D280">
        <v>22</v>
      </c>
      <c r="E280">
        <v>-10.92</v>
      </c>
      <c r="F280">
        <v>1868</v>
      </c>
      <c r="G280">
        <v>640</v>
      </c>
      <c r="H280">
        <v>1810</v>
      </c>
      <c r="I280">
        <v>398</v>
      </c>
      <c r="J280">
        <v>571</v>
      </c>
      <c r="K280">
        <v>456</v>
      </c>
      <c r="L280">
        <v>1090</v>
      </c>
      <c r="M280">
        <v>288</v>
      </c>
      <c r="N280">
        <v>183</v>
      </c>
      <c r="O280">
        <v>57</v>
      </c>
      <c r="P280">
        <v>444</v>
      </c>
      <c r="Q280">
        <v>564</v>
      </c>
      <c r="R280">
        <v>279</v>
      </c>
    </row>
    <row r="281" spans="1:18">
      <c r="A281" s="1" t="s">
        <v>240</v>
      </c>
      <c r="B281">
        <v>28</v>
      </c>
      <c r="C281">
        <v>13</v>
      </c>
      <c r="D281">
        <v>15</v>
      </c>
      <c r="E281">
        <v>-8.99</v>
      </c>
      <c r="F281">
        <v>1963</v>
      </c>
      <c r="G281">
        <v>674</v>
      </c>
      <c r="H281">
        <v>1621</v>
      </c>
      <c r="I281">
        <v>443</v>
      </c>
      <c r="J281">
        <v>646</v>
      </c>
      <c r="K281">
        <v>363</v>
      </c>
      <c r="L281">
        <v>1047</v>
      </c>
      <c r="M281">
        <v>338</v>
      </c>
      <c r="N281">
        <v>239</v>
      </c>
      <c r="O281">
        <v>74</v>
      </c>
      <c r="P281">
        <v>466</v>
      </c>
      <c r="Q281">
        <v>610</v>
      </c>
      <c r="R281">
        <v>280</v>
      </c>
    </row>
    <row r="282" spans="1:18">
      <c r="A282" s="1" t="s">
        <v>241</v>
      </c>
      <c r="B282">
        <v>28</v>
      </c>
      <c r="C282">
        <v>9</v>
      </c>
      <c r="D282">
        <v>19</v>
      </c>
      <c r="E282">
        <v>5.49</v>
      </c>
      <c r="F282">
        <v>1918</v>
      </c>
      <c r="G282">
        <v>695</v>
      </c>
      <c r="H282">
        <v>1669</v>
      </c>
      <c r="I282">
        <v>389</v>
      </c>
      <c r="J282">
        <v>576</v>
      </c>
      <c r="K282">
        <v>350</v>
      </c>
      <c r="L282">
        <v>1019</v>
      </c>
      <c r="M282">
        <v>409</v>
      </c>
      <c r="N282">
        <v>211</v>
      </c>
      <c r="O282">
        <v>104</v>
      </c>
      <c r="P282">
        <v>447</v>
      </c>
      <c r="Q282">
        <v>479</v>
      </c>
      <c r="R282">
        <v>281</v>
      </c>
    </row>
    <row r="283" spans="1:18">
      <c r="A283" s="1" t="s">
        <v>362</v>
      </c>
      <c r="B283">
        <v>34</v>
      </c>
      <c r="C283">
        <v>25</v>
      </c>
      <c r="D283">
        <v>9</v>
      </c>
      <c r="E283">
        <v>8.89</v>
      </c>
      <c r="F283">
        <v>2396</v>
      </c>
      <c r="G283">
        <v>819</v>
      </c>
      <c r="H283">
        <v>1990</v>
      </c>
      <c r="I283">
        <v>543</v>
      </c>
      <c r="J283">
        <v>835</v>
      </c>
      <c r="K283">
        <v>483</v>
      </c>
      <c r="L283">
        <v>1346</v>
      </c>
      <c r="M283">
        <v>414</v>
      </c>
      <c r="N283">
        <v>268</v>
      </c>
      <c r="O283">
        <v>191</v>
      </c>
      <c r="P283">
        <v>502</v>
      </c>
      <c r="Q283">
        <v>771</v>
      </c>
      <c r="R283">
        <v>282</v>
      </c>
    </row>
    <row r="284" spans="1:18">
      <c r="A284" s="1" t="s">
        <v>242</v>
      </c>
      <c r="B284">
        <v>33</v>
      </c>
      <c r="C284">
        <v>22</v>
      </c>
      <c r="D284">
        <v>11</v>
      </c>
      <c r="E284">
        <v>1.44</v>
      </c>
      <c r="F284">
        <v>2388</v>
      </c>
      <c r="G284">
        <v>803</v>
      </c>
      <c r="H284">
        <v>1756</v>
      </c>
      <c r="I284">
        <v>572</v>
      </c>
      <c r="J284">
        <v>855</v>
      </c>
      <c r="K284">
        <v>353</v>
      </c>
      <c r="L284">
        <v>1137</v>
      </c>
      <c r="M284">
        <v>443</v>
      </c>
      <c r="N284">
        <v>226</v>
      </c>
      <c r="O284">
        <v>62</v>
      </c>
      <c r="P284">
        <v>478</v>
      </c>
      <c r="Q284">
        <v>574</v>
      </c>
      <c r="R284">
        <v>283</v>
      </c>
    </row>
    <row r="285" spans="1:18">
      <c r="A285" s="1" t="s">
        <v>243</v>
      </c>
      <c r="B285">
        <v>29</v>
      </c>
      <c r="C285">
        <v>12</v>
      </c>
      <c r="D285">
        <v>17</v>
      </c>
      <c r="E285">
        <v>-7.67</v>
      </c>
      <c r="F285">
        <v>1997</v>
      </c>
      <c r="G285">
        <v>692</v>
      </c>
      <c r="H285">
        <v>1513</v>
      </c>
      <c r="I285">
        <v>464</v>
      </c>
      <c r="J285">
        <v>700</v>
      </c>
      <c r="K285">
        <v>279</v>
      </c>
      <c r="L285">
        <v>949</v>
      </c>
      <c r="M285">
        <v>463</v>
      </c>
      <c r="N285">
        <v>239</v>
      </c>
      <c r="O285">
        <v>67</v>
      </c>
      <c r="P285">
        <v>502</v>
      </c>
      <c r="Q285">
        <v>526</v>
      </c>
      <c r="R285">
        <v>284</v>
      </c>
    </row>
    <row r="286" spans="1:18">
      <c r="A286" s="1" t="s">
        <v>244</v>
      </c>
      <c r="B286">
        <v>31</v>
      </c>
      <c r="C286">
        <v>19</v>
      </c>
      <c r="D286">
        <v>12</v>
      </c>
      <c r="E286">
        <v>-5.89</v>
      </c>
      <c r="F286">
        <v>2332</v>
      </c>
      <c r="G286">
        <v>819</v>
      </c>
      <c r="H286">
        <v>1869</v>
      </c>
      <c r="I286">
        <v>432</v>
      </c>
      <c r="J286">
        <v>588</v>
      </c>
      <c r="K286">
        <v>366</v>
      </c>
      <c r="L286">
        <v>1097</v>
      </c>
      <c r="M286">
        <v>432</v>
      </c>
      <c r="N286">
        <v>256</v>
      </c>
      <c r="O286">
        <v>97</v>
      </c>
      <c r="P286">
        <v>395</v>
      </c>
      <c r="Q286">
        <v>541</v>
      </c>
      <c r="R286">
        <v>285</v>
      </c>
    </row>
    <row r="287" spans="1:18">
      <c r="A287" s="1" t="s">
        <v>245</v>
      </c>
      <c r="B287">
        <v>30</v>
      </c>
      <c r="C287">
        <v>9</v>
      </c>
      <c r="D287">
        <v>21</v>
      </c>
      <c r="E287">
        <v>4.8899999999999997</v>
      </c>
      <c r="F287">
        <v>2170</v>
      </c>
      <c r="G287">
        <v>771</v>
      </c>
      <c r="H287">
        <v>1727</v>
      </c>
      <c r="I287">
        <v>502</v>
      </c>
      <c r="J287">
        <v>782</v>
      </c>
      <c r="K287">
        <v>408</v>
      </c>
      <c r="L287">
        <v>1105</v>
      </c>
      <c r="M287">
        <v>417</v>
      </c>
      <c r="N287">
        <v>245</v>
      </c>
      <c r="O287">
        <v>96</v>
      </c>
      <c r="P287">
        <v>562</v>
      </c>
      <c r="Q287">
        <v>618</v>
      </c>
      <c r="R287">
        <v>286</v>
      </c>
    </row>
    <row r="288" spans="1:18">
      <c r="A288" s="1" t="s">
        <v>299</v>
      </c>
      <c r="B288">
        <v>37</v>
      </c>
      <c r="C288">
        <v>26</v>
      </c>
      <c r="D288">
        <v>11</v>
      </c>
      <c r="E288">
        <v>5.12</v>
      </c>
      <c r="F288">
        <v>2840</v>
      </c>
      <c r="G288">
        <v>997</v>
      </c>
      <c r="H288">
        <v>2160</v>
      </c>
      <c r="I288">
        <v>558</v>
      </c>
      <c r="J288">
        <v>760</v>
      </c>
      <c r="K288">
        <v>442</v>
      </c>
      <c r="L288">
        <v>1393</v>
      </c>
      <c r="M288">
        <v>610</v>
      </c>
      <c r="N288">
        <v>267</v>
      </c>
      <c r="O288">
        <v>161</v>
      </c>
      <c r="P288">
        <v>514</v>
      </c>
      <c r="Q288">
        <v>691</v>
      </c>
      <c r="R288">
        <v>287</v>
      </c>
    </row>
    <row r="289" spans="1:18">
      <c r="A289" s="1" t="s">
        <v>324</v>
      </c>
      <c r="B289">
        <v>32</v>
      </c>
      <c r="C289">
        <v>23</v>
      </c>
      <c r="D289">
        <v>9</v>
      </c>
      <c r="E289">
        <v>12.06</v>
      </c>
      <c r="F289">
        <v>2544</v>
      </c>
      <c r="G289">
        <v>902</v>
      </c>
      <c r="H289">
        <v>1947</v>
      </c>
      <c r="I289">
        <v>550</v>
      </c>
      <c r="J289">
        <v>829</v>
      </c>
      <c r="K289">
        <v>441</v>
      </c>
      <c r="L289">
        <v>1219</v>
      </c>
      <c r="M289">
        <v>464</v>
      </c>
      <c r="N289">
        <v>249</v>
      </c>
      <c r="O289">
        <v>127</v>
      </c>
      <c r="P289">
        <v>515</v>
      </c>
      <c r="Q289">
        <v>670</v>
      </c>
      <c r="R289">
        <v>288</v>
      </c>
    </row>
    <row r="290" spans="1:18">
      <c r="A290" s="1" t="s">
        <v>316</v>
      </c>
      <c r="B290">
        <v>34</v>
      </c>
      <c r="C290">
        <v>28</v>
      </c>
      <c r="D290">
        <v>6</v>
      </c>
      <c r="E290">
        <v>-1.5</v>
      </c>
      <c r="F290">
        <v>2404</v>
      </c>
      <c r="G290">
        <v>852</v>
      </c>
      <c r="H290">
        <v>1755</v>
      </c>
      <c r="I290">
        <v>500</v>
      </c>
      <c r="J290">
        <v>743</v>
      </c>
      <c r="K290">
        <v>370</v>
      </c>
      <c r="L290">
        <v>1177</v>
      </c>
      <c r="M290">
        <v>511</v>
      </c>
      <c r="N290">
        <v>220</v>
      </c>
      <c r="O290">
        <v>132</v>
      </c>
      <c r="P290">
        <v>486</v>
      </c>
      <c r="Q290">
        <v>581</v>
      </c>
      <c r="R290">
        <v>289</v>
      </c>
    </row>
    <row r="291" spans="1:18">
      <c r="A291" s="1" t="s">
        <v>300</v>
      </c>
      <c r="B291">
        <v>31</v>
      </c>
      <c r="C291">
        <v>19</v>
      </c>
      <c r="D291">
        <v>12</v>
      </c>
      <c r="E291">
        <v>6.14</v>
      </c>
      <c r="F291">
        <v>2227</v>
      </c>
      <c r="G291">
        <v>762</v>
      </c>
      <c r="H291">
        <v>1622</v>
      </c>
      <c r="I291">
        <v>497</v>
      </c>
      <c r="J291">
        <v>721</v>
      </c>
      <c r="K291">
        <v>347</v>
      </c>
      <c r="L291">
        <v>1141</v>
      </c>
      <c r="M291">
        <v>430</v>
      </c>
      <c r="N291">
        <v>184</v>
      </c>
      <c r="O291">
        <v>104</v>
      </c>
      <c r="P291">
        <v>450</v>
      </c>
      <c r="Q291">
        <v>631</v>
      </c>
      <c r="R291">
        <v>290</v>
      </c>
    </row>
    <row r="292" spans="1:18">
      <c r="A292" s="1" t="s">
        <v>301</v>
      </c>
      <c r="B292">
        <v>32</v>
      </c>
      <c r="C292">
        <v>24</v>
      </c>
      <c r="D292">
        <v>8</v>
      </c>
      <c r="E292">
        <v>-2.8</v>
      </c>
      <c r="F292">
        <v>2270</v>
      </c>
      <c r="G292">
        <v>754</v>
      </c>
      <c r="H292">
        <v>1648</v>
      </c>
      <c r="I292">
        <v>511</v>
      </c>
      <c r="J292">
        <v>745</v>
      </c>
      <c r="K292">
        <v>374</v>
      </c>
      <c r="L292">
        <v>1200</v>
      </c>
      <c r="M292">
        <v>503</v>
      </c>
      <c r="N292">
        <v>192</v>
      </c>
      <c r="O292">
        <v>145</v>
      </c>
      <c r="P292">
        <v>500</v>
      </c>
      <c r="Q292">
        <v>578</v>
      </c>
      <c r="R292">
        <v>291</v>
      </c>
    </row>
    <row r="293" spans="1:18">
      <c r="A293" s="1" t="s">
        <v>246</v>
      </c>
      <c r="B293">
        <v>30</v>
      </c>
      <c r="C293">
        <v>15</v>
      </c>
      <c r="D293">
        <v>15</v>
      </c>
      <c r="E293">
        <v>8.93</v>
      </c>
      <c r="F293">
        <v>2118</v>
      </c>
      <c r="G293">
        <v>748</v>
      </c>
      <c r="H293">
        <v>1779</v>
      </c>
      <c r="I293">
        <v>408</v>
      </c>
      <c r="J293">
        <v>578</v>
      </c>
      <c r="K293">
        <v>389</v>
      </c>
      <c r="L293">
        <v>1068</v>
      </c>
      <c r="M293">
        <v>438</v>
      </c>
      <c r="N293">
        <v>211</v>
      </c>
      <c r="O293">
        <v>76</v>
      </c>
      <c r="P293">
        <v>431</v>
      </c>
      <c r="Q293">
        <v>567</v>
      </c>
      <c r="R293">
        <v>292</v>
      </c>
    </row>
    <row r="294" spans="1:18">
      <c r="A294" s="1" t="s">
        <v>247</v>
      </c>
      <c r="B294">
        <v>29</v>
      </c>
      <c r="C294">
        <v>12</v>
      </c>
      <c r="D294">
        <v>17</v>
      </c>
      <c r="E294">
        <v>-5.93</v>
      </c>
      <c r="F294">
        <v>2124</v>
      </c>
      <c r="G294">
        <v>755</v>
      </c>
      <c r="H294">
        <v>1742</v>
      </c>
      <c r="I294">
        <v>397</v>
      </c>
      <c r="J294">
        <v>609</v>
      </c>
      <c r="K294">
        <v>370</v>
      </c>
      <c r="L294">
        <v>1065</v>
      </c>
      <c r="M294">
        <v>436</v>
      </c>
      <c r="N294">
        <v>189</v>
      </c>
      <c r="O294">
        <v>113</v>
      </c>
      <c r="P294">
        <v>443</v>
      </c>
      <c r="Q294">
        <v>577</v>
      </c>
      <c r="R294">
        <v>293</v>
      </c>
    </row>
    <row r="295" spans="1:18">
      <c r="A295" s="1" t="s">
        <v>248</v>
      </c>
      <c r="B295">
        <v>31</v>
      </c>
      <c r="C295">
        <v>18</v>
      </c>
      <c r="D295">
        <v>13</v>
      </c>
      <c r="E295">
        <v>6.45</v>
      </c>
      <c r="F295">
        <v>2376</v>
      </c>
      <c r="G295">
        <v>845</v>
      </c>
      <c r="H295">
        <v>1708</v>
      </c>
      <c r="I295">
        <v>499</v>
      </c>
      <c r="J295">
        <v>734</v>
      </c>
      <c r="K295">
        <v>385</v>
      </c>
      <c r="L295">
        <v>1144</v>
      </c>
      <c r="M295">
        <v>521</v>
      </c>
      <c r="N295">
        <v>211</v>
      </c>
      <c r="O295">
        <v>136</v>
      </c>
      <c r="P295">
        <v>569</v>
      </c>
      <c r="Q295">
        <v>620</v>
      </c>
      <c r="R295">
        <v>294</v>
      </c>
    </row>
    <row r="296" spans="1:18">
      <c r="A296" s="1" t="s">
        <v>249</v>
      </c>
      <c r="B296">
        <v>30</v>
      </c>
      <c r="C296">
        <v>16</v>
      </c>
      <c r="D296">
        <v>14</v>
      </c>
      <c r="E296">
        <v>-0.27</v>
      </c>
      <c r="F296">
        <v>2192</v>
      </c>
      <c r="G296">
        <v>770</v>
      </c>
      <c r="H296">
        <v>1753</v>
      </c>
      <c r="I296">
        <v>467</v>
      </c>
      <c r="J296">
        <v>720</v>
      </c>
      <c r="K296">
        <v>381</v>
      </c>
      <c r="L296">
        <v>1153</v>
      </c>
      <c r="M296">
        <v>382</v>
      </c>
      <c r="N296">
        <v>191</v>
      </c>
      <c r="O296">
        <v>134</v>
      </c>
      <c r="P296">
        <v>435</v>
      </c>
      <c r="Q296">
        <v>604</v>
      </c>
      <c r="R296">
        <v>295</v>
      </c>
    </row>
    <row r="297" spans="1:18">
      <c r="A297" s="1" t="s">
        <v>250</v>
      </c>
      <c r="B297">
        <v>28</v>
      </c>
      <c r="C297">
        <v>9</v>
      </c>
      <c r="D297">
        <v>19</v>
      </c>
      <c r="E297">
        <v>-6.41</v>
      </c>
      <c r="F297">
        <v>1905</v>
      </c>
      <c r="G297">
        <v>667</v>
      </c>
      <c r="H297">
        <v>1681</v>
      </c>
      <c r="I297">
        <v>412</v>
      </c>
      <c r="J297">
        <v>666</v>
      </c>
      <c r="K297">
        <v>418</v>
      </c>
      <c r="L297">
        <v>1081</v>
      </c>
      <c r="M297">
        <v>337</v>
      </c>
      <c r="N297">
        <v>239</v>
      </c>
      <c r="O297">
        <v>86</v>
      </c>
      <c r="P297">
        <v>511</v>
      </c>
      <c r="Q297">
        <v>625</v>
      </c>
      <c r="R297">
        <v>296</v>
      </c>
    </row>
    <row r="298" spans="1:18">
      <c r="A298" s="1" t="s">
        <v>251</v>
      </c>
      <c r="B298">
        <v>27</v>
      </c>
      <c r="C298">
        <v>8</v>
      </c>
      <c r="D298">
        <v>19</v>
      </c>
      <c r="E298">
        <v>3.81</v>
      </c>
      <c r="F298">
        <v>1770</v>
      </c>
      <c r="G298">
        <v>613</v>
      </c>
      <c r="H298">
        <v>1484</v>
      </c>
      <c r="I298">
        <v>375</v>
      </c>
      <c r="J298">
        <v>573</v>
      </c>
      <c r="K298">
        <v>351</v>
      </c>
      <c r="L298">
        <v>935</v>
      </c>
      <c r="M298">
        <v>329</v>
      </c>
      <c r="N298">
        <v>221</v>
      </c>
      <c r="O298">
        <v>123</v>
      </c>
      <c r="P298">
        <v>504</v>
      </c>
      <c r="Q298">
        <v>544</v>
      </c>
      <c r="R298">
        <v>297</v>
      </c>
    </row>
    <row r="299" spans="1:18">
      <c r="A299" s="1" t="s">
        <v>252</v>
      </c>
      <c r="B299">
        <v>29</v>
      </c>
      <c r="C299">
        <v>20</v>
      </c>
      <c r="D299">
        <v>9</v>
      </c>
      <c r="E299">
        <v>8.7200000000000006</v>
      </c>
      <c r="F299">
        <v>2464</v>
      </c>
      <c r="G299">
        <v>852</v>
      </c>
      <c r="H299">
        <v>1872</v>
      </c>
      <c r="I299">
        <v>556</v>
      </c>
      <c r="J299">
        <v>755</v>
      </c>
      <c r="K299">
        <v>437</v>
      </c>
      <c r="L299">
        <v>1131</v>
      </c>
      <c r="M299">
        <v>420</v>
      </c>
      <c r="N299">
        <v>221</v>
      </c>
      <c r="O299">
        <v>98</v>
      </c>
      <c r="P299">
        <v>399</v>
      </c>
      <c r="Q299">
        <v>590</v>
      </c>
      <c r="R299">
        <v>298</v>
      </c>
    </row>
    <row r="300" spans="1:18">
      <c r="A300" s="1" t="s">
        <v>253</v>
      </c>
      <c r="B300">
        <v>29</v>
      </c>
      <c r="C300">
        <v>16</v>
      </c>
      <c r="D300">
        <v>13</v>
      </c>
      <c r="E300">
        <v>-9.86</v>
      </c>
      <c r="F300">
        <v>2393</v>
      </c>
      <c r="G300">
        <v>845</v>
      </c>
      <c r="H300">
        <v>1884</v>
      </c>
      <c r="I300">
        <v>472</v>
      </c>
      <c r="J300">
        <v>660</v>
      </c>
      <c r="K300">
        <v>348</v>
      </c>
      <c r="L300">
        <v>1042</v>
      </c>
      <c r="M300">
        <v>502</v>
      </c>
      <c r="N300">
        <v>292</v>
      </c>
      <c r="O300">
        <v>91</v>
      </c>
      <c r="P300">
        <v>486</v>
      </c>
      <c r="Q300">
        <v>653</v>
      </c>
      <c r="R300">
        <v>299</v>
      </c>
    </row>
    <row r="301" spans="1:18">
      <c r="A301" s="1" t="s">
        <v>254</v>
      </c>
      <c r="B301">
        <v>30</v>
      </c>
      <c r="C301">
        <v>19</v>
      </c>
      <c r="D301">
        <v>11</v>
      </c>
      <c r="E301">
        <v>10.5</v>
      </c>
      <c r="F301">
        <v>2296</v>
      </c>
      <c r="G301">
        <v>838</v>
      </c>
      <c r="H301">
        <v>1815</v>
      </c>
      <c r="I301">
        <v>443</v>
      </c>
      <c r="J301">
        <v>609</v>
      </c>
      <c r="K301">
        <v>342</v>
      </c>
      <c r="L301">
        <v>1104</v>
      </c>
      <c r="M301">
        <v>465</v>
      </c>
      <c r="N301">
        <v>219</v>
      </c>
      <c r="O301">
        <v>136</v>
      </c>
      <c r="P301">
        <v>375</v>
      </c>
      <c r="Q301">
        <v>572</v>
      </c>
      <c r="R301">
        <v>300</v>
      </c>
    </row>
    <row r="302" spans="1:18">
      <c r="A302" s="1" t="s">
        <v>255</v>
      </c>
      <c r="B302">
        <v>28</v>
      </c>
      <c r="C302">
        <v>12</v>
      </c>
      <c r="D302">
        <v>16</v>
      </c>
      <c r="E302">
        <v>7.04</v>
      </c>
      <c r="F302">
        <v>1874</v>
      </c>
      <c r="G302">
        <v>624</v>
      </c>
      <c r="H302">
        <v>1479</v>
      </c>
      <c r="I302">
        <v>472</v>
      </c>
      <c r="J302">
        <v>669</v>
      </c>
      <c r="K302">
        <v>313</v>
      </c>
      <c r="L302">
        <v>914</v>
      </c>
      <c r="M302">
        <v>273</v>
      </c>
      <c r="N302">
        <v>196</v>
      </c>
      <c r="O302">
        <v>77</v>
      </c>
      <c r="P302">
        <v>439</v>
      </c>
      <c r="Q302">
        <v>547</v>
      </c>
      <c r="R302">
        <v>301</v>
      </c>
    </row>
    <row r="303" spans="1:18">
      <c r="A303" s="1" t="s">
        <v>256</v>
      </c>
      <c r="B303">
        <v>30</v>
      </c>
      <c r="C303">
        <v>10</v>
      </c>
      <c r="D303">
        <v>20</v>
      </c>
      <c r="E303">
        <v>10.11</v>
      </c>
      <c r="F303">
        <v>2027</v>
      </c>
      <c r="G303">
        <v>756</v>
      </c>
      <c r="H303">
        <v>1823</v>
      </c>
      <c r="I303">
        <v>355</v>
      </c>
      <c r="J303">
        <v>617</v>
      </c>
      <c r="K303">
        <v>409</v>
      </c>
      <c r="L303">
        <v>1077</v>
      </c>
      <c r="M303">
        <v>406</v>
      </c>
      <c r="N303">
        <v>196</v>
      </c>
      <c r="O303">
        <v>99</v>
      </c>
      <c r="P303">
        <v>531</v>
      </c>
      <c r="Q303">
        <v>624</v>
      </c>
      <c r="R303">
        <v>302</v>
      </c>
    </row>
    <row r="304" spans="1:18">
      <c r="A304" s="1" t="s">
        <v>257</v>
      </c>
      <c r="B304">
        <v>29</v>
      </c>
      <c r="C304">
        <v>15</v>
      </c>
      <c r="D304">
        <v>14</v>
      </c>
      <c r="E304">
        <v>-0.8</v>
      </c>
      <c r="F304">
        <v>2257</v>
      </c>
      <c r="G304">
        <v>773</v>
      </c>
      <c r="H304">
        <v>1664</v>
      </c>
      <c r="I304">
        <v>574</v>
      </c>
      <c r="J304">
        <v>790</v>
      </c>
      <c r="K304">
        <v>374</v>
      </c>
      <c r="L304">
        <v>1058</v>
      </c>
      <c r="M304">
        <v>392</v>
      </c>
      <c r="N304">
        <v>178</v>
      </c>
      <c r="O304">
        <v>33</v>
      </c>
      <c r="P304">
        <v>444</v>
      </c>
      <c r="Q304">
        <v>663</v>
      </c>
      <c r="R304">
        <v>303</v>
      </c>
    </row>
    <row r="305" spans="1:18">
      <c r="A305" s="1" t="s">
        <v>258</v>
      </c>
      <c r="B305">
        <v>29</v>
      </c>
      <c r="C305">
        <v>17</v>
      </c>
      <c r="D305">
        <v>12</v>
      </c>
      <c r="E305">
        <v>3.95</v>
      </c>
      <c r="F305">
        <v>2139</v>
      </c>
      <c r="G305">
        <v>753</v>
      </c>
      <c r="H305">
        <v>1679</v>
      </c>
      <c r="I305">
        <v>503</v>
      </c>
      <c r="J305">
        <v>730</v>
      </c>
      <c r="K305">
        <v>403</v>
      </c>
      <c r="L305">
        <v>1176</v>
      </c>
      <c r="M305">
        <v>418</v>
      </c>
      <c r="N305">
        <v>161</v>
      </c>
      <c r="O305">
        <v>100</v>
      </c>
      <c r="P305">
        <v>475</v>
      </c>
      <c r="Q305">
        <v>558</v>
      </c>
      <c r="R305">
        <v>304</v>
      </c>
    </row>
    <row r="306" spans="1:18">
      <c r="A306" s="1" t="s">
        <v>259</v>
      </c>
      <c r="B306">
        <v>31</v>
      </c>
      <c r="C306">
        <v>6</v>
      </c>
      <c r="D306">
        <v>25</v>
      </c>
      <c r="E306">
        <v>-4.3499999999999996</v>
      </c>
      <c r="F306">
        <v>2030</v>
      </c>
      <c r="G306">
        <v>727</v>
      </c>
      <c r="H306">
        <v>1729</v>
      </c>
      <c r="I306">
        <v>389</v>
      </c>
      <c r="J306">
        <v>561</v>
      </c>
      <c r="K306">
        <v>344</v>
      </c>
      <c r="L306">
        <v>1043</v>
      </c>
      <c r="M306">
        <v>406</v>
      </c>
      <c r="N306">
        <v>197</v>
      </c>
      <c r="O306">
        <v>137</v>
      </c>
      <c r="P306">
        <v>548</v>
      </c>
      <c r="Q306">
        <v>568</v>
      </c>
      <c r="R306">
        <v>305</v>
      </c>
    </row>
    <row r="307" spans="1:18">
      <c r="A307" s="1" t="s">
        <v>260</v>
      </c>
      <c r="B307">
        <v>28</v>
      </c>
      <c r="C307">
        <v>5</v>
      </c>
      <c r="D307">
        <v>23</v>
      </c>
      <c r="E307">
        <v>-1.7</v>
      </c>
      <c r="F307">
        <v>1943</v>
      </c>
      <c r="G307">
        <v>688</v>
      </c>
      <c r="H307">
        <v>1629</v>
      </c>
      <c r="I307">
        <v>362</v>
      </c>
      <c r="J307">
        <v>539</v>
      </c>
      <c r="K307">
        <v>346</v>
      </c>
      <c r="L307">
        <v>960</v>
      </c>
      <c r="M307">
        <v>407</v>
      </c>
      <c r="N307">
        <v>144</v>
      </c>
      <c r="O307">
        <v>57</v>
      </c>
      <c r="P307">
        <v>447</v>
      </c>
      <c r="Q307">
        <v>596</v>
      </c>
      <c r="R307">
        <v>306</v>
      </c>
    </row>
    <row r="308" spans="1:18">
      <c r="A308" s="1" t="s">
        <v>261</v>
      </c>
      <c r="B308">
        <v>31</v>
      </c>
      <c r="C308">
        <v>24</v>
      </c>
      <c r="D308">
        <v>7</v>
      </c>
      <c r="E308">
        <v>-1.65</v>
      </c>
      <c r="F308">
        <v>2303</v>
      </c>
      <c r="G308">
        <v>812</v>
      </c>
      <c r="H308">
        <v>1789</v>
      </c>
      <c r="I308">
        <v>466</v>
      </c>
      <c r="J308">
        <v>674</v>
      </c>
      <c r="K308">
        <v>441</v>
      </c>
      <c r="L308">
        <v>1240</v>
      </c>
      <c r="M308">
        <v>452</v>
      </c>
      <c r="N308">
        <v>246</v>
      </c>
      <c r="O308">
        <v>155</v>
      </c>
      <c r="P308">
        <v>453</v>
      </c>
      <c r="Q308">
        <v>588</v>
      </c>
      <c r="R308">
        <v>307</v>
      </c>
    </row>
    <row r="309" spans="1:18">
      <c r="A309" s="1" t="s">
        <v>262</v>
      </c>
      <c r="B309">
        <v>28</v>
      </c>
      <c r="C309">
        <v>7</v>
      </c>
      <c r="D309">
        <v>21</v>
      </c>
      <c r="E309">
        <v>0.4</v>
      </c>
      <c r="F309">
        <v>1860</v>
      </c>
      <c r="G309">
        <v>636</v>
      </c>
      <c r="H309">
        <v>1572</v>
      </c>
      <c r="I309">
        <v>409</v>
      </c>
      <c r="J309">
        <v>586</v>
      </c>
      <c r="K309">
        <v>357</v>
      </c>
      <c r="L309">
        <v>893</v>
      </c>
      <c r="M309">
        <v>327</v>
      </c>
      <c r="N309">
        <v>204</v>
      </c>
      <c r="O309">
        <v>48</v>
      </c>
      <c r="P309">
        <v>404</v>
      </c>
      <c r="Q309">
        <v>602</v>
      </c>
      <c r="R309">
        <v>308</v>
      </c>
    </row>
    <row r="310" spans="1:18">
      <c r="A310" s="1" t="s">
        <v>263</v>
      </c>
      <c r="B310">
        <v>28</v>
      </c>
      <c r="C310">
        <v>9</v>
      </c>
      <c r="D310">
        <v>19</v>
      </c>
      <c r="E310">
        <v>2.11</v>
      </c>
      <c r="F310">
        <v>1789</v>
      </c>
      <c r="G310">
        <v>627</v>
      </c>
      <c r="H310">
        <v>1496</v>
      </c>
      <c r="I310">
        <v>374</v>
      </c>
      <c r="J310">
        <v>523</v>
      </c>
      <c r="K310">
        <v>303</v>
      </c>
      <c r="L310">
        <v>981</v>
      </c>
      <c r="M310">
        <v>404</v>
      </c>
      <c r="N310">
        <v>142</v>
      </c>
      <c r="O310">
        <v>74</v>
      </c>
      <c r="P310">
        <v>413</v>
      </c>
      <c r="Q310">
        <v>555</v>
      </c>
      <c r="R310">
        <v>309</v>
      </c>
    </row>
    <row r="311" spans="1:18">
      <c r="A311" s="1" t="s">
        <v>264</v>
      </c>
      <c r="B311">
        <v>28</v>
      </c>
      <c r="C311">
        <v>11</v>
      </c>
      <c r="D311">
        <v>17</v>
      </c>
      <c r="E311">
        <v>-2.42</v>
      </c>
      <c r="F311">
        <v>1712</v>
      </c>
      <c r="G311">
        <v>603</v>
      </c>
      <c r="H311">
        <v>1467</v>
      </c>
      <c r="I311">
        <v>350</v>
      </c>
      <c r="J311">
        <v>533</v>
      </c>
      <c r="K311">
        <v>339</v>
      </c>
      <c r="L311">
        <v>1028</v>
      </c>
      <c r="M311">
        <v>371</v>
      </c>
      <c r="N311">
        <v>148</v>
      </c>
      <c r="O311">
        <v>99</v>
      </c>
      <c r="P311">
        <v>431</v>
      </c>
      <c r="Q311">
        <v>615</v>
      </c>
      <c r="R311">
        <v>310</v>
      </c>
    </row>
    <row r="312" spans="1:18">
      <c r="A312" s="1" t="s">
        <v>325</v>
      </c>
      <c r="B312">
        <v>31</v>
      </c>
      <c r="C312">
        <v>18</v>
      </c>
      <c r="D312">
        <v>13</v>
      </c>
      <c r="E312">
        <v>-7.8</v>
      </c>
      <c r="F312">
        <v>2037</v>
      </c>
      <c r="G312">
        <v>684</v>
      </c>
      <c r="H312">
        <v>1676</v>
      </c>
      <c r="I312">
        <v>454</v>
      </c>
      <c r="J312">
        <v>661</v>
      </c>
      <c r="K312">
        <v>398</v>
      </c>
      <c r="L312">
        <v>1103</v>
      </c>
      <c r="M312">
        <v>351</v>
      </c>
      <c r="N312">
        <v>223</v>
      </c>
      <c r="O312">
        <v>78</v>
      </c>
      <c r="P312">
        <v>441</v>
      </c>
      <c r="Q312">
        <v>610</v>
      </c>
      <c r="R312">
        <v>311</v>
      </c>
    </row>
    <row r="313" spans="1:18">
      <c r="A313" s="1" t="s">
        <v>367</v>
      </c>
      <c r="B313">
        <v>29</v>
      </c>
      <c r="C313">
        <v>18</v>
      </c>
      <c r="D313">
        <v>11</v>
      </c>
      <c r="E313">
        <v>12.08</v>
      </c>
      <c r="F313">
        <v>1723</v>
      </c>
      <c r="G313">
        <v>575</v>
      </c>
      <c r="H313">
        <v>1349</v>
      </c>
      <c r="I313">
        <v>399</v>
      </c>
      <c r="J313">
        <v>568</v>
      </c>
      <c r="K313">
        <v>233</v>
      </c>
      <c r="L313">
        <v>869</v>
      </c>
      <c r="M313">
        <v>358</v>
      </c>
      <c r="N313">
        <v>172</v>
      </c>
      <c r="O313">
        <v>68</v>
      </c>
      <c r="P313">
        <v>337</v>
      </c>
      <c r="Q313">
        <v>520</v>
      </c>
      <c r="R313">
        <v>312</v>
      </c>
    </row>
    <row r="314" spans="1:18">
      <c r="A314" s="1" t="s">
        <v>265</v>
      </c>
      <c r="B314">
        <v>28</v>
      </c>
      <c r="C314">
        <v>12</v>
      </c>
      <c r="D314">
        <v>16</v>
      </c>
      <c r="E314">
        <v>-1.97</v>
      </c>
      <c r="F314">
        <v>1990</v>
      </c>
      <c r="G314">
        <v>714</v>
      </c>
      <c r="H314">
        <v>1683</v>
      </c>
      <c r="I314">
        <v>380</v>
      </c>
      <c r="J314">
        <v>565</v>
      </c>
      <c r="K314">
        <v>379</v>
      </c>
      <c r="L314">
        <v>1009</v>
      </c>
      <c r="M314">
        <v>370</v>
      </c>
      <c r="N314">
        <v>223</v>
      </c>
      <c r="O314">
        <v>106</v>
      </c>
      <c r="P314">
        <v>364</v>
      </c>
      <c r="Q314">
        <v>540</v>
      </c>
      <c r="R314">
        <v>313</v>
      </c>
    </row>
    <row r="315" spans="1:18">
      <c r="A315" s="1" t="s">
        <v>266</v>
      </c>
      <c r="B315">
        <v>29</v>
      </c>
      <c r="C315">
        <v>18</v>
      </c>
      <c r="D315">
        <v>11</v>
      </c>
      <c r="E315">
        <v>-1.0900000000000001</v>
      </c>
      <c r="F315">
        <v>2063</v>
      </c>
      <c r="G315">
        <v>720</v>
      </c>
      <c r="H315">
        <v>1510</v>
      </c>
      <c r="I315">
        <v>502</v>
      </c>
      <c r="J315">
        <v>690</v>
      </c>
      <c r="K315">
        <v>319</v>
      </c>
      <c r="L315">
        <v>1033</v>
      </c>
      <c r="M315">
        <v>423</v>
      </c>
      <c r="N315">
        <v>191</v>
      </c>
      <c r="O315">
        <v>109</v>
      </c>
      <c r="P315">
        <v>479</v>
      </c>
      <c r="Q315">
        <v>563</v>
      </c>
      <c r="R315">
        <v>314</v>
      </c>
    </row>
    <row r="316" spans="1:18">
      <c r="A316" s="1" t="s">
        <v>267</v>
      </c>
      <c r="B316">
        <v>30</v>
      </c>
      <c r="C316">
        <v>20</v>
      </c>
      <c r="D316">
        <v>10</v>
      </c>
      <c r="E316">
        <v>3.86</v>
      </c>
      <c r="F316">
        <v>2282</v>
      </c>
      <c r="G316">
        <v>774</v>
      </c>
      <c r="H316">
        <v>1731</v>
      </c>
      <c r="I316">
        <v>588</v>
      </c>
      <c r="J316">
        <v>837</v>
      </c>
      <c r="K316">
        <v>392</v>
      </c>
      <c r="L316">
        <v>1226</v>
      </c>
      <c r="M316">
        <v>505</v>
      </c>
      <c r="N316">
        <v>193</v>
      </c>
      <c r="O316">
        <v>144</v>
      </c>
      <c r="P316">
        <v>437</v>
      </c>
      <c r="Q316">
        <v>650</v>
      </c>
      <c r="R316">
        <v>315</v>
      </c>
    </row>
    <row r="317" spans="1:18">
      <c r="A317" s="1" t="s">
        <v>268</v>
      </c>
      <c r="B317">
        <v>29</v>
      </c>
      <c r="C317">
        <v>21</v>
      </c>
      <c r="D317">
        <v>8</v>
      </c>
      <c r="E317">
        <v>4.59</v>
      </c>
      <c r="F317">
        <v>2130</v>
      </c>
      <c r="G317">
        <v>706</v>
      </c>
      <c r="H317">
        <v>1653</v>
      </c>
      <c r="I317">
        <v>540</v>
      </c>
      <c r="J317">
        <v>768</v>
      </c>
      <c r="K317">
        <v>391</v>
      </c>
      <c r="L317">
        <v>1125</v>
      </c>
      <c r="M317">
        <v>398</v>
      </c>
      <c r="N317">
        <v>208</v>
      </c>
      <c r="O317">
        <v>115</v>
      </c>
      <c r="P317">
        <v>415</v>
      </c>
      <c r="Q317">
        <v>551</v>
      </c>
      <c r="R317">
        <v>316</v>
      </c>
    </row>
    <row r="318" spans="1:18">
      <c r="A318" s="1" t="s">
        <v>269</v>
      </c>
      <c r="B318">
        <v>27</v>
      </c>
      <c r="C318">
        <v>10</v>
      </c>
      <c r="D318">
        <v>17</v>
      </c>
      <c r="E318">
        <v>-5.75</v>
      </c>
      <c r="F318">
        <v>1744</v>
      </c>
      <c r="G318">
        <v>607</v>
      </c>
      <c r="H318">
        <v>1461</v>
      </c>
      <c r="I318">
        <v>358</v>
      </c>
      <c r="J318">
        <v>537</v>
      </c>
      <c r="K318">
        <v>279</v>
      </c>
      <c r="L318">
        <v>916</v>
      </c>
      <c r="M318">
        <v>394</v>
      </c>
      <c r="N318">
        <v>183</v>
      </c>
      <c r="O318">
        <v>79</v>
      </c>
      <c r="P318">
        <v>423</v>
      </c>
      <c r="Q318">
        <v>553</v>
      </c>
      <c r="R318">
        <v>317</v>
      </c>
    </row>
    <row r="319" spans="1:18">
      <c r="A319" s="1" t="s">
        <v>270</v>
      </c>
      <c r="B319">
        <v>30</v>
      </c>
      <c r="C319">
        <v>19</v>
      </c>
      <c r="D319">
        <v>11</v>
      </c>
      <c r="E319">
        <v>-4.12</v>
      </c>
      <c r="F319">
        <v>2133</v>
      </c>
      <c r="G319">
        <v>722</v>
      </c>
      <c r="H319">
        <v>1622</v>
      </c>
      <c r="I319">
        <v>511</v>
      </c>
      <c r="J319">
        <v>747</v>
      </c>
      <c r="K319">
        <v>359</v>
      </c>
      <c r="L319">
        <v>1082</v>
      </c>
      <c r="M319">
        <v>437</v>
      </c>
      <c r="N319">
        <v>153</v>
      </c>
      <c r="O319">
        <v>74</v>
      </c>
      <c r="P319">
        <v>453</v>
      </c>
      <c r="Q319">
        <v>620</v>
      </c>
      <c r="R319">
        <v>318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641B0-BCCD-43F8-973C-0710390D1C71}">
  <sheetPr codeName="Sheet3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31.28515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28</v>
      </c>
      <c r="C2">
        <v>9</v>
      </c>
      <c r="D2">
        <v>19</v>
      </c>
      <c r="E2">
        <v>3.23</v>
      </c>
      <c r="F2">
        <v>1605</v>
      </c>
      <c r="G2">
        <v>533</v>
      </c>
      <c r="H2">
        <v>1151</v>
      </c>
      <c r="I2">
        <v>331</v>
      </c>
      <c r="J2">
        <v>465</v>
      </c>
      <c r="K2">
        <v>154</v>
      </c>
      <c r="L2">
        <v>614</v>
      </c>
      <c r="M2">
        <v>327</v>
      </c>
      <c r="N2">
        <v>228</v>
      </c>
      <c r="O2">
        <v>39</v>
      </c>
      <c r="P2">
        <v>390</v>
      </c>
      <c r="R2">
        <v>1</v>
      </c>
    </row>
    <row r="3" spans="1:18">
      <c r="A3" s="1" t="s">
        <v>18</v>
      </c>
      <c r="B3">
        <v>31</v>
      </c>
      <c r="C3">
        <v>10</v>
      </c>
      <c r="D3">
        <v>21</v>
      </c>
      <c r="E3">
        <v>0.36</v>
      </c>
      <c r="F3">
        <v>2154</v>
      </c>
      <c r="G3">
        <v>709</v>
      </c>
      <c r="H3">
        <v>1581</v>
      </c>
      <c r="I3">
        <v>554</v>
      </c>
      <c r="J3">
        <v>731</v>
      </c>
      <c r="K3">
        <v>295</v>
      </c>
      <c r="L3">
        <v>933</v>
      </c>
      <c r="M3">
        <v>416</v>
      </c>
      <c r="N3">
        <v>180</v>
      </c>
      <c r="O3">
        <v>77</v>
      </c>
      <c r="P3">
        <v>450</v>
      </c>
      <c r="R3">
        <v>2</v>
      </c>
    </row>
    <row r="4" spans="1:18">
      <c r="A4" s="1" t="s">
        <v>19</v>
      </c>
      <c r="B4">
        <v>29</v>
      </c>
      <c r="C4">
        <v>19</v>
      </c>
      <c r="D4">
        <v>10</v>
      </c>
      <c r="E4">
        <v>-15.81</v>
      </c>
      <c r="F4">
        <v>2318</v>
      </c>
      <c r="G4">
        <v>814</v>
      </c>
      <c r="H4">
        <v>2010</v>
      </c>
      <c r="I4">
        <v>478</v>
      </c>
      <c r="J4">
        <v>711</v>
      </c>
      <c r="K4">
        <v>506</v>
      </c>
      <c r="L4">
        <v>1217</v>
      </c>
      <c r="M4">
        <v>426</v>
      </c>
      <c r="N4">
        <v>395</v>
      </c>
      <c r="O4">
        <v>116</v>
      </c>
      <c r="P4">
        <v>504</v>
      </c>
      <c r="R4">
        <v>3</v>
      </c>
    </row>
    <row r="5" spans="1:18">
      <c r="A5" s="1" t="s">
        <v>20</v>
      </c>
      <c r="B5">
        <v>30</v>
      </c>
      <c r="C5">
        <v>13</v>
      </c>
      <c r="D5">
        <v>17</v>
      </c>
      <c r="E5">
        <v>2.96</v>
      </c>
      <c r="F5">
        <v>2110</v>
      </c>
      <c r="G5">
        <v>739</v>
      </c>
      <c r="H5">
        <v>1763</v>
      </c>
      <c r="I5">
        <v>428</v>
      </c>
      <c r="J5">
        <v>623</v>
      </c>
      <c r="K5">
        <v>376</v>
      </c>
      <c r="L5">
        <v>1117</v>
      </c>
      <c r="M5">
        <v>433</v>
      </c>
      <c r="N5">
        <v>231</v>
      </c>
      <c r="O5">
        <v>87</v>
      </c>
      <c r="P5">
        <v>448</v>
      </c>
      <c r="R5">
        <v>4</v>
      </c>
    </row>
    <row r="6" spans="1:18">
      <c r="A6" s="1" t="s">
        <v>21</v>
      </c>
      <c r="B6">
        <v>32</v>
      </c>
      <c r="C6">
        <v>19</v>
      </c>
      <c r="D6">
        <v>13</v>
      </c>
      <c r="E6">
        <v>-14.15</v>
      </c>
      <c r="F6">
        <v>2095</v>
      </c>
      <c r="G6">
        <v>715</v>
      </c>
      <c r="H6">
        <v>1681</v>
      </c>
      <c r="I6">
        <v>483</v>
      </c>
      <c r="J6">
        <v>755</v>
      </c>
      <c r="K6">
        <v>389</v>
      </c>
      <c r="L6">
        <v>1167</v>
      </c>
      <c r="M6">
        <v>314</v>
      </c>
      <c r="N6">
        <v>217</v>
      </c>
      <c r="O6">
        <v>89</v>
      </c>
      <c r="P6">
        <v>538</v>
      </c>
      <c r="R6">
        <v>5</v>
      </c>
    </row>
    <row r="7" spans="1:18">
      <c r="A7" s="1" t="s">
        <v>22</v>
      </c>
      <c r="B7">
        <v>35</v>
      </c>
      <c r="C7">
        <v>27</v>
      </c>
      <c r="D7">
        <v>8</v>
      </c>
      <c r="E7">
        <v>7.67</v>
      </c>
      <c r="F7">
        <v>2658</v>
      </c>
      <c r="G7">
        <v>910</v>
      </c>
      <c r="H7">
        <v>2071</v>
      </c>
      <c r="I7">
        <v>621</v>
      </c>
      <c r="J7">
        <v>844</v>
      </c>
      <c r="K7">
        <v>509</v>
      </c>
      <c r="L7">
        <v>1369</v>
      </c>
      <c r="M7">
        <v>460</v>
      </c>
      <c r="N7">
        <v>257</v>
      </c>
      <c r="O7">
        <v>113</v>
      </c>
      <c r="P7">
        <v>490</v>
      </c>
      <c r="R7">
        <v>6</v>
      </c>
    </row>
    <row r="8" spans="1:18">
      <c r="A8" s="1" t="s">
        <v>23</v>
      </c>
      <c r="B8">
        <v>28</v>
      </c>
      <c r="C8">
        <v>8</v>
      </c>
      <c r="D8">
        <v>20</v>
      </c>
      <c r="E8">
        <v>-8.85</v>
      </c>
      <c r="F8">
        <v>1593</v>
      </c>
      <c r="G8">
        <v>594</v>
      </c>
      <c r="H8">
        <v>1538</v>
      </c>
      <c r="I8">
        <v>242</v>
      </c>
      <c r="J8">
        <v>361</v>
      </c>
      <c r="K8">
        <v>310</v>
      </c>
      <c r="L8">
        <v>904</v>
      </c>
      <c r="M8">
        <v>285</v>
      </c>
      <c r="N8">
        <v>195</v>
      </c>
      <c r="O8">
        <v>83</v>
      </c>
      <c r="P8">
        <v>405</v>
      </c>
      <c r="R8">
        <v>7</v>
      </c>
    </row>
    <row r="9" spans="1:18">
      <c r="A9" s="1" t="s">
        <v>24</v>
      </c>
      <c r="B9">
        <v>31</v>
      </c>
      <c r="C9">
        <v>21</v>
      </c>
      <c r="D9">
        <v>10</v>
      </c>
      <c r="E9">
        <v>-14.18</v>
      </c>
      <c r="F9">
        <v>2473</v>
      </c>
      <c r="G9">
        <v>900</v>
      </c>
      <c r="H9">
        <v>1935</v>
      </c>
      <c r="I9">
        <v>500</v>
      </c>
      <c r="J9">
        <v>777</v>
      </c>
      <c r="K9">
        <v>453</v>
      </c>
      <c r="L9">
        <v>1243</v>
      </c>
      <c r="M9">
        <v>496</v>
      </c>
      <c r="N9">
        <v>258</v>
      </c>
      <c r="O9">
        <v>125</v>
      </c>
      <c r="P9">
        <v>538</v>
      </c>
      <c r="R9">
        <v>8</v>
      </c>
    </row>
    <row r="10" spans="1:18">
      <c r="A10" s="1" t="s">
        <v>25</v>
      </c>
      <c r="B10">
        <v>30</v>
      </c>
      <c r="C10">
        <v>18</v>
      </c>
      <c r="D10">
        <v>12</v>
      </c>
      <c r="E10">
        <v>-6.2</v>
      </c>
      <c r="F10">
        <v>1977</v>
      </c>
      <c r="G10">
        <v>680</v>
      </c>
      <c r="H10">
        <v>1507</v>
      </c>
      <c r="I10">
        <v>402</v>
      </c>
      <c r="J10">
        <v>554</v>
      </c>
      <c r="K10">
        <v>272</v>
      </c>
      <c r="L10">
        <v>983</v>
      </c>
      <c r="M10">
        <v>412</v>
      </c>
      <c r="N10">
        <v>201</v>
      </c>
      <c r="O10">
        <v>78</v>
      </c>
      <c r="P10">
        <v>482</v>
      </c>
      <c r="R10">
        <v>9</v>
      </c>
    </row>
    <row r="11" spans="1:18">
      <c r="A11" s="1" t="s">
        <v>271</v>
      </c>
      <c r="B11">
        <v>28</v>
      </c>
      <c r="C11">
        <v>10</v>
      </c>
      <c r="D11">
        <v>18</v>
      </c>
      <c r="E11">
        <v>-0.65</v>
      </c>
      <c r="F11">
        <v>2140</v>
      </c>
      <c r="G11">
        <v>745</v>
      </c>
      <c r="H11">
        <v>1700</v>
      </c>
      <c r="I11">
        <v>480</v>
      </c>
      <c r="J11">
        <v>703</v>
      </c>
      <c r="K11">
        <v>367</v>
      </c>
      <c r="L11">
        <v>1048</v>
      </c>
      <c r="M11">
        <v>426</v>
      </c>
      <c r="N11">
        <v>241</v>
      </c>
      <c r="O11">
        <v>77</v>
      </c>
      <c r="P11">
        <v>480</v>
      </c>
      <c r="R11">
        <v>10</v>
      </c>
    </row>
    <row r="12" spans="1:18">
      <c r="A12" s="1" t="s">
        <v>26</v>
      </c>
      <c r="B12">
        <v>29</v>
      </c>
      <c r="C12">
        <v>14</v>
      </c>
      <c r="D12">
        <v>15</v>
      </c>
      <c r="E12">
        <v>6.79</v>
      </c>
      <c r="F12">
        <v>2229</v>
      </c>
      <c r="G12">
        <v>812</v>
      </c>
      <c r="H12">
        <v>1784</v>
      </c>
      <c r="I12">
        <v>461</v>
      </c>
      <c r="J12">
        <v>703</v>
      </c>
      <c r="K12">
        <v>415</v>
      </c>
      <c r="L12">
        <v>1070</v>
      </c>
      <c r="M12">
        <v>475</v>
      </c>
      <c r="N12">
        <v>208</v>
      </c>
      <c r="O12">
        <v>77</v>
      </c>
      <c r="P12">
        <v>438</v>
      </c>
      <c r="R12">
        <v>11</v>
      </c>
    </row>
    <row r="13" spans="1:18">
      <c r="A13" s="1" t="s">
        <v>356</v>
      </c>
      <c r="B13">
        <v>34</v>
      </c>
      <c r="C13">
        <v>24</v>
      </c>
      <c r="D13">
        <v>10</v>
      </c>
      <c r="E13">
        <v>12.49</v>
      </c>
      <c r="F13">
        <v>2793</v>
      </c>
      <c r="G13">
        <v>935</v>
      </c>
      <c r="H13">
        <v>2039</v>
      </c>
      <c r="I13">
        <v>665</v>
      </c>
      <c r="J13">
        <v>910</v>
      </c>
      <c r="K13">
        <v>430</v>
      </c>
      <c r="L13">
        <v>1286</v>
      </c>
      <c r="M13">
        <v>527</v>
      </c>
      <c r="N13">
        <v>207</v>
      </c>
      <c r="O13">
        <v>103</v>
      </c>
      <c r="P13">
        <v>478</v>
      </c>
      <c r="R13">
        <v>12</v>
      </c>
    </row>
    <row r="14" spans="1:18">
      <c r="A14" s="1" t="s">
        <v>27</v>
      </c>
      <c r="B14">
        <v>29</v>
      </c>
      <c r="C14">
        <v>18</v>
      </c>
      <c r="D14">
        <v>11</v>
      </c>
      <c r="E14">
        <v>-2.52</v>
      </c>
      <c r="F14">
        <v>2152</v>
      </c>
      <c r="G14">
        <v>746</v>
      </c>
      <c r="H14">
        <v>1597</v>
      </c>
      <c r="I14">
        <v>450</v>
      </c>
      <c r="J14">
        <v>639</v>
      </c>
      <c r="K14">
        <v>324</v>
      </c>
      <c r="L14">
        <v>1034</v>
      </c>
      <c r="M14">
        <v>387</v>
      </c>
      <c r="N14">
        <v>271</v>
      </c>
      <c r="O14">
        <v>63</v>
      </c>
      <c r="P14">
        <v>476</v>
      </c>
      <c r="R14">
        <v>13</v>
      </c>
    </row>
    <row r="15" spans="1:18">
      <c r="A15" s="1" t="s">
        <v>28</v>
      </c>
      <c r="B15">
        <v>28</v>
      </c>
      <c r="C15">
        <v>2</v>
      </c>
      <c r="D15">
        <v>26</v>
      </c>
      <c r="E15">
        <v>-8.6999999999999993</v>
      </c>
      <c r="F15">
        <v>1852</v>
      </c>
      <c r="G15">
        <v>647</v>
      </c>
      <c r="H15">
        <v>1789</v>
      </c>
      <c r="I15">
        <v>415</v>
      </c>
      <c r="J15">
        <v>628</v>
      </c>
      <c r="K15">
        <v>370</v>
      </c>
      <c r="L15">
        <v>964</v>
      </c>
      <c r="M15">
        <v>298</v>
      </c>
      <c r="N15">
        <v>311</v>
      </c>
      <c r="O15">
        <v>66</v>
      </c>
      <c r="P15">
        <v>531</v>
      </c>
      <c r="R15">
        <v>14</v>
      </c>
    </row>
    <row r="16" spans="1:18">
      <c r="A16" s="1" t="s">
        <v>29</v>
      </c>
      <c r="B16">
        <v>31</v>
      </c>
      <c r="C16">
        <v>15</v>
      </c>
      <c r="D16">
        <v>16</v>
      </c>
      <c r="E16">
        <v>-1.98</v>
      </c>
      <c r="F16">
        <v>2259</v>
      </c>
      <c r="G16">
        <v>826</v>
      </c>
      <c r="H16">
        <v>1815</v>
      </c>
      <c r="I16">
        <v>417</v>
      </c>
      <c r="J16">
        <v>575</v>
      </c>
      <c r="K16">
        <v>403</v>
      </c>
      <c r="L16">
        <v>1154</v>
      </c>
      <c r="M16">
        <v>410</v>
      </c>
      <c r="N16">
        <v>230</v>
      </c>
      <c r="O16">
        <v>166</v>
      </c>
      <c r="P16">
        <v>460</v>
      </c>
      <c r="R16">
        <v>15</v>
      </c>
    </row>
    <row r="17" spans="1:18">
      <c r="A17" s="1" t="s">
        <v>302</v>
      </c>
      <c r="B17">
        <v>29</v>
      </c>
      <c r="C17">
        <v>14</v>
      </c>
      <c r="D17">
        <v>15</v>
      </c>
      <c r="E17">
        <v>10.130000000000001</v>
      </c>
      <c r="F17">
        <v>2171</v>
      </c>
      <c r="G17">
        <v>775</v>
      </c>
      <c r="H17">
        <v>1777</v>
      </c>
      <c r="I17">
        <v>389</v>
      </c>
      <c r="J17">
        <v>598</v>
      </c>
      <c r="K17">
        <v>319</v>
      </c>
      <c r="L17">
        <v>930</v>
      </c>
      <c r="M17">
        <v>445</v>
      </c>
      <c r="N17">
        <v>306</v>
      </c>
      <c r="O17">
        <v>99</v>
      </c>
      <c r="P17">
        <v>413</v>
      </c>
      <c r="R17">
        <v>16</v>
      </c>
    </row>
    <row r="18" spans="1:18">
      <c r="A18" s="1" t="s">
        <v>30</v>
      </c>
      <c r="B18">
        <v>28</v>
      </c>
      <c r="C18">
        <v>12</v>
      </c>
      <c r="D18">
        <v>16</v>
      </c>
      <c r="E18">
        <v>-7.44</v>
      </c>
      <c r="F18">
        <v>1871</v>
      </c>
      <c r="G18">
        <v>650</v>
      </c>
      <c r="H18">
        <v>1518</v>
      </c>
      <c r="I18">
        <v>426</v>
      </c>
      <c r="J18">
        <v>596</v>
      </c>
      <c r="K18">
        <v>286</v>
      </c>
      <c r="L18">
        <v>914</v>
      </c>
      <c r="M18">
        <v>326</v>
      </c>
      <c r="N18">
        <v>162</v>
      </c>
      <c r="O18">
        <v>74</v>
      </c>
      <c r="P18">
        <v>412</v>
      </c>
      <c r="R18">
        <v>17</v>
      </c>
    </row>
    <row r="19" spans="1:18">
      <c r="A19" s="1" t="s">
        <v>272</v>
      </c>
      <c r="B19">
        <v>28</v>
      </c>
      <c r="C19">
        <v>12</v>
      </c>
      <c r="D19">
        <v>16</v>
      </c>
      <c r="E19">
        <v>7.96</v>
      </c>
      <c r="F19">
        <v>1835</v>
      </c>
      <c r="G19">
        <v>659</v>
      </c>
      <c r="H19">
        <v>1575</v>
      </c>
      <c r="I19">
        <v>354</v>
      </c>
      <c r="J19">
        <v>597</v>
      </c>
      <c r="K19">
        <v>361</v>
      </c>
      <c r="L19">
        <v>1011</v>
      </c>
      <c r="M19">
        <v>371</v>
      </c>
      <c r="N19">
        <v>229</v>
      </c>
      <c r="O19">
        <v>151</v>
      </c>
      <c r="P19">
        <v>503</v>
      </c>
      <c r="R19">
        <v>18</v>
      </c>
    </row>
    <row r="20" spans="1:18">
      <c r="A20" s="1" t="s">
        <v>31</v>
      </c>
      <c r="B20">
        <v>32</v>
      </c>
      <c r="C20">
        <v>14</v>
      </c>
      <c r="D20">
        <v>18</v>
      </c>
      <c r="E20">
        <v>-1.02</v>
      </c>
      <c r="F20">
        <v>2255</v>
      </c>
      <c r="G20">
        <v>803</v>
      </c>
      <c r="H20">
        <v>1785</v>
      </c>
      <c r="I20">
        <v>449</v>
      </c>
      <c r="J20">
        <v>702</v>
      </c>
      <c r="K20">
        <v>336</v>
      </c>
      <c r="L20">
        <v>1098</v>
      </c>
      <c r="M20">
        <v>383</v>
      </c>
      <c r="N20">
        <v>233</v>
      </c>
      <c r="O20">
        <v>134</v>
      </c>
      <c r="P20">
        <v>469</v>
      </c>
      <c r="R20">
        <v>19</v>
      </c>
    </row>
    <row r="21" spans="1:18">
      <c r="A21" s="1" t="s">
        <v>273</v>
      </c>
      <c r="B21">
        <v>35</v>
      </c>
      <c r="C21">
        <v>23</v>
      </c>
      <c r="D21">
        <v>12</v>
      </c>
      <c r="E21">
        <v>3.29</v>
      </c>
      <c r="F21">
        <v>2731</v>
      </c>
      <c r="G21">
        <v>927</v>
      </c>
      <c r="H21">
        <v>2061</v>
      </c>
      <c r="I21">
        <v>567</v>
      </c>
      <c r="J21">
        <v>752</v>
      </c>
      <c r="K21">
        <v>393</v>
      </c>
      <c r="L21">
        <v>1253</v>
      </c>
      <c r="M21">
        <v>422</v>
      </c>
      <c r="N21">
        <v>218</v>
      </c>
      <c r="O21">
        <v>138</v>
      </c>
      <c r="P21">
        <v>443</v>
      </c>
      <c r="R21">
        <v>20</v>
      </c>
    </row>
    <row r="22" spans="1:18">
      <c r="A22" s="1" t="s">
        <v>32</v>
      </c>
      <c r="B22">
        <v>30</v>
      </c>
      <c r="C22">
        <v>14</v>
      </c>
      <c r="D22">
        <v>16</v>
      </c>
      <c r="E22">
        <v>5.08</v>
      </c>
      <c r="F22">
        <v>2296</v>
      </c>
      <c r="G22">
        <v>800</v>
      </c>
      <c r="H22">
        <v>1821</v>
      </c>
      <c r="I22">
        <v>423</v>
      </c>
      <c r="J22">
        <v>589</v>
      </c>
      <c r="K22">
        <v>371</v>
      </c>
      <c r="L22">
        <v>1083</v>
      </c>
      <c r="M22">
        <v>514</v>
      </c>
      <c r="N22">
        <v>278</v>
      </c>
      <c r="O22">
        <v>116</v>
      </c>
      <c r="P22">
        <v>428</v>
      </c>
      <c r="R22">
        <v>21</v>
      </c>
    </row>
    <row r="23" spans="1:18">
      <c r="A23" s="1" t="s">
        <v>33</v>
      </c>
      <c r="B23">
        <v>28</v>
      </c>
      <c r="C23">
        <v>11</v>
      </c>
      <c r="D23">
        <v>17</v>
      </c>
      <c r="E23">
        <v>-3.39</v>
      </c>
      <c r="F23">
        <v>2020</v>
      </c>
      <c r="G23">
        <v>698</v>
      </c>
      <c r="H23">
        <v>1484</v>
      </c>
      <c r="I23">
        <v>360</v>
      </c>
      <c r="J23">
        <v>477</v>
      </c>
      <c r="K23">
        <v>275</v>
      </c>
      <c r="L23">
        <v>868</v>
      </c>
      <c r="M23">
        <v>506</v>
      </c>
      <c r="N23">
        <v>173</v>
      </c>
      <c r="O23">
        <v>37</v>
      </c>
      <c r="P23">
        <v>457</v>
      </c>
      <c r="R23">
        <v>22</v>
      </c>
    </row>
    <row r="24" spans="1:18">
      <c r="A24" s="1" t="s">
        <v>34</v>
      </c>
      <c r="B24">
        <v>29</v>
      </c>
      <c r="C24">
        <v>12</v>
      </c>
      <c r="D24">
        <v>17</v>
      </c>
      <c r="E24">
        <v>-8.26</v>
      </c>
      <c r="F24">
        <v>1983</v>
      </c>
      <c r="G24">
        <v>672</v>
      </c>
      <c r="H24">
        <v>1567</v>
      </c>
      <c r="I24">
        <v>490</v>
      </c>
      <c r="J24">
        <v>711</v>
      </c>
      <c r="K24">
        <v>332</v>
      </c>
      <c r="L24">
        <v>1030</v>
      </c>
      <c r="M24">
        <v>259</v>
      </c>
      <c r="N24">
        <v>210</v>
      </c>
      <c r="O24">
        <v>70</v>
      </c>
      <c r="P24">
        <v>504</v>
      </c>
      <c r="R24">
        <v>23</v>
      </c>
    </row>
    <row r="25" spans="1:18">
      <c r="A25" s="1" t="s">
        <v>303</v>
      </c>
      <c r="B25">
        <v>28</v>
      </c>
      <c r="C25">
        <v>9</v>
      </c>
      <c r="D25">
        <v>19</v>
      </c>
      <c r="E25">
        <v>-9.4</v>
      </c>
      <c r="F25">
        <v>1811</v>
      </c>
      <c r="G25">
        <v>621</v>
      </c>
      <c r="H25">
        <v>1535</v>
      </c>
      <c r="I25">
        <v>375</v>
      </c>
      <c r="J25">
        <v>529</v>
      </c>
      <c r="K25">
        <v>310</v>
      </c>
      <c r="L25">
        <v>944</v>
      </c>
      <c r="M25">
        <v>320</v>
      </c>
      <c r="N25">
        <v>177</v>
      </c>
      <c r="O25">
        <v>125</v>
      </c>
      <c r="P25">
        <v>442</v>
      </c>
      <c r="R25">
        <v>24</v>
      </c>
    </row>
    <row r="26" spans="1:18">
      <c r="A26" s="1" t="s">
        <v>35</v>
      </c>
      <c r="B26">
        <v>30</v>
      </c>
      <c r="C26">
        <v>13</v>
      </c>
      <c r="D26">
        <v>17</v>
      </c>
      <c r="E26">
        <v>2.09</v>
      </c>
      <c r="F26">
        <v>1877</v>
      </c>
      <c r="G26">
        <v>675</v>
      </c>
      <c r="H26">
        <v>1631</v>
      </c>
      <c r="I26">
        <v>363</v>
      </c>
      <c r="J26">
        <v>523</v>
      </c>
      <c r="K26">
        <v>318</v>
      </c>
      <c r="L26">
        <v>907</v>
      </c>
      <c r="M26">
        <v>366</v>
      </c>
      <c r="N26">
        <v>184</v>
      </c>
      <c r="O26">
        <v>83</v>
      </c>
      <c r="P26">
        <v>426</v>
      </c>
      <c r="R26">
        <v>25</v>
      </c>
    </row>
    <row r="27" spans="1:18">
      <c r="A27" s="1" t="s">
        <v>36</v>
      </c>
      <c r="B27">
        <v>32</v>
      </c>
      <c r="C27">
        <v>20</v>
      </c>
      <c r="D27">
        <v>12</v>
      </c>
      <c r="E27">
        <v>5.91</v>
      </c>
      <c r="F27">
        <v>2354</v>
      </c>
      <c r="G27">
        <v>801</v>
      </c>
      <c r="H27">
        <v>1913</v>
      </c>
      <c r="I27">
        <v>540</v>
      </c>
      <c r="J27">
        <v>776</v>
      </c>
      <c r="K27">
        <v>452</v>
      </c>
      <c r="L27">
        <v>1192</v>
      </c>
      <c r="M27">
        <v>431</v>
      </c>
      <c r="N27">
        <v>259</v>
      </c>
      <c r="O27">
        <v>106</v>
      </c>
      <c r="P27">
        <v>449</v>
      </c>
      <c r="R27">
        <v>26</v>
      </c>
    </row>
    <row r="28" spans="1:18">
      <c r="A28" s="1" t="s">
        <v>37</v>
      </c>
      <c r="B28">
        <v>32</v>
      </c>
      <c r="C28">
        <v>22</v>
      </c>
      <c r="D28">
        <v>10</v>
      </c>
      <c r="E28">
        <v>-7.81</v>
      </c>
      <c r="F28">
        <v>2147</v>
      </c>
      <c r="G28">
        <v>748</v>
      </c>
      <c r="H28">
        <v>1767</v>
      </c>
      <c r="I28">
        <v>448</v>
      </c>
      <c r="J28">
        <v>651</v>
      </c>
      <c r="K28">
        <v>393</v>
      </c>
      <c r="L28">
        <v>1200</v>
      </c>
      <c r="M28">
        <v>399</v>
      </c>
      <c r="N28">
        <v>192</v>
      </c>
      <c r="O28">
        <v>84</v>
      </c>
      <c r="P28">
        <v>415</v>
      </c>
      <c r="R28">
        <v>27</v>
      </c>
    </row>
    <row r="29" spans="1:18">
      <c r="A29" s="1" t="s">
        <v>38</v>
      </c>
      <c r="B29">
        <v>33</v>
      </c>
      <c r="C29">
        <v>24</v>
      </c>
      <c r="D29">
        <v>9</v>
      </c>
      <c r="E29">
        <v>1.46</v>
      </c>
      <c r="F29">
        <v>2464</v>
      </c>
      <c r="G29">
        <v>834</v>
      </c>
      <c r="H29">
        <v>1709</v>
      </c>
      <c r="I29">
        <v>593</v>
      </c>
      <c r="J29">
        <v>791</v>
      </c>
      <c r="K29">
        <v>307</v>
      </c>
      <c r="L29">
        <v>1063</v>
      </c>
      <c r="M29">
        <v>473</v>
      </c>
      <c r="N29">
        <v>209</v>
      </c>
      <c r="O29">
        <v>93</v>
      </c>
      <c r="P29">
        <v>462</v>
      </c>
      <c r="R29">
        <v>28</v>
      </c>
    </row>
    <row r="30" spans="1:18">
      <c r="A30" s="1" t="s">
        <v>39</v>
      </c>
      <c r="B30">
        <v>29</v>
      </c>
      <c r="C30">
        <v>9</v>
      </c>
      <c r="D30">
        <v>20</v>
      </c>
      <c r="E30">
        <v>0.73</v>
      </c>
      <c r="F30">
        <v>1759</v>
      </c>
      <c r="G30">
        <v>587</v>
      </c>
      <c r="H30">
        <v>1508</v>
      </c>
      <c r="I30">
        <v>451</v>
      </c>
      <c r="J30">
        <v>630</v>
      </c>
      <c r="K30">
        <v>335</v>
      </c>
      <c r="L30">
        <v>1019</v>
      </c>
      <c r="M30">
        <v>311</v>
      </c>
      <c r="N30">
        <v>176</v>
      </c>
      <c r="O30">
        <v>100</v>
      </c>
      <c r="P30">
        <v>415</v>
      </c>
      <c r="R30">
        <v>29</v>
      </c>
    </row>
    <row r="31" spans="1:18">
      <c r="A31" s="1" t="s">
        <v>40</v>
      </c>
      <c r="B31">
        <v>30</v>
      </c>
      <c r="C31">
        <v>18</v>
      </c>
      <c r="D31">
        <v>12</v>
      </c>
      <c r="E31">
        <v>5.35</v>
      </c>
      <c r="F31">
        <v>2115</v>
      </c>
      <c r="G31">
        <v>711</v>
      </c>
      <c r="H31">
        <v>1514</v>
      </c>
      <c r="I31">
        <v>523</v>
      </c>
      <c r="J31">
        <v>688</v>
      </c>
      <c r="K31">
        <v>265</v>
      </c>
      <c r="L31">
        <v>1000</v>
      </c>
      <c r="M31">
        <v>420</v>
      </c>
      <c r="N31">
        <v>158</v>
      </c>
      <c r="O31">
        <v>92</v>
      </c>
      <c r="P31">
        <v>412</v>
      </c>
      <c r="R31">
        <v>30</v>
      </c>
    </row>
    <row r="32" spans="1:18">
      <c r="A32" s="1" t="s">
        <v>41</v>
      </c>
      <c r="B32">
        <v>27</v>
      </c>
      <c r="C32">
        <v>17</v>
      </c>
      <c r="D32">
        <v>10</v>
      </c>
      <c r="E32">
        <v>-5.89</v>
      </c>
      <c r="F32">
        <v>2090</v>
      </c>
      <c r="G32">
        <v>716</v>
      </c>
      <c r="H32">
        <v>1568</v>
      </c>
      <c r="I32">
        <v>494</v>
      </c>
      <c r="J32">
        <v>656</v>
      </c>
      <c r="K32">
        <v>305</v>
      </c>
      <c r="L32">
        <v>947</v>
      </c>
      <c r="M32">
        <v>448</v>
      </c>
      <c r="N32">
        <v>245</v>
      </c>
      <c r="O32">
        <v>80</v>
      </c>
      <c r="P32">
        <v>385</v>
      </c>
      <c r="R32">
        <v>31</v>
      </c>
    </row>
    <row r="33" spans="1:18">
      <c r="A33" s="1" t="s">
        <v>42</v>
      </c>
      <c r="B33">
        <v>29</v>
      </c>
      <c r="C33">
        <v>13</v>
      </c>
      <c r="D33">
        <v>16</v>
      </c>
      <c r="E33">
        <v>-7.07</v>
      </c>
      <c r="F33">
        <v>1791</v>
      </c>
      <c r="G33">
        <v>626</v>
      </c>
      <c r="H33">
        <v>1461</v>
      </c>
      <c r="I33">
        <v>382</v>
      </c>
      <c r="J33">
        <v>614</v>
      </c>
      <c r="K33">
        <v>305</v>
      </c>
      <c r="L33">
        <v>959</v>
      </c>
      <c r="M33">
        <v>361</v>
      </c>
      <c r="N33">
        <v>205</v>
      </c>
      <c r="O33">
        <v>84</v>
      </c>
      <c r="P33">
        <v>480</v>
      </c>
      <c r="R33">
        <v>32</v>
      </c>
    </row>
    <row r="34" spans="1:18">
      <c r="A34" s="1" t="s">
        <v>43</v>
      </c>
      <c r="B34">
        <v>30</v>
      </c>
      <c r="C34">
        <v>12</v>
      </c>
      <c r="D34">
        <v>18</v>
      </c>
      <c r="E34">
        <v>-0.48</v>
      </c>
      <c r="F34">
        <v>2018</v>
      </c>
      <c r="G34">
        <v>697</v>
      </c>
      <c r="H34">
        <v>1672</v>
      </c>
      <c r="I34">
        <v>426</v>
      </c>
      <c r="J34">
        <v>652</v>
      </c>
      <c r="K34">
        <v>391</v>
      </c>
      <c r="L34">
        <v>1074</v>
      </c>
      <c r="M34">
        <v>391</v>
      </c>
      <c r="N34">
        <v>191</v>
      </c>
      <c r="O34">
        <v>67</v>
      </c>
      <c r="P34">
        <v>465</v>
      </c>
      <c r="R34">
        <v>33</v>
      </c>
    </row>
    <row r="35" spans="1:18">
      <c r="A35" s="1" t="s">
        <v>304</v>
      </c>
      <c r="B35">
        <v>32</v>
      </c>
      <c r="C35">
        <v>26</v>
      </c>
      <c r="D35">
        <v>6</v>
      </c>
      <c r="E35">
        <v>-0.4</v>
      </c>
      <c r="F35">
        <v>2251</v>
      </c>
      <c r="G35">
        <v>788</v>
      </c>
      <c r="H35">
        <v>1743</v>
      </c>
      <c r="I35">
        <v>395</v>
      </c>
      <c r="J35">
        <v>578</v>
      </c>
      <c r="K35">
        <v>308</v>
      </c>
      <c r="L35">
        <v>983</v>
      </c>
      <c r="M35">
        <v>468</v>
      </c>
      <c r="N35">
        <v>250</v>
      </c>
      <c r="O35">
        <v>74</v>
      </c>
      <c r="P35">
        <v>322</v>
      </c>
      <c r="R35">
        <v>34</v>
      </c>
    </row>
    <row r="36" spans="1:18">
      <c r="A36" s="1" t="s">
        <v>44</v>
      </c>
      <c r="B36">
        <v>27</v>
      </c>
      <c r="C36">
        <v>15</v>
      </c>
      <c r="D36">
        <v>12</v>
      </c>
      <c r="E36">
        <v>-1.48</v>
      </c>
      <c r="F36">
        <v>1870</v>
      </c>
      <c r="G36">
        <v>666</v>
      </c>
      <c r="H36">
        <v>1564</v>
      </c>
      <c r="I36">
        <v>348</v>
      </c>
      <c r="J36">
        <v>512</v>
      </c>
      <c r="K36">
        <v>329</v>
      </c>
      <c r="L36">
        <v>937</v>
      </c>
      <c r="M36">
        <v>368</v>
      </c>
      <c r="N36">
        <v>193</v>
      </c>
      <c r="O36">
        <v>71</v>
      </c>
      <c r="P36">
        <v>376</v>
      </c>
      <c r="R36">
        <v>35</v>
      </c>
    </row>
    <row r="37" spans="1:18">
      <c r="A37" s="1" t="s">
        <v>45</v>
      </c>
      <c r="B37">
        <v>27</v>
      </c>
      <c r="C37">
        <v>5</v>
      </c>
      <c r="D37">
        <v>22</v>
      </c>
      <c r="E37">
        <v>-1.06</v>
      </c>
      <c r="F37">
        <v>1689</v>
      </c>
      <c r="G37">
        <v>579</v>
      </c>
      <c r="H37">
        <v>1448</v>
      </c>
      <c r="I37">
        <v>368</v>
      </c>
      <c r="J37">
        <v>560</v>
      </c>
      <c r="K37">
        <v>306</v>
      </c>
      <c r="L37">
        <v>873</v>
      </c>
      <c r="M37">
        <v>329</v>
      </c>
      <c r="N37">
        <v>160</v>
      </c>
      <c r="O37">
        <v>90</v>
      </c>
      <c r="P37">
        <v>409</v>
      </c>
      <c r="R37">
        <v>36</v>
      </c>
    </row>
    <row r="38" spans="1:18">
      <c r="A38" s="1" t="s">
        <v>46</v>
      </c>
      <c r="B38">
        <v>28</v>
      </c>
      <c r="C38">
        <v>12</v>
      </c>
      <c r="D38">
        <v>16</v>
      </c>
      <c r="E38">
        <v>0.41</v>
      </c>
      <c r="F38">
        <v>1911</v>
      </c>
      <c r="G38">
        <v>661</v>
      </c>
      <c r="H38">
        <v>1589</v>
      </c>
      <c r="I38">
        <v>431</v>
      </c>
      <c r="J38">
        <v>647</v>
      </c>
      <c r="K38">
        <v>372</v>
      </c>
      <c r="L38">
        <v>1006</v>
      </c>
      <c r="M38">
        <v>389</v>
      </c>
      <c r="N38">
        <v>289</v>
      </c>
      <c r="O38">
        <v>58</v>
      </c>
      <c r="P38">
        <v>457</v>
      </c>
      <c r="R38">
        <v>37</v>
      </c>
    </row>
    <row r="39" spans="1:18">
      <c r="A39" s="1" t="s">
        <v>47</v>
      </c>
      <c r="B39">
        <v>32</v>
      </c>
      <c r="C39">
        <v>21</v>
      </c>
      <c r="D39">
        <v>11</v>
      </c>
      <c r="E39">
        <v>-0.19</v>
      </c>
      <c r="F39">
        <v>2220</v>
      </c>
      <c r="G39">
        <v>783</v>
      </c>
      <c r="H39">
        <v>1652</v>
      </c>
      <c r="I39">
        <v>477</v>
      </c>
      <c r="J39">
        <v>698</v>
      </c>
      <c r="K39">
        <v>339</v>
      </c>
      <c r="L39">
        <v>1121</v>
      </c>
      <c r="M39">
        <v>405</v>
      </c>
      <c r="N39">
        <v>206</v>
      </c>
      <c r="O39">
        <v>76</v>
      </c>
      <c r="P39">
        <v>457</v>
      </c>
      <c r="R39">
        <v>38</v>
      </c>
    </row>
    <row r="40" spans="1:18">
      <c r="A40" s="1" t="s">
        <v>305</v>
      </c>
      <c r="B40">
        <v>26</v>
      </c>
      <c r="C40">
        <v>8</v>
      </c>
      <c r="D40">
        <v>18</v>
      </c>
      <c r="E40">
        <v>-0.62</v>
      </c>
      <c r="F40">
        <v>1678</v>
      </c>
      <c r="G40">
        <v>601</v>
      </c>
      <c r="H40">
        <v>1398</v>
      </c>
      <c r="I40">
        <v>323</v>
      </c>
      <c r="J40">
        <v>501</v>
      </c>
      <c r="K40">
        <v>299</v>
      </c>
      <c r="L40">
        <v>918</v>
      </c>
      <c r="M40">
        <v>330</v>
      </c>
      <c r="N40">
        <v>127</v>
      </c>
      <c r="O40">
        <v>116</v>
      </c>
      <c r="P40">
        <v>421</v>
      </c>
      <c r="R40">
        <v>39</v>
      </c>
    </row>
    <row r="41" spans="1:18">
      <c r="A41" s="1" t="s">
        <v>48</v>
      </c>
      <c r="B41">
        <v>31</v>
      </c>
      <c r="C41">
        <v>20</v>
      </c>
      <c r="D41">
        <v>11</v>
      </c>
      <c r="E41">
        <v>-0.05</v>
      </c>
      <c r="F41">
        <v>2066</v>
      </c>
      <c r="G41">
        <v>693</v>
      </c>
      <c r="H41">
        <v>1544</v>
      </c>
      <c r="I41">
        <v>479</v>
      </c>
      <c r="J41">
        <v>634</v>
      </c>
      <c r="K41">
        <v>301</v>
      </c>
      <c r="L41">
        <v>1078</v>
      </c>
      <c r="M41">
        <v>454</v>
      </c>
      <c r="N41">
        <v>171</v>
      </c>
      <c r="O41">
        <v>87</v>
      </c>
      <c r="P41">
        <v>423</v>
      </c>
      <c r="R41">
        <v>40</v>
      </c>
    </row>
    <row r="42" spans="1:18">
      <c r="A42" s="1" t="s">
        <v>49</v>
      </c>
      <c r="B42">
        <v>32</v>
      </c>
      <c r="C42">
        <v>23</v>
      </c>
      <c r="D42">
        <v>9</v>
      </c>
      <c r="E42">
        <v>7.45</v>
      </c>
      <c r="F42">
        <v>2310</v>
      </c>
      <c r="G42">
        <v>835</v>
      </c>
      <c r="H42">
        <v>1849</v>
      </c>
      <c r="I42">
        <v>453</v>
      </c>
      <c r="J42">
        <v>669</v>
      </c>
      <c r="K42">
        <v>365</v>
      </c>
      <c r="L42">
        <v>1087</v>
      </c>
      <c r="M42">
        <v>487</v>
      </c>
      <c r="N42">
        <v>254</v>
      </c>
      <c r="O42">
        <v>132</v>
      </c>
      <c r="P42">
        <v>423</v>
      </c>
      <c r="R42">
        <v>41</v>
      </c>
    </row>
    <row r="43" spans="1:18">
      <c r="A43" s="1" t="s">
        <v>50</v>
      </c>
      <c r="B43">
        <v>27</v>
      </c>
      <c r="C43">
        <v>8</v>
      </c>
      <c r="D43">
        <v>19</v>
      </c>
      <c r="E43">
        <v>-5.2</v>
      </c>
      <c r="F43">
        <v>1909</v>
      </c>
      <c r="G43">
        <v>680</v>
      </c>
      <c r="H43">
        <v>1542</v>
      </c>
      <c r="I43">
        <v>380</v>
      </c>
      <c r="J43">
        <v>541</v>
      </c>
      <c r="K43">
        <v>316</v>
      </c>
      <c r="L43">
        <v>897</v>
      </c>
      <c r="M43">
        <v>376</v>
      </c>
      <c r="N43">
        <v>148</v>
      </c>
      <c r="O43">
        <v>73</v>
      </c>
      <c r="P43">
        <v>404</v>
      </c>
      <c r="R43">
        <v>42</v>
      </c>
    </row>
    <row r="44" spans="1:18">
      <c r="A44" s="1" t="s">
        <v>51</v>
      </c>
      <c r="B44">
        <v>30</v>
      </c>
      <c r="C44">
        <v>10</v>
      </c>
      <c r="D44">
        <v>20</v>
      </c>
      <c r="E44">
        <v>-4.83</v>
      </c>
      <c r="F44">
        <v>1965</v>
      </c>
      <c r="G44">
        <v>691</v>
      </c>
      <c r="H44">
        <v>1806</v>
      </c>
      <c r="I44">
        <v>379</v>
      </c>
      <c r="J44">
        <v>552</v>
      </c>
      <c r="K44">
        <v>392</v>
      </c>
      <c r="L44">
        <v>1079</v>
      </c>
      <c r="M44">
        <v>395</v>
      </c>
      <c r="N44">
        <v>226</v>
      </c>
      <c r="O44">
        <v>93</v>
      </c>
      <c r="P44">
        <v>387</v>
      </c>
      <c r="R44">
        <v>43</v>
      </c>
    </row>
    <row r="45" spans="1:18">
      <c r="A45" s="1" t="s">
        <v>52</v>
      </c>
      <c r="B45">
        <v>27</v>
      </c>
      <c r="C45">
        <v>14</v>
      </c>
      <c r="D45">
        <v>13</v>
      </c>
      <c r="E45">
        <v>-1.48</v>
      </c>
      <c r="F45">
        <v>1947</v>
      </c>
      <c r="G45">
        <v>684</v>
      </c>
      <c r="H45">
        <v>1526</v>
      </c>
      <c r="I45">
        <v>410</v>
      </c>
      <c r="J45">
        <v>600</v>
      </c>
      <c r="L45">
        <v>896</v>
      </c>
      <c r="M45">
        <v>349</v>
      </c>
      <c r="N45">
        <v>214</v>
      </c>
      <c r="O45">
        <v>70</v>
      </c>
      <c r="P45">
        <v>392</v>
      </c>
      <c r="R45">
        <v>44</v>
      </c>
    </row>
    <row r="46" spans="1:18">
      <c r="A46" s="1" t="s">
        <v>274</v>
      </c>
      <c r="B46">
        <v>32</v>
      </c>
      <c r="C46">
        <v>27</v>
      </c>
      <c r="D46">
        <v>5</v>
      </c>
      <c r="E46">
        <v>-9.2899999999999991</v>
      </c>
      <c r="F46">
        <v>2280</v>
      </c>
      <c r="G46">
        <v>814</v>
      </c>
      <c r="H46">
        <v>1777</v>
      </c>
      <c r="I46">
        <v>513</v>
      </c>
      <c r="J46">
        <v>697</v>
      </c>
      <c r="K46">
        <v>418</v>
      </c>
      <c r="L46">
        <v>1247</v>
      </c>
      <c r="M46">
        <v>426</v>
      </c>
      <c r="N46">
        <v>215</v>
      </c>
      <c r="O46">
        <v>107</v>
      </c>
      <c r="P46">
        <v>480</v>
      </c>
      <c r="R46">
        <v>45</v>
      </c>
    </row>
    <row r="47" spans="1:18">
      <c r="A47" s="1" t="s">
        <v>53</v>
      </c>
      <c r="B47">
        <v>29</v>
      </c>
      <c r="C47">
        <v>17</v>
      </c>
      <c r="D47">
        <v>12</v>
      </c>
      <c r="E47">
        <v>-6.38</v>
      </c>
      <c r="F47">
        <v>2249</v>
      </c>
      <c r="G47">
        <v>817</v>
      </c>
      <c r="H47">
        <v>1739</v>
      </c>
      <c r="I47">
        <v>415</v>
      </c>
      <c r="J47">
        <v>587</v>
      </c>
      <c r="K47">
        <v>346</v>
      </c>
      <c r="L47">
        <v>1068</v>
      </c>
      <c r="M47">
        <v>429</v>
      </c>
      <c r="N47">
        <v>248</v>
      </c>
      <c r="O47">
        <v>105</v>
      </c>
      <c r="P47">
        <v>443</v>
      </c>
      <c r="R47">
        <v>46</v>
      </c>
    </row>
    <row r="48" spans="1:18">
      <c r="A48" s="1" t="s">
        <v>54</v>
      </c>
      <c r="B48">
        <v>28</v>
      </c>
      <c r="C48">
        <v>9</v>
      </c>
      <c r="D48">
        <v>19</v>
      </c>
      <c r="E48">
        <v>1.33</v>
      </c>
      <c r="F48">
        <v>1960</v>
      </c>
      <c r="G48">
        <v>677</v>
      </c>
      <c r="H48">
        <v>1475</v>
      </c>
      <c r="I48">
        <v>484</v>
      </c>
      <c r="J48">
        <v>699</v>
      </c>
      <c r="K48">
        <v>308</v>
      </c>
      <c r="L48">
        <v>940</v>
      </c>
      <c r="M48">
        <v>334</v>
      </c>
      <c r="N48">
        <v>197</v>
      </c>
      <c r="O48">
        <v>65</v>
      </c>
      <c r="P48">
        <v>443</v>
      </c>
      <c r="R48">
        <v>47</v>
      </c>
    </row>
    <row r="49" spans="1:18">
      <c r="A49" s="1" t="s">
        <v>55</v>
      </c>
      <c r="B49">
        <v>29</v>
      </c>
      <c r="C49">
        <v>12</v>
      </c>
      <c r="D49">
        <v>17</v>
      </c>
      <c r="E49">
        <v>-6.23</v>
      </c>
      <c r="F49">
        <v>1823</v>
      </c>
      <c r="G49">
        <v>651</v>
      </c>
      <c r="H49">
        <v>1513</v>
      </c>
      <c r="I49">
        <v>385</v>
      </c>
      <c r="J49">
        <v>574</v>
      </c>
      <c r="K49">
        <v>310</v>
      </c>
      <c r="L49">
        <v>1003</v>
      </c>
      <c r="M49">
        <v>335</v>
      </c>
      <c r="N49">
        <v>242</v>
      </c>
      <c r="O49">
        <v>84</v>
      </c>
      <c r="P49">
        <v>533</v>
      </c>
      <c r="R49">
        <v>48</v>
      </c>
    </row>
    <row r="50" spans="1:18">
      <c r="A50" s="1" t="s">
        <v>56</v>
      </c>
      <c r="B50">
        <v>30</v>
      </c>
      <c r="C50">
        <v>18</v>
      </c>
      <c r="D50">
        <v>12</v>
      </c>
      <c r="E50">
        <v>8.68</v>
      </c>
      <c r="F50">
        <v>2205</v>
      </c>
      <c r="G50">
        <v>761</v>
      </c>
      <c r="H50">
        <v>1730</v>
      </c>
      <c r="I50">
        <v>436</v>
      </c>
      <c r="J50">
        <v>616</v>
      </c>
      <c r="K50">
        <v>377</v>
      </c>
      <c r="L50">
        <v>1136</v>
      </c>
      <c r="M50">
        <v>416</v>
      </c>
      <c r="N50">
        <v>203</v>
      </c>
      <c r="O50">
        <v>72</v>
      </c>
      <c r="P50">
        <v>408</v>
      </c>
      <c r="R50">
        <v>49</v>
      </c>
    </row>
    <row r="51" spans="1:18">
      <c r="A51" s="1" t="s">
        <v>57</v>
      </c>
      <c r="B51">
        <v>30</v>
      </c>
      <c r="C51">
        <v>16</v>
      </c>
      <c r="D51">
        <v>14</v>
      </c>
      <c r="E51">
        <v>0.56000000000000005</v>
      </c>
      <c r="F51">
        <v>2195</v>
      </c>
      <c r="G51">
        <v>792</v>
      </c>
      <c r="H51">
        <v>1798</v>
      </c>
      <c r="I51">
        <v>436</v>
      </c>
      <c r="J51">
        <v>606</v>
      </c>
      <c r="K51">
        <v>419</v>
      </c>
      <c r="L51">
        <v>1185</v>
      </c>
      <c r="M51">
        <v>382</v>
      </c>
      <c r="N51">
        <v>211</v>
      </c>
      <c r="O51">
        <v>175</v>
      </c>
      <c r="P51">
        <v>465</v>
      </c>
      <c r="R51">
        <v>50</v>
      </c>
    </row>
    <row r="52" spans="1:18">
      <c r="A52" s="1" t="s">
        <v>58</v>
      </c>
      <c r="B52">
        <v>28</v>
      </c>
      <c r="C52">
        <v>2</v>
      </c>
      <c r="D52">
        <v>26</v>
      </c>
      <c r="E52">
        <v>0.51</v>
      </c>
      <c r="F52">
        <v>1766</v>
      </c>
      <c r="G52">
        <v>648</v>
      </c>
      <c r="H52">
        <v>1620</v>
      </c>
      <c r="I52">
        <v>352</v>
      </c>
      <c r="J52">
        <v>571</v>
      </c>
      <c r="K52">
        <v>397</v>
      </c>
      <c r="L52">
        <v>1003</v>
      </c>
      <c r="M52">
        <v>410</v>
      </c>
      <c r="N52">
        <v>184</v>
      </c>
      <c r="O52">
        <v>57</v>
      </c>
      <c r="P52">
        <v>520</v>
      </c>
      <c r="R52">
        <v>51</v>
      </c>
    </row>
    <row r="53" spans="1:18">
      <c r="A53" s="1" t="s">
        <v>335</v>
      </c>
      <c r="B53">
        <v>35</v>
      </c>
      <c r="C53">
        <v>31</v>
      </c>
      <c r="D53">
        <v>4</v>
      </c>
      <c r="E53">
        <v>6.58</v>
      </c>
      <c r="F53">
        <v>2738</v>
      </c>
      <c r="G53">
        <v>967</v>
      </c>
      <c r="H53">
        <v>2071</v>
      </c>
      <c r="I53">
        <v>595</v>
      </c>
      <c r="J53">
        <v>839</v>
      </c>
      <c r="K53">
        <v>462</v>
      </c>
      <c r="L53">
        <v>1396</v>
      </c>
      <c r="M53">
        <v>480</v>
      </c>
      <c r="N53">
        <v>167</v>
      </c>
      <c r="O53">
        <v>154</v>
      </c>
      <c r="P53">
        <v>416</v>
      </c>
      <c r="R53">
        <v>52</v>
      </c>
    </row>
    <row r="54" spans="1:18">
      <c r="A54" s="1" t="s">
        <v>59</v>
      </c>
      <c r="B54">
        <v>29</v>
      </c>
      <c r="C54">
        <v>17</v>
      </c>
      <c r="D54">
        <v>12</v>
      </c>
      <c r="E54">
        <v>-2.25</v>
      </c>
      <c r="F54">
        <v>2115</v>
      </c>
      <c r="G54">
        <v>694</v>
      </c>
      <c r="H54">
        <v>1673</v>
      </c>
      <c r="I54">
        <v>519</v>
      </c>
      <c r="J54">
        <v>731</v>
      </c>
      <c r="K54">
        <v>397</v>
      </c>
      <c r="L54">
        <v>1126</v>
      </c>
      <c r="M54">
        <v>363</v>
      </c>
      <c r="N54">
        <v>212</v>
      </c>
      <c r="O54">
        <v>88</v>
      </c>
      <c r="P54">
        <v>440</v>
      </c>
      <c r="R54">
        <v>53</v>
      </c>
    </row>
    <row r="55" spans="1:18">
      <c r="A55" s="1" t="s">
        <v>60</v>
      </c>
      <c r="B55">
        <v>30</v>
      </c>
      <c r="C55">
        <v>13</v>
      </c>
      <c r="D55">
        <v>17</v>
      </c>
      <c r="E55">
        <v>5.16</v>
      </c>
      <c r="F55">
        <v>2257</v>
      </c>
      <c r="G55">
        <v>823</v>
      </c>
      <c r="H55">
        <v>1876</v>
      </c>
      <c r="I55">
        <v>429</v>
      </c>
      <c r="J55">
        <v>685</v>
      </c>
      <c r="K55">
        <v>462</v>
      </c>
      <c r="L55">
        <v>1246</v>
      </c>
      <c r="M55">
        <v>440</v>
      </c>
      <c r="N55">
        <v>220</v>
      </c>
      <c r="O55">
        <v>105</v>
      </c>
      <c r="P55">
        <v>466</v>
      </c>
      <c r="R55">
        <v>54</v>
      </c>
    </row>
    <row r="56" spans="1:18">
      <c r="A56" s="1" t="s">
        <v>61</v>
      </c>
      <c r="B56">
        <v>28</v>
      </c>
      <c r="C56">
        <v>12</v>
      </c>
      <c r="D56">
        <v>16</v>
      </c>
      <c r="E56">
        <v>-1.47</v>
      </c>
      <c r="F56">
        <v>1882</v>
      </c>
      <c r="G56">
        <v>673</v>
      </c>
      <c r="H56">
        <v>1513</v>
      </c>
      <c r="I56">
        <v>386</v>
      </c>
      <c r="J56">
        <v>603</v>
      </c>
      <c r="K56">
        <v>323</v>
      </c>
      <c r="L56">
        <v>993</v>
      </c>
      <c r="M56">
        <v>325</v>
      </c>
      <c r="N56">
        <v>222</v>
      </c>
      <c r="O56">
        <v>125</v>
      </c>
      <c r="P56">
        <v>460</v>
      </c>
      <c r="R56">
        <v>55</v>
      </c>
    </row>
    <row r="57" spans="1:18">
      <c r="A57" s="1" t="s">
        <v>62</v>
      </c>
      <c r="B57">
        <v>28</v>
      </c>
      <c r="C57">
        <v>8</v>
      </c>
      <c r="D57">
        <v>20</v>
      </c>
      <c r="E57">
        <v>-6.92</v>
      </c>
      <c r="F57">
        <v>1947</v>
      </c>
      <c r="G57">
        <v>633</v>
      </c>
      <c r="H57">
        <v>1589</v>
      </c>
      <c r="I57">
        <v>493</v>
      </c>
      <c r="J57">
        <v>712</v>
      </c>
      <c r="K57">
        <v>355</v>
      </c>
      <c r="L57">
        <v>942</v>
      </c>
      <c r="M57">
        <v>348</v>
      </c>
      <c r="N57">
        <v>238</v>
      </c>
      <c r="O57">
        <v>42</v>
      </c>
      <c r="P57">
        <v>490</v>
      </c>
      <c r="R57">
        <v>56</v>
      </c>
    </row>
    <row r="58" spans="1:18">
      <c r="A58" s="1" t="s">
        <v>63</v>
      </c>
      <c r="B58">
        <v>28</v>
      </c>
      <c r="C58">
        <v>17</v>
      </c>
      <c r="D58">
        <v>11</v>
      </c>
      <c r="E58">
        <v>-7.15</v>
      </c>
      <c r="F58">
        <v>2037</v>
      </c>
      <c r="G58">
        <v>718</v>
      </c>
      <c r="H58">
        <v>1582</v>
      </c>
      <c r="I58">
        <v>458</v>
      </c>
      <c r="J58">
        <v>655</v>
      </c>
      <c r="K58">
        <v>305</v>
      </c>
      <c r="L58">
        <v>951</v>
      </c>
      <c r="M58">
        <v>392</v>
      </c>
      <c r="N58">
        <v>210</v>
      </c>
      <c r="O58">
        <v>62</v>
      </c>
      <c r="P58">
        <v>370</v>
      </c>
      <c r="R58">
        <v>57</v>
      </c>
    </row>
    <row r="59" spans="1:18">
      <c r="A59" s="1" t="s">
        <v>64</v>
      </c>
      <c r="B59">
        <v>30</v>
      </c>
      <c r="C59">
        <v>21</v>
      </c>
      <c r="D59">
        <v>9</v>
      </c>
      <c r="E59">
        <v>-3.13</v>
      </c>
      <c r="F59">
        <v>2082</v>
      </c>
      <c r="G59">
        <v>730</v>
      </c>
      <c r="H59">
        <v>1680</v>
      </c>
      <c r="I59">
        <v>453</v>
      </c>
      <c r="J59">
        <v>633</v>
      </c>
      <c r="K59">
        <v>391</v>
      </c>
      <c r="L59">
        <v>1181</v>
      </c>
      <c r="M59">
        <v>379</v>
      </c>
      <c r="N59">
        <v>213</v>
      </c>
      <c r="O59">
        <v>146</v>
      </c>
      <c r="P59">
        <v>399</v>
      </c>
      <c r="R59">
        <v>58</v>
      </c>
    </row>
    <row r="60" spans="1:18">
      <c r="A60" s="1" t="s">
        <v>65</v>
      </c>
      <c r="B60">
        <v>30</v>
      </c>
      <c r="C60">
        <v>12</v>
      </c>
      <c r="D60">
        <v>18</v>
      </c>
      <c r="E60">
        <v>4.28</v>
      </c>
      <c r="F60">
        <v>2064</v>
      </c>
      <c r="G60">
        <v>731</v>
      </c>
      <c r="H60">
        <v>1533</v>
      </c>
      <c r="I60">
        <v>462</v>
      </c>
      <c r="J60">
        <v>684</v>
      </c>
      <c r="K60">
        <v>327</v>
      </c>
      <c r="L60">
        <v>1058</v>
      </c>
      <c r="M60">
        <v>455</v>
      </c>
      <c r="N60">
        <v>185</v>
      </c>
      <c r="O60">
        <v>99</v>
      </c>
      <c r="P60">
        <v>524</v>
      </c>
      <c r="Q60">
        <v>712</v>
      </c>
      <c r="R60">
        <v>59</v>
      </c>
    </row>
    <row r="61" spans="1:18">
      <c r="A61" s="1" t="s">
        <v>66</v>
      </c>
      <c r="B61">
        <v>29</v>
      </c>
      <c r="C61">
        <v>15</v>
      </c>
      <c r="D61">
        <v>14</v>
      </c>
      <c r="E61">
        <v>4.99</v>
      </c>
      <c r="F61">
        <v>2312</v>
      </c>
      <c r="G61">
        <v>834</v>
      </c>
      <c r="H61">
        <v>1842</v>
      </c>
      <c r="I61">
        <v>452</v>
      </c>
      <c r="J61">
        <v>668</v>
      </c>
      <c r="K61">
        <v>434</v>
      </c>
      <c r="L61">
        <v>1249</v>
      </c>
      <c r="M61">
        <v>508</v>
      </c>
      <c r="N61">
        <v>178</v>
      </c>
      <c r="O61">
        <v>137</v>
      </c>
      <c r="P61">
        <v>425</v>
      </c>
      <c r="R61">
        <v>60</v>
      </c>
    </row>
    <row r="62" spans="1:18">
      <c r="A62" s="1" t="s">
        <v>67</v>
      </c>
      <c r="B62">
        <v>28</v>
      </c>
      <c r="C62">
        <v>11</v>
      </c>
      <c r="D62">
        <v>17</v>
      </c>
      <c r="E62">
        <v>-3.72</v>
      </c>
      <c r="F62">
        <v>1543</v>
      </c>
      <c r="G62">
        <v>508</v>
      </c>
      <c r="H62">
        <v>1219</v>
      </c>
      <c r="I62">
        <v>346</v>
      </c>
      <c r="J62">
        <v>499</v>
      </c>
      <c r="K62">
        <v>207</v>
      </c>
      <c r="L62">
        <v>873</v>
      </c>
      <c r="M62">
        <v>331</v>
      </c>
      <c r="N62">
        <v>130</v>
      </c>
      <c r="O62">
        <v>124</v>
      </c>
      <c r="P62">
        <v>466</v>
      </c>
      <c r="R62">
        <v>61</v>
      </c>
    </row>
    <row r="63" spans="1:18">
      <c r="A63" s="1" t="s">
        <v>275</v>
      </c>
      <c r="B63">
        <v>34</v>
      </c>
      <c r="C63">
        <v>27</v>
      </c>
      <c r="D63">
        <v>7</v>
      </c>
      <c r="E63">
        <v>7.43</v>
      </c>
      <c r="F63">
        <v>2646</v>
      </c>
      <c r="G63">
        <v>972</v>
      </c>
      <c r="H63">
        <v>2012</v>
      </c>
      <c r="I63">
        <v>548</v>
      </c>
      <c r="J63">
        <v>787</v>
      </c>
      <c r="K63">
        <v>464</v>
      </c>
      <c r="L63">
        <v>1381</v>
      </c>
      <c r="M63">
        <v>494</v>
      </c>
      <c r="N63">
        <v>256</v>
      </c>
      <c r="O63">
        <v>236</v>
      </c>
      <c r="P63">
        <v>545</v>
      </c>
      <c r="R63">
        <v>62</v>
      </c>
    </row>
    <row r="64" spans="1:18">
      <c r="A64" s="1" t="s">
        <v>68</v>
      </c>
      <c r="B64">
        <v>31</v>
      </c>
      <c r="C64">
        <v>6</v>
      </c>
      <c r="D64">
        <v>25</v>
      </c>
      <c r="E64">
        <v>-7.83</v>
      </c>
      <c r="F64">
        <v>1803</v>
      </c>
      <c r="G64">
        <v>640</v>
      </c>
      <c r="H64">
        <v>1695</v>
      </c>
      <c r="I64">
        <v>398</v>
      </c>
      <c r="J64">
        <v>559</v>
      </c>
      <c r="K64">
        <v>399</v>
      </c>
      <c r="L64">
        <v>1102</v>
      </c>
      <c r="M64">
        <v>274</v>
      </c>
      <c r="N64">
        <v>202</v>
      </c>
      <c r="O64">
        <v>96</v>
      </c>
      <c r="P64">
        <v>505</v>
      </c>
      <c r="R64">
        <v>63</v>
      </c>
    </row>
    <row r="65" spans="1:18">
      <c r="A65" s="1" t="s">
        <v>69</v>
      </c>
      <c r="B65">
        <v>27</v>
      </c>
      <c r="C65">
        <v>5</v>
      </c>
      <c r="D65">
        <v>22</v>
      </c>
      <c r="E65">
        <v>-2.58</v>
      </c>
      <c r="F65">
        <v>1558</v>
      </c>
      <c r="G65">
        <v>549</v>
      </c>
      <c r="H65">
        <v>1446</v>
      </c>
      <c r="I65">
        <v>260</v>
      </c>
      <c r="J65">
        <v>375</v>
      </c>
      <c r="K65">
        <v>257</v>
      </c>
      <c r="L65">
        <v>884</v>
      </c>
      <c r="M65">
        <v>344</v>
      </c>
      <c r="N65">
        <v>190</v>
      </c>
      <c r="O65">
        <v>67</v>
      </c>
      <c r="P65">
        <v>395</v>
      </c>
      <c r="R65">
        <v>64</v>
      </c>
    </row>
    <row r="66" spans="1:18">
      <c r="A66" s="1" t="s">
        <v>326</v>
      </c>
      <c r="B66">
        <v>32</v>
      </c>
      <c r="C66">
        <v>23</v>
      </c>
      <c r="D66">
        <v>9</v>
      </c>
      <c r="E66">
        <v>1.38</v>
      </c>
      <c r="F66">
        <v>2421</v>
      </c>
      <c r="G66">
        <v>849</v>
      </c>
      <c r="H66">
        <v>1829</v>
      </c>
      <c r="I66">
        <v>493</v>
      </c>
      <c r="J66">
        <v>675</v>
      </c>
      <c r="K66">
        <v>384</v>
      </c>
      <c r="L66">
        <v>1142</v>
      </c>
      <c r="M66">
        <v>488</v>
      </c>
      <c r="N66">
        <v>261</v>
      </c>
      <c r="O66">
        <v>125</v>
      </c>
      <c r="P66">
        <v>458</v>
      </c>
      <c r="R66">
        <v>65</v>
      </c>
    </row>
    <row r="67" spans="1:18">
      <c r="A67" s="1" t="s">
        <v>70</v>
      </c>
      <c r="B67">
        <v>27</v>
      </c>
      <c r="C67">
        <v>9</v>
      </c>
      <c r="D67">
        <v>18</v>
      </c>
      <c r="E67">
        <v>-5.71</v>
      </c>
      <c r="F67">
        <v>1698</v>
      </c>
      <c r="G67">
        <v>582</v>
      </c>
      <c r="H67">
        <v>1359</v>
      </c>
      <c r="I67">
        <v>271</v>
      </c>
      <c r="J67">
        <v>391</v>
      </c>
      <c r="K67">
        <v>194</v>
      </c>
      <c r="L67">
        <v>736</v>
      </c>
      <c r="M67">
        <v>362</v>
      </c>
      <c r="N67">
        <v>154</v>
      </c>
      <c r="O67">
        <v>64</v>
      </c>
      <c r="P67">
        <v>344</v>
      </c>
      <c r="R67">
        <v>66</v>
      </c>
    </row>
    <row r="68" spans="1:18">
      <c r="A68" s="1" t="s">
        <v>71</v>
      </c>
      <c r="B68">
        <v>31</v>
      </c>
      <c r="C68">
        <v>21</v>
      </c>
      <c r="D68">
        <v>10</v>
      </c>
      <c r="E68">
        <v>0.71</v>
      </c>
      <c r="F68">
        <v>2192</v>
      </c>
      <c r="G68">
        <v>776</v>
      </c>
      <c r="H68">
        <v>1778</v>
      </c>
      <c r="I68">
        <v>391</v>
      </c>
      <c r="J68">
        <v>574</v>
      </c>
      <c r="K68">
        <v>369</v>
      </c>
      <c r="L68">
        <v>1193</v>
      </c>
      <c r="M68">
        <v>484</v>
      </c>
      <c r="N68">
        <v>210</v>
      </c>
      <c r="O68">
        <v>116</v>
      </c>
      <c r="P68">
        <v>486</v>
      </c>
      <c r="R68">
        <v>67</v>
      </c>
    </row>
    <row r="69" spans="1:18">
      <c r="A69" s="1" t="s">
        <v>276</v>
      </c>
      <c r="B69">
        <v>32</v>
      </c>
      <c r="C69">
        <v>21</v>
      </c>
      <c r="D69">
        <v>11</v>
      </c>
      <c r="E69">
        <v>3.38</v>
      </c>
      <c r="F69">
        <v>2339</v>
      </c>
      <c r="G69">
        <v>814</v>
      </c>
      <c r="H69">
        <v>1816</v>
      </c>
      <c r="I69">
        <v>487</v>
      </c>
      <c r="J69">
        <v>715</v>
      </c>
      <c r="K69">
        <v>449</v>
      </c>
      <c r="L69">
        <v>1278</v>
      </c>
      <c r="M69">
        <v>546</v>
      </c>
      <c r="N69">
        <v>185</v>
      </c>
      <c r="O69">
        <v>106</v>
      </c>
      <c r="P69">
        <v>433</v>
      </c>
      <c r="R69">
        <v>68</v>
      </c>
    </row>
    <row r="70" spans="1:18">
      <c r="A70" s="1" t="s">
        <v>72</v>
      </c>
      <c r="B70">
        <v>29</v>
      </c>
      <c r="C70">
        <v>16</v>
      </c>
      <c r="D70">
        <v>13</v>
      </c>
      <c r="E70">
        <v>-10.54</v>
      </c>
      <c r="F70">
        <v>1880</v>
      </c>
      <c r="G70">
        <v>644</v>
      </c>
      <c r="H70">
        <v>1577</v>
      </c>
      <c r="I70">
        <v>371</v>
      </c>
      <c r="J70">
        <v>503</v>
      </c>
      <c r="K70">
        <v>309</v>
      </c>
      <c r="L70">
        <v>907</v>
      </c>
      <c r="M70">
        <v>395</v>
      </c>
      <c r="N70">
        <v>181</v>
      </c>
      <c r="O70">
        <v>64</v>
      </c>
      <c r="P70">
        <v>372</v>
      </c>
      <c r="R70">
        <v>69</v>
      </c>
    </row>
    <row r="71" spans="1:18">
      <c r="A71" s="1" t="s">
        <v>73</v>
      </c>
      <c r="B71">
        <v>30</v>
      </c>
      <c r="C71">
        <v>14</v>
      </c>
      <c r="D71">
        <v>16</v>
      </c>
      <c r="E71">
        <v>-1.4</v>
      </c>
      <c r="F71">
        <v>2002</v>
      </c>
      <c r="G71">
        <v>705</v>
      </c>
      <c r="H71">
        <v>1715</v>
      </c>
      <c r="I71">
        <v>378</v>
      </c>
      <c r="J71">
        <v>521</v>
      </c>
      <c r="K71">
        <v>358</v>
      </c>
      <c r="L71">
        <v>1096</v>
      </c>
      <c r="M71">
        <v>403</v>
      </c>
      <c r="N71">
        <v>214</v>
      </c>
      <c r="O71">
        <v>80</v>
      </c>
      <c r="P71">
        <v>401</v>
      </c>
      <c r="R71">
        <v>70</v>
      </c>
    </row>
    <row r="72" spans="1:18">
      <c r="A72" s="1" t="s">
        <v>74</v>
      </c>
      <c r="B72">
        <v>28</v>
      </c>
      <c r="C72">
        <v>8</v>
      </c>
      <c r="D72">
        <v>20</v>
      </c>
      <c r="E72">
        <v>-1.6</v>
      </c>
      <c r="F72">
        <v>1820</v>
      </c>
      <c r="G72">
        <v>681</v>
      </c>
      <c r="H72">
        <v>1561</v>
      </c>
      <c r="I72">
        <v>296</v>
      </c>
      <c r="J72">
        <v>423</v>
      </c>
      <c r="K72">
        <v>239</v>
      </c>
      <c r="L72">
        <v>864</v>
      </c>
      <c r="M72">
        <v>374</v>
      </c>
      <c r="N72">
        <v>177</v>
      </c>
      <c r="O72">
        <v>46</v>
      </c>
      <c r="P72">
        <v>349</v>
      </c>
      <c r="R72">
        <v>71</v>
      </c>
    </row>
    <row r="73" spans="1:18">
      <c r="A73" s="1" t="s">
        <v>277</v>
      </c>
      <c r="B73">
        <v>28</v>
      </c>
      <c r="C73">
        <v>9</v>
      </c>
      <c r="D73">
        <v>19</v>
      </c>
      <c r="E73">
        <v>6.21</v>
      </c>
      <c r="F73">
        <v>1981</v>
      </c>
      <c r="G73">
        <v>708</v>
      </c>
      <c r="H73">
        <v>1715</v>
      </c>
      <c r="I73">
        <v>400</v>
      </c>
      <c r="J73">
        <v>610</v>
      </c>
      <c r="K73">
        <v>407</v>
      </c>
      <c r="L73">
        <v>1121</v>
      </c>
      <c r="M73">
        <v>463</v>
      </c>
      <c r="N73">
        <v>198</v>
      </c>
      <c r="O73">
        <v>71</v>
      </c>
      <c r="P73">
        <v>472</v>
      </c>
      <c r="R73">
        <v>72</v>
      </c>
    </row>
    <row r="74" spans="1:18">
      <c r="A74" s="1" t="s">
        <v>75</v>
      </c>
      <c r="B74">
        <v>31</v>
      </c>
      <c r="C74">
        <v>18</v>
      </c>
      <c r="D74">
        <v>13</v>
      </c>
      <c r="E74">
        <v>1.04</v>
      </c>
      <c r="F74">
        <v>2037</v>
      </c>
      <c r="G74">
        <v>756</v>
      </c>
      <c r="H74">
        <v>1765</v>
      </c>
      <c r="I74">
        <v>358</v>
      </c>
      <c r="J74">
        <v>568</v>
      </c>
      <c r="K74">
        <v>383</v>
      </c>
      <c r="L74">
        <v>1156</v>
      </c>
      <c r="M74">
        <v>385</v>
      </c>
      <c r="N74">
        <v>162</v>
      </c>
      <c r="O74">
        <v>106</v>
      </c>
      <c r="P74">
        <v>364</v>
      </c>
      <c r="R74">
        <v>73</v>
      </c>
    </row>
    <row r="75" spans="1:18">
      <c r="A75" s="1" t="s">
        <v>76</v>
      </c>
      <c r="B75">
        <v>29</v>
      </c>
      <c r="C75">
        <v>14</v>
      </c>
      <c r="D75">
        <v>15</v>
      </c>
      <c r="E75">
        <v>-0.54</v>
      </c>
      <c r="F75">
        <v>2007</v>
      </c>
      <c r="G75">
        <v>669</v>
      </c>
      <c r="H75">
        <v>1499</v>
      </c>
      <c r="I75">
        <v>437</v>
      </c>
      <c r="J75">
        <v>606</v>
      </c>
      <c r="K75">
        <v>261</v>
      </c>
      <c r="L75">
        <v>923</v>
      </c>
      <c r="M75">
        <v>399</v>
      </c>
      <c r="N75">
        <v>144</v>
      </c>
      <c r="O75">
        <v>37</v>
      </c>
      <c r="P75">
        <v>389</v>
      </c>
      <c r="R75">
        <v>74</v>
      </c>
    </row>
    <row r="76" spans="1:18">
      <c r="A76" s="1" t="s">
        <v>77</v>
      </c>
      <c r="B76">
        <v>28</v>
      </c>
      <c r="C76">
        <v>14</v>
      </c>
      <c r="D76">
        <v>14</v>
      </c>
      <c r="E76">
        <v>-2.41</v>
      </c>
      <c r="F76">
        <v>2040</v>
      </c>
      <c r="G76">
        <v>706</v>
      </c>
      <c r="H76">
        <v>1721</v>
      </c>
      <c r="I76">
        <v>440</v>
      </c>
      <c r="J76">
        <v>648</v>
      </c>
      <c r="K76">
        <v>403</v>
      </c>
      <c r="L76">
        <v>1103</v>
      </c>
      <c r="M76">
        <v>440</v>
      </c>
      <c r="N76">
        <v>182</v>
      </c>
      <c r="O76">
        <v>135</v>
      </c>
      <c r="P76">
        <v>363</v>
      </c>
      <c r="R76">
        <v>75</v>
      </c>
    </row>
    <row r="77" spans="1:18">
      <c r="A77" s="1" t="s">
        <v>373</v>
      </c>
      <c r="B77">
        <v>35</v>
      </c>
      <c r="C77">
        <v>31</v>
      </c>
      <c r="D77">
        <v>4</v>
      </c>
      <c r="E77">
        <v>9.16</v>
      </c>
      <c r="F77">
        <v>3112</v>
      </c>
      <c r="G77">
        <v>1093</v>
      </c>
      <c r="H77">
        <v>2209</v>
      </c>
      <c r="I77">
        <v>625</v>
      </c>
      <c r="J77">
        <v>906</v>
      </c>
      <c r="K77">
        <v>428</v>
      </c>
      <c r="L77">
        <v>1303</v>
      </c>
      <c r="M77">
        <v>625</v>
      </c>
      <c r="N77">
        <v>351</v>
      </c>
      <c r="O77">
        <v>113</v>
      </c>
      <c r="P77">
        <v>501</v>
      </c>
      <c r="R77">
        <v>76</v>
      </c>
    </row>
    <row r="78" spans="1:18">
      <c r="A78" s="1" t="s">
        <v>78</v>
      </c>
      <c r="B78">
        <v>28</v>
      </c>
      <c r="C78">
        <v>9</v>
      </c>
      <c r="D78">
        <v>19</v>
      </c>
      <c r="E78">
        <v>3.43</v>
      </c>
      <c r="F78">
        <v>1792</v>
      </c>
      <c r="G78">
        <v>624</v>
      </c>
      <c r="H78">
        <v>1482</v>
      </c>
      <c r="I78">
        <v>392</v>
      </c>
      <c r="J78">
        <v>541</v>
      </c>
      <c r="K78">
        <v>296</v>
      </c>
      <c r="L78">
        <v>940</v>
      </c>
      <c r="M78">
        <v>324</v>
      </c>
      <c r="N78">
        <v>162</v>
      </c>
      <c r="O78">
        <v>69</v>
      </c>
      <c r="P78">
        <v>447</v>
      </c>
      <c r="R78">
        <v>77</v>
      </c>
    </row>
    <row r="79" spans="1:18">
      <c r="A79" s="1" t="s">
        <v>79</v>
      </c>
      <c r="B79">
        <v>30</v>
      </c>
      <c r="C79">
        <v>12</v>
      </c>
      <c r="D79">
        <v>18</v>
      </c>
      <c r="E79">
        <v>6.63</v>
      </c>
      <c r="F79">
        <v>1932</v>
      </c>
      <c r="G79">
        <v>646</v>
      </c>
      <c r="H79">
        <v>1663</v>
      </c>
      <c r="I79">
        <v>431</v>
      </c>
      <c r="J79">
        <v>625</v>
      </c>
      <c r="K79">
        <v>381</v>
      </c>
      <c r="L79">
        <v>1060</v>
      </c>
      <c r="M79">
        <v>346</v>
      </c>
      <c r="N79">
        <v>176</v>
      </c>
      <c r="O79">
        <v>138</v>
      </c>
      <c r="P79">
        <v>442</v>
      </c>
      <c r="R79">
        <v>78</v>
      </c>
    </row>
    <row r="80" spans="1:18">
      <c r="A80" s="1" t="s">
        <v>80</v>
      </c>
      <c r="B80">
        <v>28</v>
      </c>
      <c r="C80">
        <v>18</v>
      </c>
      <c r="D80">
        <v>10</v>
      </c>
      <c r="E80">
        <v>-1.57</v>
      </c>
      <c r="F80">
        <v>2281</v>
      </c>
      <c r="G80">
        <v>822</v>
      </c>
      <c r="H80">
        <v>1790</v>
      </c>
      <c r="I80">
        <v>498</v>
      </c>
      <c r="J80">
        <v>707</v>
      </c>
      <c r="K80">
        <v>407</v>
      </c>
      <c r="L80">
        <v>1129</v>
      </c>
      <c r="M80">
        <v>392</v>
      </c>
      <c r="N80">
        <v>252</v>
      </c>
      <c r="O80">
        <v>119</v>
      </c>
      <c r="P80">
        <v>480</v>
      </c>
      <c r="R80">
        <v>79</v>
      </c>
    </row>
    <row r="81" spans="1:18">
      <c r="A81" s="1" t="s">
        <v>81</v>
      </c>
      <c r="B81">
        <v>31</v>
      </c>
      <c r="C81">
        <v>15</v>
      </c>
      <c r="D81">
        <v>16</v>
      </c>
      <c r="E81">
        <v>-1.71</v>
      </c>
      <c r="F81">
        <v>2305</v>
      </c>
      <c r="G81">
        <v>802</v>
      </c>
      <c r="H81">
        <v>1867</v>
      </c>
      <c r="I81">
        <v>496</v>
      </c>
      <c r="J81">
        <v>712</v>
      </c>
      <c r="K81">
        <v>386</v>
      </c>
      <c r="L81">
        <v>1119</v>
      </c>
      <c r="M81">
        <v>443</v>
      </c>
      <c r="N81">
        <v>203</v>
      </c>
      <c r="O81">
        <v>91</v>
      </c>
      <c r="P81">
        <v>473</v>
      </c>
      <c r="R81">
        <v>80</v>
      </c>
    </row>
    <row r="82" spans="1:18">
      <c r="A82" s="1" t="s">
        <v>82</v>
      </c>
      <c r="B82">
        <v>27</v>
      </c>
      <c r="C82">
        <v>7</v>
      </c>
      <c r="D82">
        <v>20</v>
      </c>
      <c r="E82">
        <v>-2.34</v>
      </c>
      <c r="F82">
        <v>1971</v>
      </c>
      <c r="G82">
        <v>708</v>
      </c>
      <c r="H82">
        <v>1739</v>
      </c>
      <c r="I82">
        <v>378</v>
      </c>
      <c r="J82">
        <v>523</v>
      </c>
      <c r="K82">
        <v>385</v>
      </c>
      <c r="L82">
        <v>1056</v>
      </c>
      <c r="M82">
        <v>409</v>
      </c>
      <c r="N82">
        <v>223</v>
      </c>
      <c r="O82">
        <v>76</v>
      </c>
      <c r="P82">
        <v>440</v>
      </c>
      <c r="R82">
        <v>81</v>
      </c>
    </row>
    <row r="83" spans="1:18">
      <c r="A83" s="1" t="s">
        <v>83</v>
      </c>
      <c r="B83">
        <v>30</v>
      </c>
      <c r="C83">
        <v>6</v>
      </c>
      <c r="D83">
        <v>24</v>
      </c>
      <c r="E83">
        <v>-0.7</v>
      </c>
      <c r="F83">
        <v>1994</v>
      </c>
      <c r="G83">
        <v>667</v>
      </c>
      <c r="H83">
        <v>1581</v>
      </c>
      <c r="I83">
        <v>514</v>
      </c>
      <c r="J83">
        <v>745</v>
      </c>
      <c r="K83">
        <v>350</v>
      </c>
      <c r="L83">
        <v>1017</v>
      </c>
      <c r="M83">
        <v>347</v>
      </c>
      <c r="N83">
        <v>129</v>
      </c>
      <c r="O83">
        <v>85</v>
      </c>
      <c r="P83">
        <v>495</v>
      </c>
      <c r="R83">
        <v>82</v>
      </c>
    </row>
    <row r="84" spans="1:18">
      <c r="A84" s="1" t="s">
        <v>84</v>
      </c>
      <c r="B84">
        <v>30</v>
      </c>
      <c r="C84">
        <v>17</v>
      </c>
      <c r="D84">
        <v>13</v>
      </c>
      <c r="E84">
        <v>-1.32</v>
      </c>
      <c r="F84">
        <v>2094</v>
      </c>
      <c r="G84">
        <v>706</v>
      </c>
      <c r="H84">
        <v>1496</v>
      </c>
      <c r="I84">
        <v>505</v>
      </c>
      <c r="J84">
        <v>713</v>
      </c>
      <c r="K84">
        <v>241</v>
      </c>
      <c r="L84">
        <v>901</v>
      </c>
      <c r="M84">
        <v>444</v>
      </c>
      <c r="N84">
        <v>213</v>
      </c>
      <c r="O84">
        <v>82</v>
      </c>
      <c r="P84">
        <v>521</v>
      </c>
      <c r="R84">
        <v>83</v>
      </c>
    </row>
    <row r="85" spans="1:18">
      <c r="A85" s="1" t="s">
        <v>85</v>
      </c>
      <c r="B85">
        <v>29</v>
      </c>
      <c r="C85">
        <v>13</v>
      </c>
      <c r="D85">
        <v>16</v>
      </c>
      <c r="E85">
        <v>-7.07</v>
      </c>
      <c r="F85">
        <v>2016</v>
      </c>
      <c r="G85">
        <v>737</v>
      </c>
      <c r="H85">
        <v>1784</v>
      </c>
      <c r="I85">
        <v>420</v>
      </c>
      <c r="J85">
        <v>624</v>
      </c>
      <c r="K85">
        <v>413</v>
      </c>
      <c r="L85">
        <v>1051</v>
      </c>
      <c r="M85">
        <v>354</v>
      </c>
      <c r="N85">
        <v>260</v>
      </c>
      <c r="O85">
        <v>98</v>
      </c>
      <c r="P85">
        <v>501</v>
      </c>
      <c r="R85">
        <v>84</v>
      </c>
    </row>
    <row r="86" spans="1:18">
      <c r="A86" s="1" t="s">
        <v>86</v>
      </c>
      <c r="B86">
        <v>28</v>
      </c>
      <c r="C86">
        <v>7</v>
      </c>
      <c r="D86">
        <v>21</v>
      </c>
      <c r="E86">
        <v>0.68</v>
      </c>
      <c r="F86">
        <v>1893</v>
      </c>
      <c r="G86">
        <v>662</v>
      </c>
      <c r="H86">
        <v>1472</v>
      </c>
      <c r="I86">
        <v>405</v>
      </c>
      <c r="J86">
        <v>562</v>
      </c>
      <c r="K86">
        <v>255</v>
      </c>
      <c r="L86">
        <v>895</v>
      </c>
      <c r="M86">
        <v>413</v>
      </c>
      <c r="N86">
        <v>154</v>
      </c>
      <c r="O86">
        <v>75</v>
      </c>
      <c r="P86">
        <v>470</v>
      </c>
      <c r="R86">
        <v>85</v>
      </c>
    </row>
    <row r="87" spans="1:18">
      <c r="A87" s="1" t="s">
        <v>87</v>
      </c>
      <c r="B87">
        <v>29</v>
      </c>
      <c r="C87">
        <v>12</v>
      </c>
      <c r="D87">
        <v>17</v>
      </c>
      <c r="E87">
        <v>-4.28</v>
      </c>
      <c r="F87">
        <v>2078</v>
      </c>
      <c r="G87">
        <v>698</v>
      </c>
      <c r="H87">
        <v>1616</v>
      </c>
      <c r="I87">
        <v>525</v>
      </c>
      <c r="J87">
        <v>719</v>
      </c>
      <c r="K87">
        <v>355</v>
      </c>
      <c r="L87">
        <v>1075</v>
      </c>
      <c r="M87">
        <v>394</v>
      </c>
      <c r="N87">
        <v>239</v>
      </c>
      <c r="O87">
        <v>199</v>
      </c>
      <c r="P87">
        <v>523</v>
      </c>
      <c r="R87">
        <v>86</v>
      </c>
    </row>
    <row r="88" spans="1:18">
      <c r="A88" s="1" t="s">
        <v>88</v>
      </c>
      <c r="B88">
        <v>29</v>
      </c>
      <c r="C88">
        <v>4</v>
      </c>
      <c r="D88">
        <v>25</v>
      </c>
      <c r="E88">
        <v>-10.28</v>
      </c>
      <c r="F88">
        <v>2073</v>
      </c>
      <c r="G88">
        <v>713</v>
      </c>
      <c r="H88">
        <v>1650</v>
      </c>
      <c r="I88">
        <v>452</v>
      </c>
      <c r="J88">
        <v>661</v>
      </c>
      <c r="K88">
        <v>323</v>
      </c>
      <c r="L88">
        <v>956</v>
      </c>
      <c r="M88">
        <v>390</v>
      </c>
      <c r="N88">
        <v>195</v>
      </c>
      <c r="O88">
        <v>79</v>
      </c>
      <c r="P88">
        <v>525</v>
      </c>
      <c r="R88">
        <v>87</v>
      </c>
    </row>
    <row r="89" spans="1:18">
      <c r="A89" s="1" t="s">
        <v>89</v>
      </c>
      <c r="B89">
        <v>28</v>
      </c>
      <c r="C89">
        <v>9</v>
      </c>
      <c r="D89">
        <v>19</v>
      </c>
      <c r="E89">
        <v>-7.48</v>
      </c>
      <c r="F89">
        <v>1863</v>
      </c>
      <c r="G89">
        <v>638</v>
      </c>
      <c r="H89">
        <v>1584</v>
      </c>
      <c r="I89">
        <v>414</v>
      </c>
      <c r="J89">
        <v>631</v>
      </c>
      <c r="L89">
        <v>991</v>
      </c>
      <c r="M89">
        <v>298</v>
      </c>
      <c r="N89">
        <v>223</v>
      </c>
      <c r="O89">
        <v>90</v>
      </c>
      <c r="P89">
        <v>500</v>
      </c>
      <c r="R89">
        <v>88</v>
      </c>
    </row>
    <row r="90" spans="1:18">
      <c r="A90" s="1" t="s">
        <v>90</v>
      </c>
      <c r="B90">
        <v>31</v>
      </c>
      <c r="C90">
        <v>19</v>
      </c>
      <c r="D90">
        <v>12</v>
      </c>
      <c r="E90">
        <v>-5.33</v>
      </c>
      <c r="F90">
        <v>2303</v>
      </c>
      <c r="G90">
        <v>859</v>
      </c>
      <c r="H90">
        <v>2011</v>
      </c>
      <c r="I90">
        <v>407</v>
      </c>
      <c r="J90">
        <v>611</v>
      </c>
      <c r="K90">
        <v>505</v>
      </c>
      <c r="L90">
        <v>1212</v>
      </c>
      <c r="M90">
        <v>483</v>
      </c>
      <c r="N90">
        <v>294</v>
      </c>
      <c r="O90">
        <v>108</v>
      </c>
      <c r="P90">
        <v>474</v>
      </c>
      <c r="R90">
        <v>89</v>
      </c>
    </row>
    <row r="91" spans="1:18">
      <c r="A91" s="1" t="s">
        <v>91</v>
      </c>
      <c r="B91">
        <v>30</v>
      </c>
      <c r="C91">
        <v>10</v>
      </c>
      <c r="D91">
        <v>20</v>
      </c>
      <c r="E91">
        <v>-0.5</v>
      </c>
      <c r="F91">
        <v>1908</v>
      </c>
      <c r="G91">
        <v>738</v>
      </c>
      <c r="H91">
        <v>1690</v>
      </c>
      <c r="I91">
        <v>321</v>
      </c>
      <c r="J91">
        <v>527</v>
      </c>
      <c r="K91">
        <v>389</v>
      </c>
      <c r="L91">
        <v>1015</v>
      </c>
      <c r="M91">
        <v>306</v>
      </c>
      <c r="N91">
        <v>286</v>
      </c>
      <c r="O91">
        <v>82</v>
      </c>
      <c r="P91">
        <v>474</v>
      </c>
      <c r="R91">
        <v>90</v>
      </c>
    </row>
    <row r="92" spans="1:18">
      <c r="A92" s="1" t="s">
        <v>92</v>
      </c>
      <c r="B92">
        <v>29</v>
      </c>
      <c r="C92">
        <v>12</v>
      </c>
      <c r="D92">
        <v>17</v>
      </c>
      <c r="E92">
        <v>9.1300000000000008</v>
      </c>
      <c r="F92">
        <v>2082</v>
      </c>
      <c r="G92">
        <v>759</v>
      </c>
      <c r="H92">
        <v>1765</v>
      </c>
      <c r="I92">
        <v>395</v>
      </c>
      <c r="J92">
        <v>602</v>
      </c>
      <c r="K92">
        <v>450</v>
      </c>
      <c r="L92">
        <v>1122</v>
      </c>
      <c r="M92">
        <v>382</v>
      </c>
      <c r="N92">
        <v>222</v>
      </c>
      <c r="O92">
        <v>101</v>
      </c>
      <c r="P92">
        <v>476</v>
      </c>
      <c r="R92">
        <v>91</v>
      </c>
    </row>
    <row r="93" spans="1:18">
      <c r="A93" s="1" t="s">
        <v>347</v>
      </c>
      <c r="B93">
        <v>31</v>
      </c>
      <c r="C93">
        <v>22</v>
      </c>
      <c r="D93">
        <v>9</v>
      </c>
      <c r="E93">
        <v>8.3699999999999992</v>
      </c>
      <c r="F93">
        <v>2495</v>
      </c>
      <c r="G93">
        <v>892</v>
      </c>
      <c r="H93">
        <v>1899</v>
      </c>
      <c r="I93">
        <v>479</v>
      </c>
      <c r="J93">
        <v>687</v>
      </c>
      <c r="K93">
        <v>430</v>
      </c>
      <c r="L93">
        <v>1203</v>
      </c>
      <c r="M93">
        <v>519</v>
      </c>
      <c r="N93">
        <v>307</v>
      </c>
      <c r="O93">
        <v>141</v>
      </c>
      <c r="P93">
        <v>463</v>
      </c>
      <c r="R93">
        <v>92</v>
      </c>
    </row>
    <row r="94" spans="1:18">
      <c r="A94" s="1" t="s">
        <v>93</v>
      </c>
      <c r="B94">
        <v>28</v>
      </c>
      <c r="C94">
        <v>8</v>
      </c>
      <c r="D94">
        <v>20</v>
      </c>
      <c r="E94">
        <v>3.47</v>
      </c>
      <c r="F94">
        <v>1980</v>
      </c>
      <c r="G94">
        <v>761</v>
      </c>
      <c r="H94">
        <v>1689</v>
      </c>
      <c r="I94">
        <v>341</v>
      </c>
      <c r="J94">
        <v>596</v>
      </c>
      <c r="K94">
        <v>427</v>
      </c>
      <c r="L94">
        <v>1104</v>
      </c>
      <c r="M94">
        <v>411</v>
      </c>
      <c r="N94">
        <v>248</v>
      </c>
      <c r="O94">
        <v>91</v>
      </c>
      <c r="P94">
        <v>546</v>
      </c>
      <c r="R94">
        <v>93</v>
      </c>
    </row>
    <row r="95" spans="1:18">
      <c r="A95" s="1" t="s">
        <v>306</v>
      </c>
      <c r="B95">
        <v>34</v>
      </c>
      <c r="C95">
        <v>19</v>
      </c>
      <c r="D95">
        <v>15</v>
      </c>
      <c r="E95">
        <v>5.2</v>
      </c>
      <c r="F95">
        <v>2481</v>
      </c>
      <c r="G95">
        <v>882</v>
      </c>
      <c r="H95">
        <v>1998</v>
      </c>
      <c r="I95">
        <v>488</v>
      </c>
      <c r="J95">
        <v>732</v>
      </c>
      <c r="K95">
        <v>392</v>
      </c>
      <c r="L95">
        <v>1329</v>
      </c>
      <c r="M95">
        <v>549</v>
      </c>
      <c r="N95">
        <v>226</v>
      </c>
      <c r="O95">
        <v>187</v>
      </c>
      <c r="P95">
        <v>519</v>
      </c>
      <c r="R95">
        <v>94</v>
      </c>
    </row>
    <row r="96" spans="1:18">
      <c r="A96" s="1" t="s">
        <v>94</v>
      </c>
      <c r="B96">
        <v>31</v>
      </c>
      <c r="C96">
        <v>17</v>
      </c>
      <c r="D96">
        <v>14</v>
      </c>
      <c r="E96">
        <v>-1.24</v>
      </c>
      <c r="F96">
        <v>2143</v>
      </c>
      <c r="G96">
        <v>783</v>
      </c>
      <c r="H96">
        <v>1802</v>
      </c>
      <c r="I96">
        <v>370</v>
      </c>
      <c r="J96">
        <v>565</v>
      </c>
      <c r="K96">
        <v>363</v>
      </c>
      <c r="L96">
        <v>1113</v>
      </c>
      <c r="M96">
        <v>476</v>
      </c>
      <c r="N96">
        <v>271</v>
      </c>
      <c r="O96">
        <v>66</v>
      </c>
      <c r="P96">
        <v>433</v>
      </c>
      <c r="R96">
        <v>95</v>
      </c>
    </row>
    <row r="97" spans="1:18">
      <c r="A97" s="1" t="s">
        <v>95</v>
      </c>
      <c r="B97">
        <v>29</v>
      </c>
      <c r="C97">
        <v>19</v>
      </c>
      <c r="D97">
        <v>10</v>
      </c>
      <c r="E97">
        <v>-2.2999999999999998</v>
      </c>
      <c r="F97">
        <v>2024</v>
      </c>
      <c r="G97">
        <v>710</v>
      </c>
      <c r="H97">
        <v>1648</v>
      </c>
      <c r="I97">
        <v>438</v>
      </c>
      <c r="J97">
        <v>622</v>
      </c>
      <c r="K97">
        <v>361</v>
      </c>
      <c r="L97">
        <v>1047</v>
      </c>
      <c r="M97">
        <v>412</v>
      </c>
      <c r="N97">
        <v>214</v>
      </c>
      <c r="O97">
        <v>92</v>
      </c>
      <c r="P97">
        <v>403</v>
      </c>
      <c r="R97">
        <v>96</v>
      </c>
    </row>
    <row r="98" spans="1:18">
      <c r="A98" s="1" t="s">
        <v>96</v>
      </c>
      <c r="B98">
        <v>28</v>
      </c>
      <c r="C98">
        <v>12</v>
      </c>
      <c r="D98">
        <v>16</v>
      </c>
      <c r="E98">
        <v>3.5</v>
      </c>
      <c r="F98">
        <v>1946</v>
      </c>
      <c r="G98">
        <v>637</v>
      </c>
      <c r="H98">
        <v>1570</v>
      </c>
      <c r="I98">
        <v>490</v>
      </c>
      <c r="J98">
        <v>684</v>
      </c>
      <c r="K98">
        <v>348</v>
      </c>
      <c r="L98">
        <v>974</v>
      </c>
      <c r="M98">
        <v>365</v>
      </c>
      <c r="N98">
        <v>177</v>
      </c>
      <c r="O98">
        <v>107</v>
      </c>
      <c r="P98">
        <v>447</v>
      </c>
      <c r="R98">
        <v>97</v>
      </c>
    </row>
    <row r="99" spans="1:18">
      <c r="A99" s="1" t="s">
        <v>97</v>
      </c>
      <c r="B99">
        <v>30</v>
      </c>
      <c r="C99">
        <v>19</v>
      </c>
      <c r="D99">
        <v>11</v>
      </c>
      <c r="E99">
        <v>4.22</v>
      </c>
      <c r="F99">
        <v>2433</v>
      </c>
      <c r="G99">
        <v>834</v>
      </c>
      <c r="H99">
        <v>1864</v>
      </c>
      <c r="I99">
        <v>600</v>
      </c>
      <c r="J99">
        <v>828</v>
      </c>
      <c r="K99">
        <v>454</v>
      </c>
      <c r="L99">
        <v>1252</v>
      </c>
      <c r="M99">
        <v>484</v>
      </c>
      <c r="N99">
        <v>303</v>
      </c>
      <c r="O99">
        <v>191</v>
      </c>
      <c r="P99">
        <v>480</v>
      </c>
      <c r="R99">
        <v>98</v>
      </c>
    </row>
    <row r="100" spans="1:18">
      <c r="A100" s="1" t="s">
        <v>98</v>
      </c>
      <c r="B100">
        <v>28</v>
      </c>
      <c r="C100">
        <v>16</v>
      </c>
      <c r="D100">
        <v>12</v>
      </c>
      <c r="E100">
        <v>-0.8</v>
      </c>
      <c r="F100">
        <v>2230</v>
      </c>
      <c r="G100">
        <v>814</v>
      </c>
      <c r="H100">
        <v>1797</v>
      </c>
      <c r="I100">
        <v>427</v>
      </c>
      <c r="J100">
        <v>677</v>
      </c>
      <c r="K100">
        <v>438</v>
      </c>
      <c r="L100">
        <v>1168</v>
      </c>
      <c r="M100">
        <v>422</v>
      </c>
      <c r="N100">
        <v>254</v>
      </c>
      <c r="O100">
        <v>98</v>
      </c>
      <c r="P100">
        <v>450</v>
      </c>
      <c r="R100">
        <v>99</v>
      </c>
    </row>
    <row r="101" spans="1:18">
      <c r="A101" s="1" t="s">
        <v>99</v>
      </c>
      <c r="B101">
        <v>31</v>
      </c>
      <c r="C101">
        <v>20</v>
      </c>
      <c r="D101">
        <v>11</v>
      </c>
      <c r="E101">
        <v>-4.43</v>
      </c>
      <c r="F101">
        <v>2388</v>
      </c>
      <c r="G101">
        <v>848</v>
      </c>
      <c r="H101">
        <v>1831</v>
      </c>
      <c r="I101">
        <v>473</v>
      </c>
      <c r="J101">
        <v>659</v>
      </c>
      <c r="K101">
        <v>387</v>
      </c>
      <c r="L101">
        <v>1139</v>
      </c>
      <c r="M101">
        <v>435</v>
      </c>
      <c r="N101">
        <v>205</v>
      </c>
      <c r="O101">
        <v>128</v>
      </c>
      <c r="P101">
        <v>450</v>
      </c>
      <c r="R101">
        <v>100</v>
      </c>
    </row>
    <row r="102" spans="1:18">
      <c r="A102" s="1" t="s">
        <v>100</v>
      </c>
      <c r="B102">
        <v>31</v>
      </c>
      <c r="C102">
        <v>15</v>
      </c>
      <c r="D102">
        <v>16</v>
      </c>
      <c r="E102">
        <v>8.66</v>
      </c>
      <c r="F102">
        <v>2370</v>
      </c>
      <c r="G102">
        <v>834</v>
      </c>
      <c r="H102">
        <v>1937</v>
      </c>
      <c r="I102">
        <v>441</v>
      </c>
      <c r="J102">
        <v>637</v>
      </c>
      <c r="K102">
        <v>440</v>
      </c>
      <c r="L102">
        <v>1183</v>
      </c>
      <c r="M102">
        <v>481</v>
      </c>
      <c r="N102">
        <v>269</v>
      </c>
      <c r="O102">
        <v>101</v>
      </c>
      <c r="P102">
        <v>478</v>
      </c>
      <c r="R102">
        <v>101</v>
      </c>
    </row>
    <row r="103" spans="1:18">
      <c r="A103" s="1" t="s">
        <v>101</v>
      </c>
      <c r="B103">
        <v>32</v>
      </c>
      <c r="C103">
        <v>22</v>
      </c>
      <c r="D103">
        <v>10</v>
      </c>
      <c r="E103">
        <v>9.24</v>
      </c>
      <c r="F103">
        <v>2444</v>
      </c>
      <c r="G103">
        <v>871</v>
      </c>
      <c r="H103">
        <v>1947</v>
      </c>
      <c r="I103">
        <v>513</v>
      </c>
      <c r="J103">
        <v>696</v>
      </c>
      <c r="K103">
        <v>468</v>
      </c>
      <c r="L103">
        <v>1226</v>
      </c>
      <c r="M103">
        <v>495</v>
      </c>
      <c r="N103">
        <v>281</v>
      </c>
      <c r="O103">
        <v>114</v>
      </c>
      <c r="P103">
        <v>455</v>
      </c>
      <c r="R103">
        <v>102</v>
      </c>
    </row>
    <row r="104" spans="1:18">
      <c r="A104" s="1" t="s">
        <v>374</v>
      </c>
      <c r="B104">
        <v>33</v>
      </c>
      <c r="C104">
        <v>29</v>
      </c>
      <c r="D104">
        <v>4</v>
      </c>
      <c r="E104">
        <v>0.74</v>
      </c>
      <c r="F104">
        <v>2677</v>
      </c>
      <c r="G104">
        <v>907</v>
      </c>
      <c r="H104">
        <v>1931</v>
      </c>
      <c r="I104">
        <v>626</v>
      </c>
      <c r="J104">
        <v>855</v>
      </c>
      <c r="K104">
        <v>425</v>
      </c>
      <c r="L104">
        <v>1370</v>
      </c>
      <c r="M104">
        <v>522</v>
      </c>
      <c r="N104">
        <v>189</v>
      </c>
      <c r="O104">
        <v>113</v>
      </c>
      <c r="P104">
        <v>458</v>
      </c>
      <c r="R104">
        <v>103</v>
      </c>
    </row>
    <row r="105" spans="1:18">
      <c r="A105" s="1" t="s">
        <v>102</v>
      </c>
      <c r="B105">
        <v>28</v>
      </c>
      <c r="C105">
        <v>9</v>
      </c>
      <c r="D105">
        <v>19</v>
      </c>
      <c r="E105">
        <v>-9.92</v>
      </c>
      <c r="F105">
        <v>2188</v>
      </c>
      <c r="G105">
        <v>815</v>
      </c>
      <c r="H105">
        <v>1845</v>
      </c>
      <c r="I105">
        <v>399</v>
      </c>
      <c r="J105">
        <v>593</v>
      </c>
      <c r="K105">
        <v>385</v>
      </c>
      <c r="L105">
        <v>1147</v>
      </c>
      <c r="M105">
        <v>426</v>
      </c>
      <c r="N105">
        <v>180</v>
      </c>
      <c r="O105">
        <v>136</v>
      </c>
      <c r="P105">
        <v>482</v>
      </c>
      <c r="R105">
        <v>104</v>
      </c>
    </row>
    <row r="106" spans="1:18">
      <c r="A106" s="1" t="s">
        <v>103</v>
      </c>
      <c r="B106">
        <v>30</v>
      </c>
      <c r="C106">
        <v>9</v>
      </c>
      <c r="D106">
        <v>21</v>
      </c>
      <c r="E106">
        <v>-0.73</v>
      </c>
      <c r="F106">
        <v>1970</v>
      </c>
      <c r="G106">
        <v>684</v>
      </c>
      <c r="H106">
        <v>1434</v>
      </c>
      <c r="I106">
        <v>413</v>
      </c>
      <c r="J106">
        <v>582</v>
      </c>
      <c r="K106">
        <v>250</v>
      </c>
      <c r="L106">
        <v>855</v>
      </c>
      <c r="M106">
        <v>406</v>
      </c>
      <c r="N106">
        <v>169</v>
      </c>
      <c r="O106">
        <v>60</v>
      </c>
      <c r="P106">
        <v>430</v>
      </c>
      <c r="R106">
        <v>105</v>
      </c>
    </row>
    <row r="107" spans="1:18">
      <c r="A107" s="1" t="s">
        <v>104</v>
      </c>
      <c r="B107">
        <v>33</v>
      </c>
      <c r="C107">
        <v>26</v>
      </c>
      <c r="D107">
        <v>7</v>
      </c>
      <c r="E107">
        <v>-8.9</v>
      </c>
      <c r="F107">
        <v>2623</v>
      </c>
      <c r="G107">
        <v>933</v>
      </c>
      <c r="H107">
        <v>1940</v>
      </c>
      <c r="I107">
        <v>539</v>
      </c>
      <c r="J107">
        <v>805</v>
      </c>
      <c r="K107">
        <v>457</v>
      </c>
      <c r="L107">
        <v>1241</v>
      </c>
      <c r="M107">
        <v>470</v>
      </c>
      <c r="N107">
        <v>265</v>
      </c>
      <c r="O107">
        <v>115</v>
      </c>
      <c r="P107">
        <v>489</v>
      </c>
      <c r="R107">
        <v>106</v>
      </c>
    </row>
    <row r="108" spans="1:18">
      <c r="A108" s="1" t="s">
        <v>105</v>
      </c>
      <c r="B108">
        <v>32</v>
      </c>
      <c r="C108">
        <v>14</v>
      </c>
      <c r="D108">
        <v>18</v>
      </c>
      <c r="E108">
        <v>-8.1999999999999993</v>
      </c>
      <c r="F108">
        <v>1949</v>
      </c>
      <c r="G108">
        <v>699</v>
      </c>
      <c r="H108">
        <v>1739</v>
      </c>
      <c r="I108">
        <v>399</v>
      </c>
      <c r="J108">
        <v>638</v>
      </c>
      <c r="K108">
        <v>448</v>
      </c>
      <c r="L108">
        <v>1232</v>
      </c>
      <c r="M108">
        <v>321</v>
      </c>
      <c r="N108">
        <v>167</v>
      </c>
      <c r="O108">
        <v>102</v>
      </c>
      <c r="P108">
        <v>521</v>
      </c>
      <c r="R108">
        <v>107</v>
      </c>
    </row>
    <row r="109" spans="1:18">
      <c r="A109" s="1" t="s">
        <v>106</v>
      </c>
      <c r="B109">
        <v>26</v>
      </c>
      <c r="C109">
        <v>14</v>
      </c>
      <c r="D109">
        <v>12</v>
      </c>
      <c r="E109">
        <v>-6.1</v>
      </c>
      <c r="F109">
        <v>1666</v>
      </c>
      <c r="G109">
        <v>629</v>
      </c>
      <c r="H109">
        <v>1499</v>
      </c>
      <c r="I109">
        <v>256</v>
      </c>
      <c r="J109">
        <v>405</v>
      </c>
      <c r="K109">
        <v>330</v>
      </c>
      <c r="L109">
        <v>925</v>
      </c>
      <c r="M109">
        <v>360</v>
      </c>
      <c r="N109">
        <v>236</v>
      </c>
      <c r="O109">
        <v>58</v>
      </c>
      <c r="P109">
        <v>418</v>
      </c>
      <c r="R109">
        <v>108</v>
      </c>
    </row>
    <row r="110" spans="1:18">
      <c r="A110" s="1" t="s">
        <v>107</v>
      </c>
      <c r="B110">
        <v>33</v>
      </c>
      <c r="C110">
        <v>27</v>
      </c>
      <c r="D110">
        <v>6</v>
      </c>
      <c r="E110">
        <v>1.1499999999999999</v>
      </c>
      <c r="F110">
        <v>2367</v>
      </c>
      <c r="G110">
        <v>818</v>
      </c>
      <c r="H110">
        <v>1818</v>
      </c>
      <c r="I110">
        <v>490</v>
      </c>
      <c r="J110">
        <v>716</v>
      </c>
      <c r="K110">
        <v>338</v>
      </c>
      <c r="L110">
        <v>1103</v>
      </c>
      <c r="M110">
        <v>546</v>
      </c>
      <c r="N110">
        <v>230</v>
      </c>
      <c r="O110">
        <v>116</v>
      </c>
      <c r="P110">
        <v>407</v>
      </c>
      <c r="R110">
        <v>109</v>
      </c>
    </row>
    <row r="111" spans="1:18">
      <c r="A111" s="1" t="s">
        <v>108</v>
      </c>
      <c r="B111">
        <v>30</v>
      </c>
      <c r="C111">
        <v>11</v>
      </c>
      <c r="D111">
        <v>19</v>
      </c>
      <c r="E111">
        <v>-6.28</v>
      </c>
      <c r="F111">
        <v>2077</v>
      </c>
      <c r="G111">
        <v>741</v>
      </c>
      <c r="H111">
        <v>1789</v>
      </c>
      <c r="I111">
        <v>425</v>
      </c>
      <c r="J111">
        <v>600</v>
      </c>
      <c r="K111">
        <v>411</v>
      </c>
      <c r="L111">
        <v>1105</v>
      </c>
      <c r="M111">
        <v>378</v>
      </c>
      <c r="N111">
        <v>258</v>
      </c>
      <c r="O111">
        <v>78</v>
      </c>
      <c r="P111">
        <v>474</v>
      </c>
      <c r="R111">
        <v>110</v>
      </c>
    </row>
    <row r="112" spans="1:18">
      <c r="A112" s="1" t="s">
        <v>307</v>
      </c>
      <c r="B112">
        <v>32</v>
      </c>
      <c r="C112">
        <v>12</v>
      </c>
      <c r="D112">
        <v>20</v>
      </c>
      <c r="E112">
        <v>-1.39</v>
      </c>
      <c r="F112">
        <v>2106</v>
      </c>
      <c r="G112">
        <v>726</v>
      </c>
      <c r="H112">
        <v>1856</v>
      </c>
      <c r="I112">
        <v>499</v>
      </c>
      <c r="J112">
        <v>741</v>
      </c>
      <c r="K112">
        <v>471</v>
      </c>
      <c r="L112">
        <v>1322</v>
      </c>
      <c r="M112">
        <v>411</v>
      </c>
      <c r="N112">
        <v>206</v>
      </c>
      <c r="O112">
        <v>154</v>
      </c>
      <c r="P112">
        <v>568</v>
      </c>
      <c r="R112">
        <v>111</v>
      </c>
    </row>
    <row r="113" spans="1:18">
      <c r="A113" s="1" t="s">
        <v>109</v>
      </c>
      <c r="B113">
        <v>33</v>
      </c>
      <c r="C113">
        <v>18</v>
      </c>
      <c r="D113">
        <v>15</v>
      </c>
      <c r="E113">
        <v>-5.0999999999999996</v>
      </c>
      <c r="F113">
        <v>2083</v>
      </c>
      <c r="G113">
        <v>694</v>
      </c>
      <c r="H113">
        <v>1711</v>
      </c>
      <c r="I113">
        <v>547</v>
      </c>
      <c r="J113">
        <v>791</v>
      </c>
      <c r="K113">
        <v>420</v>
      </c>
      <c r="L113">
        <v>1176</v>
      </c>
      <c r="M113">
        <v>438</v>
      </c>
      <c r="N113">
        <v>258</v>
      </c>
      <c r="O113">
        <v>103</v>
      </c>
      <c r="P113">
        <v>470</v>
      </c>
      <c r="R113">
        <v>112</v>
      </c>
    </row>
    <row r="114" spans="1:18">
      <c r="A114" s="1" t="s">
        <v>110</v>
      </c>
      <c r="B114">
        <v>33</v>
      </c>
      <c r="C114">
        <v>18</v>
      </c>
      <c r="D114">
        <v>15</v>
      </c>
      <c r="E114">
        <v>5.45</v>
      </c>
      <c r="F114">
        <v>2371</v>
      </c>
      <c r="G114">
        <v>828</v>
      </c>
      <c r="H114">
        <v>1749</v>
      </c>
      <c r="I114">
        <v>566</v>
      </c>
      <c r="J114">
        <v>831</v>
      </c>
      <c r="K114">
        <v>384</v>
      </c>
      <c r="L114">
        <v>1199</v>
      </c>
      <c r="M114">
        <v>442</v>
      </c>
      <c r="N114">
        <v>200</v>
      </c>
      <c r="O114">
        <v>146</v>
      </c>
      <c r="P114">
        <v>525</v>
      </c>
      <c r="R114">
        <v>113</v>
      </c>
    </row>
    <row r="115" spans="1:18">
      <c r="A115" s="1" t="s">
        <v>111</v>
      </c>
      <c r="B115">
        <v>31</v>
      </c>
      <c r="C115">
        <v>18</v>
      </c>
      <c r="D115">
        <v>13</v>
      </c>
      <c r="E115">
        <v>-9.23</v>
      </c>
      <c r="F115">
        <v>2323</v>
      </c>
      <c r="G115">
        <v>813</v>
      </c>
      <c r="H115">
        <v>1926</v>
      </c>
      <c r="I115">
        <v>471</v>
      </c>
      <c r="J115">
        <v>674</v>
      </c>
      <c r="K115">
        <v>382</v>
      </c>
      <c r="L115">
        <v>1093</v>
      </c>
      <c r="M115">
        <v>381</v>
      </c>
      <c r="N115">
        <v>232</v>
      </c>
      <c r="O115">
        <v>78</v>
      </c>
      <c r="P115">
        <v>406</v>
      </c>
      <c r="R115">
        <v>114</v>
      </c>
    </row>
    <row r="116" spans="1:18">
      <c r="A116" s="1" t="s">
        <v>112</v>
      </c>
      <c r="B116">
        <v>27</v>
      </c>
      <c r="C116">
        <v>10</v>
      </c>
      <c r="D116">
        <v>17</v>
      </c>
      <c r="E116">
        <v>-4.0599999999999996</v>
      </c>
      <c r="F116">
        <v>1892</v>
      </c>
      <c r="G116">
        <v>666</v>
      </c>
      <c r="H116">
        <v>1586</v>
      </c>
      <c r="I116">
        <v>375</v>
      </c>
      <c r="J116">
        <v>557</v>
      </c>
      <c r="K116">
        <v>299</v>
      </c>
      <c r="L116">
        <v>901</v>
      </c>
      <c r="M116">
        <v>367</v>
      </c>
      <c r="N116">
        <v>234</v>
      </c>
      <c r="O116">
        <v>89</v>
      </c>
      <c r="P116">
        <v>399</v>
      </c>
      <c r="R116">
        <v>115</v>
      </c>
    </row>
    <row r="117" spans="1:18">
      <c r="A117" s="1" t="s">
        <v>113</v>
      </c>
      <c r="B117">
        <v>28</v>
      </c>
      <c r="C117">
        <v>9</v>
      </c>
      <c r="D117">
        <v>19</v>
      </c>
      <c r="E117">
        <v>-1.24</v>
      </c>
      <c r="F117">
        <v>1544</v>
      </c>
      <c r="G117">
        <v>546</v>
      </c>
      <c r="H117">
        <v>1445</v>
      </c>
      <c r="I117">
        <v>315</v>
      </c>
      <c r="J117">
        <v>468</v>
      </c>
      <c r="K117">
        <v>329</v>
      </c>
      <c r="L117">
        <v>894</v>
      </c>
      <c r="M117">
        <v>278</v>
      </c>
      <c r="N117">
        <v>180</v>
      </c>
      <c r="O117">
        <v>47</v>
      </c>
      <c r="P117">
        <v>362</v>
      </c>
      <c r="R117">
        <v>116</v>
      </c>
    </row>
    <row r="118" spans="1:18">
      <c r="A118" s="1" t="s">
        <v>114</v>
      </c>
      <c r="B118">
        <v>34</v>
      </c>
      <c r="C118">
        <v>20</v>
      </c>
      <c r="D118">
        <v>14</v>
      </c>
      <c r="E118">
        <v>1.42</v>
      </c>
      <c r="F118">
        <v>2503</v>
      </c>
      <c r="G118">
        <v>862</v>
      </c>
      <c r="H118">
        <v>1953</v>
      </c>
      <c r="I118">
        <v>528</v>
      </c>
      <c r="J118">
        <v>802</v>
      </c>
      <c r="K118">
        <v>423</v>
      </c>
      <c r="L118">
        <v>1180</v>
      </c>
      <c r="M118">
        <v>462</v>
      </c>
      <c r="N118">
        <v>195</v>
      </c>
      <c r="O118">
        <v>48</v>
      </c>
      <c r="P118">
        <v>435</v>
      </c>
      <c r="R118">
        <v>117</v>
      </c>
    </row>
    <row r="119" spans="1:18">
      <c r="A119" s="1" t="s">
        <v>115</v>
      </c>
      <c r="B119">
        <v>31</v>
      </c>
      <c r="C119">
        <v>17</v>
      </c>
      <c r="D119">
        <v>14</v>
      </c>
      <c r="E119">
        <v>1.51</v>
      </c>
      <c r="F119">
        <v>2081</v>
      </c>
      <c r="G119">
        <v>745</v>
      </c>
      <c r="H119">
        <v>1686</v>
      </c>
      <c r="I119">
        <v>427</v>
      </c>
      <c r="J119">
        <v>551</v>
      </c>
      <c r="K119">
        <v>306</v>
      </c>
      <c r="L119">
        <v>969</v>
      </c>
      <c r="M119">
        <v>436</v>
      </c>
      <c r="N119">
        <v>207</v>
      </c>
      <c r="O119">
        <v>67</v>
      </c>
      <c r="P119">
        <v>442</v>
      </c>
      <c r="R119">
        <v>118</v>
      </c>
    </row>
    <row r="120" spans="1:18">
      <c r="A120" s="1" t="s">
        <v>348</v>
      </c>
      <c r="B120">
        <v>35</v>
      </c>
      <c r="C120">
        <v>26</v>
      </c>
      <c r="D120">
        <v>9</v>
      </c>
      <c r="E120">
        <v>9.94</v>
      </c>
      <c r="F120">
        <v>2708</v>
      </c>
      <c r="G120">
        <v>908</v>
      </c>
      <c r="H120">
        <v>1932</v>
      </c>
      <c r="I120">
        <v>638</v>
      </c>
      <c r="J120">
        <v>862</v>
      </c>
      <c r="K120">
        <v>392</v>
      </c>
      <c r="L120">
        <v>1264</v>
      </c>
      <c r="M120">
        <v>590</v>
      </c>
      <c r="N120">
        <v>258</v>
      </c>
      <c r="O120">
        <v>141</v>
      </c>
      <c r="P120">
        <v>511</v>
      </c>
      <c r="R120">
        <v>119</v>
      </c>
    </row>
    <row r="121" spans="1:18">
      <c r="A121" s="1" t="s">
        <v>308</v>
      </c>
      <c r="B121">
        <v>28</v>
      </c>
      <c r="C121">
        <v>6</v>
      </c>
      <c r="D121">
        <v>22</v>
      </c>
      <c r="E121">
        <v>1.72</v>
      </c>
      <c r="F121">
        <v>1730</v>
      </c>
      <c r="G121">
        <v>607</v>
      </c>
      <c r="H121">
        <v>1463</v>
      </c>
      <c r="I121">
        <v>349</v>
      </c>
      <c r="J121">
        <v>548</v>
      </c>
      <c r="K121">
        <v>270</v>
      </c>
      <c r="L121">
        <v>880</v>
      </c>
      <c r="M121">
        <v>345</v>
      </c>
      <c r="N121">
        <v>153</v>
      </c>
      <c r="O121">
        <v>87</v>
      </c>
      <c r="P121">
        <v>365</v>
      </c>
      <c r="R121">
        <v>120</v>
      </c>
    </row>
    <row r="122" spans="1:18">
      <c r="A122" s="1" t="s">
        <v>327</v>
      </c>
      <c r="B122">
        <v>37</v>
      </c>
      <c r="C122">
        <v>25</v>
      </c>
      <c r="D122">
        <v>12</v>
      </c>
      <c r="E122">
        <v>12.08</v>
      </c>
      <c r="F122">
        <v>2607</v>
      </c>
      <c r="G122">
        <v>916</v>
      </c>
      <c r="H122">
        <v>1990</v>
      </c>
      <c r="I122">
        <v>505</v>
      </c>
      <c r="J122">
        <v>726</v>
      </c>
      <c r="K122">
        <v>406</v>
      </c>
      <c r="L122">
        <v>1303</v>
      </c>
      <c r="M122">
        <v>546</v>
      </c>
      <c r="N122">
        <v>254</v>
      </c>
      <c r="O122">
        <v>192</v>
      </c>
      <c r="P122">
        <v>508</v>
      </c>
      <c r="R122">
        <v>121</v>
      </c>
    </row>
    <row r="123" spans="1:18">
      <c r="A123" s="1" t="s">
        <v>309</v>
      </c>
      <c r="B123">
        <v>30</v>
      </c>
      <c r="C123">
        <v>13</v>
      </c>
      <c r="D123">
        <v>17</v>
      </c>
      <c r="E123">
        <v>-4.25</v>
      </c>
      <c r="F123">
        <v>2132</v>
      </c>
      <c r="G123">
        <v>728</v>
      </c>
      <c r="H123">
        <v>1674</v>
      </c>
      <c r="I123">
        <v>528</v>
      </c>
      <c r="J123">
        <v>761</v>
      </c>
      <c r="K123">
        <v>385</v>
      </c>
      <c r="L123">
        <v>1098</v>
      </c>
      <c r="M123">
        <v>417</v>
      </c>
      <c r="N123">
        <v>238</v>
      </c>
      <c r="O123">
        <v>153</v>
      </c>
      <c r="P123">
        <v>555</v>
      </c>
      <c r="R123">
        <v>122</v>
      </c>
    </row>
    <row r="124" spans="1:18">
      <c r="A124" s="1" t="s">
        <v>310</v>
      </c>
      <c r="B124">
        <v>31</v>
      </c>
      <c r="C124">
        <v>12</v>
      </c>
      <c r="D124">
        <v>19</v>
      </c>
      <c r="E124">
        <v>4.8899999999999997</v>
      </c>
      <c r="F124">
        <v>2161</v>
      </c>
      <c r="G124">
        <v>742</v>
      </c>
      <c r="H124">
        <v>1611</v>
      </c>
      <c r="I124">
        <v>575</v>
      </c>
      <c r="J124">
        <v>769</v>
      </c>
      <c r="K124">
        <v>337</v>
      </c>
      <c r="L124">
        <v>1104</v>
      </c>
      <c r="M124">
        <v>344</v>
      </c>
      <c r="N124">
        <v>155</v>
      </c>
      <c r="O124">
        <v>130</v>
      </c>
      <c r="P124">
        <v>455</v>
      </c>
      <c r="R124">
        <v>123</v>
      </c>
    </row>
    <row r="125" spans="1:18">
      <c r="A125" s="1" t="s">
        <v>116</v>
      </c>
      <c r="B125">
        <v>35</v>
      </c>
      <c r="C125">
        <v>19</v>
      </c>
      <c r="D125">
        <v>16</v>
      </c>
      <c r="E125">
        <v>7.9</v>
      </c>
      <c r="F125">
        <v>2541</v>
      </c>
      <c r="G125">
        <v>872</v>
      </c>
      <c r="H125">
        <v>1910</v>
      </c>
      <c r="I125">
        <v>589</v>
      </c>
      <c r="J125">
        <v>850</v>
      </c>
      <c r="K125">
        <v>441</v>
      </c>
      <c r="L125">
        <v>1295</v>
      </c>
      <c r="M125">
        <v>507</v>
      </c>
      <c r="N125">
        <v>253</v>
      </c>
      <c r="O125">
        <v>120</v>
      </c>
      <c r="P125">
        <v>540</v>
      </c>
      <c r="R125">
        <v>124</v>
      </c>
    </row>
    <row r="126" spans="1:18">
      <c r="A126" s="1" t="s">
        <v>117</v>
      </c>
      <c r="B126">
        <v>30</v>
      </c>
      <c r="C126">
        <v>15</v>
      </c>
      <c r="D126">
        <v>15</v>
      </c>
      <c r="E126">
        <v>-0.31</v>
      </c>
      <c r="F126">
        <v>2256</v>
      </c>
      <c r="G126">
        <v>800</v>
      </c>
      <c r="H126">
        <v>1786</v>
      </c>
      <c r="I126">
        <v>443</v>
      </c>
      <c r="J126">
        <v>670</v>
      </c>
      <c r="K126">
        <v>385</v>
      </c>
      <c r="L126">
        <v>1133</v>
      </c>
      <c r="M126">
        <v>472</v>
      </c>
      <c r="N126">
        <v>217</v>
      </c>
      <c r="O126">
        <v>88</v>
      </c>
      <c r="P126">
        <v>451</v>
      </c>
      <c r="R126">
        <v>125</v>
      </c>
    </row>
    <row r="127" spans="1:18">
      <c r="A127" s="1" t="s">
        <v>278</v>
      </c>
      <c r="B127">
        <v>28</v>
      </c>
      <c r="C127">
        <v>9</v>
      </c>
      <c r="D127">
        <v>19</v>
      </c>
      <c r="E127">
        <v>-10.81</v>
      </c>
      <c r="F127">
        <v>2047</v>
      </c>
      <c r="G127">
        <v>738</v>
      </c>
      <c r="H127">
        <v>1696</v>
      </c>
      <c r="I127">
        <v>414</v>
      </c>
      <c r="J127">
        <v>676</v>
      </c>
      <c r="K127">
        <v>335</v>
      </c>
      <c r="L127">
        <v>983</v>
      </c>
      <c r="M127">
        <v>471</v>
      </c>
      <c r="N127">
        <v>187</v>
      </c>
      <c r="O127">
        <v>74</v>
      </c>
      <c r="P127">
        <v>418</v>
      </c>
      <c r="R127">
        <v>126</v>
      </c>
    </row>
    <row r="128" spans="1:18">
      <c r="A128" s="1" t="s">
        <v>118</v>
      </c>
      <c r="B128">
        <v>29</v>
      </c>
      <c r="C128">
        <v>13</v>
      </c>
      <c r="D128">
        <v>16</v>
      </c>
      <c r="E128">
        <v>-6.43</v>
      </c>
      <c r="F128">
        <v>2037</v>
      </c>
      <c r="G128">
        <v>710</v>
      </c>
      <c r="H128">
        <v>1627</v>
      </c>
      <c r="I128">
        <v>442</v>
      </c>
      <c r="J128">
        <v>649</v>
      </c>
      <c r="K128">
        <v>399</v>
      </c>
      <c r="L128">
        <v>1024</v>
      </c>
      <c r="M128">
        <v>367</v>
      </c>
      <c r="N128">
        <v>235</v>
      </c>
      <c r="O128">
        <v>66</v>
      </c>
      <c r="P128">
        <v>459</v>
      </c>
      <c r="R128">
        <v>127</v>
      </c>
    </row>
    <row r="129" spans="1:18">
      <c r="A129" s="1" t="s">
        <v>119</v>
      </c>
      <c r="B129">
        <v>30</v>
      </c>
      <c r="C129">
        <v>18</v>
      </c>
      <c r="D129">
        <v>12</v>
      </c>
      <c r="E129">
        <v>-5.26</v>
      </c>
      <c r="F129">
        <v>2130</v>
      </c>
      <c r="G129">
        <v>762</v>
      </c>
      <c r="H129">
        <v>1764</v>
      </c>
      <c r="I129">
        <v>406</v>
      </c>
      <c r="J129">
        <v>610</v>
      </c>
      <c r="K129">
        <v>452</v>
      </c>
      <c r="L129">
        <v>1187</v>
      </c>
      <c r="M129">
        <v>348</v>
      </c>
      <c r="N129">
        <v>245</v>
      </c>
      <c r="O129">
        <v>152</v>
      </c>
      <c r="P129">
        <v>500</v>
      </c>
      <c r="R129">
        <v>128</v>
      </c>
    </row>
    <row r="130" spans="1:18">
      <c r="A130" s="1" t="s">
        <v>120</v>
      </c>
      <c r="B130">
        <v>29</v>
      </c>
      <c r="C130">
        <v>14</v>
      </c>
      <c r="D130">
        <v>15</v>
      </c>
      <c r="E130">
        <v>-3.35</v>
      </c>
      <c r="F130">
        <v>2031</v>
      </c>
      <c r="G130">
        <v>707</v>
      </c>
      <c r="H130">
        <v>1679</v>
      </c>
      <c r="I130">
        <v>443</v>
      </c>
      <c r="J130">
        <v>640</v>
      </c>
      <c r="K130">
        <v>393</v>
      </c>
      <c r="L130">
        <v>1121</v>
      </c>
      <c r="M130">
        <v>313</v>
      </c>
      <c r="N130">
        <v>155</v>
      </c>
      <c r="O130">
        <v>105</v>
      </c>
      <c r="P130">
        <v>380</v>
      </c>
      <c r="R130">
        <v>129</v>
      </c>
    </row>
    <row r="131" spans="1:18">
      <c r="A131" s="1" t="s">
        <v>121</v>
      </c>
      <c r="B131">
        <v>29</v>
      </c>
      <c r="C131">
        <v>13</v>
      </c>
      <c r="D131">
        <v>16</v>
      </c>
      <c r="E131">
        <v>6.77</v>
      </c>
      <c r="F131">
        <v>1985</v>
      </c>
      <c r="G131">
        <v>713</v>
      </c>
      <c r="H131">
        <v>1616</v>
      </c>
      <c r="I131">
        <v>408</v>
      </c>
      <c r="J131">
        <v>614</v>
      </c>
      <c r="K131">
        <v>333</v>
      </c>
      <c r="L131">
        <v>1016</v>
      </c>
      <c r="M131">
        <v>408</v>
      </c>
      <c r="N131">
        <v>169</v>
      </c>
      <c r="O131">
        <v>117</v>
      </c>
      <c r="P131">
        <v>418</v>
      </c>
      <c r="R131">
        <v>130</v>
      </c>
    </row>
    <row r="132" spans="1:18">
      <c r="A132" s="1" t="s">
        <v>375</v>
      </c>
      <c r="B132">
        <v>37</v>
      </c>
      <c r="C132">
        <v>33</v>
      </c>
      <c r="D132">
        <v>4</v>
      </c>
      <c r="E132">
        <v>9.35</v>
      </c>
      <c r="F132">
        <v>3365</v>
      </c>
      <c r="G132">
        <v>1259</v>
      </c>
      <c r="H132">
        <v>2487</v>
      </c>
      <c r="I132">
        <v>623</v>
      </c>
      <c r="J132">
        <v>867</v>
      </c>
      <c r="K132">
        <v>557</v>
      </c>
      <c r="L132">
        <v>1638</v>
      </c>
      <c r="M132">
        <v>767</v>
      </c>
      <c r="N132">
        <v>357</v>
      </c>
      <c r="O132">
        <v>210</v>
      </c>
      <c r="P132">
        <v>602</v>
      </c>
      <c r="R132">
        <v>131</v>
      </c>
    </row>
    <row r="133" spans="1:18">
      <c r="A133" s="1" t="s">
        <v>122</v>
      </c>
      <c r="B133">
        <v>36</v>
      </c>
      <c r="C133">
        <v>30</v>
      </c>
      <c r="D133">
        <v>6</v>
      </c>
      <c r="E133">
        <v>2.1</v>
      </c>
      <c r="F133">
        <v>2732</v>
      </c>
      <c r="G133">
        <v>986</v>
      </c>
      <c r="H133">
        <v>2102</v>
      </c>
      <c r="I133">
        <v>536</v>
      </c>
      <c r="J133">
        <v>736</v>
      </c>
      <c r="K133">
        <v>474</v>
      </c>
      <c r="L133">
        <v>1322</v>
      </c>
      <c r="M133">
        <v>483</v>
      </c>
      <c r="N133">
        <v>229</v>
      </c>
      <c r="O133">
        <v>72</v>
      </c>
      <c r="P133">
        <v>391</v>
      </c>
      <c r="R133">
        <v>132</v>
      </c>
    </row>
    <row r="134" spans="1:18">
      <c r="A134" s="1" t="s">
        <v>354</v>
      </c>
      <c r="B134">
        <v>32</v>
      </c>
      <c r="C134">
        <v>22</v>
      </c>
      <c r="D134">
        <v>10</v>
      </c>
      <c r="E134">
        <v>11.99</v>
      </c>
      <c r="F134">
        <v>2460</v>
      </c>
      <c r="G134">
        <v>905</v>
      </c>
      <c r="H134">
        <v>2021</v>
      </c>
      <c r="I134">
        <v>431</v>
      </c>
      <c r="J134">
        <v>638</v>
      </c>
      <c r="K134">
        <v>492</v>
      </c>
      <c r="L134">
        <v>1283</v>
      </c>
      <c r="M134">
        <v>471</v>
      </c>
      <c r="N134">
        <v>252</v>
      </c>
      <c r="O134">
        <v>153</v>
      </c>
      <c r="P134">
        <v>460</v>
      </c>
      <c r="R134">
        <v>133</v>
      </c>
    </row>
    <row r="135" spans="1:18">
      <c r="A135" s="1" t="s">
        <v>123</v>
      </c>
      <c r="B135">
        <v>32</v>
      </c>
      <c r="C135">
        <v>15</v>
      </c>
      <c r="D135">
        <v>17</v>
      </c>
      <c r="E135">
        <v>2.64</v>
      </c>
      <c r="F135">
        <v>2128</v>
      </c>
      <c r="G135">
        <v>754</v>
      </c>
      <c r="H135">
        <v>1833</v>
      </c>
      <c r="I135">
        <v>444</v>
      </c>
      <c r="J135">
        <v>604</v>
      </c>
      <c r="K135">
        <v>454</v>
      </c>
      <c r="L135">
        <v>1193</v>
      </c>
      <c r="M135">
        <v>398</v>
      </c>
      <c r="N135">
        <v>209</v>
      </c>
      <c r="O135">
        <v>102</v>
      </c>
      <c r="P135">
        <v>475</v>
      </c>
      <c r="R135">
        <v>134</v>
      </c>
    </row>
    <row r="136" spans="1:18">
      <c r="A136" s="1" t="s">
        <v>279</v>
      </c>
      <c r="B136">
        <v>29</v>
      </c>
      <c r="C136">
        <v>15</v>
      </c>
      <c r="D136">
        <v>14</v>
      </c>
      <c r="E136">
        <v>-6.15</v>
      </c>
      <c r="F136">
        <v>2106</v>
      </c>
      <c r="G136">
        <v>713</v>
      </c>
      <c r="H136">
        <v>1536</v>
      </c>
      <c r="I136">
        <v>458</v>
      </c>
      <c r="J136">
        <v>613</v>
      </c>
      <c r="K136">
        <v>235</v>
      </c>
      <c r="L136">
        <v>901</v>
      </c>
      <c r="M136">
        <v>423</v>
      </c>
      <c r="N136">
        <v>244</v>
      </c>
      <c r="O136">
        <v>95</v>
      </c>
      <c r="P136">
        <v>445</v>
      </c>
      <c r="R136">
        <v>135</v>
      </c>
    </row>
    <row r="137" spans="1:18">
      <c r="A137" s="1" t="s">
        <v>280</v>
      </c>
      <c r="B137">
        <v>29</v>
      </c>
      <c r="C137">
        <v>15</v>
      </c>
      <c r="D137">
        <v>14</v>
      </c>
      <c r="E137">
        <v>-7.9</v>
      </c>
      <c r="F137">
        <v>2032</v>
      </c>
      <c r="G137">
        <v>691</v>
      </c>
      <c r="H137">
        <v>1635</v>
      </c>
      <c r="I137">
        <v>455</v>
      </c>
      <c r="J137">
        <v>663</v>
      </c>
      <c r="K137">
        <v>323</v>
      </c>
      <c r="L137">
        <v>1114</v>
      </c>
      <c r="M137">
        <v>316</v>
      </c>
      <c r="N137">
        <v>180</v>
      </c>
      <c r="O137">
        <v>120</v>
      </c>
      <c r="P137">
        <v>446</v>
      </c>
      <c r="R137">
        <v>136</v>
      </c>
    </row>
    <row r="138" spans="1:18">
      <c r="A138" s="1" t="s">
        <v>124</v>
      </c>
      <c r="B138">
        <v>28</v>
      </c>
      <c r="C138">
        <v>5</v>
      </c>
      <c r="D138">
        <v>23</v>
      </c>
      <c r="E138">
        <v>-6.5</v>
      </c>
      <c r="F138">
        <v>1853</v>
      </c>
      <c r="G138">
        <v>655</v>
      </c>
      <c r="H138">
        <v>1531</v>
      </c>
      <c r="I138">
        <v>383</v>
      </c>
      <c r="J138">
        <v>548</v>
      </c>
      <c r="K138">
        <v>266</v>
      </c>
      <c r="L138">
        <v>941</v>
      </c>
      <c r="M138">
        <v>414</v>
      </c>
      <c r="N138">
        <v>213</v>
      </c>
      <c r="O138">
        <v>94</v>
      </c>
      <c r="P138">
        <v>474</v>
      </c>
      <c r="R138">
        <v>137</v>
      </c>
    </row>
    <row r="139" spans="1:18">
      <c r="A139" s="1" t="s">
        <v>125</v>
      </c>
      <c r="B139">
        <v>30</v>
      </c>
      <c r="C139">
        <v>5</v>
      </c>
      <c r="D139">
        <v>25</v>
      </c>
      <c r="E139">
        <v>-7.26</v>
      </c>
      <c r="F139">
        <v>1907</v>
      </c>
      <c r="G139">
        <v>689</v>
      </c>
      <c r="H139">
        <v>1692</v>
      </c>
      <c r="I139">
        <v>404</v>
      </c>
      <c r="J139">
        <v>653</v>
      </c>
      <c r="K139">
        <v>378</v>
      </c>
      <c r="L139">
        <v>1091</v>
      </c>
      <c r="M139">
        <v>326</v>
      </c>
      <c r="N139">
        <v>264</v>
      </c>
      <c r="O139">
        <v>90</v>
      </c>
      <c r="P139">
        <v>613</v>
      </c>
      <c r="R139">
        <v>138</v>
      </c>
    </row>
    <row r="140" spans="1:18">
      <c r="A140" s="1" t="s">
        <v>126</v>
      </c>
      <c r="B140">
        <v>30</v>
      </c>
      <c r="C140">
        <v>13</v>
      </c>
      <c r="D140">
        <v>17</v>
      </c>
      <c r="E140">
        <v>0.91</v>
      </c>
      <c r="F140">
        <v>2135</v>
      </c>
      <c r="G140">
        <v>781</v>
      </c>
      <c r="H140">
        <v>1701</v>
      </c>
      <c r="I140">
        <v>380</v>
      </c>
      <c r="J140">
        <v>594</v>
      </c>
      <c r="K140">
        <v>335</v>
      </c>
      <c r="L140">
        <v>1005</v>
      </c>
      <c r="M140">
        <v>428</v>
      </c>
      <c r="N140">
        <v>231</v>
      </c>
      <c r="O140">
        <v>87</v>
      </c>
      <c r="P140">
        <v>490</v>
      </c>
      <c r="R140">
        <v>139</v>
      </c>
    </row>
    <row r="141" spans="1:18">
      <c r="A141" s="1" t="s">
        <v>127</v>
      </c>
      <c r="B141">
        <v>27</v>
      </c>
      <c r="C141">
        <v>5</v>
      </c>
      <c r="D141">
        <v>22</v>
      </c>
      <c r="E141">
        <v>-7.69</v>
      </c>
      <c r="F141">
        <v>2055</v>
      </c>
      <c r="G141">
        <v>763</v>
      </c>
      <c r="H141">
        <v>1763</v>
      </c>
      <c r="I141">
        <v>361</v>
      </c>
      <c r="J141">
        <v>528</v>
      </c>
      <c r="K141">
        <v>328</v>
      </c>
      <c r="L141">
        <v>906</v>
      </c>
      <c r="M141">
        <v>388</v>
      </c>
      <c r="N141">
        <v>206</v>
      </c>
      <c r="O141">
        <v>54</v>
      </c>
      <c r="P141">
        <v>413</v>
      </c>
      <c r="R141">
        <v>140</v>
      </c>
    </row>
    <row r="142" spans="1:18">
      <c r="A142" s="1" t="s">
        <v>281</v>
      </c>
      <c r="B142">
        <v>31</v>
      </c>
      <c r="C142">
        <v>20</v>
      </c>
      <c r="D142">
        <v>11</v>
      </c>
      <c r="E142">
        <v>0.15</v>
      </c>
      <c r="F142">
        <v>2146</v>
      </c>
      <c r="G142">
        <v>775</v>
      </c>
      <c r="H142">
        <v>1790</v>
      </c>
      <c r="I142">
        <v>456</v>
      </c>
      <c r="J142">
        <v>710</v>
      </c>
      <c r="K142">
        <v>422</v>
      </c>
      <c r="L142">
        <v>1202</v>
      </c>
      <c r="M142">
        <v>459</v>
      </c>
      <c r="N142">
        <v>227</v>
      </c>
      <c r="O142">
        <v>159</v>
      </c>
      <c r="P142">
        <v>502</v>
      </c>
      <c r="R142">
        <v>141</v>
      </c>
    </row>
    <row r="143" spans="1:18">
      <c r="A143" s="1" t="s">
        <v>128</v>
      </c>
      <c r="B143">
        <v>32</v>
      </c>
      <c r="C143">
        <v>20</v>
      </c>
      <c r="D143">
        <v>12</v>
      </c>
      <c r="E143">
        <v>-4.43</v>
      </c>
      <c r="F143">
        <v>2274</v>
      </c>
      <c r="G143">
        <v>835</v>
      </c>
      <c r="H143">
        <v>1917</v>
      </c>
      <c r="I143">
        <v>422</v>
      </c>
      <c r="J143">
        <v>649</v>
      </c>
      <c r="K143">
        <v>418</v>
      </c>
      <c r="L143">
        <v>1204</v>
      </c>
      <c r="M143">
        <v>440</v>
      </c>
      <c r="N143">
        <v>252</v>
      </c>
      <c r="O143">
        <v>217</v>
      </c>
      <c r="P143">
        <v>498</v>
      </c>
      <c r="R143">
        <v>142</v>
      </c>
    </row>
    <row r="144" spans="1:18">
      <c r="A144" s="1" t="s">
        <v>282</v>
      </c>
      <c r="B144">
        <v>34</v>
      </c>
      <c r="C144">
        <v>19</v>
      </c>
      <c r="D144">
        <v>15</v>
      </c>
      <c r="E144">
        <v>5.82</v>
      </c>
      <c r="F144">
        <v>2324</v>
      </c>
      <c r="G144">
        <v>850</v>
      </c>
      <c r="H144">
        <v>1860</v>
      </c>
      <c r="I144">
        <v>420</v>
      </c>
      <c r="J144">
        <v>626</v>
      </c>
      <c r="K144">
        <v>373</v>
      </c>
      <c r="L144">
        <v>1217</v>
      </c>
      <c r="M144">
        <v>468</v>
      </c>
      <c r="N144">
        <v>280</v>
      </c>
      <c r="O144">
        <v>79</v>
      </c>
      <c r="P144">
        <v>518</v>
      </c>
      <c r="R144">
        <v>143</v>
      </c>
    </row>
    <row r="145" spans="1:18">
      <c r="A145" s="1" t="s">
        <v>129</v>
      </c>
      <c r="B145">
        <v>32</v>
      </c>
      <c r="C145">
        <v>22</v>
      </c>
      <c r="D145">
        <v>10</v>
      </c>
      <c r="E145">
        <v>2.52</v>
      </c>
      <c r="F145">
        <v>2340</v>
      </c>
      <c r="G145">
        <v>821</v>
      </c>
      <c r="H145">
        <v>1826</v>
      </c>
      <c r="I145">
        <v>536</v>
      </c>
      <c r="J145">
        <v>767</v>
      </c>
      <c r="K145">
        <v>435</v>
      </c>
      <c r="L145">
        <v>1310</v>
      </c>
      <c r="M145">
        <v>410</v>
      </c>
      <c r="N145">
        <v>190</v>
      </c>
      <c r="O145">
        <v>90</v>
      </c>
      <c r="P145">
        <v>447</v>
      </c>
      <c r="R145">
        <v>144</v>
      </c>
    </row>
    <row r="146" spans="1:18">
      <c r="A146" s="1" t="s">
        <v>283</v>
      </c>
      <c r="B146">
        <v>32</v>
      </c>
      <c r="C146">
        <v>19</v>
      </c>
      <c r="D146">
        <v>13</v>
      </c>
      <c r="E146">
        <v>7.35</v>
      </c>
      <c r="F146">
        <v>2431</v>
      </c>
      <c r="G146">
        <v>853</v>
      </c>
      <c r="H146">
        <v>2022</v>
      </c>
      <c r="I146">
        <v>464</v>
      </c>
      <c r="J146">
        <v>734</v>
      </c>
      <c r="K146">
        <v>459</v>
      </c>
      <c r="L146">
        <v>1255</v>
      </c>
      <c r="M146">
        <v>475</v>
      </c>
      <c r="N146">
        <v>248</v>
      </c>
      <c r="O146">
        <v>124</v>
      </c>
      <c r="P146">
        <v>476</v>
      </c>
      <c r="R146">
        <v>145</v>
      </c>
    </row>
    <row r="147" spans="1:18">
      <c r="A147" s="1" t="s">
        <v>130</v>
      </c>
      <c r="B147">
        <v>30</v>
      </c>
      <c r="C147">
        <v>17</v>
      </c>
      <c r="D147">
        <v>13</v>
      </c>
      <c r="E147">
        <v>-0.54</v>
      </c>
      <c r="F147">
        <v>2170</v>
      </c>
      <c r="G147">
        <v>765</v>
      </c>
      <c r="H147">
        <v>1829</v>
      </c>
      <c r="I147">
        <v>493</v>
      </c>
      <c r="J147">
        <v>707</v>
      </c>
      <c r="K147">
        <v>477</v>
      </c>
      <c r="L147">
        <v>1191</v>
      </c>
      <c r="M147">
        <v>418</v>
      </c>
      <c r="N147">
        <v>223</v>
      </c>
      <c r="O147">
        <v>86</v>
      </c>
      <c r="P147">
        <v>436</v>
      </c>
      <c r="R147">
        <v>146</v>
      </c>
    </row>
    <row r="148" spans="1:18">
      <c r="A148" s="1" t="s">
        <v>131</v>
      </c>
      <c r="B148">
        <v>29</v>
      </c>
      <c r="C148">
        <v>9</v>
      </c>
      <c r="D148">
        <v>20</v>
      </c>
      <c r="E148">
        <v>-0.1</v>
      </c>
      <c r="F148">
        <v>2002</v>
      </c>
      <c r="G148">
        <v>696</v>
      </c>
      <c r="H148">
        <v>1673</v>
      </c>
      <c r="I148">
        <v>466</v>
      </c>
      <c r="J148">
        <v>600</v>
      </c>
      <c r="K148">
        <v>329</v>
      </c>
      <c r="L148">
        <v>1015</v>
      </c>
      <c r="M148">
        <v>407</v>
      </c>
      <c r="N148">
        <v>177</v>
      </c>
      <c r="O148">
        <v>67</v>
      </c>
      <c r="P148">
        <v>430</v>
      </c>
      <c r="R148">
        <v>147</v>
      </c>
    </row>
    <row r="149" spans="1:18">
      <c r="A149" s="1" t="s">
        <v>132</v>
      </c>
      <c r="B149">
        <v>28</v>
      </c>
      <c r="C149">
        <v>5</v>
      </c>
      <c r="D149">
        <v>23</v>
      </c>
      <c r="E149">
        <v>-6.18</v>
      </c>
      <c r="F149">
        <v>1649</v>
      </c>
      <c r="G149">
        <v>542</v>
      </c>
      <c r="H149">
        <v>1461</v>
      </c>
      <c r="I149">
        <v>436</v>
      </c>
      <c r="J149">
        <v>667</v>
      </c>
      <c r="K149">
        <v>307</v>
      </c>
      <c r="L149">
        <v>945</v>
      </c>
      <c r="M149">
        <v>257</v>
      </c>
      <c r="N149">
        <v>209</v>
      </c>
      <c r="O149">
        <v>40</v>
      </c>
      <c r="P149">
        <v>459</v>
      </c>
      <c r="R149">
        <v>148</v>
      </c>
    </row>
    <row r="150" spans="1:18">
      <c r="A150" s="1" t="s">
        <v>133</v>
      </c>
      <c r="B150">
        <v>30</v>
      </c>
      <c r="C150">
        <v>12</v>
      </c>
      <c r="D150">
        <v>18</v>
      </c>
      <c r="E150">
        <v>-9.5500000000000007</v>
      </c>
      <c r="F150">
        <v>1908</v>
      </c>
      <c r="G150">
        <v>670</v>
      </c>
      <c r="H150">
        <v>1516</v>
      </c>
      <c r="I150">
        <v>401</v>
      </c>
      <c r="J150">
        <v>597</v>
      </c>
      <c r="K150">
        <v>326</v>
      </c>
      <c r="L150">
        <v>1082</v>
      </c>
      <c r="M150">
        <v>386</v>
      </c>
      <c r="N150">
        <v>186</v>
      </c>
      <c r="O150">
        <v>182</v>
      </c>
      <c r="P150">
        <v>499</v>
      </c>
      <c r="R150">
        <v>149</v>
      </c>
    </row>
    <row r="151" spans="1:18">
      <c r="A151" s="1" t="s">
        <v>134</v>
      </c>
      <c r="B151">
        <v>29</v>
      </c>
      <c r="C151">
        <v>20</v>
      </c>
      <c r="D151">
        <v>9</v>
      </c>
      <c r="E151">
        <v>-5.39</v>
      </c>
      <c r="F151">
        <v>2176</v>
      </c>
      <c r="G151">
        <v>747</v>
      </c>
      <c r="H151">
        <v>1667</v>
      </c>
      <c r="I151">
        <v>541</v>
      </c>
      <c r="J151">
        <v>733</v>
      </c>
      <c r="K151">
        <v>385</v>
      </c>
      <c r="L151">
        <v>1036</v>
      </c>
      <c r="M151">
        <v>374</v>
      </c>
      <c r="N151">
        <v>286</v>
      </c>
      <c r="O151">
        <v>105</v>
      </c>
      <c r="P151">
        <v>448</v>
      </c>
      <c r="R151">
        <v>150</v>
      </c>
    </row>
    <row r="152" spans="1:18">
      <c r="A152" s="1" t="s">
        <v>135</v>
      </c>
      <c r="B152">
        <v>28</v>
      </c>
      <c r="C152">
        <v>19</v>
      </c>
      <c r="D152">
        <v>9</v>
      </c>
      <c r="E152">
        <v>-5.2</v>
      </c>
      <c r="F152">
        <v>2079</v>
      </c>
      <c r="G152">
        <v>702</v>
      </c>
      <c r="H152">
        <v>1614</v>
      </c>
      <c r="I152">
        <v>468</v>
      </c>
      <c r="J152">
        <v>627</v>
      </c>
      <c r="K152">
        <v>281</v>
      </c>
      <c r="L152">
        <v>951</v>
      </c>
      <c r="M152">
        <v>427</v>
      </c>
      <c r="N152">
        <v>230</v>
      </c>
      <c r="O152">
        <v>113</v>
      </c>
      <c r="P152">
        <v>329</v>
      </c>
      <c r="R152">
        <v>151</v>
      </c>
    </row>
    <row r="153" spans="1:18">
      <c r="A153" s="1" t="s">
        <v>136</v>
      </c>
      <c r="B153">
        <v>33</v>
      </c>
      <c r="C153">
        <v>26</v>
      </c>
      <c r="D153">
        <v>7</v>
      </c>
      <c r="E153">
        <v>4.7699999999999996</v>
      </c>
      <c r="F153">
        <v>2413</v>
      </c>
      <c r="G153">
        <v>871</v>
      </c>
      <c r="H153">
        <v>1841</v>
      </c>
      <c r="I153">
        <v>498</v>
      </c>
      <c r="J153">
        <v>720</v>
      </c>
      <c r="K153">
        <v>420</v>
      </c>
      <c r="L153">
        <v>1170</v>
      </c>
      <c r="M153">
        <v>462</v>
      </c>
      <c r="N153">
        <v>279</v>
      </c>
      <c r="O153">
        <v>113</v>
      </c>
      <c r="P153">
        <v>455</v>
      </c>
      <c r="R153">
        <v>152</v>
      </c>
    </row>
    <row r="154" spans="1:18">
      <c r="A154" s="1" t="s">
        <v>137</v>
      </c>
      <c r="B154">
        <v>30</v>
      </c>
      <c r="C154">
        <v>15</v>
      </c>
      <c r="D154">
        <v>15</v>
      </c>
      <c r="E154">
        <v>1.22</v>
      </c>
      <c r="F154">
        <v>2328</v>
      </c>
      <c r="G154">
        <v>824</v>
      </c>
      <c r="H154">
        <v>1751</v>
      </c>
      <c r="I154">
        <v>428</v>
      </c>
      <c r="J154">
        <v>620</v>
      </c>
      <c r="K154">
        <v>347</v>
      </c>
      <c r="L154">
        <v>1065</v>
      </c>
      <c r="M154">
        <v>461</v>
      </c>
      <c r="N154">
        <v>193</v>
      </c>
      <c r="O154">
        <v>98</v>
      </c>
      <c r="P154">
        <v>440</v>
      </c>
      <c r="R154">
        <v>153</v>
      </c>
    </row>
    <row r="155" spans="1:18">
      <c r="A155" s="1" t="s">
        <v>138</v>
      </c>
      <c r="B155">
        <v>29</v>
      </c>
      <c r="C155">
        <v>20</v>
      </c>
      <c r="D155">
        <v>9</v>
      </c>
      <c r="E155">
        <v>-11.62</v>
      </c>
      <c r="F155">
        <v>2140</v>
      </c>
      <c r="G155">
        <v>764</v>
      </c>
      <c r="H155">
        <v>1740</v>
      </c>
      <c r="I155">
        <v>483</v>
      </c>
      <c r="J155">
        <v>716</v>
      </c>
      <c r="K155">
        <v>381</v>
      </c>
      <c r="L155">
        <v>1127</v>
      </c>
      <c r="M155">
        <v>430</v>
      </c>
      <c r="N155">
        <v>251</v>
      </c>
      <c r="O155">
        <v>93</v>
      </c>
      <c r="P155">
        <v>438</v>
      </c>
      <c r="R155">
        <v>154</v>
      </c>
    </row>
    <row r="156" spans="1:18">
      <c r="A156" s="1" t="s">
        <v>139</v>
      </c>
      <c r="B156">
        <v>29</v>
      </c>
      <c r="C156">
        <v>11</v>
      </c>
      <c r="D156">
        <v>18</v>
      </c>
      <c r="E156">
        <v>-9.08</v>
      </c>
      <c r="F156">
        <v>1910</v>
      </c>
      <c r="G156">
        <v>664</v>
      </c>
      <c r="H156">
        <v>1715</v>
      </c>
      <c r="I156">
        <v>374</v>
      </c>
      <c r="J156">
        <v>573</v>
      </c>
      <c r="K156">
        <v>422</v>
      </c>
      <c r="L156">
        <v>1020</v>
      </c>
      <c r="M156">
        <v>327</v>
      </c>
      <c r="N156">
        <v>174</v>
      </c>
      <c r="O156">
        <v>65</v>
      </c>
      <c r="P156">
        <v>379</v>
      </c>
      <c r="R156">
        <v>155</v>
      </c>
    </row>
    <row r="157" spans="1:18">
      <c r="A157" s="1" t="s">
        <v>332</v>
      </c>
      <c r="B157">
        <v>36</v>
      </c>
      <c r="C157">
        <v>32</v>
      </c>
      <c r="D157">
        <v>4</v>
      </c>
      <c r="E157">
        <v>9.3800000000000008</v>
      </c>
      <c r="F157">
        <v>3060</v>
      </c>
      <c r="G157">
        <v>1083</v>
      </c>
      <c r="H157">
        <v>2248</v>
      </c>
      <c r="I157">
        <v>677</v>
      </c>
      <c r="J157">
        <v>933</v>
      </c>
      <c r="K157">
        <v>473</v>
      </c>
      <c r="L157">
        <v>1479</v>
      </c>
      <c r="M157">
        <v>714</v>
      </c>
      <c r="N157">
        <v>302</v>
      </c>
      <c r="O157">
        <v>216</v>
      </c>
      <c r="P157">
        <v>495</v>
      </c>
      <c r="R157">
        <v>156</v>
      </c>
    </row>
    <row r="158" spans="1:18">
      <c r="A158" s="1" t="s">
        <v>140</v>
      </c>
      <c r="B158">
        <v>29</v>
      </c>
      <c r="C158">
        <v>13</v>
      </c>
      <c r="D158">
        <v>16</v>
      </c>
      <c r="E158">
        <v>4.45</v>
      </c>
      <c r="F158">
        <v>1865</v>
      </c>
      <c r="G158">
        <v>677</v>
      </c>
      <c r="H158">
        <v>1624</v>
      </c>
      <c r="I158">
        <v>307</v>
      </c>
      <c r="J158">
        <v>459</v>
      </c>
      <c r="K158">
        <v>358</v>
      </c>
      <c r="L158">
        <v>1024</v>
      </c>
      <c r="M158">
        <v>424</v>
      </c>
      <c r="N158">
        <v>170</v>
      </c>
      <c r="O158">
        <v>107</v>
      </c>
      <c r="P158">
        <v>426</v>
      </c>
      <c r="R158">
        <v>157</v>
      </c>
    </row>
    <row r="159" spans="1:18">
      <c r="A159" s="1" t="s">
        <v>141</v>
      </c>
      <c r="B159">
        <v>30</v>
      </c>
      <c r="C159">
        <v>21</v>
      </c>
      <c r="D159">
        <v>9</v>
      </c>
      <c r="E159">
        <v>-5.8</v>
      </c>
      <c r="F159">
        <v>2102</v>
      </c>
      <c r="G159">
        <v>743</v>
      </c>
      <c r="H159">
        <v>1687</v>
      </c>
      <c r="I159">
        <v>445</v>
      </c>
      <c r="J159">
        <v>681</v>
      </c>
      <c r="K159">
        <v>406</v>
      </c>
      <c r="L159">
        <v>1139</v>
      </c>
      <c r="M159">
        <v>387</v>
      </c>
      <c r="N159">
        <v>260</v>
      </c>
      <c r="O159">
        <v>153</v>
      </c>
      <c r="P159">
        <v>480</v>
      </c>
      <c r="R159">
        <v>158</v>
      </c>
    </row>
    <row r="160" spans="1:18">
      <c r="A160" s="1" t="s">
        <v>142</v>
      </c>
      <c r="B160">
        <v>36</v>
      </c>
      <c r="C160">
        <v>27</v>
      </c>
      <c r="D160">
        <v>9</v>
      </c>
      <c r="E160">
        <v>4.72</v>
      </c>
      <c r="F160">
        <v>2879</v>
      </c>
      <c r="G160">
        <v>1045</v>
      </c>
      <c r="H160">
        <v>2276</v>
      </c>
      <c r="I160">
        <v>608</v>
      </c>
      <c r="J160">
        <v>912</v>
      </c>
      <c r="K160">
        <v>588</v>
      </c>
      <c r="L160">
        <v>1539</v>
      </c>
      <c r="M160">
        <v>555</v>
      </c>
      <c r="N160">
        <v>266</v>
      </c>
      <c r="O160">
        <v>157</v>
      </c>
      <c r="P160">
        <v>519</v>
      </c>
      <c r="R160">
        <v>159</v>
      </c>
    </row>
    <row r="161" spans="1:18">
      <c r="A161" s="1" t="s">
        <v>143</v>
      </c>
      <c r="B161">
        <v>29</v>
      </c>
      <c r="C161">
        <v>6</v>
      </c>
      <c r="D161">
        <v>23</v>
      </c>
      <c r="E161">
        <v>-2.76</v>
      </c>
      <c r="F161">
        <v>1912</v>
      </c>
      <c r="G161">
        <v>705</v>
      </c>
      <c r="H161">
        <v>1668</v>
      </c>
      <c r="I161">
        <v>353</v>
      </c>
      <c r="J161">
        <v>532</v>
      </c>
      <c r="K161">
        <v>370</v>
      </c>
      <c r="L161">
        <v>1062</v>
      </c>
      <c r="M161">
        <v>362</v>
      </c>
      <c r="N161">
        <v>161</v>
      </c>
      <c r="O161">
        <v>95</v>
      </c>
      <c r="P161">
        <v>476</v>
      </c>
      <c r="R161">
        <v>160</v>
      </c>
    </row>
    <row r="162" spans="1:18">
      <c r="A162" s="1" t="s">
        <v>284</v>
      </c>
      <c r="B162">
        <v>32</v>
      </c>
      <c r="C162">
        <v>24</v>
      </c>
      <c r="D162">
        <v>8</v>
      </c>
      <c r="E162">
        <v>5.52</v>
      </c>
      <c r="F162">
        <v>2395</v>
      </c>
      <c r="G162">
        <v>818</v>
      </c>
      <c r="H162">
        <v>1902</v>
      </c>
      <c r="I162">
        <v>523</v>
      </c>
      <c r="J162">
        <v>678</v>
      </c>
      <c r="K162">
        <v>388</v>
      </c>
      <c r="L162">
        <v>1174</v>
      </c>
      <c r="M162">
        <v>525</v>
      </c>
      <c r="N162">
        <v>285</v>
      </c>
      <c r="O162">
        <v>190</v>
      </c>
      <c r="P162">
        <v>460</v>
      </c>
      <c r="R162">
        <v>161</v>
      </c>
    </row>
    <row r="163" spans="1:18">
      <c r="A163" s="1" t="s">
        <v>144</v>
      </c>
      <c r="B163">
        <v>31</v>
      </c>
      <c r="C163">
        <v>13</v>
      </c>
      <c r="D163">
        <v>18</v>
      </c>
      <c r="E163">
        <v>3.68</v>
      </c>
      <c r="F163">
        <v>1981</v>
      </c>
      <c r="G163">
        <v>707</v>
      </c>
      <c r="H163">
        <v>1676</v>
      </c>
      <c r="I163">
        <v>418</v>
      </c>
      <c r="J163">
        <v>563</v>
      </c>
      <c r="K163">
        <v>377</v>
      </c>
      <c r="L163">
        <v>1021</v>
      </c>
      <c r="M163">
        <v>325</v>
      </c>
      <c r="N163">
        <v>168</v>
      </c>
      <c r="O163">
        <v>98</v>
      </c>
      <c r="P163">
        <v>377</v>
      </c>
      <c r="R163">
        <v>162</v>
      </c>
    </row>
    <row r="164" spans="1:18">
      <c r="A164" s="1" t="s">
        <v>377</v>
      </c>
      <c r="B164">
        <v>31</v>
      </c>
      <c r="C164">
        <v>19</v>
      </c>
      <c r="D164">
        <v>12</v>
      </c>
      <c r="E164">
        <v>9.6</v>
      </c>
      <c r="F164">
        <v>2150</v>
      </c>
      <c r="G164">
        <v>764</v>
      </c>
      <c r="H164">
        <v>1654</v>
      </c>
      <c r="I164">
        <v>442</v>
      </c>
      <c r="J164">
        <v>573</v>
      </c>
      <c r="K164">
        <v>377</v>
      </c>
      <c r="L164">
        <v>1163</v>
      </c>
      <c r="M164">
        <v>438</v>
      </c>
      <c r="N164">
        <v>155</v>
      </c>
      <c r="O164">
        <v>93</v>
      </c>
      <c r="P164">
        <v>461</v>
      </c>
      <c r="R164">
        <v>163</v>
      </c>
    </row>
    <row r="165" spans="1:18">
      <c r="A165" s="1" t="s">
        <v>145</v>
      </c>
      <c r="B165">
        <v>29</v>
      </c>
      <c r="C165">
        <v>11</v>
      </c>
      <c r="D165">
        <v>18</v>
      </c>
      <c r="E165">
        <v>8.17</v>
      </c>
      <c r="F165">
        <v>1951</v>
      </c>
      <c r="G165">
        <v>691</v>
      </c>
      <c r="H165">
        <v>1595</v>
      </c>
      <c r="I165">
        <v>384</v>
      </c>
      <c r="J165">
        <v>509</v>
      </c>
      <c r="K165">
        <v>305</v>
      </c>
      <c r="L165">
        <v>908</v>
      </c>
      <c r="M165">
        <v>370</v>
      </c>
      <c r="N165">
        <v>154</v>
      </c>
      <c r="O165">
        <v>89</v>
      </c>
      <c r="P165">
        <v>411</v>
      </c>
      <c r="R165">
        <v>164</v>
      </c>
    </row>
    <row r="166" spans="1:18">
      <c r="A166" s="1" t="s">
        <v>146</v>
      </c>
      <c r="B166">
        <v>29</v>
      </c>
      <c r="C166">
        <v>14</v>
      </c>
      <c r="D166">
        <v>15</v>
      </c>
      <c r="E166">
        <v>-0.79</v>
      </c>
      <c r="F166">
        <v>1941</v>
      </c>
      <c r="G166">
        <v>713</v>
      </c>
      <c r="H166">
        <v>1598</v>
      </c>
      <c r="I166">
        <v>310</v>
      </c>
      <c r="J166">
        <v>451</v>
      </c>
      <c r="K166">
        <v>307</v>
      </c>
      <c r="L166">
        <v>1009</v>
      </c>
      <c r="M166">
        <v>378</v>
      </c>
      <c r="N166">
        <v>229</v>
      </c>
      <c r="O166">
        <v>98</v>
      </c>
      <c r="P166">
        <v>500</v>
      </c>
      <c r="R166">
        <v>165</v>
      </c>
    </row>
    <row r="167" spans="1:18">
      <c r="A167" s="1" t="s">
        <v>147</v>
      </c>
      <c r="B167">
        <v>29</v>
      </c>
      <c r="C167">
        <v>16</v>
      </c>
      <c r="D167">
        <v>13</v>
      </c>
      <c r="E167">
        <v>0.78</v>
      </c>
      <c r="F167">
        <v>2193</v>
      </c>
      <c r="G167">
        <v>784</v>
      </c>
      <c r="H167">
        <v>1772</v>
      </c>
      <c r="I167">
        <v>368</v>
      </c>
      <c r="J167">
        <v>551</v>
      </c>
      <c r="K167">
        <v>330</v>
      </c>
      <c r="L167">
        <v>1002</v>
      </c>
      <c r="M167">
        <v>476</v>
      </c>
      <c r="N167">
        <v>264</v>
      </c>
      <c r="O167">
        <v>75</v>
      </c>
      <c r="P167">
        <v>416</v>
      </c>
      <c r="R167">
        <v>166</v>
      </c>
    </row>
    <row r="168" spans="1:18">
      <c r="A168" s="1" t="s">
        <v>148</v>
      </c>
      <c r="B168">
        <v>31</v>
      </c>
      <c r="C168">
        <v>18</v>
      </c>
      <c r="D168">
        <v>13</v>
      </c>
      <c r="E168">
        <v>7.05</v>
      </c>
      <c r="F168">
        <v>2330</v>
      </c>
      <c r="G168">
        <v>842</v>
      </c>
      <c r="H168">
        <v>1799</v>
      </c>
      <c r="I168">
        <v>441</v>
      </c>
      <c r="J168">
        <v>625</v>
      </c>
      <c r="K168">
        <v>404</v>
      </c>
      <c r="L168">
        <v>1118</v>
      </c>
      <c r="M168">
        <v>490</v>
      </c>
      <c r="N168">
        <v>252</v>
      </c>
      <c r="O168">
        <v>150</v>
      </c>
      <c r="P168">
        <v>448</v>
      </c>
      <c r="R168">
        <v>167</v>
      </c>
    </row>
    <row r="169" spans="1:18">
      <c r="A169" s="1" t="s">
        <v>149</v>
      </c>
      <c r="B169">
        <v>35</v>
      </c>
      <c r="C169">
        <v>27</v>
      </c>
      <c r="D169">
        <v>8</v>
      </c>
      <c r="E169">
        <v>7.33</v>
      </c>
      <c r="F169">
        <v>2582</v>
      </c>
      <c r="G169">
        <v>943</v>
      </c>
      <c r="H169">
        <v>1965</v>
      </c>
      <c r="I169">
        <v>504</v>
      </c>
      <c r="J169">
        <v>772</v>
      </c>
      <c r="K169">
        <v>457</v>
      </c>
      <c r="L169">
        <v>1359</v>
      </c>
      <c r="M169">
        <v>566</v>
      </c>
      <c r="N169">
        <v>294</v>
      </c>
      <c r="O169">
        <v>123</v>
      </c>
      <c r="P169">
        <v>583</v>
      </c>
      <c r="R169">
        <v>168</v>
      </c>
    </row>
    <row r="170" spans="1:18">
      <c r="A170" s="1" t="s">
        <v>150</v>
      </c>
      <c r="B170">
        <v>29</v>
      </c>
      <c r="C170">
        <v>12</v>
      </c>
      <c r="D170">
        <v>17</v>
      </c>
      <c r="E170">
        <v>-12.75</v>
      </c>
      <c r="F170">
        <v>2206</v>
      </c>
      <c r="G170">
        <v>807</v>
      </c>
      <c r="H170">
        <v>1920</v>
      </c>
      <c r="I170">
        <v>334</v>
      </c>
      <c r="J170">
        <v>488</v>
      </c>
      <c r="K170">
        <v>419</v>
      </c>
      <c r="L170">
        <v>1047</v>
      </c>
      <c r="M170">
        <v>398</v>
      </c>
      <c r="N170">
        <v>261</v>
      </c>
      <c r="O170">
        <v>69</v>
      </c>
      <c r="P170">
        <v>393</v>
      </c>
      <c r="R170">
        <v>169</v>
      </c>
    </row>
    <row r="171" spans="1:18">
      <c r="A171" s="1" t="s">
        <v>151</v>
      </c>
      <c r="B171">
        <v>31</v>
      </c>
      <c r="C171">
        <v>20</v>
      </c>
      <c r="D171">
        <v>11</v>
      </c>
      <c r="E171">
        <v>6.85</v>
      </c>
      <c r="F171">
        <v>2232</v>
      </c>
      <c r="G171">
        <v>745</v>
      </c>
      <c r="H171">
        <v>1618</v>
      </c>
      <c r="I171">
        <v>507</v>
      </c>
      <c r="J171">
        <v>687</v>
      </c>
      <c r="K171">
        <v>334</v>
      </c>
      <c r="L171">
        <v>1031</v>
      </c>
      <c r="M171">
        <v>427</v>
      </c>
      <c r="N171">
        <v>226</v>
      </c>
      <c r="O171">
        <v>57</v>
      </c>
      <c r="P171">
        <v>476</v>
      </c>
      <c r="R171">
        <v>170</v>
      </c>
    </row>
    <row r="172" spans="1:18">
      <c r="A172" s="1" t="s">
        <v>152</v>
      </c>
      <c r="B172">
        <v>29</v>
      </c>
      <c r="C172">
        <v>18</v>
      </c>
      <c r="D172">
        <v>11</v>
      </c>
      <c r="E172">
        <v>-1.8</v>
      </c>
      <c r="F172">
        <v>1852</v>
      </c>
      <c r="G172">
        <v>653</v>
      </c>
      <c r="H172">
        <v>1602</v>
      </c>
      <c r="I172">
        <v>361</v>
      </c>
      <c r="J172">
        <v>475</v>
      </c>
      <c r="K172">
        <v>327</v>
      </c>
      <c r="L172">
        <v>960</v>
      </c>
      <c r="M172">
        <v>329</v>
      </c>
      <c r="N172">
        <v>214</v>
      </c>
      <c r="O172">
        <v>102</v>
      </c>
      <c r="P172">
        <v>314</v>
      </c>
      <c r="R172">
        <v>171</v>
      </c>
    </row>
    <row r="173" spans="1:18">
      <c r="A173" s="1" t="s">
        <v>153</v>
      </c>
      <c r="B173">
        <v>32</v>
      </c>
      <c r="C173">
        <v>17</v>
      </c>
      <c r="D173">
        <v>15</v>
      </c>
      <c r="E173">
        <v>0.02</v>
      </c>
      <c r="F173">
        <v>2267</v>
      </c>
      <c r="G173">
        <v>788</v>
      </c>
      <c r="H173">
        <v>1758</v>
      </c>
      <c r="I173">
        <v>490</v>
      </c>
      <c r="J173">
        <v>651</v>
      </c>
      <c r="K173">
        <v>385</v>
      </c>
      <c r="L173">
        <v>1162</v>
      </c>
      <c r="M173">
        <v>368</v>
      </c>
      <c r="N173">
        <v>183</v>
      </c>
      <c r="O173">
        <v>80</v>
      </c>
      <c r="P173">
        <v>447</v>
      </c>
      <c r="R173">
        <v>172</v>
      </c>
    </row>
    <row r="174" spans="1:18">
      <c r="A174" s="1" t="s">
        <v>328</v>
      </c>
      <c r="B174">
        <v>36</v>
      </c>
      <c r="C174">
        <v>24</v>
      </c>
      <c r="D174">
        <v>12</v>
      </c>
      <c r="E174">
        <v>6.81</v>
      </c>
      <c r="F174">
        <v>2877</v>
      </c>
      <c r="G174">
        <v>1031</v>
      </c>
      <c r="H174">
        <v>2253</v>
      </c>
      <c r="I174">
        <v>489</v>
      </c>
      <c r="J174">
        <v>709</v>
      </c>
      <c r="K174">
        <v>535</v>
      </c>
      <c r="L174">
        <v>1415</v>
      </c>
      <c r="M174">
        <v>539</v>
      </c>
      <c r="N174">
        <v>264</v>
      </c>
      <c r="O174">
        <v>154</v>
      </c>
      <c r="P174">
        <v>511</v>
      </c>
      <c r="R174">
        <v>173</v>
      </c>
    </row>
    <row r="175" spans="1:18">
      <c r="A175" s="1" t="s">
        <v>154</v>
      </c>
      <c r="B175">
        <v>30</v>
      </c>
      <c r="C175">
        <v>18</v>
      </c>
      <c r="D175">
        <v>12</v>
      </c>
      <c r="E175">
        <v>-7.32</v>
      </c>
      <c r="F175">
        <v>2052</v>
      </c>
      <c r="G175">
        <v>746</v>
      </c>
      <c r="H175">
        <v>1606</v>
      </c>
      <c r="I175">
        <v>379</v>
      </c>
      <c r="J175">
        <v>584</v>
      </c>
      <c r="K175">
        <v>280</v>
      </c>
      <c r="L175">
        <v>995</v>
      </c>
      <c r="M175">
        <v>447</v>
      </c>
      <c r="N175">
        <v>254</v>
      </c>
      <c r="O175">
        <v>102</v>
      </c>
      <c r="P175">
        <v>482</v>
      </c>
      <c r="R175">
        <v>174</v>
      </c>
    </row>
    <row r="176" spans="1:18">
      <c r="A176" s="1" t="s">
        <v>155</v>
      </c>
      <c r="B176">
        <v>30</v>
      </c>
      <c r="C176">
        <v>20</v>
      </c>
      <c r="D176">
        <v>10</v>
      </c>
      <c r="E176">
        <v>-1.94</v>
      </c>
      <c r="F176">
        <v>2083</v>
      </c>
      <c r="G176">
        <v>710</v>
      </c>
      <c r="H176">
        <v>1519</v>
      </c>
      <c r="I176">
        <v>444</v>
      </c>
      <c r="J176">
        <v>626</v>
      </c>
      <c r="K176">
        <v>268</v>
      </c>
      <c r="L176">
        <v>890</v>
      </c>
      <c r="M176">
        <v>388</v>
      </c>
      <c r="N176">
        <v>178</v>
      </c>
      <c r="O176">
        <v>58</v>
      </c>
      <c r="P176">
        <v>419</v>
      </c>
      <c r="R176">
        <v>175</v>
      </c>
    </row>
    <row r="177" spans="1:18">
      <c r="A177" s="1" t="s">
        <v>156</v>
      </c>
      <c r="B177">
        <v>31</v>
      </c>
      <c r="C177">
        <v>16</v>
      </c>
      <c r="D177">
        <v>15</v>
      </c>
      <c r="E177">
        <v>-1.71</v>
      </c>
      <c r="F177">
        <v>2218</v>
      </c>
      <c r="G177">
        <v>760</v>
      </c>
      <c r="H177">
        <v>1670</v>
      </c>
      <c r="I177">
        <v>485</v>
      </c>
      <c r="J177">
        <v>721</v>
      </c>
      <c r="K177">
        <v>306</v>
      </c>
      <c r="L177">
        <v>1047</v>
      </c>
      <c r="M177">
        <v>452</v>
      </c>
      <c r="N177">
        <v>164</v>
      </c>
      <c r="O177">
        <v>120</v>
      </c>
      <c r="P177">
        <v>464</v>
      </c>
      <c r="R177">
        <v>176</v>
      </c>
    </row>
    <row r="178" spans="1:18">
      <c r="A178" s="1" t="s">
        <v>157</v>
      </c>
      <c r="B178">
        <v>29</v>
      </c>
      <c r="C178">
        <v>18</v>
      </c>
      <c r="D178">
        <v>11</v>
      </c>
      <c r="E178">
        <v>-3.13</v>
      </c>
      <c r="F178">
        <v>2236</v>
      </c>
      <c r="G178">
        <v>796</v>
      </c>
      <c r="H178">
        <v>1647</v>
      </c>
      <c r="I178">
        <v>485</v>
      </c>
      <c r="J178">
        <v>619</v>
      </c>
      <c r="K178">
        <v>287</v>
      </c>
      <c r="L178">
        <v>941</v>
      </c>
      <c r="M178">
        <v>476</v>
      </c>
      <c r="N178">
        <v>222</v>
      </c>
      <c r="O178">
        <v>46</v>
      </c>
      <c r="P178">
        <v>431</v>
      </c>
      <c r="R178">
        <v>177</v>
      </c>
    </row>
    <row r="179" spans="1:18">
      <c r="A179" s="1" t="s">
        <v>158</v>
      </c>
      <c r="B179">
        <v>28</v>
      </c>
      <c r="C179">
        <v>3</v>
      </c>
      <c r="D179">
        <v>25</v>
      </c>
      <c r="E179">
        <v>-7.69</v>
      </c>
      <c r="F179">
        <v>1830</v>
      </c>
      <c r="G179">
        <v>671</v>
      </c>
      <c r="H179">
        <v>1591</v>
      </c>
      <c r="I179">
        <v>359</v>
      </c>
      <c r="J179">
        <v>528</v>
      </c>
      <c r="K179">
        <v>313</v>
      </c>
      <c r="L179">
        <v>912</v>
      </c>
      <c r="M179">
        <v>291</v>
      </c>
      <c r="N179">
        <v>185</v>
      </c>
      <c r="O179">
        <v>73</v>
      </c>
      <c r="P179">
        <v>502</v>
      </c>
      <c r="R179">
        <v>178</v>
      </c>
    </row>
    <row r="180" spans="1:18">
      <c r="A180" s="1" t="s">
        <v>311</v>
      </c>
      <c r="B180">
        <v>29</v>
      </c>
      <c r="C180">
        <v>5</v>
      </c>
      <c r="D180">
        <v>24</v>
      </c>
      <c r="E180">
        <v>-1.84</v>
      </c>
      <c r="F180">
        <v>1596</v>
      </c>
      <c r="G180">
        <v>566</v>
      </c>
      <c r="H180">
        <v>1522</v>
      </c>
      <c r="I180">
        <v>337</v>
      </c>
      <c r="J180">
        <v>579</v>
      </c>
      <c r="L180">
        <v>958</v>
      </c>
      <c r="M180">
        <v>228</v>
      </c>
      <c r="N180">
        <v>202</v>
      </c>
      <c r="O180">
        <v>66</v>
      </c>
      <c r="P180">
        <v>567</v>
      </c>
      <c r="R180">
        <v>179</v>
      </c>
    </row>
    <row r="181" spans="1:18">
      <c r="A181" s="1" t="s">
        <v>159</v>
      </c>
      <c r="B181">
        <v>27</v>
      </c>
      <c r="C181">
        <v>3</v>
      </c>
      <c r="D181">
        <v>24</v>
      </c>
      <c r="E181">
        <v>-8.8800000000000008</v>
      </c>
      <c r="F181">
        <v>1640</v>
      </c>
      <c r="G181">
        <v>565</v>
      </c>
      <c r="H181">
        <v>1555</v>
      </c>
      <c r="I181">
        <v>368</v>
      </c>
      <c r="J181">
        <v>560</v>
      </c>
      <c r="K181">
        <v>359</v>
      </c>
      <c r="L181">
        <v>878</v>
      </c>
      <c r="M181">
        <v>335</v>
      </c>
      <c r="N181">
        <v>190</v>
      </c>
      <c r="O181">
        <v>54</v>
      </c>
      <c r="P181">
        <v>430</v>
      </c>
      <c r="R181">
        <v>180</v>
      </c>
    </row>
    <row r="182" spans="1:18">
      <c r="A182" s="1" t="s">
        <v>160</v>
      </c>
      <c r="B182">
        <v>32</v>
      </c>
      <c r="C182">
        <v>19</v>
      </c>
      <c r="D182">
        <v>13</v>
      </c>
      <c r="E182">
        <v>-1.94</v>
      </c>
      <c r="F182">
        <v>2514</v>
      </c>
      <c r="G182">
        <v>941</v>
      </c>
      <c r="H182">
        <v>2093</v>
      </c>
      <c r="I182">
        <v>422</v>
      </c>
      <c r="J182">
        <v>584</v>
      </c>
      <c r="K182">
        <v>510</v>
      </c>
      <c r="L182">
        <v>1281</v>
      </c>
      <c r="M182">
        <v>465</v>
      </c>
      <c r="N182">
        <v>258</v>
      </c>
      <c r="O182">
        <v>158</v>
      </c>
      <c r="P182">
        <v>456</v>
      </c>
      <c r="R182">
        <v>181</v>
      </c>
    </row>
    <row r="183" spans="1:18">
      <c r="A183" s="1" t="s">
        <v>161</v>
      </c>
      <c r="B183">
        <v>30</v>
      </c>
      <c r="C183">
        <v>10</v>
      </c>
      <c r="D183">
        <v>20</v>
      </c>
      <c r="E183">
        <v>-5.51</v>
      </c>
      <c r="F183">
        <v>2082</v>
      </c>
      <c r="G183">
        <v>695</v>
      </c>
      <c r="H183">
        <v>1695</v>
      </c>
      <c r="I183">
        <v>514</v>
      </c>
      <c r="J183">
        <v>717</v>
      </c>
      <c r="K183">
        <v>416</v>
      </c>
      <c r="L183">
        <v>1072</v>
      </c>
      <c r="M183">
        <v>381</v>
      </c>
      <c r="N183">
        <v>259</v>
      </c>
      <c r="O183">
        <v>64</v>
      </c>
      <c r="P183">
        <v>551</v>
      </c>
      <c r="R183">
        <v>182</v>
      </c>
    </row>
    <row r="184" spans="1:18">
      <c r="A184" s="1" t="s">
        <v>162</v>
      </c>
      <c r="B184">
        <v>28</v>
      </c>
      <c r="C184">
        <v>13</v>
      </c>
      <c r="D184">
        <v>15</v>
      </c>
      <c r="E184">
        <v>6.08</v>
      </c>
      <c r="F184">
        <v>1954</v>
      </c>
      <c r="G184">
        <v>656</v>
      </c>
      <c r="H184">
        <v>1668</v>
      </c>
      <c r="I184">
        <v>375</v>
      </c>
      <c r="J184">
        <v>555</v>
      </c>
      <c r="K184">
        <v>320</v>
      </c>
      <c r="L184">
        <v>998</v>
      </c>
      <c r="M184">
        <v>396</v>
      </c>
      <c r="N184">
        <v>203</v>
      </c>
      <c r="O184">
        <v>88</v>
      </c>
      <c r="P184">
        <v>317</v>
      </c>
      <c r="R184">
        <v>183</v>
      </c>
    </row>
    <row r="185" spans="1:18">
      <c r="A185" s="1" t="s">
        <v>285</v>
      </c>
      <c r="B185">
        <v>32</v>
      </c>
      <c r="C185">
        <v>21</v>
      </c>
      <c r="D185">
        <v>11</v>
      </c>
      <c r="E185">
        <v>4.88</v>
      </c>
      <c r="F185">
        <v>2505</v>
      </c>
      <c r="G185">
        <v>869</v>
      </c>
      <c r="H185">
        <v>1882</v>
      </c>
      <c r="I185">
        <v>593</v>
      </c>
      <c r="J185">
        <v>830</v>
      </c>
      <c r="K185">
        <v>349</v>
      </c>
      <c r="L185">
        <v>1067</v>
      </c>
      <c r="M185">
        <v>472</v>
      </c>
      <c r="N185">
        <v>315</v>
      </c>
      <c r="O185">
        <v>122</v>
      </c>
      <c r="P185">
        <v>457</v>
      </c>
      <c r="R185">
        <v>184</v>
      </c>
    </row>
    <row r="186" spans="1:18">
      <c r="A186" s="1" t="s">
        <v>163</v>
      </c>
      <c r="B186">
        <v>30</v>
      </c>
      <c r="C186">
        <v>17</v>
      </c>
      <c r="D186">
        <v>13</v>
      </c>
      <c r="E186">
        <v>1.87</v>
      </c>
      <c r="F186">
        <v>2210</v>
      </c>
      <c r="G186">
        <v>720</v>
      </c>
      <c r="H186">
        <v>1702</v>
      </c>
      <c r="I186">
        <v>644</v>
      </c>
      <c r="J186">
        <v>952</v>
      </c>
      <c r="K186">
        <v>427</v>
      </c>
      <c r="L186">
        <v>1199</v>
      </c>
      <c r="M186">
        <v>321</v>
      </c>
      <c r="N186">
        <v>218</v>
      </c>
      <c r="O186">
        <v>94</v>
      </c>
      <c r="P186">
        <v>460</v>
      </c>
      <c r="R186">
        <v>185</v>
      </c>
    </row>
    <row r="187" spans="1:18">
      <c r="A187" s="1" t="s">
        <v>164</v>
      </c>
      <c r="B187">
        <v>28</v>
      </c>
      <c r="C187">
        <v>11</v>
      </c>
      <c r="D187">
        <v>17</v>
      </c>
      <c r="E187">
        <v>-7.33</v>
      </c>
      <c r="F187">
        <v>1935</v>
      </c>
      <c r="G187">
        <v>615</v>
      </c>
      <c r="H187">
        <v>1558</v>
      </c>
      <c r="I187">
        <v>489</v>
      </c>
      <c r="J187">
        <v>685</v>
      </c>
      <c r="K187">
        <v>360</v>
      </c>
      <c r="L187">
        <v>1089</v>
      </c>
      <c r="M187">
        <v>368</v>
      </c>
      <c r="N187">
        <v>185</v>
      </c>
      <c r="O187">
        <v>64</v>
      </c>
      <c r="P187">
        <v>472</v>
      </c>
      <c r="R187">
        <v>186</v>
      </c>
    </row>
    <row r="188" spans="1:18">
      <c r="A188" s="1" t="s">
        <v>165</v>
      </c>
      <c r="B188">
        <v>32</v>
      </c>
      <c r="C188">
        <v>20</v>
      </c>
      <c r="D188">
        <v>12</v>
      </c>
      <c r="E188">
        <v>-0.19</v>
      </c>
      <c r="F188">
        <v>2492</v>
      </c>
      <c r="G188">
        <v>896</v>
      </c>
      <c r="H188">
        <v>1938</v>
      </c>
      <c r="I188">
        <v>503</v>
      </c>
      <c r="J188">
        <v>707</v>
      </c>
      <c r="K188">
        <v>444</v>
      </c>
      <c r="L188">
        <v>1197</v>
      </c>
      <c r="M188">
        <v>425</v>
      </c>
      <c r="N188">
        <v>229</v>
      </c>
      <c r="O188">
        <v>114</v>
      </c>
      <c r="P188">
        <v>486</v>
      </c>
      <c r="R188">
        <v>187</v>
      </c>
    </row>
    <row r="189" spans="1:18">
      <c r="A189" s="1" t="s">
        <v>166</v>
      </c>
      <c r="B189">
        <v>30</v>
      </c>
      <c r="C189">
        <v>16</v>
      </c>
      <c r="D189">
        <v>14</v>
      </c>
      <c r="E189">
        <v>3.86</v>
      </c>
      <c r="F189">
        <v>2206</v>
      </c>
      <c r="G189">
        <v>776</v>
      </c>
      <c r="H189">
        <v>1718</v>
      </c>
      <c r="I189">
        <v>474</v>
      </c>
      <c r="J189">
        <v>712</v>
      </c>
      <c r="K189">
        <v>399</v>
      </c>
      <c r="L189">
        <v>1100</v>
      </c>
      <c r="M189">
        <v>383</v>
      </c>
      <c r="N189">
        <v>179</v>
      </c>
      <c r="O189">
        <v>119</v>
      </c>
      <c r="P189">
        <v>391</v>
      </c>
      <c r="R189">
        <v>188</v>
      </c>
    </row>
    <row r="190" spans="1:18">
      <c r="A190" s="1" t="s">
        <v>167</v>
      </c>
      <c r="B190">
        <v>29</v>
      </c>
      <c r="C190">
        <v>15</v>
      </c>
      <c r="D190">
        <v>14</v>
      </c>
      <c r="E190">
        <v>-1.33</v>
      </c>
      <c r="F190">
        <v>1920</v>
      </c>
      <c r="G190">
        <v>653</v>
      </c>
      <c r="H190">
        <v>1486</v>
      </c>
      <c r="I190">
        <v>486</v>
      </c>
      <c r="J190">
        <v>753</v>
      </c>
      <c r="K190">
        <v>346</v>
      </c>
      <c r="L190">
        <v>1082</v>
      </c>
      <c r="M190">
        <v>351</v>
      </c>
      <c r="N190">
        <v>186</v>
      </c>
      <c r="O190">
        <v>96</v>
      </c>
      <c r="P190">
        <v>516</v>
      </c>
      <c r="R190">
        <v>189</v>
      </c>
    </row>
    <row r="191" spans="1:18">
      <c r="A191" s="1" t="s">
        <v>168</v>
      </c>
      <c r="B191">
        <v>32</v>
      </c>
      <c r="C191">
        <v>18</v>
      </c>
      <c r="D191">
        <v>14</v>
      </c>
      <c r="E191">
        <v>-4.68</v>
      </c>
      <c r="F191">
        <v>2369</v>
      </c>
      <c r="G191">
        <v>805</v>
      </c>
      <c r="H191">
        <v>1856</v>
      </c>
      <c r="I191">
        <v>546</v>
      </c>
      <c r="J191">
        <v>769</v>
      </c>
      <c r="K191">
        <v>453</v>
      </c>
      <c r="L191">
        <v>1182</v>
      </c>
      <c r="M191">
        <v>402</v>
      </c>
      <c r="N191">
        <v>250</v>
      </c>
      <c r="O191">
        <v>86</v>
      </c>
      <c r="P191">
        <v>504</v>
      </c>
      <c r="R191">
        <v>190</v>
      </c>
    </row>
    <row r="192" spans="1:18">
      <c r="A192" s="1" t="s">
        <v>169</v>
      </c>
      <c r="B192">
        <v>27</v>
      </c>
      <c r="C192">
        <v>2</v>
      </c>
      <c r="D192">
        <v>25</v>
      </c>
      <c r="E192">
        <v>-4.4000000000000004</v>
      </c>
      <c r="F192">
        <v>1602</v>
      </c>
      <c r="G192">
        <v>581</v>
      </c>
      <c r="H192">
        <v>1602</v>
      </c>
      <c r="I192">
        <v>284</v>
      </c>
      <c r="J192">
        <v>465</v>
      </c>
      <c r="K192">
        <v>318</v>
      </c>
      <c r="L192">
        <v>840</v>
      </c>
      <c r="M192">
        <v>284</v>
      </c>
      <c r="N192">
        <v>174</v>
      </c>
      <c r="O192">
        <v>52</v>
      </c>
      <c r="P192">
        <v>408</v>
      </c>
      <c r="R192">
        <v>191</v>
      </c>
    </row>
    <row r="193" spans="1:18">
      <c r="A193" s="1" t="s">
        <v>170</v>
      </c>
      <c r="B193">
        <v>29</v>
      </c>
      <c r="C193">
        <v>10</v>
      </c>
      <c r="D193">
        <v>19</v>
      </c>
      <c r="E193">
        <v>-7</v>
      </c>
      <c r="F193">
        <v>1997</v>
      </c>
      <c r="G193">
        <v>722</v>
      </c>
      <c r="H193">
        <v>1732</v>
      </c>
      <c r="I193">
        <v>386</v>
      </c>
      <c r="J193">
        <v>618</v>
      </c>
      <c r="K193">
        <v>359</v>
      </c>
      <c r="L193">
        <v>1087</v>
      </c>
      <c r="M193">
        <v>376</v>
      </c>
      <c r="N193">
        <v>203</v>
      </c>
      <c r="O193">
        <v>117</v>
      </c>
      <c r="P193">
        <v>485</v>
      </c>
      <c r="R193">
        <v>192</v>
      </c>
    </row>
    <row r="194" spans="1:18">
      <c r="A194" s="1" t="s">
        <v>171</v>
      </c>
      <c r="B194">
        <v>28</v>
      </c>
      <c r="C194">
        <v>13</v>
      </c>
      <c r="D194">
        <v>15</v>
      </c>
      <c r="E194">
        <v>-6.68</v>
      </c>
      <c r="F194">
        <v>1955</v>
      </c>
      <c r="G194">
        <v>690</v>
      </c>
      <c r="H194">
        <v>1529</v>
      </c>
      <c r="I194">
        <v>446</v>
      </c>
      <c r="J194">
        <v>671</v>
      </c>
      <c r="K194">
        <v>313</v>
      </c>
      <c r="L194">
        <v>980</v>
      </c>
      <c r="M194">
        <v>364</v>
      </c>
      <c r="N194">
        <v>198</v>
      </c>
      <c r="O194">
        <v>115</v>
      </c>
      <c r="P194">
        <v>465</v>
      </c>
      <c r="R194">
        <v>193</v>
      </c>
    </row>
    <row r="195" spans="1:18">
      <c r="A195" s="1" t="s">
        <v>172</v>
      </c>
      <c r="B195">
        <v>28</v>
      </c>
      <c r="C195">
        <v>11</v>
      </c>
      <c r="D195">
        <v>17</v>
      </c>
      <c r="E195">
        <v>-7.17</v>
      </c>
      <c r="F195">
        <v>1881</v>
      </c>
      <c r="G195">
        <v>640</v>
      </c>
      <c r="H195">
        <v>1613</v>
      </c>
      <c r="I195">
        <v>447</v>
      </c>
      <c r="J195">
        <v>695</v>
      </c>
      <c r="K195">
        <v>398</v>
      </c>
      <c r="L195">
        <v>1076</v>
      </c>
      <c r="M195">
        <v>306</v>
      </c>
      <c r="N195">
        <v>203</v>
      </c>
      <c r="O195">
        <v>58</v>
      </c>
      <c r="P195">
        <v>509</v>
      </c>
      <c r="R195">
        <v>194</v>
      </c>
    </row>
    <row r="196" spans="1:18">
      <c r="A196" s="1" t="s">
        <v>173</v>
      </c>
      <c r="B196">
        <v>31</v>
      </c>
      <c r="C196">
        <v>20</v>
      </c>
      <c r="D196">
        <v>11</v>
      </c>
      <c r="E196">
        <v>-2.35</v>
      </c>
      <c r="F196">
        <v>2238</v>
      </c>
      <c r="G196">
        <v>763</v>
      </c>
      <c r="H196">
        <v>1705</v>
      </c>
      <c r="I196">
        <v>524</v>
      </c>
      <c r="J196">
        <v>702</v>
      </c>
      <c r="K196">
        <v>322</v>
      </c>
      <c r="L196">
        <v>1097</v>
      </c>
      <c r="M196">
        <v>448</v>
      </c>
      <c r="N196">
        <v>253</v>
      </c>
      <c r="O196">
        <v>116</v>
      </c>
      <c r="P196">
        <v>501</v>
      </c>
      <c r="R196">
        <v>195</v>
      </c>
    </row>
    <row r="197" spans="1:18">
      <c r="A197" s="1" t="s">
        <v>174</v>
      </c>
      <c r="B197">
        <v>34</v>
      </c>
      <c r="C197">
        <v>23</v>
      </c>
      <c r="D197">
        <v>11</v>
      </c>
      <c r="E197">
        <v>8.17</v>
      </c>
      <c r="F197">
        <v>2565</v>
      </c>
      <c r="G197">
        <v>863</v>
      </c>
      <c r="H197">
        <v>1910</v>
      </c>
      <c r="I197">
        <v>561</v>
      </c>
      <c r="J197">
        <v>743</v>
      </c>
      <c r="K197">
        <v>354</v>
      </c>
      <c r="L197">
        <v>1119</v>
      </c>
      <c r="M197">
        <v>547</v>
      </c>
      <c r="N197">
        <v>269</v>
      </c>
      <c r="O197">
        <v>72</v>
      </c>
      <c r="P197">
        <v>452</v>
      </c>
      <c r="R197">
        <v>196</v>
      </c>
    </row>
    <row r="198" spans="1:18">
      <c r="A198" s="1" t="s">
        <v>286</v>
      </c>
      <c r="B198">
        <v>33</v>
      </c>
      <c r="C198">
        <v>23</v>
      </c>
      <c r="D198">
        <v>10</v>
      </c>
      <c r="E198">
        <v>-0.09</v>
      </c>
      <c r="F198">
        <v>2240</v>
      </c>
      <c r="G198">
        <v>784</v>
      </c>
      <c r="H198">
        <v>1803</v>
      </c>
      <c r="I198">
        <v>451</v>
      </c>
      <c r="J198">
        <v>655</v>
      </c>
      <c r="K198">
        <v>374</v>
      </c>
      <c r="L198">
        <v>1136</v>
      </c>
      <c r="M198">
        <v>453</v>
      </c>
      <c r="N198">
        <v>274</v>
      </c>
      <c r="O198">
        <v>104</v>
      </c>
      <c r="P198">
        <v>403</v>
      </c>
      <c r="R198">
        <v>197</v>
      </c>
    </row>
    <row r="199" spans="1:18">
      <c r="A199" s="1" t="s">
        <v>312</v>
      </c>
      <c r="B199">
        <v>28</v>
      </c>
      <c r="C199">
        <v>8</v>
      </c>
      <c r="D199">
        <v>20</v>
      </c>
      <c r="E199">
        <v>10.52</v>
      </c>
      <c r="F199">
        <v>2022</v>
      </c>
      <c r="G199">
        <v>707</v>
      </c>
      <c r="H199">
        <v>1612</v>
      </c>
      <c r="I199">
        <v>396</v>
      </c>
      <c r="J199">
        <v>574</v>
      </c>
      <c r="K199">
        <v>305</v>
      </c>
      <c r="L199">
        <v>966</v>
      </c>
      <c r="M199">
        <v>476</v>
      </c>
      <c r="N199">
        <v>167</v>
      </c>
      <c r="O199">
        <v>100</v>
      </c>
      <c r="P199">
        <v>461</v>
      </c>
      <c r="R199">
        <v>198</v>
      </c>
    </row>
    <row r="200" spans="1:18">
      <c r="A200" s="1" t="s">
        <v>175</v>
      </c>
      <c r="B200">
        <v>29</v>
      </c>
      <c r="C200">
        <v>15</v>
      </c>
      <c r="D200">
        <v>14</v>
      </c>
      <c r="E200">
        <v>1.1399999999999999</v>
      </c>
      <c r="F200">
        <v>2274</v>
      </c>
      <c r="G200">
        <v>771</v>
      </c>
      <c r="H200">
        <v>1722</v>
      </c>
      <c r="I200">
        <v>553</v>
      </c>
      <c r="J200">
        <v>781</v>
      </c>
      <c r="K200">
        <v>387</v>
      </c>
      <c r="L200">
        <v>1063</v>
      </c>
      <c r="M200">
        <v>352</v>
      </c>
      <c r="N200">
        <v>218</v>
      </c>
      <c r="O200">
        <v>99</v>
      </c>
      <c r="P200">
        <v>448</v>
      </c>
      <c r="R200">
        <v>199</v>
      </c>
    </row>
    <row r="201" spans="1:18">
      <c r="A201" s="1" t="s">
        <v>176</v>
      </c>
      <c r="B201">
        <v>28</v>
      </c>
      <c r="C201">
        <v>7</v>
      </c>
      <c r="D201">
        <v>21</v>
      </c>
      <c r="E201">
        <v>-8.34</v>
      </c>
      <c r="F201">
        <v>1989</v>
      </c>
      <c r="G201">
        <v>726</v>
      </c>
      <c r="H201">
        <v>1745</v>
      </c>
      <c r="I201">
        <v>331</v>
      </c>
      <c r="J201">
        <v>525</v>
      </c>
      <c r="K201">
        <v>373</v>
      </c>
      <c r="L201">
        <v>919</v>
      </c>
      <c r="M201">
        <v>386</v>
      </c>
      <c r="N201">
        <v>272</v>
      </c>
      <c r="O201">
        <v>70</v>
      </c>
      <c r="P201">
        <v>417</v>
      </c>
      <c r="R201">
        <v>200</v>
      </c>
    </row>
    <row r="202" spans="1:18">
      <c r="A202" s="1" t="s">
        <v>287</v>
      </c>
      <c r="B202">
        <v>28</v>
      </c>
      <c r="C202">
        <v>14</v>
      </c>
      <c r="D202">
        <v>14</v>
      </c>
      <c r="E202">
        <v>-3.04</v>
      </c>
      <c r="F202">
        <v>1893</v>
      </c>
      <c r="G202">
        <v>675</v>
      </c>
      <c r="H202">
        <v>1496</v>
      </c>
      <c r="I202">
        <v>414</v>
      </c>
      <c r="J202">
        <v>604</v>
      </c>
      <c r="K202">
        <v>282</v>
      </c>
      <c r="L202">
        <v>1000</v>
      </c>
      <c r="M202">
        <v>362</v>
      </c>
      <c r="N202">
        <v>148</v>
      </c>
      <c r="O202">
        <v>61</v>
      </c>
      <c r="P202">
        <v>458</v>
      </c>
      <c r="R202">
        <v>201</v>
      </c>
    </row>
    <row r="203" spans="1:18">
      <c r="A203" s="1" t="s">
        <v>177</v>
      </c>
      <c r="B203">
        <v>28</v>
      </c>
      <c r="C203">
        <v>12</v>
      </c>
      <c r="D203">
        <v>16</v>
      </c>
      <c r="E203">
        <v>-0.86</v>
      </c>
      <c r="F203">
        <v>2172</v>
      </c>
      <c r="G203">
        <v>781</v>
      </c>
      <c r="H203">
        <v>1700</v>
      </c>
      <c r="I203">
        <v>429</v>
      </c>
      <c r="J203">
        <v>633</v>
      </c>
      <c r="K203">
        <v>390</v>
      </c>
      <c r="L203">
        <v>1041</v>
      </c>
      <c r="M203">
        <v>432</v>
      </c>
      <c r="N203">
        <v>232</v>
      </c>
      <c r="O203">
        <v>100</v>
      </c>
      <c r="P203">
        <v>476</v>
      </c>
      <c r="R203">
        <v>202</v>
      </c>
    </row>
    <row r="204" spans="1:18">
      <c r="A204" s="1" t="s">
        <v>178</v>
      </c>
      <c r="B204">
        <v>29</v>
      </c>
      <c r="C204">
        <v>14</v>
      </c>
      <c r="D204">
        <v>15</v>
      </c>
      <c r="E204">
        <v>0.9</v>
      </c>
      <c r="F204">
        <v>2056</v>
      </c>
      <c r="G204">
        <v>699</v>
      </c>
      <c r="H204">
        <v>1573</v>
      </c>
      <c r="I204">
        <v>441</v>
      </c>
      <c r="J204">
        <v>602</v>
      </c>
      <c r="K204">
        <v>277</v>
      </c>
      <c r="L204">
        <v>853</v>
      </c>
      <c r="M204">
        <v>383</v>
      </c>
      <c r="N204">
        <v>205</v>
      </c>
      <c r="O204">
        <v>50</v>
      </c>
      <c r="P204">
        <v>364</v>
      </c>
      <c r="R204">
        <v>203</v>
      </c>
    </row>
    <row r="205" spans="1:18">
      <c r="A205" s="1" t="s">
        <v>179</v>
      </c>
      <c r="B205">
        <v>31</v>
      </c>
      <c r="C205">
        <v>13</v>
      </c>
      <c r="D205">
        <v>18</v>
      </c>
      <c r="E205">
        <v>-5.56</v>
      </c>
      <c r="F205">
        <v>2266</v>
      </c>
      <c r="G205">
        <v>776</v>
      </c>
      <c r="H205">
        <v>1846</v>
      </c>
      <c r="I205">
        <v>512</v>
      </c>
      <c r="J205">
        <v>741</v>
      </c>
      <c r="K205">
        <v>418</v>
      </c>
      <c r="L205">
        <v>1155</v>
      </c>
      <c r="M205">
        <v>414</v>
      </c>
      <c r="N205">
        <v>279</v>
      </c>
      <c r="O205">
        <v>175</v>
      </c>
      <c r="P205">
        <v>503</v>
      </c>
      <c r="R205">
        <v>204</v>
      </c>
    </row>
    <row r="206" spans="1:18">
      <c r="A206" s="1" t="s">
        <v>180</v>
      </c>
      <c r="B206">
        <v>29</v>
      </c>
      <c r="C206">
        <v>16</v>
      </c>
      <c r="D206">
        <v>13</v>
      </c>
      <c r="E206">
        <v>5.09</v>
      </c>
      <c r="F206">
        <v>1729</v>
      </c>
      <c r="G206">
        <v>596</v>
      </c>
      <c r="H206">
        <v>1425</v>
      </c>
      <c r="I206">
        <v>328</v>
      </c>
      <c r="J206">
        <v>542</v>
      </c>
      <c r="K206">
        <v>253</v>
      </c>
      <c r="L206">
        <v>891</v>
      </c>
      <c r="M206">
        <v>420</v>
      </c>
      <c r="N206">
        <v>219</v>
      </c>
      <c r="O206">
        <v>92</v>
      </c>
      <c r="P206">
        <v>385</v>
      </c>
      <c r="R206">
        <v>205</v>
      </c>
    </row>
    <row r="207" spans="1:18">
      <c r="A207" s="1" t="s">
        <v>181</v>
      </c>
      <c r="B207">
        <v>33</v>
      </c>
      <c r="C207">
        <v>22</v>
      </c>
      <c r="D207">
        <v>11</v>
      </c>
      <c r="E207">
        <v>6.17</v>
      </c>
      <c r="F207">
        <v>2601</v>
      </c>
      <c r="G207">
        <v>934</v>
      </c>
      <c r="H207">
        <v>2037</v>
      </c>
      <c r="I207">
        <v>489</v>
      </c>
      <c r="J207">
        <v>690</v>
      </c>
      <c r="K207">
        <v>436</v>
      </c>
      <c r="L207">
        <v>1351</v>
      </c>
      <c r="M207">
        <v>629</v>
      </c>
      <c r="N207">
        <v>259</v>
      </c>
      <c r="O207">
        <v>163</v>
      </c>
      <c r="P207">
        <v>435</v>
      </c>
      <c r="R207">
        <v>206</v>
      </c>
    </row>
    <row r="208" spans="1:18">
      <c r="A208" s="1" t="s">
        <v>182</v>
      </c>
      <c r="B208">
        <v>30</v>
      </c>
      <c r="C208">
        <v>17</v>
      </c>
      <c r="D208">
        <v>13</v>
      </c>
      <c r="E208">
        <v>-0.56999999999999995</v>
      </c>
      <c r="F208">
        <v>2266</v>
      </c>
      <c r="G208">
        <v>784</v>
      </c>
      <c r="H208">
        <v>1761</v>
      </c>
      <c r="I208">
        <v>479</v>
      </c>
      <c r="J208">
        <v>726</v>
      </c>
      <c r="K208">
        <v>395</v>
      </c>
      <c r="L208">
        <v>1003</v>
      </c>
      <c r="M208">
        <v>466</v>
      </c>
      <c r="N208">
        <v>287</v>
      </c>
      <c r="O208">
        <v>69</v>
      </c>
      <c r="P208">
        <v>417</v>
      </c>
      <c r="R208">
        <v>207</v>
      </c>
    </row>
    <row r="209" spans="1:18">
      <c r="A209" s="1" t="s">
        <v>321</v>
      </c>
      <c r="B209">
        <v>32</v>
      </c>
      <c r="C209">
        <v>24</v>
      </c>
      <c r="D209">
        <v>8</v>
      </c>
      <c r="E209">
        <v>7.26</v>
      </c>
      <c r="F209">
        <v>2362</v>
      </c>
      <c r="G209">
        <v>825</v>
      </c>
      <c r="H209">
        <v>1702</v>
      </c>
      <c r="I209">
        <v>537</v>
      </c>
      <c r="J209">
        <v>795</v>
      </c>
      <c r="K209">
        <v>351</v>
      </c>
      <c r="L209">
        <v>1052</v>
      </c>
      <c r="M209">
        <v>483</v>
      </c>
      <c r="N209">
        <v>193</v>
      </c>
      <c r="O209">
        <v>75</v>
      </c>
      <c r="P209">
        <v>421</v>
      </c>
      <c r="R209">
        <v>208</v>
      </c>
    </row>
    <row r="210" spans="1:18">
      <c r="A210" s="1" t="s">
        <v>183</v>
      </c>
      <c r="B210">
        <v>28</v>
      </c>
      <c r="C210">
        <v>17</v>
      </c>
      <c r="D210">
        <v>11</v>
      </c>
      <c r="E210">
        <v>-0.19</v>
      </c>
      <c r="F210">
        <v>2104</v>
      </c>
      <c r="G210">
        <v>741</v>
      </c>
      <c r="H210">
        <v>1531</v>
      </c>
      <c r="I210">
        <v>454</v>
      </c>
      <c r="J210">
        <v>666</v>
      </c>
      <c r="K210">
        <v>302</v>
      </c>
      <c r="L210">
        <v>939</v>
      </c>
      <c r="M210">
        <v>399</v>
      </c>
      <c r="N210">
        <v>216</v>
      </c>
      <c r="O210">
        <v>109</v>
      </c>
      <c r="P210">
        <v>395</v>
      </c>
      <c r="R210">
        <v>209</v>
      </c>
    </row>
    <row r="211" spans="1:18">
      <c r="A211" s="1" t="s">
        <v>340</v>
      </c>
      <c r="B211">
        <v>32</v>
      </c>
      <c r="C211">
        <v>23</v>
      </c>
      <c r="D211">
        <v>9</v>
      </c>
      <c r="E211">
        <v>6.8</v>
      </c>
      <c r="F211">
        <v>2293</v>
      </c>
      <c r="G211">
        <v>835</v>
      </c>
      <c r="H211">
        <v>1863</v>
      </c>
      <c r="I211">
        <v>456</v>
      </c>
      <c r="J211">
        <v>708</v>
      </c>
      <c r="K211">
        <v>481</v>
      </c>
      <c r="L211">
        <v>1279</v>
      </c>
      <c r="M211">
        <v>460</v>
      </c>
      <c r="N211">
        <v>247</v>
      </c>
      <c r="O211">
        <v>110</v>
      </c>
      <c r="P211">
        <v>486</v>
      </c>
      <c r="R211">
        <v>210</v>
      </c>
    </row>
    <row r="212" spans="1:18">
      <c r="A212" s="1" t="s">
        <v>329</v>
      </c>
      <c r="B212">
        <v>36</v>
      </c>
      <c r="C212">
        <v>31</v>
      </c>
      <c r="D212">
        <v>5</v>
      </c>
      <c r="E212">
        <v>7.7</v>
      </c>
      <c r="F212">
        <v>2807</v>
      </c>
      <c r="G212">
        <v>1011</v>
      </c>
      <c r="H212">
        <v>2281</v>
      </c>
      <c r="I212">
        <v>549</v>
      </c>
      <c r="J212">
        <v>716</v>
      </c>
      <c r="K212">
        <v>543</v>
      </c>
      <c r="L212">
        <v>1439</v>
      </c>
      <c r="M212">
        <v>517</v>
      </c>
      <c r="N212">
        <v>325</v>
      </c>
      <c r="O212">
        <v>134</v>
      </c>
      <c r="P212">
        <v>427</v>
      </c>
      <c r="R212">
        <v>211</v>
      </c>
    </row>
    <row r="213" spans="1:18">
      <c r="A213" s="1" t="s">
        <v>184</v>
      </c>
      <c r="B213">
        <v>29</v>
      </c>
      <c r="C213">
        <v>13</v>
      </c>
      <c r="D213">
        <v>16</v>
      </c>
      <c r="E213">
        <v>-2.1800000000000002</v>
      </c>
      <c r="F213">
        <v>1947</v>
      </c>
      <c r="G213">
        <v>681</v>
      </c>
      <c r="H213">
        <v>1679</v>
      </c>
      <c r="I213">
        <v>404</v>
      </c>
      <c r="J213">
        <v>559</v>
      </c>
      <c r="K213">
        <v>417</v>
      </c>
      <c r="L213">
        <v>1079</v>
      </c>
      <c r="M213">
        <v>422</v>
      </c>
      <c r="N213">
        <v>200</v>
      </c>
      <c r="O213">
        <v>107</v>
      </c>
      <c r="P213">
        <v>390</v>
      </c>
      <c r="R213">
        <v>212</v>
      </c>
    </row>
    <row r="214" spans="1:18">
      <c r="A214" s="1" t="s">
        <v>185</v>
      </c>
      <c r="B214">
        <v>31</v>
      </c>
      <c r="C214">
        <v>17</v>
      </c>
      <c r="D214">
        <v>14</v>
      </c>
      <c r="E214">
        <v>-3.27</v>
      </c>
      <c r="F214">
        <v>2359</v>
      </c>
      <c r="G214">
        <v>799</v>
      </c>
      <c r="H214">
        <v>1772</v>
      </c>
      <c r="I214">
        <v>543</v>
      </c>
      <c r="J214">
        <v>767</v>
      </c>
      <c r="K214">
        <v>348</v>
      </c>
      <c r="L214">
        <v>1116</v>
      </c>
      <c r="M214">
        <v>503</v>
      </c>
      <c r="N214">
        <v>194</v>
      </c>
      <c r="O214">
        <v>156</v>
      </c>
      <c r="P214">
        <v>445</v>
      </c>
      <c r="R214">
        <v>213</v>
      </c>
    </row>
    <row r="215" spans="1:18">
      <c r="A215" s="1" t="s">
        <v>186</v>
      </c>
      <c r="B215">
        <v>29</v>
      </c>
      <c r="C215">
        <v>12</v>
      </c>
      <c r="D215">
        <v>17</v>
      </c>
      <c r="E215">
        <v>7.92</v>
      </c>
      <c r="F215">
        <v>1866</v>
      </c>
      <c r="G215">
        <v>643</v>
      </c>
      <c r="H215">
        <v>1431</v>
      </c>
      <c r="I215">
        <v>393</v>
      </c>
      <c r="J215">
        <v>542</v>
      </c>
      <c r="K215">
        <v>226</v>
      </c>
      <c r="L215">
        <v>876</v>
      </c>
      <c r="M215">
        <v>401</v>
      </c>
      <c r="N215">
        <v>129</v>
      </c>
      <c r="O215">
        <v>71</v>
      </c>
      <c r="P215">
        <v>414</v>
      </c>
      <c r="R215">
        <v>214</v>
      </c>
    </row>
    <row r="216" spans="1:18">
      <c r="A216" s="1" t="s">
        <v>288</v>
      </c>
      <c r="B216">
        <v>35</v>
      </c>
      <c r="C216">
        <v>26</v>
      </c>
      <c r="D216">
        <v>9</v>
      </c>
      <c r="E216">
        <v>6.93</v>
      </c>
      <c r="F216">
        <v>2994</v>
      </c>
      <c r="G216">
        <v>1014</v>
      </c>
      <c r="H216">
        <v>2082</v>
      </c>
      <c r="I216">
        <v>662</v>
      </c>
      <c r="J216">
        <v>861</v>
      </c>
      <c r="K216">
        <v>384</v>
      </c>
      <c r="L216">
        <v>1280</v>
      </c>
      <c r="M216">
        <v>580</v>
      </c>
      <c r="N216">
        <v>261</v>
      </c>
      <c r="O216">
        <v>114</v>
      </c>
      <c r="P216">
        <v>482</v>
      </c>
      <c r="R216">
        <v>215</v>
      </c>
    </row>
    <row r="217" spans="1:18">
      <c r="A217" s="1" t="s">
        <v>187</v>
      </c>
      <c r="B217">
        <v>30</v>
      </c>
      <c r="C217">
        <v>20</v>
      </c>
      <c r="D217">
        <v>10</v>
      </c>
      <c r="E217">
        <v>-1.3</v>
      </c>
      <c r="F217">
        <v>2102</v>
      </c>
      <c r="G217">
        <v>705</v>
      </c>
      <c r="H217">
        <v>1555</v>
      </c>
      <c r="I217">
        <v>464</v>
      </c>
      <c r="J217">
        <v>624</v>
      </c>
      <c r="K217">
        <v>281</v>
      </c>
      <c r="L217">
        <v>1017</v>
      </c>
      <c r="M217">
        <v>418</v>
      </c>
      <c r="N217">
        <v>161</v>
      </c>
      <c r="O217">
        <v>41</v>
      </c>
      <c r="P217">
        <v>391</v>
      </c>
      <c r="R217">
        <v>216</v>
      </c>
    </row>
    <row r="218" spans="1:18">
      <c r="A218" s="1" t="s">
        <v>188</v>
      </c>
      <c r="B218">
        <v>28</v>
      </c>
      <c r="C218">
        <v>7</v>
      </c>
      <c r="D218">
        <v>21</v>
      </c>
      <c r="E218">
        <v>7.11</v>
      </c>
      <c r="F218">
        <v>1777</v>
      </c>
      <c r="G218">
        <v>614</v>
      </c>
      <c r="H218">
        <v>1559</v>
      </c>
      <c r="I218">
        <v>336</v>
      </c>
      <c r="J218">
        <v>483</v>
      </c>
      <c r="K218">
        <v>294</v>
      </c>
      <c r="L218">
        <v>840</v>
      </c>
      <c r="M218">
        <v>362</v>
      </c>
      <c r="N218">
        <v>152</v>
      </c>
      <c r="O218">
        <v>101</v>
      </c>
      <c r="P218">
        <v>431</v>
      </c>
      <c r="R218">
        <v>217</v>
      </c>
    </row>
    <row r="219" spans="1:18">
      <c r="A219" s="1" t="s">
        <v>289</v>
      </c>
      <c r="B219">
        <v>32</v>
      </c>
      <c r="C219">
        <v>25</v>
      </c>
      <c r="D219">
        <v>7</v>
      </c>
      <c r="E219">
        <v>-1.51</v>
      </c>
      <c r="F219">
        <v>2342</v>
      </c>
      <c r="G219">
        <v>815</v>
      </c>
      <c r="H219">
        <v>1701</v>
      </c>
      <c r="I219">
        <v>446</v>
      </c>
      <c r="J219">
        <v>609</v>
      </c>
      <c r="K219">
        <v>265</v>
      </c>
      <c r="L219">
        <v>1035</v>
      </c>
      <c r="M219">
        <v>561</v>
      </c>
      <c r="N219">
        <v>209</v>
      </c>
      <c r="O219">
        <v>108</v>
      </c>
      <c r="P219">
        <v>421</v>
      </c>
      <c r="R219">
        <v>218</v>
      </c>
    </row>
    <row r="220" spans="1:18">
      <c r="A220" s="1" t="s">
        <v>290</v>
      </c>
      <c r="B220">
        <v>31</v>
      </c>
      <c r="C220">
        <v>22</v>
      </c>
      <c r="D220">
        <v>9</v>
      </c>
      <c r="E220">
        <v>3.36</v>
      </c>
      <c r="F220">
        <v>2519</v>
      </c>
      <c r="G220">
        <v>906</v>
      </c>
      <c r="H220">
        <v>1990</v>
      </c>
      <c r="I220">
        <v>474</v>
      </c>
      <c r="J220">
        <v>661</v>
      </c>
      <c r="K220">
        <v>410</v>
      </c>
      <c r="L220">
        <v>1176</v>
      </c>
      <c r="M220">
        <v>445</v>
      </c>
      <c r="N220">
        <v>229</v>
      </c>
      <c r="O220">
        <v>159</v>
      </c>
      <c r="P220">
        <v>449</v>
      </c>
      <c r="R220">
        <v>219</v>
      </c>
    </row>
    <row r="221" spans="1:18">
      <c r="A221" s="1" t="s">
        <v>189</v>
      </c>
      <c r="B221">
        <v>35</v>
      </c>
      <c r="C221">
        <v>29</v>
      </c>
      <c r="D221">
        <v>6</v>
      </c>
      <c r="E221">
        <v>4.55</v>
      </c>
      <c r="F221">
        <v>2530</v>
      </c>
      <c r="G221">
        <v>928</v>
      </c>
      <c r="H221">
        <v>1974</v>
      </c>
      <c r="I221">
        <v>454</v>
      </c>
      <c r="J221">
        <v>751</v>
      </c>
      <c r="K221">
        <v>464</v>
      </c>
      <c r="L221">
        <v>1345</v>
      </c>
      <c r="M221">
        <v>590</v>
      </c>
      <c r="N221">
        <v>235</v>
      </c>
      <c r="O221">
        <v>156</v>
      </c>
      <c r="P221">
        <v>498</v>
      </c>
      <c r="R221">
        <v>220</v>
      </c>
    </row>
    <row r="222" spans="1:18">
      <c r="A222" s="1" t="s">
        <v>190</v>
      </c>
      <c r="B222">
        <v>28</v>
      </c>
      <c r="C222">
        <v>12</v>
      </c>
      <c r="D222">
        <v>16</v>
      </c>
      <c r="E222">
        <v>-1.03</v>
      </c>
      <c r="F222">
        <v>2040</v>
      </c>
      <c r="G222">
        <v>723</v>
      </c>
      <c r="H222">
        <v>1513</v>
      </c>
      <c r="I222">
        <v>361</v>
      </c>
      <c r="J222">
        <v>486</v>
      </c>
      <c r="K222">
        <v>193</v>
      </c>
      <c r="L222">
        <v>791</v>
      </c>
      <c r="M222">
        <v>468</v>
      </c>
      <c r="N222">
        <v>196</v>
      </c>
      <c r="O222">
        <v>74</v>
      </c>
      <c r="P222">
        <v>446</v>
      </c>
      <c r="R222">
        <v>221</v>
      </c>
    </row>
    <row r="223" spans="1:18">
      <c r="A223" s="1" t="s">
        <v>191</v>
      </c>
      <c r="B223">
        <v>30</v>
      </c>
      <c r="C223">
        <v>6</v>
      </c>
      <c r="D223">
        <v>24</v>
      </c>
      <c r="E223">
        <v>1.03</v>
      </c>
      <c r="F223">
        <v>2154</v>
      </c>
      <c r="G223">
        <v>711</v>
      </c>
      <c r="H223">
        <v>1775</v>
      </c>
      <c r="I223">
        <v>490</v>
      </c>
      <c r="J223">
        <v>712</v>
      </c>
      <c r="K223">
        <v>355</v>
      </c>
      <c r="L223">
        <v>1057</v>
      </c>
      <c r="M223">
        <v>441</v>
      </c>
      <c r="N223">
        <v>188</v>
      </c>
      <c r="O223">
        <v>65</v>
      </c>
      <c r="P223">
        <v>528</v>
      </c>
      <c r="R223">
        <v>222</v>
      </c>
    </row>
    <row r="224" spans="1:18">
      <c r="A224" s="1" t="s">
        <v>192</v>
      </c>
      <c r="B224">
        <v>30</v>
      </c>
      <c r="C224">
        <v>10</v>
      </c>
      <c r="D224">
        <v>20</v>
      </c>
      <c r="E224">
        <v>-11.06</v>
      </c>
      <c r="F224">
        <v>2192</v>
      </c>
      <c r="G224">
        <v>785</v>
      </c>
      <c r="H224">
        <v>1821</v>
      </c>
      <c r="I224">
        <v>438</v>
      </c>
      <c r="J224">
        <v>682</v>
      </c>
      <c r="K224">
        <v>398</v>
      </c>
      <c r="L224">
        <v>1217</v>
      </c>
      <c r="M224">
        <v>352</v>
      </c>
      <c r="N224">
        <v>198</v>
      </c>
      <c r="O224">
        <v>103</v>
      </c>
      <c r="P224">
        <v>621</v>
      </c>
      <c r="R224">
        <v>223</v>
      </c>
    </row>
    <row r="225" spans="1:18">
      <c r="A225" s="1" t="s">
        <v>193</v>
      </c>
      <c r="B225">
        <v>28</v>
      </c>
      <c r="C225">
        <v>16</v>
      </c>
      <c r="D225">
        <v>12</v>
      </c>
      <c r="E225">
        <v>-0.41</v>
      </c>
      <c r="F225">
        <v>1679</v>
      </c>
      <c r="G225">
        <v>576</v>
      </c>
      <c r="H225">
        <v>1285</v>
      </c>
      <c r="I225">
        <v>308</v>
      </c>
      <c r="J225">
        <v>425</v>
      </c>
      <c r="K225">
        <v>215</v>
      </c>
      <c r="L225">
        <v>780</v>
      </c>
      <c r="M225">
        <v>384</v>
      </c>
      <c r="N225">
        <v>214</v>
      </c>
      <c r="O225">
        <v>70</v>
      </c>
      <c r="P225">
        <v>376</v>
      </c>
      <c r="R225">
        <v>224</v>
      </c>
    </row>
    <row r="226" spans="1:18">
      <c r="A226" s="1" t="s">
        <v>194</v>
      </c>
      <c r="B226">
        <v>31</v>
      </c>
      <c r="C226">
        <v>15</v>
      </c>
      <c r="D226">
        <v>16</v>
      </c>
      <c r="E226">
        <v>4.54</v>
      </c>
      <c r="F226">
        <v>2213</v>
      </c>
      <c r="G226">
        <v>756</v>
      </c>
      <c r="H226">
        <v>1863</v>
      </c>
      <c r="I226">
        <v>482</v>
      </c>
      <c r="J226">
        <v>712</v>
      </c>
      <c r="K226">
        <v>408</v>
      </c>
      <c r="L226">
        <v>1074</v>
      </c>
      <c r="M226">
        <v>465</v>
      </c>
      <c r="N226">
        <v>342</v>
      </c>
      <c r="O226">
        <v>126</v>
      </c>
      <c r="P226">
        <v>496</v>
      </c>
      <c r="R226">
        <v>225</v>
      </c>
    </row>
    <row r="227" spans="1:18">
      <c r="A227" s="1" t="s">
        <v>291</v>
      </c>
      <c r="B227">
        <v>31</v>
      </c>
      <c r="C227">
        <v>13</v>
      </c>
      <c r="D227">
        <v>18</v>
      </c>
      <c r="E227">
        <v>8.57</v>
      </c>
      <c r="F227">
        <v>2205</v>
      </c>
      <c r="G227">
        <v>746</v>
      </c>
      <c r="H227">
        <v>1685</v>
      </c>
      <c r="I227">
        <v>484</v>
      </c>
      <c r="J227">
        <v>688</v>
      </c>
      <c r="K227">
        <v>341</v>
      </c>
      <c r="L227">
        <v>989</v>
      </c>
      <c r="M227">
        <v>433</v>
      </c>
      <c r="N227">
        <v>192</v>
      </c>
      <c r="O227">
        <v>98</v>
      </c>
      <c r="P227">
        <v>464</v>
      </c>
      <c r="R227">
        <v>226</v>
      </c>
    </row>
    <row r="228" spans="1:18">
      <c r="A228" s="1" t="s">
        <v>195</v>
      </c>
      <c r="B228">
        <v>30</v>
      </c>
      <c r="C228">
        <v>14</v>
      </c>
      <c r="D228">
        <v>16</v>
      </c>
      <c r="E228">
        <v>-9.85</v>
      </c>
      <c r="F228">
        <v>2370</v>
      </c>
      <c r="G228">
        <v>867</v>
      </c>
      <c r="H228">
        <v>1876</v>
      </c>
      <c r="I228">
        <v>441</v>
      </c>
      <c r="J228">
        <v>692</v>
      </c>
      <c r="K228">
        <v>377</v>
      </c>
      <c r="L228">
        <v>1139</v>
      </c>
      <c r="M228">
        <v>530</v>
      </c>
      <c r="N228">
        <v>203</v>
      </c>
      <c r="O228">
        <v>67</v>
      </c>
      <c r="P228">
        <v>462</v>
      </c>
      <c r="R228">
        <v>227</v>
      </c>
    </row>
    <row r="229" spans="1:18">
      <c r="A229" s="1" t="s">
        <v>196</v>
      </c>
      <c r="B229">
        <v>31</v>
      </c>
      <c r="C229">
        <v>15</v>
      </c>
      <c r="D229">
        <v>16</v>
      </c>
      <c r="E229">
        <v>-6.13</v>
      </c>
      <c r="F229">
        <v>2204</v>
      </c>
      <c r="G229">
        <v>767</v>
      </c>
      <c r="H229">
        <v>1778</v>
      </c>
      <c r="I229">
        <v>466</v>
      </c>
      <c r="J229">
        <v>721</v>
      </c>
      <c r="K229">
        <v>422</v>
      </c>
      <c r="L229">
        <v>1235</v>
      </c>
      <c r="M229">
        <v>396</v>
      </c>
      <c r="N229">
        <v>253</v>
      </c>
      <c r="O229">
        <v>160</v>
      </c>
      <c r="P229">
        <v>530</v>
      </c>
      <c r="R229">
        <v>228</v>
      </c>
    </row>
    <row r="230" spans="1:18">
      <c r="A230" s="1" t="s">
        <v>197</v>
      </c>
      <c r="B230">
        <v>28</v>
      </c>
      <c r="C230">
        <v>8</v>
      </c>
      <c r="D230">
        <v>20</v>
      </c>
      <c r="E230">
        <v>3.66</v>
      </c>
      <c r="F230">
        <v>1731</v>
      </c>
      <c r="G230">
        <v>602</v>
      </c>
      <c r="H230">
        <v>1578</v>
      </c>
      <c r="I230">
        <v>371</v>
      </c>
      <c r="J230">
        <v>538</v>
      </c>
      <c r="K230">
        <v>361</v>
      </c>
      <c r="L230">
        <v>983</v>
      </c>
      <c r="M230">
        <v>337</v>
      </c>
      <c r="N230">
        <v>174</v>
      </c>
      <c r="O230">
        <v>74</v>
      </c>
      <c r="P230">
        <v>386</v>
      </c>
      <c r="R230">
        <v>229</v>
      </c>
    </row>
    <row r="231" spans="1:18">
      <c r="A231" s="1" t="s">
        <v>198</v>
      </c>
      <c r="B231">
        <v>29</v>
      </c>
      <c r="C231">
        <v>10</v>
      </c>
      <c r="D231">
        <v>19</v>
      </c>
      <c r="E231">
        <v>1.3</v>
      </c>
      <c r="F231">
        <v>1907</v>
      </c>
      <c r="G231">
        <v>663</v>
      </c>
      <c r="H231">
        <v>1581</v>
      </c>
      <c r="I231">
        <v>428</v>
      </c>
      <c r="J231">
        <v>608</v>
      </c>
      <c r="K231">
        <v>340</v>
      </c>
      <c r="L231">
        <v>1085</v>
      </c>
      <c r="M231">
        <v>344</v>
      </c>
      <c r="N231">
        <v>168</v>
      </c>
      <c r="O231">
        <v>115</v>
      </c>
      <c r="P231">
        <v>486</v>
      </c>
      <c r="R231">
        <v>230</v>
      </c>
    </row>
    <row r="232" spans="1:18">
      <c r="A232" s="1" t="s">
        <v>199</v>
      </c>
      <c r="B232">
        <v>36</v>
      </c>
      <c r="C232">
        <v>22</v>
      </c>
      <c r="D232">
        <v>14</v>
      </c>
      <c r="E232">
        <v>4.21</v>
      </c>
      <c r="F232">
        <v>2260</v>
      </c>
      <c r="G232">
        <v>773</v>
      </c>
      <c r="H232">
        <v>1934</v>
      </c>
      <c r="I232">
        <v>435</v>
      </c>
      <c r="J232">
        <v>617</v>
      </c>
      <c r="K232">
        <v>331</v>
      </c>
      <c r="L232">
        <v>1090</v>
      </c>
      <c r="M232">
        <v>506</v>
      </c>
      <c r="N232">
        <v>262</v>
      </c>
      <c r="O232">
        <v>132</v>
      </c>
      <c r="P232">
        <v>370</v>
      </c>
      <c r="R232">
        <v>231</v>
      </c>
    </row>
    <row r="233" spans="1:18">
      <c r="A233" s="1" t="s">
        <v>200</v>
      </c>
      <c r="B233">
        <v>28</v>
      </c>
      <c r="C233">
        <v>17</v>
      </c>
      <c r="D233">
        <v>11</v>
      </c>
      <c r="E233">
        <v>-5.95</v>
      </c>
      <c r="F233">
        <v>1979</v>
      </c>
      <c r="G233">
        <v>703</v>
      </c>
      <c r="H233">
        <v>1663</v>
      </c>
      <c r="I233">
        <v>371</v>
      </c>
      <c r="J233">
        <v>530</v>
      </c>
      <c r="K233">
        <v>346</v>
      </c>
      <c r="L233">
        <v>1050</v>
      </c>
      <c r="M233">
        <v>414</v>
      </c>
      <c r="N233">
        <v>237</v>
      </c>
      <c r="O233">
        <v>101</v>
      </c>
      <c r="P233">
        <v>418</v>
      </c>
      <c r="R233">
        <v>232</v>
      </c>
    </row>
    <row r="234" spans="1:18">
      <c r="A234" s="1" t="s">
        <v>201</v>
      </c>
      <c r="B234">
        <v>30</v>
      </c>
      <c r="C234">
        <v>12</v>
      </c>
      <c r="D234">
        <v>18</v>
      </c>
      <c r="E234">
        <v>-8.44</v>
      </c>
      <c r="F234">
        <v>2076</v>
      </c>
      <c r="G234">
        <v>735</v>
      </c>
      <c r="H234">
        <v>1679</v>
      </c>
      <c r="I234">
        <v>395</v>
      </c>
      <c r="J234">
        <v>561</v>
      </c>
      <c r="K234">
        <v>345</v>
      </c>
      <c r="L234">
        <v>1022</v>
      </c>
      <c r="M234">
        <v>457</v>
      </c>
      <c r="N234">
        <v>191</v>
      </c>
      <c r="O234">
        <v>64</v>
      </c>
      <c r="P234">
        <v>467</v>
      </c>
      <c r="R234">
        <v>233</v>
      </c>
    </row>
    <row r="235" spans="1:18">
      <c r="A235" s="1" t="s">
        <v>202</v>
      </c>
      <c r="B235">
        <v>31</v>
      </c>
      <c r="C235">
        <v>18</v>
      </c>
      <c r="D235">
        <v>13</v>
      </c>
      <c r="E235">
        <v>2.91</v>
      </c>
      <c r="F235">
        <v>2097</v>
      </c>
      <c r="G235">
        <v>749</v>
      </c>
      <c r="H235">
        <v>1852</v>
      </c>
      <c r="I235">
        <v>421</v>
      </c>
      <c r="J235">
        <v>722</v>
      </c>
      <c r="K235">
        <v>473</v>
      </c>
      <c r="L235">
        <v>1224</v>
      </c>
      <c r="M235">
        <v>419</v>
      </c>
      <c r="N235">
        <v>324</v>
      </c>
      <c r="O235">
        <v>215</v>
      </c>
      <c r="P235">
        <v>526</v>
      </c>
      <c r="R235">
        <v>234</v>
      </c>
    </row>
    <row r="236" spans="1:18">
      <c r="A236" s="1" t="s">
        <v>203</v>
      </c>
      <c r="B236">
        <v>28</v>
      </c>
      <c r="C236">
        <v>9</v>
      </c>
      <c r="D236">
        <v>19</v>
      </c>
      <c r="E236">
        <v>-5.34</v>
      </c>
      <c r="F236">
        <v>2054</v>
      </c>
      <c r="G236">
        <v>711</v>
      </c>
      <c r="H236">
        <v>1682</v>
      </c>
      <c r="I236">
        <v>457</v>
      </c>
      <c r="J236">
        <v>694</v>
      </c>
      <c r="K236">
        <v>367</v>
      </c>
      <c r="L236">
        <v>979</v>
      </c>
      <c r="M236">
        <v>385</v>
      </c>
      <c r="N236">
        <v>252</v>
      </c>
      <c r="O236">
        <v>81</v>
      </c>
      <c r="P236">
        <v>466</v>
      </c>
      <c r="R236">
        <v>235</v>
      </c>
    </row>
    <row r="237" spans="1:18">
      <c r="A237" s="1" t="s">
        <v>204</v>
      </c>
      <c r="B237">
        <v>28</v>
      </c>
      <c r="C237">
        <v>8</v>
      </c>
      <c r="D237">
        <v>20</v>
      </c>
      <c r="E237">
        <v>-9.84</v>
      </c>
      <c r="F237">
        <v>2108</v>
      </c>
      <c r="G237">
        <v>786</v>
      </c>
      <c r="H237">
        <v>1815</v>
      </c>
      <c r="I237">
        <v>392</v>
      </c>
      <c r="J237">
        <v>610</v>
      </c>
      <c r="K237">
        <v>437</v>
      </c>
      <c r="L237">
        <v>1145</v>
      </c>
      <c r="M237">
        <v>406</v>
      </c>
      <c r="N237">
        <v>199</v>
      </c>
      <c r="O237">
        <v>88</v>
      </c>
      <c r="P237">
        <v>473</v>
      </c>
      <c r="R237">
        <v>236</v>
      </c>
    </row>
    <row r="238" spans="1:18">
      <c r="A238" s="1" t="s">
        <v>205</v>
      </c>
      <c r="B238">
        <v>27</v>
      </c>
      <c r="C238">
        <v>6</v>
      </c>
      <c r="D238">
        <v>21</v>
      </c>
      <c r="E238">
        <v>-7.84</v>
      </c>
      <c r="F238">
        <v>1702</v>
      </c>
      <c r="G238">
        <v>598</v>
      </c>
      <c r="H238">
        <v>1468</v>
      </c>
      <c r="I238">
        <v>369</v>
      </c>
      <c r="J238">
        <v>539</v>
      </c>
      <c r="K238">
        <v>312</v>
      </c>
      <c r="L238">
        <v>907</v>
      </c>
      <c r="M238">
        <v>339</v>
      </c>
      <c r="N238">
        <v>180</v>
      </c>
      <c r="O238">
        <v>41</v>
      </c>
      <c r="P238">
        <v>421</v>
      </c>
      <c r="R238">
        <v>237</v>
      </c>
    </row>
    <row r="239" spans="1:18">
      <c r="A239" s="1" t="s">
        <v>206</v>
      </c>
      <c r="B239">
        <v>31</v>
      </c>
      <c r="C239">
        <v>19</v>
      </c>
      <c r="D239">
        <v>12</v>
      </c>
      <c r="E239">
        <v>3.33</v>
      </c>
      <c r="F239">
        <v>2361</v>
      </c>
      <c r="G239">
        <v>841</v>
      </c>
      <c r="H239">
        <v>1831</v>
      </c>
      <c r="I239">
        <v>436</v>
      </c>
      <c r="J239">
        <v>633</v>
      </c>
      <c r="K239">
        <v>383</v>
      </c>
      <c r="L239">
        <v>1140</v>
      </c>
      <c r="M239">
        <v>473</v>
      </c>
      <c r="N239">
        <v>163</v>
      </c>
      <c r="O239">
        <v>95</v>
      </c>
      <c r="P239">
        <v>381</v>
      </c>
      <c r="R239">
        <v>238</v>
      </c>
    </row>
    <row r="240" spans="1:18">
      <c r="A240" s="1" t="s">
        <v>292</v>
      </c>
      <c r="B240">
        <v>31</v>
      </c>
      <c r="C240">
        <v>15</v>
      </c>
      <c r="D240">
        <v>16</v>
      </c>
      <c r="E240">
        <v>6.34</v>
      </c>
      <c r="F240">
        <v>1955</v>
      </c>
      <c r="G240">
        <v>701</v>
      </c>
      <c r="H240">
        <v>1651</v>
      </c>
      <c r="I240">
        <v>384</v>
      </c>
      <c r="J240">
        <v>567</v>
      </c>
      <c r="K240">
        <v>311</v>
      </c>
      <c r="L240">
        <v>1008</v>
      </c>
      <c r="M240">
        <v>384</v>
      </c>
      <c r="N240">
        <v>217</v>
      </c>
      <c r="O240">
        <v>85</v>
      </c>
      <c r="P240">
        <v>476</v>
      </c>
      <c r="R240">
        <v>239</v>
      </c>
    </row>
    <row r="241" spans="1:18">
      <c r="A241" s="1" t="s">
        <v>207</v>
      </c>
      <c r="B241">
        <v>29</v>
      </c>
      <c r="C241">
        <v>9</v>
      </c>
      <c r="D241">
        <v>20</v>
      </c>
      <c r="E241">
        <v>0.66</v>
      </c>
      <c r="F241">
        <v>1770</v>
      </c>
      <c r="G241">
        <v>616</v>
      </c>
      <c r="H241">
        <v>1543</v>
      </c>
      <c r="I241">
        <v>417</v>
      </c>
      <c r="J241">
        <v>616</v>
      </c>
      <c r="K241">
        <v>362</v>
      </c>
      <c r="L241">
        <v>958</v>
      </c>
      <c r="M241">
        <v>313</v>
      </c>
      <c r="N241">
        <v>210</v>
      </c>
      <c r="O241">
        <v>80</v>
      </c>
      <c r="P241">
        <v>479</v>
      </c>
      <c r="R241">
        <v>240</v>
      </c>
    </row>
    <row r="242" spans="1:18">
      <c r="A242" s="1" t="s">
        <v>208</v>
      </c>
      <c r="B242">
        <v>28</v>
      </c>
      <c r="C242">
        <v>4</v>
      </c>
      <c r="D242">
        <v>24</v>
      </c>
      <c r="E242">
        <v>-4.1399999999999997</v>
      </c>
      <c r="F242">
        <v>1824</v>
      </c>
      <c r="G242">
        <v>676</v>
      </c>
      <c r="H242">
        <v>1612</v>
      </c>
      <c r="I242">
        <v>352</v>
      </c>
      <c r="J242">
        <v>565</v>
      </c>
      <c r="K242">
        <v>372</v>
      </c>
      <c r="L242">
        <v>994</v>
      </c>
      <c r="M242">
        <v>368</v>
      </c>
      <c r="N242">
        <v>234</v>
      </c>
      <c r="O242">
        <v>103</v>
      </c>
      <c r="P242">
        <v>530</v>
      </c>
      <c r="R242">
        <v>241</v>
      </c>
    </row>
    <row r="243" spans="1:18">
      <c r="A243" s="1" t="s">
        <v>209</v>
      </c>
      <c r="B243">
        <v>28</v>
      </c>
      <c r="C243">
        <v>14</v>
      </c>
      <c r="D243">
        <v>14</v>
      </c>
      <c r="E243">
        <v>-6.39</v>
      </c>
      <c r="F243">
        <v>2090</v>
      </c>
      <c r="G243">
        <v>707</v>
      </c>
      <c r="H243">
        <v>1640</v>
      </c>
      <c r="I243">
        <v>488</v>
      </c>
      <c r="J243">
        <v>725</v>
      </c>
      <c r="K243">
        <v>380</v>
      </c>
      <c r="L243">
        <v>1138</v>
      </c>
      <c r="M243">
        <v>477</v>
      </c>
      <c r="N243">
        <v>183</v>
      </c>
      <c r="O243">
        <v>136</v>
      </c>
      <c r="P243">
        <v>498</v>
      </c>
      <c r="R243">
        <v>242</v>
      </c>
    </row>
    <row r="244" spans="1:18">
      <c r="A244" s="1" t="s">
        <v>293</v>
      </c>
      <c r="B244">
        <v>29</v>
      </c>
      <c r="C244">
        <v>15</v>
      </c>
      <c r="D244">
        <v>14</v>
      </c>
      <c r="E244">
        <v>-4.08</v>
      </c>
      <c r="F244">
        <v>1755</v>
      </c>
      <c r="G244">
        <v>614</v>
      </c>
      <c r="H244">
        <v>1285</v>
      </c>
      <c r="I244">
        <v>278</v>
      </c>
      <c r="J244">
        <v>396</v>
      </c>
      <c r="K244">
        <v>187</v>
      </c>
      <c r="L244">
        <v>782</v>
      </c>
      <c r="M244">
        <v>441</v>
      </c>
      <c r="N244">
        <v>180</v>
      </c>
      <c r="O244">
        <v>70</v>
      </c>
      <c r="P244">
        <v>431</v>
      </c>
      <c r="R244">
        <v>243</v>
      </c>
    </row>
    <row r="245" spans="1:18">
      <c r="A245" s="1" t="s">
        <v>210</v>
      </c>
      <c r="B245">
        <v>33</v>
      </c>
      <c r="C245">
        <v>21</v>
      </c>
      <c r="D245">
        <v>12</v>
      </c>
      <c r="E245">
        <v>6.02</v>
      </c>
      <c r="F245">
        <v>2455</v>
      </c>
      <c r="G245">
        <v>906</v>
      </c>
      <c r="H245">
        <v>1902</v>
      </c>
      <c r="I245">
        <v>496</v>
      </c>
      <c r="J245">
        <v>752</v>
      </c>
      <c r="K245">
        <v>400</v>
      </c>
      <c r="L245">
        <v>1219</v>
      </c>
      <c r="M245">
        <v>472</v>
      </c>
      <c r="N245">
        <v>225</v>
      </c>
      <c r="O245">
        <v>123</v>
      </c>
      <c r="P245">
        <v>508</v>
      </c>
      <c r="R245">
        <v>244</v>
      </c>
    </row>
    <row r="246" spans="1:18">
      <c r="A246" s="1" t="s">
        <v>211</v>
      </c>
      <c r="B246">
        <v>29</v>
      </c>
      <c r="C246">
        <v>16</v>
      </c>
      <c r="D246">
        <v>13</v>
      </c>
      <c r="E246">
        <v>1.56</v>
      </c>
      <c r="F246">
        <v>2189</v>
      </c>
      <c r="G246">
        <v>753</v>
      </c>
      <c r="H246">
        <v>1672</v>
      </c>
      <c r="I246">
        <v>530</v>
      </c>
      <c r="J246">
        <v>775</v>
      </c>
      <c r="K246">
        <v>390</v>
      </c>
      <c r="L246">
        <v>1102</v>
      </c>
      <c r="M246">
        <v>404</v>
      </c>
      <c r="N246">
        <v>184</v>
      </c>
      <c r="O246">
        <v>52</v>
      </c>
      <c r="P246">
        <v>419</v>
      </c>
      <c r="R246">
        <v>245</v>
      </c>
    </row>
    <row r="247" spans="1:18">
      <c r="A247" s="1" t="s">
        <v>212</v>
      </c>
      <c r="B247">
        <v>28</v>
      </c>
      <c r="C247">
        <v>13</v>
      </c>
      <c r="D247">
        <v>15</v>
      </c>
      <c r="E247">
        <v>1.1100000000000001</v>
      </c>
      <c r="F247">
        <v>1992</v>
      </c>
      <c r="G247">
        <v>704</v>
      </c>
      <c r="H247">
        <v>1621</v>
      </c>
      <c r="I247">
        <v>423</v>
      </c>
      <c r="J247">
        <v>586</v>
      </c>
      <c r="K247">
        <v>334</v>
      </c>
      <c r="L247">
        <v>1037</v>
      </c>
      <c r="M247">
        <v>383</v>
      </c>
      <c r="N247">
        <v>157</v>
      </c>
      <c r="O247">
        <v>125</v>
      </c>
      <c r="P247">
        <v>399</v>
      </c>
      <c r="R247">
        <v>246</v>
      </c>
    </row>
    <row r="248" spans="1:18">
      <c r="A248" s="1" t="s">
        <v>213</v>
      </c>
      <c r="B248">
        <v>32</v>
      </c>
      <c r="C248">
        <v>10</v>
      </c>
      <c r="D248">
        <v>22</v>
      </c>
      <c r="E248">
        <v>1.53</v>
      </c>
      <c r="F248">
        <v>1986</v>
      </c>
      <c r="G248">
        <v>695</v>
      </c>
      <c r="H248">
        <v>1706</v>
      </c>
      <c r="I248">
        <v>413</v>
      </c>
      <c r="J248">
        <v>627</v>
      </c>
      <c r="K248">
        <v>372</v>
      </c>
      <c r="L248">
        <v>1062</v>
      </c>
      <c r="M248">
        <v>365</v>
      </c>
      <c r="N248">
        <v>146</v>
      </c>
      <c r="O248">
        <v>67</v>
      </c>
      <c r="P248">
        <v>443</v>
      </c>
      <c r="R248">
        <v>247</v>
      </c>
    </row>
    <row r="249" spans="1:18">
      <c r="A249" s="1" t="s">
        <v>214</v>
      </c>
      <c r="B249">
        <v>28</v>
      </c>
      <c r="C249">
        <v>13</v>
      </c>
      <c r="D249">
        <v>15</v>
      </c>
      <c r="E249">
        <v>0.38</v>
      </c>
      <c r="F249">
        <v>1883</v>
      </c>
      <c r="G249">
        <v>628</v>
      </c>
      <c r="H249">
        <v>1550</v>
      </c>
      <c r="I249">
        <v>420</v>
      </c>
      <c r="J249">
        <v>610</v>
      </c>
      <c r="K249">
        <v>331</v>
      </c>
      <c r="L249">
        <v>1033</v>
      </c>
      <c r="M249">
        <v>333</v>
      </c>
      <c r="N249">
        <v>146</v>
      </c>
      <c r="O249">
        <v>61</v>
      </c>
      <c r="P249">
        <v>403</v>
      </c>
      <c r="R249">
        <v>248</v>
      </c>
    </row>
    <row r="250" spans="1:18">
      <c r="A250" s="1" t="s">
        <v>294</v>
      </c>
      <c r="B250">
        <v>30</v>
      </c>
      <c r="C250">
        <v>12</v>
      </c>
      <c r="D250">
        <v>18</v>
      </c>
      <c r="E250">
        <v>6.65</v>
      </c>
      <c r="F250">
        <v>2115</v>
      </c>
      <c r="G250">
        <v>744</v>
      </c>
      <c r="H250">
        <v>1873</v>
      </c>
      <c r="I250">
        <v>380</v>
      </c>
      <c r="J250">
        <v>554</v>
      </c>
      <c r="K250">
        <v>432</v>
      </c>
      <c r="L250">
        <v>1146</v>
      </c>
      <c r="M250">
        <v>394</v>
      </c>
      <c r="N250">
        <v>243</v>
      </c>
      <c r="O250">
        <v>113</v>
      </c>
      <c r="P250">
        <v>454</v>
      </c>
      <c r="R250">
        <v>249</v>
      </c>
    </row>
    <row r="251" spans="1:18">
      <c r="A251" s="1" t="s">
        <v>215</v>
      </c>
      <c r="B251">
        <v>36</v>
      </c>
      <c r="C251">
        <v>17</v>
      </c>
      <c r="D251">
        <v>19</v>
      </c>
      <c r="E251">
        <v>-3.71</v>
      </c>
      <c r="F251">
        <v>2517</v>
      </c>
      <c r="G251">
        <v>853</v>
      </c>
      <c r="H251">
        <v>2044</v>
      </c>
      <c r="I251">
        <v>561</v>
      </c>
      <c r="J251">
        <v>754</v>
      </c>
      <c r="K251">
        <v>402</v>
      </c>
      <c r="L251">
        <v>1361</v>
      </c>
      <c r="M251">
        <v>465</v>
      </c>
      <c r="N251">
        <v>199</v>
      </c>
      <c r="O251">
        <v>149</v>
      </c>
      <c r="P251">
        <v>550</v>
      </c>
      <c r="R251">
        <v>250</v>
      </c>
    </row>
    <row r="252" spans="1:18">
      <c r="A252" s="1" t="s">
        <v>216</v>
      </c>
      <c r="B252">
        <v>28</v>
      </c>
      <c r="C252">
        <v>7</v>
      </c>
      <c r="D252">
        <v>21</v>
      </c>
      <c r="E252">
        <v>-0.25</v>
      </c>
      <c r="F252">
        <v>1806</v>
      </c>
      <c r="G252">
        <v>654</v>
      </c>
      <c r="H252">
        <v>1499</v>
      </c>
      <c r="I252">
        <v>317</v>
      </c>
      <c r="J252">
        <v>494</v>
      </c>
      <c r="K252">
        <v>292</v>
      </c>
      <c r="L252">
        <v>888</v>
      </c>
      <c r="M252">
        <v>353</v>
      </c>
      <c r="N252">
        <v>230</v>
      </c>
      <c r="O252">
        <v>66</v>
      </c>
      <c r="P252">
        <v>513</v>
      </c>
      <c r="R252">
        <v>251</v>
      </c>
    </row>
    <row r="253" spans="1:18">
      <c r="A253" s="1" t="s">
        <v>295</v>
      </c>
      <c r="B253">
        <v>31</v>
      </c>
      <c r="C253">
        <v>15</v>
      </c>
      <c r="D253">
        <v>16</v>
      </c>
      <c r="E253">
        <v>-7.01</v>
      </c>
      <c r="F253">
        <v>2160</v>
      </c>
      <c r="G253">
        <v>777</v>
      </c>
      <c r="H253">
        <v>1818</v>
      </c>
      <c r="I253">
        <v>488</v>
      </c>
      <c r="J253">
        <v>739</v>
      </c>
      <c r="K253">
        <v>468</v>
      </c>
      <c r="L253">
        <v>1197</v>
      </c>
      <c r="M253">
        <v>320</v>
      </c>
      <c r="N253">
        <v>269</v>
      </c>
      <c r="O253">
        <v>90</v>
      </c>
      <c r="P253">
        <v>483</v>
      </c>
      <c r="R253">
        <v>252</v>
      </c>
    </row>
    <row r="254" spans="1:18">
      <c r="A254" s="1" t="s">
        <v>217</v>
      </c>
      <c r="B254">
        <v>37</v>
      </c>
      <c r="C254">
        <v>22</v>
      </c>
      <c r="D254">
        <v>15</v>
      </c>
      <c r="E254">
        <v>9.7899999999999991</v>
      </c>
      <c r="F254">
        <v>2527</v>
      </c>
      <c r="G254">
        <v>902</v>
      </c>
      <c r="H254">
        <v>2098</v>
      </c>
      <c r="I254">
        <v>464</v>
      </c>
      <c r="J254">
        <v>699</v>
      </c>
      <c r="K254">
        <v>443</v>
      </c>
      <c r="L254">
        <v>1225</v>
      </c>
      <c r="M254">
        <v>558</v>
      </c>
      <c r="N254">
        <v>356</v>
      </c>
      <c r="O254">
        <v>104</v>
      </c>
      <c r="P254">
        <v>514</v>
      </c>
      <c r="R254">
        <v>253</v>
      </c>
    </row>
    <row r="255" spans="1:18">
      <c r="A255" s="1" t="s">
        <v>218</v>
      </c>
      <c r="B255">
        <v>32</v>
      </c>
      <c r="C255">
        <v>19</v>
      </c>
      <c r="D255">
        <v>13</v>
      </c>
      <c r="E255">
        <v>4.95</v>
      </c>
      <c r="F255">
        <v>2466</v>
      </c>
      <c r="G255">
        <v>901</v>
      </c>
      <c r="H255">
        <v>1970</v>
      </c>
      <c r="I255">
        <v>453</v>
      </c>
      <c r="J255">
        <v>745</v>
      </c>
      <c r="K255">
        <v>469</v>
      </c>
      <c r="L255">
        <v>1262</v>
      </c>
      <c r="M255">
        <v>555</v>
      </c>
      <c r="N255">
        <v>293</v>
      </c>
      <c r="O255">
        <v>141</v>
      </c>
      <c r="P255">
        <v>532</v>
      </c>
      <c r="R255">
        <v>254</v>
      </c>
    </row>
    <row r="256" spans="1:18">
      <c r="A256" s="1" t="s">
        <v>296</v>
      </c>
      <c r="B256">
        <v>28</v>
      </c>
      <c r="C256">
        <v>6</v>
      </c>
      <c r="D256">
        <v>22</v>
      </c>
      <c r="E256">
        <v>-3.08</v>
      </c>
      <c r="F256">
        <v>1991</v>
      </c>
      <c r="G256">
        <v>690</v>
      </c>
      <c r="H256">
        <v>1516</v>
      </c>
      <c r="I256">
        <v>428</v>
      </c>
      <c r="J256">
        <v>560</v>
      </c>
      <c r="K256">
        <v>238</v>
      </c>
      <c r="L256">
        <v>852</v>
      </c>
      <c r="M256">
        <v>383</v>
      </c>
      <c r="N256">
        <v>159</v>
      </c>
      <c r="O256">
        <v>75</v>
      </c>
      <c r="P256">
        <v>419</v>
      </c>
      <c r="R256">
        <v>255</v>
      </c>
    </row>
    <row r="257" spans="1:18">
      <c r="A257" s="1" t="s">
        <v>219</v>
      </c>
      <c r="B257">
        <v>27</v>
      </c>
      <c r="C257">
        <v>7</v>
      </c>
      <c r="D257">
        <v>20</v>
      </c>
      <c r="E257">
        <v>-7.38</v>
      </c>
      <c r="F257">
        <v>1543</v>
      </c>
      <c r="G257">
        <v>541</v>
      </c>
      <c r="H257">
        <v>1325</v>
      </c>
      <c r="I257">
        <v>320</v>
      </c>
      <c r="J257">
        <v>481</v>
      </c>
      <c r="K257">
        <v>252</v>
      </c>
      <c r="L257">
        <v>851</v>
      </c>
      <c r="M257">
        <v>276</v>
      </c>
      <c r="N257">
        <v>171</v>
      </c>
      <c r="O257">
        <v>75</v>
      </c>
      <c r="P257">
        <v>414</v>
      </c>
      <c r="R257">
        <v>256</v>
      </c>
    </row>
    <row r="258" spans="1:18">
      <c r="A258" s="1" t="s">
        <v>220</v>
      </c>
      <c r="B258">
        <v>32</v>
      </c>
      <c r="C258">
        <v>22</v>
      </c>
      <c r="D258">
        <v>10</v>
      </c>
      <c r="E258">
        <v>8.31</v>
      </c>
      <c r="F258">
        <v>2494</v>
      </c>
      <c r="G258">
        <v>909</v>
      </c>
      <c r="H258">
        <v>2063</v>
      </c>
      <c r="I258">
        <v>475</v>
      </c>
      <c r="J258">
        <v>686</v>
      </c>
      <c r="K258">
        <v>455</v>
      </c>
      <c r="L258">
        <v>1231</v>
      </c>
      <c r="M258">
        <v>504</v>
      </c>
      <c r="N258">
        <v>287</v>
      </c>
      <c r="O258">
        <v>129</v>
      </c>
      <c r="P258">
        <v>389</v>
      </c>
      <c r="R258">
        <v>257</v>
      </c>
    </row>
    <row r="259" spans="1:18">
      <c r="A259" s="1" t="s">
        <v>221</v>
      </c>
      <c r="B259">
        <v>36</v>
      </c>
      <c r="C259">
        <v>28</v>
      </c>
      <c r="D259">
        <v>8</v>
      </c>
      <c r="E259">
        <v>1.67</v>
      </c>
      <c r="F259">
        <v>2717</v>
      </c>
      <c r="G259">
        <v>976</v>
      </c>
      <c r="H259">
        <v>2115</v>
      </c>
      <c r="I259">
        <v>545</v>
      </c>
      <c r="J259">
        <v>880</v>
      </c>
      <c r="K259">
        <v>483</v>
      </c>
      <c r="L259">
        <v>1396</v>
      </c>
      <c r="M259">
        <v>547</v>
      </c>
      <c r="N259">
        <v>262</v>
      </c>
      <c r="O259">
        <v>171</v>
      </c>
      <c r="P259">
        <v>493</v>
      </c>
      <c r="R259">
        <v>258</v>
      </c>
    </row>
    <row r="260" spans="1:18">
      <c r="A260" s="1" t="s">
        <v>222</v>
      </c>
      <c r="B260">
        <v>29</v>
      </c>
      <c r="C260">
        <v>15</v>
      </c>
      <c r="D260">
        <v>14</v>
      </c>
      <c r="E260">
        <v>3.58</v>
      </c>
      <c r="F260">
        <v>2101</v>
      </c>
      <c r="G260">
        <v>716</v>
      </c>
      <c r="H260">
        <v>1634</v>
      </c>
      <c r="I260">
        <v>506</v>
      </c>
      <c r="J260">
        <v>765</v>
      </c>
      <c r="K260">
        <v>382</v>
      </c>
      <c r="L260">
        <v>1131</v>
      </c>
      <c r="M260">
        <v>300</v>
      </c>
      <c r="N260">
        <v>177</v>
      </c>
      <c r="O260">
        <v>119</v>
      </c>
      <c r="P260">
        <v>397</v>
      </c>
      <c r="R260">
        <v>259</v>
      </c>
    </row>
    <row r="261" spans="1:18">
      <c r="A261" s="1" t="s">
        <v>223</v>
      </c>
      <c r="B261">
        <v>27</v>
      </c>
      <c r="C261">
        <v>10</v>
      </c>
      <c r="D261">
        <v>17</v>
      </c>
      <c r="E261">
        <v>3.53</v>
      </c>
      <c r="F261">
        <v>1676</v>
      </c>
      <c r="G261">
        <v>592</v>
      </c>
      <c r="H261">
        <v>1457</v>
      </c>
      <c r="I261">
        <v>372</v>
      </c>
      <c r="J261">
        <v>556</v>
      </c>
      <c r="K261">
        <v>315</v>
      </c>
      <c r="L261">
        <v>923</v>
      </c>
      <c r="M261">
        <v>322</v>
      </c>
      <c r="N261">
        <v>187</v>
      </c>
      <c r="O261">
        <v>107</v>
      </c>
      <c r="P261">
        <v>414</v>
      </c>
      <c r="R261">
        <v>260</v>
      </c>
    </row>
    <row r="262" spans="1:18">
      <c r="A262" s="1" t="s">
        <v>224</v>
      </c>
      <c r="B262">
        <v>27</v>
      </c>
      <c r="C262">
        <v>11</v>
      </c>
      <c r="D262">
        <v>16</v>
      </c>
      <c r="E262">
        <v>-1.45</v>
      </c>
      <c r="F262">
        <v>1747</v>
      </c>
      <c r="G262">
        <v>617</v>
      </c>
      <c r="H262">
        <v>1371</v>
      </c>
      <c r="I262">
        <v>318</v>
      </c>
      <c r="J262">
        <v>455</v>
      </c>
      <c r="K262">
        <v>252</v>
      </c>
      <c r="L262">
        <v>795</v>
      </c>
      <c r="M262">
        <v>370</v>
      </c>
      <c r="N262">
        <v>252</v>
      </c>
      <c r="O262">
        <v>64</v>
      </c>
      <c r="P262">
        <v>427</v>
      </c>
      <c r="R262">
        <v>261</v>
      </c>
    </row>
    <row r="263" spans="1:18">
      <c r="A263" s="1" t="s">
        <v>225</v>
      </c>
      <c r="B263">
        <v>27</v>
      </c>
      <c r="C263">
        <v>7</v>
      </c>
      <c r="D263">
        <v>20</v>
      </c>
      <c r="E263">
        <v>-12.56</v>
      </c>
      <c r="F263">
        <v>1995</v>
      </c>
      <c r="G263">
        <v>736</v>
      </c>
      <c r="H263">
        <v>1796</v>
      </c>
      <c r="I263">
        <v>293</v>
      </c>
      <c r="J263">
        <v>475</v>
      </c>
      <c r="K263">
        <v>374</v>
      </c>
      <c r="L263">
        <v>983</v>
      </c>
      <c r="M263">
        <v>389</v>
      </c>
      <c r="N263">
        <v>239</v>
      </c>
      <c r="O263">
        <v>85</v>
      </c>
      <c r="P263">
        <v>431</v>
      </c>
      <c r="R263">
        <v>262</v>
      </c>
    </row>
    <row r="264" spans="1:18">
      <c r="A264" s="1" t="s">
        <v>297</v>
      </c>
      <c r="B264">
        <v>30</v>
      </c>
      <c r="C264">
        <v>17</v>
      </c>
      <c r="D264">
        <v>13</v>
      </c>
      <c r="E264">
        <v>3.63</v>
      </c>
      <c r="F264">
        <v>2416</v>
      </c>
      <c r="G264">
        <v>794</v>
      </c>
      <c r="H264">
        <v>1853</v>
      </c>
      <c r="I264">
        <v>514</v>
      </c>
      <c r="J264">
        <v>677</v>
      </c>
      <c r="K264">
        <v>360</v>
      </c>
      <c r="L264">
        <v>949</v>
      </c>
      <c r="M264">
        <v>392</v>
      </c>
      <c r="N264">
        <v>291</v>
      </c>
      <c r="O264">
        <v>24</v>
      </c>
      <c r="P264">
        <v>347</v>
      </c>
      <c r="R264">
        <v>263</v>
      </c>
    </row>
    <row r="265" spans="1:18">
      <c r="A265" s="1" t="s">
        <v>226</v>
      </c>
      <c r="B265">
        <v>29</v>
      </c>
      <c r="C265">
        <v>18</v>
      </c>
      <c r="D265">
        <v>11</v>
      </c>
      <c r="E265">
        <v>-10.83</v>
      </c>
      <c r="F265">
        <v>2327</v>
      </c>
      <c r="G265">
        <v>818</v>
      </c>
      <c r="H265">
        <v>1746</v>
      </c>
      <c r="I265">
        <v>493</v>
      </c>
      <c r="J265">
        <v>733</v>
      </c>
      <c r="K265">
        <v>371</v>
      </c>
      <c r="L265">
        <v>1060</v>
      </c>
      <c r="M265">
        <v>424</v>
      </c>
      <c r="N265">
        <v>278</v>
      </c>
      <c r="O265">
        <v>103</v>
      </c>
      <c r="P265">
        <v>505</v>
      </c>
      <c r="R265">
        <v>264</v>
      </c>
    </row>
    <row r="266" spans="1:18">
      <c r="A266" s="1" t="s">
        <v>298</v>
      </c>
      <c r="B266">
        <v>32</v>
      </c>
      <c r="C266">
        <v>20</v>
      </c>
      <c r="D266">
        <v>12</v>
      </c>
      <c r="E266">
        <v>6.3</v>
      </c>
      <c r="F266">
        <v>2250</v>
      </c>
      <c r="G266">
        <v>784</v>
      </c>
      <c r="H266">
        <v>1953</v>
      </c>
      <c r="I266">
        <v>543</v>
      </c>
      <c r="J266">
        <v>811</v>
      </c>
      <c r="K266">
        <v>498</v>
      </c>
      <c r="L266">
        <v>1206</v>
      </c>
      <c r="M266">
        <v>368</v>
      </c>
      <c r="N266">
        <v>323</v>
      </c>
      <c r="O266">
        <v>120</v>
      </c>
      <c r="P266">
        <v>484</v>
      </c>
      <c r="R266">
        <v>265</v>
      </c>
    </row>
    <row r="267" spans="1:18">
      <c r="A267" s="1" t="s">
        <v>342</v>
      </c>
      <c r="B267">
        <v>30</v>
      </c>
      <c r="C267">
        <v>20</v>
      </c>
      <c r="D267">
        <v>10</v>
      </c>
      <c r="E267">
        <v>9.0299999999999994</v>
      </c>
      <c r="F267">
        <v>2420</v>
      </c>
      <c r="G267">
        <v>822</v>
      </c>
      <c r="H267">
        <v>1823</v>
      </c>
      <c r="I267">
        <v>569</v>
      </c>
      <c r="J267">
        <v>813</v>
      </c>
      <c r="K267">
        <v>446</v>
      </c>
      <c r="L267">
        <v>1254</v>
      </c>
      <c r="M267">
        <v>480</v>
      </c>
      <c r="N267">
        <v>152</v>
      </c>
      <c r="O267">
        <v>130</v>
      </c>
      <c r="P267">
        <v>409</v>
      </c>
      <c r="R267">
        <v>266</v>
      </c>
    </row>
    <row r="268" spans="1:18">
      <c r="A268" s="1" t="s">
        <v>227</v>
      </c>
      <c r="B268">
        <v>28</v>
      </c>
      <c r="C268">
        <v>13</v>
      </c>
      <c r="D268">
        <v>15</v>
      </c>
      <c r="E268">
        <v>-8.32</v>
      </c>
      <c r="F268">
        <v>1776</v>
      </c>
      <c r="G268">
        <v>645</v>
      </c>
      <c r="H268">
        <v>1494</v>
      </c>
      <c r="I268">
        <v>361</v>
      </c>
      <c r="J268">
        <v>572</v>
      </c>
      <c r="K268">
        <v>343</v>
      </c>
      <c r="L268">
        <v>982</v>
      </c>
      <c r="M268">
        <v>342</v>
      </c>
      <c r="N268">
        <v>211</v>
      </c>
      <c r="O268">
        <v>54</v>
      </c>
      <c r="P268">
        <v>451</v>
      </c>
      <c r="R268">
        <v>267</v>
      </c>
    </row>
    <row r="269" spans="1:18">
      <c r="A269" s="1" t="s">
        <v>228</v>
      </c>
      <c r="B269">
        <v>26</v>
      </c>
      <c r="C269">
        <v>10</v>
      </c>
      <c r="D269">
        <v>16</v>
      </c>
      <c r="E269">
        <v>-3.79</v>
      </c>
      <c r="F269">
        <v>1893</v>
      </c>
      <c r="G269">
        <v>685</v>
      </c>
      <c r="H269">
        <v>1609</v>
      </c>
      <c r="I269">
        <v>385</v>
      </c>
      <c r="J269">
        <v>549</v>
      </c>
      <c r="K269">
        <v>379</v>
      </c>
      <c r="L269">
        <v>919</v>
      </c>
      <c r="M269">
        <v>322</v>
      </c>
      <c r="N269">
        <v>259</v>
      </c>
      <c r="O269">
        <v>61</v>
      </c>
      <c r="P269">
        <v>433</v>
      </c>
      <c r="R269">
        <v>268</v>
      </c>
    </row>
    <row r="270" spans="1:18">
      <c r="A270" s="1" t="s">
        <v>229</v>
      </c>
      <c r="B270">
        <v>28</v>
      </c>
      <c r="C270">
        <v>6</v>
      </c>
      <c r="D270">
        <v>22</v>
      </c>
      <c r="E270">
        <v>-8.0299999999999994</v>
      </c>
      <c r="F270">
        <v>1705</v>
      </c>
      <c r="G270">
        <v>615</v>
      </c>
      <c r="H270">
        <v>1498</v>
      </c>
      <c r="I270">
        <v>358</v>
      </c>
      <c r="J270">
        <v>506</v>
      </c>
      <c r="K270">
        <v>311</v>
      </c>
      <c r="L270">
        <v>906</v>
      </c>
      <c r="M270">
        <v>342</v>
      </c>
      <c r="N270">
        <v>191</v>
      </c>
      <c r="O270">
        <v>73</v>
      </c>
      <c r="P270">
        <v>483</v>
      </c>
      <c r="R270">
        <v>269</v>
      </c>
    </row>
    <row r="271" spans="1:18">
      <c r="A271" s="1" t="s">
        <v>313</v>
      </c>
      <c r="B271">
        <v>36</v>
      </c>
      <c r="C271">
        <v>23</v>
      </c>
      <c r="D271">
        <v>13</v>
      </c>
      <c r="E271">
        <v>5.9</v>
      </c>
      <c r="F271">
        <v>2603</v>
      </c>
      <c r="G271">
        <v>982</v>
      </c>
      <c r="H271">
        <v>2202</v>
      </c>
      <c r="I271">
        <v>422</v>
      </c>
      <c r="J271">
        <v>649</v>
      </c>
      <c r="K271">
        <v>492</v>
      </c>
      <c r="L271">
        <v>1324</v>
      </c>
      <c r="M271">
        <v>552</v>
      </c>
      <c r="N271">
        <v>394</v>
      </c>
      <c r="O271">
        <v>201</v>
      </c>
      <c r="P271">
        <v>543</v>
      </c>
      <c r="R271">
        <v>270</v>
      </c>
    </row>
    <row r="272" spans="1:18">
      <c r="A272" s="1" t="s">
        <v>314</v>
      </c>
      <c r="B272">
        <v>34</v>
      </c>
      <c r="C272">
        <v>19</v>
      </c>
      <c r="D272">
        <v>15</v>
      </c>
      <c r="E272">
        <v>7.61</v>
      </c>
      <c r="F272">
        <v>2382</v>
      </c>
      <c r="G272">
        <v>843</v>
      </c>
      <c r="H272">
        <v>2012</v>
      </c>
      <c r="I272">
        <v>398</v>
      </c>
      <c r="J272">
        <v>578</v>
      </c>
      <c r="K272">
        <v>438</v>
      </c>
      <c r="L272">
        <v>1245</v>
      </c>
      <c r="M272">
        <v>375</v>
      </c>
      <c r="N272">
        <v>274</v>
      </c>
      <c r="O272">
        <v>109</v>
      </c>
      <c r="P272">
        <v>356</v>
      </c>
      <c r="R272">
        <v>271</v>
      </c>
    </row>
    <row r="273" spans="1:18">
      <c r="A273" s="1" t="s">
        <v>230</v>
      </c>
      <c r="B273">
        <v>29</v>
      </c>
      <c r="C273">
        <v>15</v>
      </c>
      <c r="D273">
        <v>14</v>
      </c>
      <c r="E273">
        <v>-2.62</v>
      </c>
      <c r="F273">
        <v>2262</v>
      </c>
      <c r="G273">
        <v>813</v>
      </c>
      <c r="H273">
        <v>1843</v>
      </c>
      <c r="I273">
        <v>492</v>
      </c>
      <c r="J273">
        <v>740</v>
      </c>
      <c r="K273">
        <v>405</v>
      </c>
      <c r="L273">
        <v>1096</v>
      </c>
      <c r="M273">
        <v>472</v>
      </c>
      <c r="N273">
        <v>310</v>
      </c>
      <c r="O273">
        <v>122</v>
      </c>
      <c r="P273">
        <v>427</v>
      </c>
      <c r="R273">
        <v>272</v>
      </c>
    </row>
    <row r="274" spans="1:18">
      <c r="A274" s="1" t="s">
        <v>231</v>
      </c>
      <c r="B274">
        <v>28</v>
      </c>
      <c r="C274">
        <v>11</v>
      </c>
      <c r="D274">
        <v>17</v>
      </c>
      <c r="E274">
        <v>-2.73</v>
      </c>
      <c r="F274">
        <v>2172</v>
      </c>
      <c r="G274">
        <v>792</v>
      </c>
      <c r="H274">
        <v>1724</v>
      </c>
      <c r="I274">
        <v>381</v>
      </c>
      <c r="J274">
        <v>547</v>
      </c>
      <c r="K274">
        <v>325</v>
      </c>
      <c r="L274">
        <v>896</v>
      </c>
      <c r="M274">
        <v>433</v>
      </c>
      <c r="N274">
        <v>286</v>
      </c>
      <c r="O274">
        <v>102</v>
      </c>
      <c r="P274">
        <v>478</v>
      </c>
      <c r="R274">
        <v>273</v>
      </c>
    </row>
    <row r="275" spans="1:18">
      <c r="A275" s="1" t="s">
        <v>232</v>
      </c>
      <c r="B275">
        <v>34</v>
      </c>
      <c r="C275">
        <v>27</v>
      </c>
      <c r="D275">
        <v>7</v>
      </c>
      <c r="E275">
        <v>-3.08</v>
      </c>
      <c r="F275">
        <v>2675</v>
      </c>
      <c r="G275">
        <v>915</v>
      </c>
      <c r="H275">
        <v>1906</v>
      </c>
      <c r="I275">
        <v>587</v>
      </c>
      <c r="J275">
        <v>807</v>
      </c>
      <c r="K275">
        <v>436</v>
      </c>
      <c r="L275">
        <v>1309</v>
      </c>
      <c r="M275">
        <v>569</v>
      </c>
      <c r="N275">
        <v>271</v>
      </c>
      <c r="O275">
        <v>108</v>
      </c>
      <c r="P275">
        <v>541</v>
      </c>
      <c r="R275">
        <v>274</v>
      </c>
    </row>
    <row r="276" spans="1:18">
      <c r="A276" s="1" t="s">
        <v>315</v>
      </c>
      <c r="B276">
        <v>31</v>
      </c>
      <c r="C276">
        <v>15</v>
      </c>
      <c r="D276">
        <v>16</v>
      </c>
      <c r="E276">
        <v>10.93</v>
      </c>
      <c r="F276">
        <v>2223</v>
      </c>
      <c r="G276">
        <v>792</v>
      </c>
      <c r="H276">
        <v>1759</v>
      </c>
      <c r="I276">
        <v>441</v>
      </c>
      <c r="J276">
        <v>644</v>
      </c>
      <c r="K276">
        <v>395</v>
      </c>
      <c r="L276">
        <v>1176</v>
      </c>
      <c r="M276">
        <v>463</v>
      </c>
      <c r="N276">
        <v>185</v>
      </c>
      <c r="O276">
        <v>113</v>
      </c>
      <c r="P276">
        <v>500</v>
      </c>
      <c r="R276">
        <v>275</v>
      </c>
    </row>
    <row r="277" spans="1:18">
      <c r="A277" s="1" t="s">
        <v>233</v>
      </c>
      <c r="B277">
        <v>31</v>
      </c>
      <c r="C277">
        <v>9</v>
      </c>
      <c r="D277">
        <v>22</v>
      </c>
      <c r="E277">
        <v>6.91</v>
      </c>
      <c r="F277">
        <v>2015</v>
      </c>
      <c r="G277">
        <v>730</v>
      </c>
      <c r="H277">
        <v>1781</v>
      </c>
      <c r="I277">
        <v>376</v>
      </c>
      <c r="J277">
        <v>577</v>
      </c>
      <c r="K277">
        <v>401</v>
      </c>
      <c r="L277">
        <v>1137</v>
      </c>
      <c r="M277">
        <v>458</v>
      </c>
      <c r="N277">
        <v>163</v>
      </c>
      <c r="O277">
        <v>113</v>
      </c>
      <c r="P277">
        <v>533</v>
      </c>
      <c r="R277">
        <v>276</v>
      </c>
    </row>
    <row r="278" spans="1:18">
      <c r="A278" s="1" t="s">
        <v>234</v>
      </c>
      <c r="B278">
        <v>27</v>
      </c>
      <c r="C278">
        <v>12</v>
      </c>
      <c r="D278">
        <v>15</v>
      </c>
      <c r="E278">
        <v>-6.51</v>
      </c>
      <c r="F278">
        <v>2059</v>
      </c>
      <c r="G278">
        <v>727</v>
      </c>
      <c r="H278">
        <v>1616</v>
      </c>
      <c r="I278">
        <v>469</v>
      </c>
      <c r="J278">
        <v>707</v>
      </c>
      <c r="K278">
        <v>372</v>
      </c>
      <c r="L278">
        <v>1034</v>
      </c>
      <c r="M278">
        <v>307</v>
      </c>
      <c r="N278">
        <v>215</v>
      </c>
      <c r="O278">
        <v>71</v>
      </c>
      <c r="P278">
        <v>411</v>
      </c>
      <c r="R278">
        <v>277</v>
      </c>
    </row>
    <row r="279" spans="1:18">
      <c r="A279" s="1" t="s">
        <v>235</v>
      </c>
      <c r="B279">
        <v>31</v>
      </c>
      <c r="C279">
        <v>16</v>
      </c>
      <c r="D279">
        <v>15</v>
      </c>
      <c r="E279">
        <v>4.22</v>
      </c>
      <c r="F279">
        <v>2645</v>
      </c>
      <c r="G279">
        <v>928</v>
      </c>
      <c r="H279">
        <v>2152</v>
      </c>
      <c r="I279">
        <v>560</v>
      </c>
      <c r="J279">
        <v>790</v>
      </c>
      <c r="K279">
        <v>470</v>
      </c>
      <c r="L279">
        <v>1322</v>
      </c>
      <c r="M279">
        <v>517</v>
      </c>
      <c r="N279">
        <v>249</v>
      </c>
      <c r="O279">
        <v>143</v>
      </c>
      <c r="P279">
        <v>405</v>
      </c>
      <c r="R279">
        <v>278</v>
      </c>
    </row>
    <row r="280" spans="1:18">
      <c r="A280" s="1" t="s">
        <v>236</v>
      </c>
      <c r="B280">
        <v>32</v>
      </c>
      <c r="C280">
        <v>10</v>
      </c>
      <c r="D280">
        <v>22</v>
      </c>
      <c r="E280">
        <v>3.12</v>
      </c>
      <c r="F280">
        <v>2213</v>
      </c>
      <c r="G280">
        <v>770</v>
      </c>
      <c r="H280">
        <v>1718</v>
      </c>
      <c r="I280">
        <v>523</v>
      </c>
      <c r="J280">
        <v>725</v>
      </c>
      <c r="K280">
        <v>317</v>
      </c>
      <c r="L280">
        <v>1086</v>
      </c>
      <c r="M280">
        <v>477</v>
      </c>
      <c r="N280">
        <v>200</v>
      </c>
      <c r="O280">
        <v>108</v>
      </c>
      <c r="P280">
        <v>504</v>
      </c>
      <c r="R280">
        <v>279</v>
      </c>
    </row>
    <row r="281" spans="1:18">
      <c r="A281" s="1" t="s">
        <v>237</v>
      </c>
      <c r="B281">
        <v>30</v>
      </c>
      <c r="C281">
        <v>20</v>
      </c>
      <c r="D281">
        <v>10</v>
      </c>
      <c r="E281">
        <v>-2.2400000000000002</v>
      </c>
      <c r="F281">
        <v>2389</v>
      </c>
      <c r="G281">
        <v>847</v>
      </c>
      <c r="H281">
        <v>1776</v>
      </c>
      <c r="I281">
        <v>484</v>
      </c>
      <c r="J281">
        <v>704</v>
      </c>
      <c r="K281">
        <v>352</v>
      </c>
      <c r="L281">
        <v>1099</v>
      </c>
      <c r="M281">
        <v>489</v>
      </c>
      <c r="N281">
        <v>284</v>
      </c>
      <c r="O281">
        <v>106</v>
      </c>
      <c r="P281">
        <v>524</v>
      </c>
      <c r="R281">
        <v>280</v>
      </c>
    </row>
    <row r="282" spans="1:18">
      <c r="A282" s="1" t="s">
        <v>238</v>
      </c>
      <c r="B282">
        <v>29</v>
      </c>
      <c r="C282">
        <v>19</v>
      </c>
      <c r="D282">
        <v>10</v>
      </c>
      <c r="E282">
        <v>-7.84</v>
      </c>
      <c r="F282">
        <v>2229</v>
      </c>
      <c r="G282">
        <v>734</v>
      </c>
      <c r="H282">
        <v>1750</v>
      </c>
      <c r="I282">
        <v>570</v>
      </c>
      <c r="J282">
        <v>887</v>
      </c>
      <c r="K282">
        <v>439</v>
      </c>
      <c r="L282">
        <v>1196</v>
      </c>
      <c r="M282">
        <v>420</v>
      </c>
      <c r="N282">
        <v>187</v>
      </c>
      <c r="O282">
        <v>82</v>
      </c>
      <c r="P282">
        <v>427</v>
      </c>
      <c r="R282">
        <v>281</v>
      </c>
    </row>
    <row r="283" spans="1:18">
      <c r="A283" s="1" t="s">
        <v>239</v>
      </c>
      <c r="B283">
        <v>28</v>
      </c>
      <c r="C283">
        <v>11</v>
      </c>
      <c r="D283">
        <v>17</v>
      </c>
      <c r="E283">
        <v>-11.52</v>
      </c>
      <c r="F283">
        <v>1942</v>
      </c>
      <c r="G283">
        <v>670</v>
      </c>
      <c r="H283">
        <v>1637</v>
      </c>
      <c r="I283">
        <v>413</v>
      </c>
      <c r="J283">
        <v>601</v>
      </c>
      <c r="K283">
        <v>366</v>
      </c>
      <c r="L283">
        <v>1024</v>
      </c>
      <c r="M283">
        <v>345</v>
      </c>
      <c r="N283">
        <v>166</v>
      </c>
      <c r="O283">
        <v>43</v>
      </c>
      <c r="P283">
        <v>490</v>
      </c>
      <c r="R283">
        <v>282</v>
      </c>
    </row>
    <row r="284" spans="1:18">
      <c r="A284" s="1" t="s">
        <v>240</v>
      </c>
      <c r="B284">
        <v>28</v>
      </c>
      <c r="C284">
        <v>12</v>
      </c>
      <c r="D284">
        <v>16</v>
      </c>
      <c r="E284">
        <v>-6.55</v>
      </c>
      <c r="F284">
        <v>2089</v>
      </c>
      <c r="G284">
        <v>707</v>
      </c>
      <c r="H284">
        <v>1580</v>
      </c>
      <c r="I284">
        <v>460</v>
      </c>
      <c r="J284">
        <v>688</v>
      </c>
      <c r="K284">
        <v>331</v>
      </c>
      <c r="L284">
        <v>978</v>
      </c>
      <c r="M284">
        <v>426</v>
      </c>
      <c r="N284">
        <v>254</v>
      </c>
      <c r="O284">
        <v>68</v>
      </c>
      <c r="P284">
        <v>509</v>
      </c>
      <c r="R284">
        <v>283</v>
      </c>
    </row>
    <row r="285" spans="1:18">
      <c r="A285" s="1" t="s">
        <v>241</v>
      </c>
      <c r="B285">
        <v>32</v>
      </c>
      <c r="C285">
        <v>23</v>
      </c>
      <c r="D285">
        <v>9</v>
      </c>
      <c r="E285">
        <v>7.22</v>
      </c>
      <c r="F285">
        <v>2532</v>
      </c>
      <c r="G285">
        <v>931</v>
      </c>
      <c r="H285">
        <v>1999</v>
      </c>
      <c r="I285">
        <v>524</v>
      </c>
      <c r="J285">
        <v>768</v>
      </c>
      <c r="K285">
        <v>419</v>
      </c>
      <c r="L285">
        <v>1230</v>
      </c>
      <c r="M285">
        <v>588</v>
      </c>
      <c r="N285">
        <v>243</v>
      </c>
      <c r="O285">
        <v>134</v>
      </c>
      <c r="P285">
        <v>397</v>
      </c>
      <c r="R285">
        <v>284</v>
      </c>
    </row>
    <row r="286" spans="1:18">
      <c r="A286" s="1" t="s">
        <v>362</v>
      </c>
      <c r="B286">
        <v>34</v>
      </c>
      <c r="C286">
        <v>22</v>
      </c>
      <c r="D286">
        <v>12</v>
      </c>
      <c r="E286">
        <v>9.98</v>
      </c>
      <c r="F286">
        <v>2657</v>
      </c>
      <c r="G286">
        <v>949</v>
      </c>
      <c r="H286">
        <v>2096</v>
      </c>
      <c r="I286">
        <v>559</v>
      </c>
      <c r="J286">
        <v>814</v>
      </c>
      <c r="K286">
        <v>524</v>
      </c>
      <c r="L286">
        <v>1356</v>
      </c>
      <c r="M286">
        <v>516</v>
      </c>
      <c r="N286">
        <v>211</v>
      </c>
      <c r="O286">
        <v>131</v>
      </c>
      <c r="P286">
        <v>466</v>
      </c>
      <c r="R286">
        <v>285</v>
      </c>
    </row>
    <row r="287" spans="1:18">
      <c r="A287" s="1" t="s">
        <v>242</v>
      </c>
      <c r="B287">
        <v>30</v>
      </c>
      <c r="C287">
        <v>16</v>
      </c>
      <c r="D287">
        <v>14</v>
      </c>
      <c r="E287">
        <v>0.93</v>
      </c>
      <c r="F287">
        <v>2008</v>
      </c>
      <c r="G287">
        <v>697</v>
      </c>
      <c r="H287">
        <v>1587</v>
      </c>
      <c r="I287">
        <v>429</v>
      </c>
      <c r="J287">
        <v>644</v>
      </c>
      <c r="K287">
        <v>350</v>
      </c>
      <c r="L287">
        <v>1005</v>
      </c>
      <c r="M287">
        <v>352</v>
      </c>
      <c r="N287">
        <v>235</v>
      </c>
      <c r="O287">
        <v>69</v>
      </c>
      <c r="P287">
        <v>507</v>
      </c>
      <c r="R287">
        <v>286</v>
      </c>
    </row>
    <row r="288" spans="1:18">
      <c r="A288" s="1" t="s">
        <v>243</v>
      </c>
      <c r="B288">
        <v>29</v>
      </c>
      <c r="C288">
        <v>11</v>
      </c>
      <c r="D288">
        <v>18</v>
      </c>
      <c r="E288">
        <v>-3.33</v>
      </c>
      <c r="F288">
        <v>1694</v>
      </c>
      <c r="G288">
        <v>641</v>
      </c>
      <c r="H288">
        <v>1503</v>
      </c>
      <c r="I288">
        <v>318</v>
      </c>
      <c r="J288">
        <v>514</v>
      </c>
      <c r="K288">
        <v>308</v>
      </c>
      <c r="L288">
        <v>992</v>
      </c>
      <c r="M288">
        <v>384</v>
      </c>
      <c r="N288">
        <v>209</v>
      </c>
      <c r="O288">
        <v>95</v>
      </c>
      <c r="P288">
        <v>527</v>
      </c>
      <c r="R288">
        <v>287</v>
      </c>
    </row>
    <row r="289" spans="1:18">
      <c r="A289" s="1" t="s">
        <v>244</v>
      </c>
      <c r="B289">
        <v>28</v>
      </c>
      <c r="C289">
        <v>18</v>
      </c>
      <c r="D289">
        <v>10</v>
      </c>
      <c r="E289">
        <v>-6.19</v>
      </c>
      <c r="F289">
        <v>2109</v>
      </c>
      <c r="G289">
        <v>753</v>
      </c>
      <c r="H289">
        <v>1687</v>
      </c>
      <c r="I289">
        <v>345</v>
      </c>
      <c r="J289">
        <v>506</v>
      </c>
      <c r="K289">
        <v>307</v>
      </c>
      <c r="L289">
        <v>952</v>
      </c>
      <c r="M289">
        <v>404</v>
      </c>
      <c r="N289">
        <v>265</v>
      </c>
      <c r="O289">
        <v>103</v>
      </c>
      <c r="P289">
        <v>371</v>
      </c>
      <c r="R289">
        <v>288</v>
      </c>
    </row>
    <row r="290" spans="1:18">
      <c r="A290" s="1" t="s">
        <v>245</v>
      </c>
      <c r="B290">
        <v>29</v>
      </c>
      <c r="C290">
        <v>14</v>
      </c>
      <c r="D290">
        <v>15</v>
      </c>
      <c r="E290">
        <v>6.67</v>
      </c>
      <c r="F290">
        <v>2094</v>
      </c>
      <c r="G290">
        <v>797</v>
      </c>
      <c r="H290">
        <v>1744</v>
      </c>
      <c r="I290">
        <v>366</v>
      </c>
      <c r="J290">
        <v>546</v>
      </c>
      <c r="K290">
        <v>376</v>
      </c>
      <c r="L290">
        <v>1049</v>
      </c>
      <c r="M290">
        <v>449</v>
      </c>
      <c r="N290">
        <v>238</v>
      </c>
      <c r="O290">
        <v>100</v>
      </c>
      <c r="P290">
        <v>482</v>
      </c>
      <c r="R290">
        <v>289</v>
      </c>
    </row>
    <row r="291" spans="1:18">
      <c r="A291" s="1" t="s">
        <v>299</v>
      </c>
      <c r="B291">
        <v>34</v>
      </c>
      <c r="C291">
        <v>27</v>
      </c>
      <c r="D291">
        <v>7</v>
      </c>
      <c r="E291">
        <v>2.2999999999999998</v>
      </c>
      <c r="F291">
        <v>2726</v>
      </c>
      <c r="G291">
        <v>961</v>
      </c>
      <c r="H291">
        <v>2016</v>
      </c>
      <c r="I291">
        <v>545</v>
      </c>
      <c r="J291">
        <v>724</v>
      </c>
      <c r="K291">
        <v>373</v>
      </c>
      <c r="L291">
        <v>1214</v>
      </c>
      <c r="M291">
        <v>586</v>
      </c>
      <c r="N291">
        <v>269</v>
      </c>
      <c r="O291">
        <v>153</v>
      </c>
      <c r="P291">
        <v>436</v>
      </c>
      <c r="R291">
        <v>290</v>
      </c>
    </row>
    <row r="292" spans="1:18">
      <c r="A292" s="1" t="s">
        <v>324</v>
      </c>
      <c r="B292">
        <v>33</v>
      </c>
      <c r="C292">
        <v>21</v>
      </c>
      <c r="D292">
        <v>12</v>
      </c>
      <c r="E292">
        <v>10.77</v>
      </c>
      <c r="F292">
        <v>2476</v>
      </c>
      <c r="G292">
        <v>902</v>
      </c>
      <c r="H292">
        <v>1912</v>
      </c>
      <c r="I292">
        <v>449</v>
      </c>
      <c r="J292">
        <v>649</v>
      </c>
      <c r="K292">
        <v>393</v>
      </c>
      <c r="L292">
        <v>1209</v>
      </c>
      <c r="M292">
        <v>475</v>
      </c>
      <c r="N292">
        <v>182</v>
      </c>
      <c r="O292">
        <v>93</v>
      </c>
      <c r="P292">
        <v>496</v>
      </c>
      <c r="R292">
        <v>291</v>
      </c>
    </row>
    <row r="293" spans="1:18">
      <c r="A293" s="1" t="s">
        <v>316</v>
      </c>
      <c r="B293">
        <v>31</v>
      </c>
      <c r="C293">
        <v>23</v>
      </c>
      <c r="D293">
        <v>8</v>
      </c>
      <c r="E293">
        <v>-1.7</v>
      </c>
      <c r="F293">
        <v>2076</v>
      </c>
      <c r="G293">
        <v>751</v>
      </c>
      <c r="H293">
        <v>1596</v>
      </c>
      <c r="I293">
        <v>430</v>
      </c>
      <c r="J293">
        <v>599</v>
      </c>
      <c r="K293">
        <v>357</v>
      </c>
      <c r="L293">
        <v>1116</v>
      </c>
      <c r="M293">
        <v>443</v>
      </c>
      <c r="N293">
        <v>155</v>
      </c>
      <c r="O293">
        <v>93</v>
      </c>
      <c r="P293">
        <v>424</v>
      </c>
      <c r="R293">
        <v>292</v>
      </c>
    </row>
    <row r="294" spans="1:18">
      <c r="A294" s="1" t="s">
        <v>300</v>
      </c>
      <c r="B294">
        <v>30</v>
      </c>
      <c r="C294">
        <v>21</v>
      </c>
      <c r="D294">
        <v>9</v>
      </c>
      <c r="E294">
        <v>5.18</v>
      </c>
      <c r="F294">
        <v>2018</v>
      </c>
      <c r="G294">
        <v>688</v>
      </c>
      <c r="H294">
        <v>1467</v>
      </c>
      <c r="I294">
        <v>406</v>
      </c>
      <c r="J294">
        <v>603</v>
      </c>
      <c r="K294">
        <v>263</v>
      </c>
      <c r="L294">
        <v>917</v>
      </c>
      <c r="M294">
        <v>439</v>
      </c>
      <c r="N294">
        <v>180</v>
      </c>
      <c r="O294">
        <v>82</v>
      </c>
      <c r="P294">
        <v>397</v>
      </c>
      <c r="R294">
        <v>293</v>
      </c>
    </row>
    <row r="295" spans="1:18">
      <c r="A295" s="1" t="s">
        <v>301</v>
      </c>
      <c r="B295">
        <v>33</v>
      </c>
      <c r="C295">
        <v>25</v>
      </c>
      <c r="D295">
        <v>8</v>
      </c>
      <c r="E295">
        <v>-1.24</v>
      </c>
      <c r="F295">
        <v>2564</v>
      </c>
      <c r="G295">
        <v>893</v>
      </c>
      <c r="H295">
        <v>1989</v>
      </c>
      <c r="I295">
        <v>503</v>
      </c>
      <c r="J295">
        <v>754</v>
      </c>
      <c r="K295">
        <v>448</v>
      </c>
      <c r="L295">
        <v>1242</v>
      </c>
      <c r="M295">
        <v>570</v>
      </c>
      <c r="N295">
        <v>334</v>
      </c>
      <c r="O295">
        <v>136</v>
      </c>
      <c r="P295">
        <v>437</v>
      </c>
      <c r="R295">
        <v>294</v>
      </c>
    </row>
    <row r="296" spans="1:18">
      <c r="A296" s="1" t="s">
        <v>246</v>
      </c>
      <c r="B296">
        <v>32</v>
      </c>
      <c r="C296">
        <v>17</v>
      </c>
      <c r="D296">
        <v>15</v>
      </c>
      <c r="E296">
        <v>7.58</v>
      </c>
      <c r="F296">
        <v>2290</v>
      </c>
      <c r="G296">
        <v>791</v>
      </c>
      <c r="H296">
        <v>1781</v>
      </c>
      <c r="I296">
        <v>426</v>
      </c>
      <c r="J296">
        <v>582</v>
      </c>
      <c r="K296">
        <v>315</v>
      </c>
      <c r="L296">
        <v>1021</v>
      </c>
      <c r="M296">
        <v>491</v>
      </c>
      <c r="N296">
        <v>209</v>
      </c>
      <c r="O296">
        <v>59</v>
      </c>
      <c r="P296">
        <v>508</v>
      </c>
      <c r="R296">
        <v>295</v>
      </c>
    </row>
    <row r="297" spans="1:18">
      <c r="A297" s="1" t="s">
        <v>247</v>
      </c>
      <c r="B297">
        <v>29</v>
      </c>
      <c r="C297">
        <v>21</v>
      </c>
      <c r="D297">
        <v>8</v>
      </c>
      <c r="E297">
        <v>-10.81</v>
      </c>
      <c r="F297">
        <v>2186</v>
      </c>
      <c r="G297">
        <v>790</v>
      </c>
      <c r="H297">
        <v>1769</v>
      </c>
      <c r="I297">
        <v>423</v>
      </c>
      <c r="J297">
        <v>579</v>
      </c>
      <c r="K297">
        <v>438</v>
      </c>
      <c r="L297">
        <v>1122</v>
      </c>
      <c r="M297">
        <v>407</v>
      </c>
      <c r="N297">
        <v>223</v>
      </c>
      <c r="O297">
        <v>73</v>
      </c>
      <c r="P297">
        <v>404</v>
      </c>
      <c r="R297">
        <v>296</v>
      </c>
    </row>
    <row r="298" spans="1:18">
      <c r="A298" s="1" t="s">
        <v>248</v>
      </c>
      <c r="B298">
        <v>32</v>
      </c>
      <c r="C298">
        <v>19</v>
      </c>
      <c r="D298">
        <v>13</v>
      </c>
      <c r="E298">
        <v>6.18</v>
      </c>
      <c r="F298">
        <v>2266</v>
      </c>
      <c r="G298">
        <v>785</v>
      </c>
      <c r="H298">
        <v>1699</v>
      </c>
      <c r="I298">
        <v>509</v>
      </c>
      <c r="J298">
        <v>686</v>
      </c>
      <c r="K298">
        <v>380</v>
      </c>
      <c r="L298">
        <v>1219</v>
      </c>
      <c r="M298">
        <v>459</v>
      </c>
      <c r="N298">
        <v>213</v>
      </c>
      <c r="O298">
        <v>126</v>
      </c>
      <c r="P298">
        <v>581</v>
      </c>
      <c r="R298">
        <v>297</v>
      </c>
    </row>
    <row r="299" spans="1:18">
      <c r="A299" s="1" t="s">
        <v>249</v>
      </c>
      <c r="B299">
        <v>32</v>
      </c>
      <c r="C299">
        <v>21</v>
      </c>
      <c r="D299">
        <v>11</v>
      </c>
      <c r="E299">
        <v>-2.38</v>
      </c>
      <c r="F299">
        <v>2326</v>
      </c>
      <c r="G299">
        <v>811</v>
      </c>
      <c r="H299">
        <v>1890</v>
      </c>
      <c r="I299">
        <v>493</v>
      </c>
      <c r="J299">
        <v>734</v>
      </c>
      <c r="K299">
        <v>383</v>
      </c>
      <c r="L299">
        <v>1283</v>
      </c>
      <c r="M299">
        <v>393</v>
      </c>
      <c r="N299">
        <v>190</v>
      </c>
      <c r="O299">
        <v>176</v>
      </c>
      <c r="P299">
        <v>490</v>
      </c>
      <c r="R299">
        <v>298</v>
      </c>
    </row>
    <row r="300" spans="1:18">
      <c r="A300" s="1" t="s">
        <v>250</v>
      </c>
      <c r="B300">
        <v>28</v>
      </c>
      <c r="C300">
        <v>10</v>
      </c>
      <c r="D300">
        <v>18</v>
      </c>
      <c r="E300">
        <v>0.3</v>
      </c>
      <c r="F300">
        <v>2141</v>
      </c>
      <c r="G300">
        <v>775</v>
      </c>
      <c r="H300">
        <v>1849</v>
      </c>
      <c r="I300">
        <v>386</v>
      </c>
      <c r="J300">
        <v>555</v>
      </c>
      <c r="K300">
        <v>393</v>
      </c>
      <c r="L300">
        <v>1021</v>
      </c>
      <c r="M300">
        <v>436</v>
      </c>
      <c r="N300">
        <v>287</v>
      </c>
      <c r="O300">
        <v>81</v>
      </c>
      <c r="P300">
        <v>521</v>
      </c>
      <c r="R300">
        <v>299</v>
      </c>
    </row>
    <row r="301" spans="1:18">
      <c r="A301" s="1" t="s">
        <v>251</v>
      </c>
      <c r="B301">
        <v>28</v>
      </c>
      <c r="C301">
        <v>10</v>
      </c>
      <c r="D301">
        <v>18</v>
      </c>
      <c r="E301">
        <v>3.99</v>
      </c>
      <c r="F301">
        <v>1943</v>
      </c>
      <c r="G301">
        <v>681</v>
      </c>
      <c r="H301">
        <v>1600</v>
      </c>
      <c r="I301">
        <v>387</v>
      </c>
      <c r="J301">
        <v>565</v>
      </c>
      <c r="K301">
        <v>418</v>
      </c>
      <c r="L301">
        <v>1115</v>
      </c>
      <c r="M301">
        <v>355</v>
      </c>
      <c r="N301">
        <v>181</v>
      </c>
      <c r="O301">
        <v>139</v>
      </c>
      <c r="P301">
        <v>536</v>
      </c>
      <c r="R301">
        <v>300</v>
      </c>
    </row>
    <row r="302" spans="1:18">
      <c r="A302" s="1" t="s">
        <v>252</v>
      </c>
      <c r="B302">
        <v>29</v>
      </c>
      <c r="C302">
        <v>17</v>
      </c>
      <c r="D302">
        <v>12</v>
      </c>
      <c r="E302">
        <v>7.9</v>
      </c>
      <c r="F302">
        <v>2308</v>
      </c>
      <c r="G302">
        <v>819</v>
      </c>
      <c r="H302">
        <v>1770</v>
      </c>
      <c r="I302">
        <v>508</v>
      </c>
      <c r="J302">
        <v>707</v>
      </c>
      <c r="K302">
        <v>408</v>
      </c>
      <c r="L302">
        <v>1110</v>
      </c>
      <c r="M302">
        <v>416</v>
      </c>
      <c r="N302">
        <v>189</v>
      </c>
      <c r="O302">
        <v>131</v>
      </c>
      <c r="P302">
        <v>454</v>
      </c>
      <c r="R302">
        <v>301</v>
      </c>
    </row>
    <row r="303" spans="1:18">
      <c r="A303" s="1" t="s">
        <v>253</v>
      </c>
      <c r="B303">
        <v>29</v>
      </c>
      <c r="C303">
        <v>19</v>
      </c>
      <c r="D303">
        <v>10</v>
      </c>
      <c r="E303">
        <v>-9.24</v>
      </c>
      <c r="F303">
        <v>2362</v>
      </c>
      <c r="G303">
        <v>867</v>
      </c>
      <c r="H303">
        <v>1861</v>
      </c>
      <c r="I303">
        <v>419</v>
      </c>
      <c r="J303">
        <v>591</v>
      </c>
      <c r="K303">
        <v>347</v>
      </c>
      <c r="L303">
        <v>1056</v>
      </c>
      <c r="M303">
        <v>498</v>
      </c>
      <c r="N303">
        <v>259</v>
      </c>
      <c r="O303">
        <v>96</v>
      </c>
      <c r="P303">
        <v>455</v>
      </c>
      <c r="R303">
        <v>302</v>
      </c>
    </row>
    <row r="304" spans="1:18">
      <c r="A304" s="1" t="s">
        <v>254</v>
      </c>
      <c r="B304">
        <v>34</v>
      </c>
      <c r="C304">
        <v>21</v>
      </c>
      <c r="D304">
        <v>13</v>
      </c>
      <c r="E304">
        <v>10.28</v>
      </c>
      <c r="F304">
        <v>2789</v>
      </c>
      <c r="G304">
        <v>1001</v>
      </c>
      <c r="H304">
        <v>2094</v>
      </c>
      <c r="I304">
        <v>547</v>
      </c>
      <c r="J304">
        <v>741</v>
      </c>
      <c r="K304">
        <v>438</v>
      </c>
      <c r="L304">
        <v>1309</v>
      </c>
      <c r="M304">
        <v>553</v>
      </c>
      <c r="N304">
        <v>220</v>
      </c>
      <c r="O304">
        <v>140</v>
      </c>
      <c r="P304">
        <v>497</v>
      </c>
      <c r="R304">
        <v>303</v>
      </c>
    </row>
    <row r="305" spans="1:18">
      <c r="A305" s="1" t="s">
        <v>255</v>
      </c>
      <c r="B305">
        <v>27</v>
      </c>
      <c r="C305">
        <v>6</v>
      </c>
      <c r="D305">
        <v>21</v>
      </c>
      <c r="E305">
        <v>6.94</v>
      </c>
      <c r="F305">
        <v>1900</v>
      </c>
      <c r="G305">
        <v>649</v>
      </c>
      <c r="H305">
        <v>1565</v>
      </c>
      <c r="I305">
        <v>427</v>
      </c>
      <c r="J305">
        <v>605</v>
      </c>
      <c r="K305">
        <v>331</v>
      </c>
      <c r="L305">
        <v>913</v>
      </c>
      <c r="M305">
        <v>294</v>
      </c>
      <c r="N305">
        <v>166</v>
      </c>
      <c r="O305">
        <v>63</v>
      </c>
      <c r="P305">
        <v>416</v>
      </c>
      <c r="R305">
        <v>304</v>
      </c>
    </row>
    <row r="306" spans="1:18">
      <c r="A306" s="1" t="s">
        <v>256</v>
      </c>
      <c r="B306">
        <v>29</v>
      </c>
      <c r="C306">
        <v>11</v>
      </c>
      <c r="D306">
        <v>18</v>
      </c>
      <c r="E306">
        <v>10.1</v>
      </c>
      <c r="F306">
        <v>2088</v>
      </c>
      <c r="G306">
        <v>732</v>
      </c>
      <c r="H306">
        <v>1663</v>
      </c>
      <c r="I306">
        <v>447</v>
      </c>
      <c r="J306">
        <v>667</v>
      </c>
      <c r="K306">
        <v>359</v>
      </c>
      <c r="L306">
        <v>1052</v>
      </c>
      <c r="M306">
        <v>388</v>
      </c>
      <c r="N306">
        <v>162</v>
      </c>
      <c r="O306">
        <v>139</v>
      </c>
      <c r="P306">
        <v>502</v>
      </c>
      <c r="R306">
        <v>305</v>
      </c>
    </row>
    <row r="307" spans="1:18">
      <c r="A307" s="1" t="s">
        <v>257</v>
      </c>
      <c r="B307">
        <v>29</v>
      </c>
      <c r="C307">
        <v>18</v>
      </c>
      <c r="D307">
        <v>11</v>
      </c>
      <c r="E307">
        <v>-1.94</v>
      </c>
      <c r="F307">
        <v>2172</v>
      </c>
      <c r="G307">
        <v>741</v>
      </c>
      <c r="H307">
        <v>1633</v>
      </c>
      <c r="I307">
        <v>499</v>
      </c>
      <c r="J307">
        <v>700</v>
      </c>
      <c r="K307">
        <v>345</v>
      </c>
      <c r="L307">
        <v>1041</v>
      </c>
      <c r="M307">
        <v>409</v>
      </c>
      <c r="N307">
        <v>189</v>
      </c>
      <c r="O307">
        <v>29</v>
      </c>
      <c r="P307">
        <v>413</v>
      </c>
      <c r="R307">
        <v>306</v>
      </c>
    </row>
    <row r="308" spans="1:18">
      <c r="A308" s="1" t="s">
        <v>258</v>
      </c>
      <c r="B308">
        <v>28</v>
      </c>
      <c r="C308">
        <v>8</v>
      </c>
      <c r="D308">
        <v>20</v>
      </c>
      <c r="E308">
        <v>5.89</v>
      </c>
      <c r="F308">
        <v>2045</v>
      </c>
      <c r="G308">
        <v>741</v>
      </c>
      <c r="H308">
        <v>1725</v>
      </c>
      <c r="I308">
        <v>400</v>
      </c>
      <c r="J308">
        <v>587</v>
      </c>
      <c r="K308">
        <v>423</v>
      </c>
      <c r="L308">
        <v>1090</v>
      </c>
      <c r="M308">
        <v>396</v>
      </c>
      <c r="N308">
        <v>235</v>
      </c>
      <c r="O308">
        <v>103</v>
      </c>
      <c r="P308">
        <v>496</v>
      </c>
      <c r="R308">
        <v>307</v>
      </c>
    </row>
    <row r="309" spans="1:18">
      <c r="A309" s="1" t="s">
        <v>259</v>
      </c>
      <c r="B309">
        <v>28</v>
      </c>
      <c r="C309">
        <v>12</v>
      </c>
      <c r="D309">
        <v>16</v>
      </c>
      <c r="E309">
        <v>-3.01</v>
      </c>
      <c r="F309">
        <v>2180</v>
      </c>
      <c r="G309">
        <v>780</v>
      </c>
      <c r="H309">
        <v>1737</v>
      </c>
      <c r="I309">
        <v>443</v>
      </c>
      <c r="J309">
        <v>602</v>
      </c>
      <c r="K309">
        <v>354</v>
      </c>
      <c r="L309">
        <v>1049</v>
      </c>
      <c r="M309">
        <v>438</v>
      </c>
      <c r="N309">
        <v>212</v>
      </c>
      <c r="O309">
        <v>116</v>
      </c>
      <c r="P309">
        <v>500</v>
      </c>
      <c r="R309">
        <v>308</v>
      </c>
    </row>
    <row r="310" spans="1:18">
      <c r="A310" s="1" t="s">
        <v>260</v>
      </c>
      <c r="B310">
        <v>28</v>
      </c>
      <c r="C310">
        <v>12</v>
      </c>
      <c r="D310">
        <v>16</v>
      </c>
      <c r="E310">
        <v>-3.07</v>
      </c>
      <c r="F310">
        <v>2061</v>
      </c>
      <c r="G310">
        <v>714</v>
      </c>
      <c r="H310">
        <v>1653</v>
      </c>
      <c r="I310">
        <v>427</v>
      </c>
      <c r="J310">
        <v>583</v>
      </c>
      <c r="K310">
        <v>358</v>
      </c>
      <c r="L310">
        <v>1009</v>
      </c>
      <c r="M310">
        <v>442</v>
      </c>
      <c r="N310">
        <v>157</v>
      </c>
      <c r="O310">
        <v>60</v>
      </c>
      <c r="P310">
        <v>401</v>
      </c>
      <c r="R310">
        <v>309</v>
      </c>
    </row>
    <row r="311" spans="1:18">
      <c r="A311" s="1" t="s">
        <v>261</v>
      </c>
      <c r="B311">
        <v>32</v>
      </c>
      <c r="C311">
        <v>28</v>
      </c>
      <c r="D311">
        <v>4</v>
      </c>
      <c r="E311">
        <v>-0.28000000000000003</v>
      </c>
      <c r="F311">
        <v>2491</v>
      </c>
      <c r="G311">
        <v>876</v>
      </c>
      <c r="H311">
        <v>1884</v>
      </c>
      <c r="I311">
        <v>460</v>
      </c>
      <c r="J311">
        <v>658</v>
      </c>
      <c r="K311">
        <v>410</v>
      </c>
      <c r="L311">
        <v>1229</v>
      </c>
      <c r="M311">
        <v>501</v>
      </c>
      <c r="N311">
        <v>228</v>
      </c>
      <c r="O311">
        <v>106</v>
      </c>
      <c r="P311">
        <v>456</v>
      </c>
      <c r="R311">
        <v>310</v>
      </c>
    </row>
    <row r="312" spans="1:18">
      <c r="A312" s="1" t="s">
        <v>262</v>
      </c>
      <c r="B312">
        <v>30</v>
      </c>
      <c r="C312">
        <v>17</v>
      </c>
      <c r="D312">
        <v>13</v>
      </c>
      <c r="E312">
        <v>-0.42</v>
      </c>
      <c r="F312">
        <v>2206</v>
      </c>
      <c r="G312">
        <v>766</v>
      </c>
      <c r="H312">
        <v>1792</v>
      </c>
      <c r="I312">
        <v>434</v>
      </c>
      <c r="J312">
        <v>606</v>
      </c>
      <c r="K312">
        <v>400</v>
      </c>
      <c r="L312">
        <v>1033</v>
      </c>
      <c r="M312">
        <v>380</v>
      </c>
      <c r="N312">
        <v>239</v>
      </c>
      <c r="O312">
        <v>57</v>
      </c>
      <c r="P312">
        <v>399</v>
      </c>
      <c r="R312">
        <v>311</v>
      </c>
    </row>
    <row r="313" spans="1:18">
      <c r="A313" s="1" t="s">
        <v>263</v>
      </c>
      <c r="B313">
        <v>30</v>
      </c>
      <c r="C313">
        <v>15</v>
      </c>
      <c r="D313">
        <v>15</v>
      </c>
      <c r="E313">
        <v>0.15</v>
      </c>
      <c r="F313">
        <v>2186</v>
      </c>
      <c r="G313">
        <v>724</v>
      </c>
      <c r="H313">
        <v>1593</v>
      </c>
      <c r="I313">
        <v>539</v>
      </c>
      <c r="J313">
        <v>739</v>
      </c>
      <c r="K313">
        <v>365</v>
      </c>
      <c r="L313">
        <v>1065</v>
      </c>
      <c r="M313">
        <v>433</v>
      </c>
      <c r="N313">
        <v>153</v>
      </c>
      <c r="O313">
        <v>83</v>
      </c>
      <c r="P313">
        <v>468</v>
      </c>
      <c r="R313">
        <v>312</v>
      </c>
    </row>
    <row r="314" spans="1:18">
      <c r="A314" s="1" t="s">
        <v>264</v>
      </c>
      <c r="B314">
        <v>29</v>
      </c>
      <c r="C314">
        <v>10</v>
      </c>
      <c r="D314">
        <v>19</v>
      </c>
      <c r="E314">
        <v>-1.1599999999999999</v>
      </c>
      <c r="F314">
        <v>1827</v>
      </c>
      <c r="G314">
        <v>632</v>
      </c>
      <c r="H314">
        <v>1617</v>
      </c>
      <c r="I314">
        <v>378</v>
      </c>
      <c r="J314">
        <v>590</v>
      </c>
      <c r="K314">
        <v>390</v>
      </c>
      <c r="L314">
        <v>1108</v>
      </c>
      <c r="M314">
        <v>357</v>
      </c>
      <c r="N314">
        <v>175</v>
      </c>
      <c r="O314">
        <v>44</v>
      </c>
      <c r="P314">
        <v>424</v>
      </c>
      <c r="R314">
        <v>313</v>
      </c>
    </row>
    <row r="315" spans="1:18">
      <c r="A315" s="1" t="s">
        <v>325</v>
      </c>
      <c r="B315">
        <v>31</v>
      </c>
      <c r="C315">
        <v>19</v>
      </c>
      <c r="D315">
        <v>12</v>
      </c>
      <c r="E315">
        <v>-8.2100000000000009</v>
      </c>
      <c r="F315">
        <v>2092</v>
      </c>
      <c r="G315">
        <v>725</v>
      </c>
      <c r="H315">
        <v>1735</v>
      </c>
      <c r="I315">
        <v>448</v>
      </c>
      <c r="J315">
        <v>684</v>
      </c>
      <c r="K315">
        <v>405</v>
      </c>
      <c r="L315">
        <v>1178</v>
      </c>
      <c r="M315">
        <v>359</v>
      </c>
      <c r="N315">
        <v>236</v>
      </c>
      <c r="O315">
        <v>129</v>
      </c>
      <c r="P315">
        <v>459</v>
      </c>
      <c r="R315">
        <v>314</v>
      </c>
    </row>
    <row r="316" spans="1:18">
      <c r="A316" s="1" t="s">
        <v>367</v>
      </c>
      <c r="B316">
        <v>32</v>
      </c>
      <c r="C316">
        <v>19</v>
      </c>
      <c r="D316">
        <v>13</v>
      </c>
      <c r="E316">
        <v>9.2200000000000006</v>
      </c>
      <c r="F316">
        <v>2144</v>
      </c>
      <c r="G316">
        <v>731</v>
      </c>
      <c r="H316">
        <v>1675</v>
      </c>
      <c r="I316">
        <v>471</v>
      </c>
      <c r="J316">
        <v>655</v>
      </c>
      <c r="K316">
        <v>328</v>
      </c>
      <c r="L316">
        <v>1032</v>
      </c>
      <c r="M316">
        <v>407</v>
      </c>
      <c r="N316">
        <v>188</v>
      </c>
      <c r="O316">
        <v>60</v>
      </c>
      <c r="P316">
        <v>414</v>
      </c>
      <c r="R316">
        <v>315</v>
      </c>
    </row>
    <row r="317" spans="1:18">
      <c r="A317" s="1" t="s">
        <v>265</v>
      </c>
      <c r="B317">
        <v>29</v>
      </c>
      <c r="C317">
        <v>11</v>
      </c>
      <c r="D317">
        <v>18</v>
      </c>
      <c r="E317">
        <v>1.1299999999999999</v>
      </c>
      <c r="F317">
        <v>1939</v>
      </c>
      <c r="G317">
        <v>711</v>
      </c>
      <c r="H317">
        <v>1802</v>
      </c>
      <c r="I317">
        <v>339</v>
      </c>
      <c r="J317">
        <v>509</v>
      </c>
      <c r="K317">
        <v>353</v>
      </c>
      <c r="L317">
        <v>1064</v>
      </c>
      <c r="M317">
        <v>379</v>
      </c>
      <c r="N317">
        <v>198</v>
      </c>
      <c r="O317">
        <v>100</v>
      </c>
      <c r="P317">
        <v>371</v>
      </c>
      <c r="R317">
        <v>316</v>
      </c>
    </row>
    <row r="318" spans="1:18">
      <c r="A318" s="1" t="s">
        <v>266</v>
      </c>
      <c r="B318">
        <v>28</v>
      </c>
      <c r="C318">
        <v>17</v>
      </c>
      <c r="D318">
        <v>11</v>
      </c>
      <c r="E318">
        <v>-1.6</v>
      </c>
      <c r="F318">
        <v>2064</v>
      </c>
      <c r="G318">
        <v>698</v>
      </c>
      <c r="H318">
        <v>1455</v>
      </c>
      <c r="I318">
        <v>446</v>
      </c>
      <c r="J318">
        <v>657</v>
      </c>
      <c r="K318">
        <v>254</v>
      </c>
      <c r="L318">
        <v>868</v>
      </c>
      <c r="M318">
        <v>404</v>
      </c>
      <c r="N318">
        <v>163</v>
      </c>
      <c r="O318">
        <v>70</v>
      </c>
      <c r="P318">
        <v>375</v>
      </c>
      <c r="R318">
        <v>317</v>
      </c>
    </row>
    <row r="319" spans="1:18">
      <c r="A319" s="1" t="s">
        <v>267</v>
      </c>
      <c r="B319">
        <v>31</v>
      </c>
      <c r="C319">
        <v>22</v>
      </c>
      <c r="D319">
        <v>9</v>
      </c>
      <c r="E319">
        <v>2.72</v>
      </c>
      <c r="F319">
        <v>2324</v>
      </c>
      <c r="G319">
        <v>795</v>
      </c>
      <c r="H319">
        <v>1745</v>
      </c>
      <c r="I319">
        <v>602</v>
      </c>
      <c r="J319">
        <v>862</v>
      </c>
      <c r="K319">
        <v>394</v>
      </c>
      <c r="L319">
        <v>1245</v>
      </c>
      <c r="M319">
        <v>418</v>
      </c>
      <c r="N319">
        <v>212</v>
      </c>
      <c r="O319">
        <v>136</v>
      </c>
      <c r="P319">
        <v>449</v>
      </c>
      <c r="R319">
        <v>318</v>
      </c>
    </row>
    <row r="320" spans="1:18">
      <c r="A320" s="1" t="s">
        <v>268</v>
      </c>
      <c r="B320">
        <v>32</v>
      </c>
      <c r="C320">
        <v>26</v>
      </c>
      <c r="D320">
        <v>6</v>
      </c>
      <c r="E320">
        <v>4.09</v>
      </c>
      <c r="F320">
        <v>2317</v>
      </c>
      <c r="G320">
        <v>777</v>
      </c>
      <c r="H320">
        <v>1732</v>
      </c>
      <c r="I320">
        <v>566</v>
      </c>
      <c r="J320">
        <v>785</v>
      </c>
      <c r="K320">
        <v>389</v>
      </c>
      <c r="L320">
        <v>1188</v>
      </c>
      <c r="M320">
        <v>400</v>
      </c>
      <c r="N320">
        <v>215</v>
      </c>
      <c r="O320">
        <v>143</v>
      </c>
      <c r="P320">
        <v>435</v>
      </c>
      <c r="R320">
        <v>319</v>
      </c>
    </row>
    <row r="321" spans="1:18">
      <c r="A321" s="1" t="s">
        <v>269</v>
      </c>
      <c r="B321">
        <v>32</v>
      </c>
      <c r="C321">
        <v>21</v>
      </c>
      <c r="D321">
        <v>11</v>
      </c>
      <c r="E321">
        <v>-5.32</v>
      </c>
      <c r="F321">
        <v>2394</v>
      </c>
      <c r="G321">
        <v>804</v>
      </c>
      <c r="H321">
        <v>1877</v>
      </c>
      <c r="I321">
        <v>558</v>
      </c>
      <c r="J321">
        <v>796</v>
      </c>
      <c r="K321">
        <v>420</v>
      </c>
      <c r="L321">
        <v>1262</v>
      </c>
      <c r="M321">
        <v>456</v>
      </c>
      <c r="N321">
        <v>229</v>
      </c>
      <c r="O321">
        <v>93</v>
      </c>
      <c r="P321">
        <v>488</v>
      </c>
      <c r="R321">
        <v>320</v>
      </c>
    </row>
    <row r="322" spans="1:18">
      <c r="A322" s="1" t="s">
        <v>270</v>
      </c>
      <c r="B322">
        <v>28</v>
      </c>
      <c r="C322">
        <v>5</v>
      </c>
      <c r="D322">
        <v>23</v>
      </c>
      <c r="E322">
        <v>-0.16</v>
      </c>
      <c r="F322">
        <v>1808</v>
      </c>
      <c r="G322">
        <v>620</v>
      </c>
      <c r="H322">
        <v>1550</v>
      </c>
      <c r="I322">
        <v>425</v>
      </c>
      <c r="J322">
        <v>575</v>
      </c>
      <c r="K322">
        <v>308</v>
      </c>
      <c r="L322">
        <v>907</v>
      </c>
      <c r="M322">
        <v>364</v>
      </c>
      <c r="N322">
        <v>181</v>
      </c>
      <c r="O322">
        <v>78</v>
      </c>
      <c r="P322">
        <v>404</v>
      </c>
      <c r="R322">
        <v>321</v>
      </c>
    </row>
    <row r="323" spans="1:18">
      <c r="R323">
        <v>322</v>
      </c>
    </row>
    <row r="324" spans="1:18">
      <c r="R324">
        <v>323</v>
      </c>
    </row>
    <row r="325" spans="1:18">
      <c r="R325">
        <v>324</v>
      </c>
    </row>
    <row r="326" spans="1:18">
      <c r="R326">
        <v>325</v>
      </c>
    </row>
    <row r="327" spans="1:18">
      <c r="R327">
        <v>326</v>
      </c>
    </row>
    <row r="328" spans="1:18">
      <c r="R328">
        <v>327</v>
      </c>
    </row>
    <row r="329" spans="1:18">
      <c r="R329">
        <v>328</v>
      </c>
    </row>
    <row r="330" spans="1:18">
      <c r="R330">
        <v>329</v>
      </c>
    </row>
    <row r="331" spans="1:18">
      <c r="R331">
        <v>330</v>
      </c>
    </row>
    <row r="332" spans="1:18">
      <c r="R332">
        <v>331</v>
      </c>
    </row>
    <row r="333" spans="1:18">
      <c r="R333">
        <v>332</v>
      </c>
    </row>
    <row r="334" spans="1:18">
      <c r="R334">
        <v>333</v>
      </c>
    </row>
    <row r="335" spans="1:18">
      <c r="R335">
        <v>334</v>
      </c>
    </row>
    <row r="336" spans="1:18">
      <c r="R336">
        <v>335</v>
      </c>
    </row>
    <row r="337" spans="18:18">
      <c r="R337">
        <v>336</v>
      </c>
    </row>
    <row r="338" spans="18:18">
      <c r="R338">
        <v>337</v>
      </c>
    </row>
    <row r="339" spans="18:18">
      <c r="R339">
        <v>338</v>
      </c>
    </row>
    <row r="340" spans="18:18">
      <c r="R340">
        <v>339</v>
      </c>
    </row>
    <row r="341" spans="18:18">
      <c r="R341">
        <v>340</v>
      </c>
    </row>
    <row r="342" spans="18:18">
      <c r="R342">
        <v>341</v>
      </c>
    </row>
    <row r="343" spans="18:18">
      <c r="R343">
        <v>342</v>
      </c>
    </row>
    <row r="344" spans="18:18">
      <c r="R344">
        <v>343</v>
      </c>
    </row>
    <row r="345" spans="18:18">
      <c r="R345">
        <v>344</v>
      </c>
    </row>
    <row r="346" spans="18:18">
      <c r="R346">
        <v>345</v>
      </c>
    </row>
    <row r="347" spans="18:18">
      <c r="R347">
        <v>346</v>
      </c>
    </row>
    <row r="348" spans="18:18">
      <c r="R348">
        <v>347</v>
      </c>
    </row>
    <row r="349" spans="18:18">
      <c r="R349">
        <v>348</v>
      </c>
    </row>
    <row r="350" spans="18:18">
      <c r="R350">
        <v>349</v>
      </c>
    </row>
    <row r="351" spans="18:18">
      <c r="R351">
        <v>350</v>
      </c>
    </row>
    <row r="352" spans="18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4740C-7A47-4810-937D-969B59529A17}">
  <sheetPr codeName="Sheet4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31.28515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28</v>
      </c>
      <c r="C2">
        <v>12</v>
      </c>
      <c r="D2">
        <v>16</v>
      </c>
      <c r="E2">
        <v>1.46</v>
      </c>
      <c r="F2">
        <v>1603</v>
      </c>
      <c r="G2">
        <v>536</v>
      </c>
      <c r="H2">
        <v>1114</v>
      </c>
      <c r="I2">
        <v>312</v>
      </c>
      <c r="J2">
        <v>479</v>
      </c>
      <c r="K2">
        <v>117</v>
      </c>
      <c r="L2">
        <v>588</v>
      </c>
      <c r="M2">
        <v>364</v>
      </c>
      <c r="N2">
        <v>167</v>
      </c>
      <c r="O2">
        <v>50</v>
      </c>
      <c r="P2">
        <v>320</v>
      </c>
      <c r="Q2">
        <v>525</v>
      </c>
      <c r="R2">
        <v>1</v>
      </c>
    </row>
    <row r="3" spans="1:18">
      <c r="A3" s="1" t="s">
        <v>18</v>
      </c>
      <c r="B3">
        <v>28</v>
      </c>
      <c r="C3">
        <v>14</v>
      </c>
      <c r="D3">
        <v>14</v>
      </c>
      <c r="E3">
        <v>-1.43</v>
      </c>
      <c r="F3">
        <v>2201</v>
      </c>
      <c r="G3">
        <v>761</v>
      </c>
      <c r="H3">
        <v>1562</v>
      </c>
      <c r="I3">
        <v>527</v>
      </c>
      <c r="J3">
        <v>722</v>
      </c>
      <c r="K3">
        <v>274</v>
      </c>
      <c r="L3">
        <v>830</v>
      </c>
      <c r="M3">
        <v>428</v>
      </c>
      <c r="N3">
        <v>209</v>
      </c>
      <c r="O3">
        <v>69</v>
      </c>
      <c r="P3">
        <v>349</v>
      </c>
      <c r="Q3">
        <v>552</v>
      </c>
      <c r="R3">
        <v>2</v>
      </c>
    </row>
    <row r="4" spans="1:18">
      <c r="A4" s="1" t="s">
        <v>19</v>
      </c>
      <c r="B4">
        <v>27</v>
      </c>
      <c r="C4">
        <v>8</v>
      </c>
      <c r="D4">
        <v>19</v>
      </c>
      <c r="E4">
        <v>-11.83</v>
      </c>
      <c r="F4">
        <v>1962</v>
      </c>
      <c r="G4">
        <v>670</v>
      </c>
      <c r="H4">
        <v>1680</v>
      </c>
      <c r="I4">
        <v>415</v>
      </c>
      <c r="J4">
        <v>587</v>
      </c>
      <c r="K4">
        <v>367</v>
      </c>
      <c r="L4">
        <v>995</v>
      </c>
      <c r="M4">
        <v>403</v>
      </c>
      <c r="N4">
        <v>254</v>
      </c>
      <c r="O4">
        <v>59</v>
      </c>
      <c r="P4">
        <v>505</v>
      </c>
      <c r="Q4">
        <v>547</v>
      </c>
      <c r="R4">
        <v>3</v>
      </c>
    </row>
    <row r="5" spans="1:18">
      <c r="A5" s="1" t="s">
        <v>20</v>
      </c>
      <c r="B5">
        <v>34</v>
      </c>
      <c r="C5">
        <v>21</v>
      </c>
      <c r="D5">
        <v>13</v>
      </c>
      <c r="E5">
        <v>3.89</v>
      </c>
      <c r="F5">
        <v>2640</v>
      </c>
      <c r="G5">
        <v>969</v>
      </c>
      <c r="H5">
        <v>2179</v>
      </c>
      <c r="I5">
        <v>483</v>
      </c>
      <c r="J5">
        <v>708</v>
      </c>
      <c r="K5">
        <v>460</v>
      </c>
      <c r="L5">
        <v>1189</v>
      </c>
      <c r="M5">
        <v>510</v>
      </c>
      <c r="N5">
        <v>394</v>
      </c>
      <c r="O5">
        <v>99</v>
      </c>
      <c r="P5">
        <v>493</v>
      </c>
      <c r="Q5">
        <v>718</v>
      </c>
      <c r="R5">
        <v>4</v>
      </c>
    </row>
    <row r="6" spans="1:18">
      <c r="A6" s="1" t="s">
        <v>21</v>
      </c>
      <c r="B6">
        <v>29</v>
      </c>
      <c r="C6">
        <v>14</v>
      </c>
      <c r="D6">
        <v>15</v>
      </c>
      <c r="E6">
        <v>-10</v>
      </c>
      <c r="F6">
        <v>1860</v>
      </c>
      <c r="G6">
        <v>685</v>
      </c>
      <c r="H6">
        <v>1602</v>
      </c>
      <c r="I6">
        <v>311</v>
      </c>
      <c r="J6">
        <v>479</v>
      </c>
      <c r="K6">
        <v>353</v>
      </c>
      <c r="L6">
        <v>1043</v>
      </c>
      <c r="M6">
        <v>340</v>
      </c>
      <c r="N6">
        <v>239</v>
      </c>
      <c r="O6">
        <v>92</v>
      </c>
      <c r="P6">
        <v>486</v>
      </c>
      <c r="Q6">
        <v>527</v>
      </c>
      <c r="R6">
        <v>5</v>
      </c>
    </row>
    <row r="7" spans="1:18">
      <c r="A7" s="1" t="s">
        <v>22</v>
      </c>
      <c r="B7">
        <v>29</v>
      </c>
      <c r="C7">
        <v>17</v>
      </c>
      <c r="D7">
        <v>12</v>
      </c>
      <c r="E7">
        <v>9.4</v>
      </c>
      <c r="F7">
        <v>2002</v>
      </c>
      <c r="G7">
        <v>695</v>
      </c>
      <c r="H7">
        <v>1653</v>
      </c>
      <c r="I7">
        <v>429</v>
      </c>
      <c r="J7">
        <v>602</v>
      </c>
      <c r="K7">
        <v>389</v>
      </c>
      <c r="L7">
        <v>1079</v>
      </c>
      <c r="M7">
        <v>352</v>
      </c>
      <c r="N7">
        <v>187</v>
      </c>
      <c r="O7">
        <v>112</v>
      </c>
      <c r="P7">
        <v>380</v>
      </c>
      <c r="Q7">
        <v>527</v>
      </c>
      <c r="R7">
        <v>6</v>
      </c>
    </row>
    <row r="8" spans="1:18">
      <c r="A8" s="1" t="s">
        <v>23</v>
      </c>
      <c r="B8">
        <v>28</v>
      </c>
      <c r="C8">
        <v>7</v>
      </c>
      <c r="D8">
        <v>21</v>
      </c>
      <c r="E8">
        <v>-5.09</v>
      </c>
      <c r="F8">
        <v>1846</v>
      </c>
      <c r="G8">
        <v>673</v>
      </c>
      <c r="H8">
        <v>1609</v>
      </c>
      <c r="I8">
        <v>278</v>
      </c>
      <c r="J8">
        <v>379</v>
      </c>
      <c r="K8">
        <v>231</v>
      </c>
      <c r="L8">
        <v>800</v>
      </c>
      <c r="M8">
        <v>334</v>
      </c>
      <c r="N8">
        <v>192</v>
      </c>
      <c r="O8">
        <v>57</v>
      </c>
      <c r="P8">
        <v>352</v>
      </c>
      <c r="Q8">
        <v>445</v>
      </c>
      <c r="R8">
        <v>7</v>
      </c>
    </row>
    <row r="9" spans="1:18">
      <c r="A9" s="1" t="s">
        <v>24</v>
      </c>
      <c r="B9">
        <v>33</v>
      </c>
      <c r="C9">
        <v>14</v>
      </c>
      <c r="D9">
        <v>19</v>
      </c>
      <c r="E9">
        <v>-8.36</v>
      </c>
      <c r="F9">
        <v>2280</v>
      </c>
      <c r="G9">
        <v>823</v>
      </c>
      <c r="H9">
        <v>1939</v>
      </c>
      <c r="I9">
        <v>462</v>
      </c>
      <c r="J9">
        <v>690</v>
      </c>
      <c r="K9">
        <v>432</v>
      </c>
      <c r="L9">
        <v>1197</v>
      </c>
      <c r="M9">
        <v>457</v>
      </c>
      <c r="N9">
        <v>270</v>
      </c>
      <c r="O9">
        <v>116</v>
      </c>
      <c r="P9">
        <v>609</v>
      </c>
      <c r="Q9">
        <v>650</v>
      </c>
      <c r="R9">
        <v>8</v>
      </c>
    </row>
    <row r="10" spans="1:18">
      <c r="A10" s="1" t="s">
        <v>25</v>
      </c>
      <c r="B10">
        <v>30</v>
      </c>
      <c r="C10">
        <v>16</v>
      </c>
      <c r="D10">
        <v>14</v>
      </c>
      <c r="E10">
        <v>-5.85</v>
      </c>
      <c r="F10">
        <v>1991</v>
      </c>
      <c r="G10">
        <v>695</v>
      </c>
      <c r="H10">
        <v>1606</v>
      </c>
      <c r="I10">
        <v>338</v>
      </c>
      <c r="J10">
        <v>496</v>
      </c>
      <c r="K10">
        <v>300</v>
      </c>
      <c r="L10">
        <v>989</v>
      </c>
      <c r="M10">
        <v>422</v>
      </c>
      <c r="N10">
        <v>192</v>
      </c>
      <c r="O10">
        <v>51</v>
      </c>
      <c r="P10">
        <v>393</v>
      </c>
      <c r="Q10">
        <v>545</v>
      </c>
      <c r="R10">
        <v>9</v>
      </c>
    </row>
    <row r="11" spans="1:18">
      <c r="A11" s="1" t="s">
        <v>271</v>
      </c>
      <c r="B11">
        <v>29</v>
      </c>
      <c r="C11">
        <v>19</v>
      </c>
      <c r="D11">
        <v>10</v>
      </c>
      <c r="E11">
        <v>-3.46</v>
      </c>
      <c r="F11">
        <v>2434</v>
      </c>
      <c r="G11">
        <v>844</v>
      </c>
      <c r="H11">
        <v>1885</v>
      </c>
      <c r="I11">
        <v>539</v>
      </c>
      <c r="J11">
        <v>753</v>
      </c>
      <c r="K11">
        <v>394</v>
      </c>
      <c r="L11">
        <v>1137</v>
      </c>
      <c r="M11">
        <v>457</v>
      </c>
      <c r="N11">
        <v>299</v>
      </c>
      <c r="O11">
        <v>134</v>
      </c>
      <c r="P11">
        <v>475</v>
      </c>
      <c r="Q11">
        <v>536</v>
      </c>
      <c r="R11">
        <v>10</v>
      </c>
    </row>
    <row r="12" spans="1:18">
      <c r="A12" s="1" t="s">
        <v>26</v>
      </c>
      <c r="B12">
        <v>32</v>
      </c>
      <c r="C12">
        <v>20</v>
      </c>
      <c r="D12">
        <v>12</v>
      </c>
      <c r="E12">
        <v>9.27</v>
      </c>
      <c r="F12">
        <v>2464</v>
      </c>
      <c r="G12">
        <v>886</v>
      </c>
      <c r="H12">
        <v>1838</v>
      </c>
      <c r="I12">
        <v>561</v>
      </c>
      <c r="J12">
        <v>832</v>
      </c>
      <c r="K12">
        <v>434</v>
      </c>
      <c r="L12">
        <v>1162</v>
      </c>
      <c r="M12">
        <v>506</v>
      </c>
      <c r="N12">
        <v>173</v>
      </c>
      <c r="O12">
        <v>139</v>
      </c>
      <c r="P12">
        <v>437</v>
      </c>
      <c r="Q12">
        <v>626</v>
      </c>
      <c r="R12">
        <v>11</v>
      </c>
    </row>
    <row r="13" spans="1:18">
      <c r="A13" s="1" t="s">
        <v>356</v>
      </c>
      <c r="B13">
        <v>32</v>
      </c>
      <c r="C13">
        <v>28</v>
      </c>
      <c r="D13">
        <v>4</v>
      </c>
      <c r="E13">
        <v>8.9499999999999993</v>
      </c>
      <c r="F13">
        <v>2725</v>
      </c>
      <c r="G13">
        <v>973</v>
      </c>
      <c r="H13">
        <v>2111</v>
      </c>
      <c r="I13">
        <v>551</v>
      </c>
      <c r="J13">
        <v>777</v>
      </c>
      <c r="K13">
        <v>479</v>
      </c>
      <c r="L13">
        <v>1374</v>
      </c>
      <c r="M13">
        <v>569</v>
      </c>
      <c r="N13">
        <v>274</v>
      </c>
      <c r="O13">
        <v>136</v>
      </c>
      <c r="P13">
        <v>468</v>
      </c>
      <c r="Q13">
        <v>559</v>
      </c>
      <c r="R13">
        <v>12</v>
      </c>
    </row>
    <row r="14" spans="1:18">
      <c r="A14" s="1" t="s">
        <v>27</v>
      </c>
      <c r="B14">
        <v>30</v>
      </c>
      <c r="C14">
        <v>18</v>
      </c>
      <c r="D14">
        <v>12</v>
      </c>
      <c r="E14">
        <v>-0.91</v>
      </c>
      <c r="F14">
        <v>2125</v>
      </c>
      <c r="G14">
        <v>721</v>
      </c>
      <c r="H14">
        <v>1581</v>
      </c>
      <c r="I14">
        <v>479</v>
      </c>
      <c r="J14">
        <v>694</v>
      </c>
      <c r="K14">
        <v>322</v>
      </c>
      <c r="L14">
        <v>1004</v>
      </c>
      <c r="M14">
        <v>357</v>
      </c>
      <c r="N14">
        <v>204</v>
      </c>
      <c r="O14">
        <v>78</v>
      </c>
      <c r="P14">
        <v>500</v>
      </c>
      <c r="Q14">
        <v>611</v>
      </c>
      <c r="R14">
        <v>13</v>
      </c>
    </row>
    <row r="15" spans="1:18">
      <c r="A15" s="1" t="s">
        <v>28</v>
      </c>
      <c r="B15">
        <v>28</v>
      </c>
      <c r="C15">
        <v>4</v>
      </c>
      <c r="D15">
        <v>24</v>
      </c>
      <c r="E15">
        <v>-4.54</v>
      </c>
      <c r="F15">
        <v>1526</v>
      </c>
      <c r="G15">
        <v>539</v>
      </c>
      <c r="H15">
        <v>1518</v>
      </c>
      <c r="I15">
        <v>315</v>
      </c>
      <c r="J15">
        <v>492</v>
      </c>
      <c r="K15">
        <v>279</v>
      </c>
      <c r="L15">
        <v>867</v>
      </c>
      <c r="M15">
        <v>282</v>
      </c>
      <c r="N15">
        <v>222</v>
      </c>
      <c r="O15">
        <v>75</v>
      </c>
      <c r="P15">
        <v>533</v>
      </c>
      <c r="Q15">
        <v>563</v>
      </c>
      <c r="R15">
        <v>14</v>
      </c>
    </row>
    <row r="16" spans="1:18">
      <c r="A16" s="1" t="s">
        <v>29</v>
      </c>
      <c r="B16">
        <v>28</v>
      </c>
      <c r="C16">
        <v>13</v>
      </c>
      <c r="D16">
        <v>15</v>
      </c>
      <c r="E16">
        <v>-1.37</v>
      </c>
      <c r="F16">
        <v>2072</v>
      </c>
      <c r="G16">
        <v>688</v>
      </c>
      <c r="H16">
        <v>1549</v>
      </c>
      <c r="I16">
        <v>455</v>
      </c>
      <c r="J16">
        <v>612</v>
      </c>
      <c r="K16">
        <v>312</v>
      </c>
      <c r="L16">
        <v>888</v>
      </c>
      <c r="M16">
        <v>355</v>
      </c>
      <c r="N16">
        <v>214</v>
      </c>
      <c r="O16">
        <v>47</v>
      </c>
      <c r="P16">
        <v>370</v>
      </c>
      <c r="Q16">
        <v>597</v>
      </c>
      <c r="R16">
        <v>15</v>
      </c>
    </row>
    <row r="17" spans="1:18">
      <c r="A17" s="1" t="s">
        <v>302</v>
      </c>
      <c r="B17">
        <v>28</v>
      </c>
      <c r="C17">
        <v>9</v>
      </c>
      <c r="D17">
        <v>19</v>
      </c>
      <c r="E17">
        <v>9.57</v>
      </c>
      <c r="F17">
        <v>1726</v>
      </c>
      <c r="G17">
        <v>611</v>
      </c>
      <c r="H17">
        <v>1556</v>
      </c>
      <c r="I17">
        <v>334</v>
      </c>
      <c r="J17">
        <v>548</v>
      </c>
      <c r="K17">
        <v>407</v>
      </c>
      <c r="L17">
        <v>1063</v>
      </c>
      <c r="M17">
        <v>275</v>
      </c>
      <c r="N17">
        <v>181</v>
      </c>
      <c r="O17">
        <v>99</v>
      </c>
      <c r="P17">
        <v>467</v>
      </c>
      <c r="Q17">
        <v>588</v>
      </c>
      <c r="R17">
        <v>16</v>
      </c>
    </row>
    <row r="18" spans="1:18">
      <c r="A18" s="1" t="s">
        <v>30</v>
      </c>
      <c r="B18">
        <v>27</v>
      </c>
      <c r="C18">
        <v>5</v>
      </c>
      <c r="D18">
        <v>22</v>
      </c>
      <c r="E18">
        <v>-5.92</v>
      </c>
      <c r="F18">
        <v>1482</v>
      </c>
      <c r="G18">
        <v>539</v>
      </c>
      <c r="H18">
        <v>1290</v>
      </c>
      <c r="I18">
        <v>240</v>
      </c>
      <c r="J18">
        <v>352</v>
      </c>
      <c r="K18">
        <v>211</v>
      </c>
      <c r="L18">
        <v>808</v>
      </c>
      <c r="M18">
        <v>322</v>
      </c>
      <c r="N18">
        <v>163</v>
      </c>
      <c r="O18">
        <v>47</v>
      </c>
      <c r="P18">
        <v>463</v>
      </c>
      <c r="Q18">
        <v>510</v>
      </c>
      <c r="R18">
        <v>17</v>
      </c>
    </row>
    <row r="19" spans="1:18">
      <c r="A19" s="1" t="s">
        <v>272</v>
      </c>
      <c r="B19">
        <v>34</v>
      </c>
      <c r="C19">
        <v>22</v>
      </c>
      <c r="D19">
        <v>12</v>
      </c>
      <c r="E19">
        <v>8.34</v>
      </c>
      <c r="F19">
        <v>2408</v>
      </c>
      <c r="G19">
        <v>879</v>
      </c>
      <c r="H19">
        <v>1890</v>
      </c>
      <c r="I19">
        <v>452</v>
      </c>
      <c r="J19">
        <v>685</v>
      </c>
      <c r="K19">
        <v>417</v>
      </c>
      <c r="L19">
        <v>1200</v>
      </c>
      <c r="M19">
        <v>457</v>
      </c>
      <c r="N19">
        <v>269</v>
      </c>
      <c r="O19">
        <v>176</v>
      </c>
      <c r="P19">
        <v>541</v>
      </c>
      <c r="Q19">
        <v>561</v>
      </c>
      <c r="R19">
        <v>18</v>
      </c>
    </row>
    <row r="20" spans="1:18">
      <c r="A20" s="1" t="s">
        <v>31</v>
      </c>
      <c r="B20">
        <v>31</v>
      </c>
      <c r="C20">
        <v>23</v>
      </c>
      <c r="D20">
        <v>8</v>
      </c>
      <c r="E20">
        <v>-1.98</v>
      </c>
      <c r="F20">
        <v>2204</v>
      </c>
      <c r="G20">
        <v>758</v>
      </c>
      <c r="H20">
        <v>1648</v>
      </c>
      <c r="I20">
        <v>496</v>
      </c>
      <c r="J20">
        <v>719</v>
      </c>
      <c r="K20">
        <v>339</v>
      </c>
      <c r="L20">
        <v>1084</v>
      </c>
      <c r="M20">
        <v>424</v>
      </c>
      <c r="N20">
        <v>225</v>
      </c>
      <c r="O20">
        <v>143</v>
      </c>
      <c r="P20">
        <v>476</v>
      </c>
      <c r="Q20">
        <v>567</v>
      </c>
      <c r="R20">
        <v>19</v>
      </c>
    </row>
    <row r="21" spans="1:18">
      <c r="A21" s="1" t="s">
        <v>273</v>
      </c>
      <c r="B21">
        <v>30</v>
      </c>
      <c r="C21">
        <v>13</v>
      </c>
      <c r="D21">
        <v>17</v>
      </c>
      <c r="E21">
        <v>2.17</v>
      </c>
      <c r="F21">
        <v>2199</v>
      </c>
      <c r="G21">
        <v>778</v>
      </c>
      <c r="H21">
        <v>1814</v>
      </c>
      <c r="I21">
        <v>482</v>
      </c>
      <c r="J21">
        <v>664</v>
      </c>
      <c r="K21">
        <v>395</v>
      </c>
      <c r="L21">
        <v>1047</v>
      </c>
      <c r="M21">
        <v>315</v>
      </c>
      <c r="N21">
        <v>156</v>
      </c>
      <c r="O21">
        <v>66</v>
      </c>
      <c r="P21">
        <v>385</v>
      </c>
      <c r="Q21">
        <v>687</v>
      </c>
      <c r="R21">
        <v>20</v>
      </c>
    </row>
    <row r="22" spans="1:18">
      <c r="A22" s="1" t="s">
        <v>32</v>
      </c>
      <c r="B22">
        <v>28</v>
      </c>
      <c r="C22">
        <v>14</v>
      </c>
      <c r="D22">
        <v>14</v>
      </c>
      <c r="E22">
        <v>5.44</v>
      </c>
      <c r="F22">
        <v>1932</v>
      </c>
      <c r="G22">
        <v>661</v>
      </c>
      <c r="H22">
        <v>1624</v>
      </c>
      <c r="I22">
        <v>356</v>
      </c>
      <c r="J22">
        <v>491</v>
      </c>
      <c r="K22">
        <v>328</v>
      </c>
      <c r="L22">
        <v>977</v>
      </c>
      <c r="M22">
        <v>398</v>
      </c>
      <c r="N22">
        <v>233</v>
      </c>
      <c r="O22">
        <v>83</v>
      </c>
      <c r="P22">
        <v>372</v>
      </c>
      <c r="Q22">
        <v>441</v>
      </c>
      <c r="R22">
        <v>21</v>
      </c>
    </row>
    <row r="23" spans="1:18">
      <c r="A23" s="1" t="s">
        <v>33</v>
      </c>
      <c r="B23">
        <v>29</v>
      </c>
      <c r="C23">
        <v>17</v>
      </c>
      <c r="D23">
        <v>12</v>
      </c>
      <c r="E23">
        <v>-4.05</v>
      </c>
      <c r="F23">
        <v>2108</v>
      </c>
      <c r="G23">
        <v>747</v>
      </c>
      <c r="H23">
        <v>1596</v>
      </c>
      <c r="I23">
        <v>377</v>
      </c>
      <c r="J23">
        <v>542</v>
      </c>
      <c r="K23">
        <v>310</v>
      </c>
      <c r="L23">
        <v>1000</v>
      </c>
      <c r="M23">
        <v>493</v>
      </c>
      <c r="N23">
        <v>267</v>
      </c>
      <c r="O23">
        <v>52</v>
      </c>
      <c r="P23">
        <v>491</v>
      </c>
      <c r="Q23">
        <v>526</v>
      </c>
      <c r="R23">
        <v>22</v>
      </c>
    </row>
    <row r="24" spans="1:18">
      <c r="A24" s="1" t="s">
        <v>34</v>
      </c>
      <c r="B24">
        <v>30</v>
      </c>
      <c r="C24">
        <v>8</v>
      </c>
      <c r="D24">
        <v>22</v>
      </c>
      <c r="E24">
        <v>-10.93</v>
      </c>
      <c r="F24">
        <v>1941</v>
      </c>
      <c r="G24">
        <v>693</v>
      </c>
      <c r="H24">
        <v>1677</v>
      </c>
      <c r="I24">
        <v>384</v>
      </c>
      <c r="J24">
        <v>554</v>
      </c>
      <c r="K24">
        <v>369</v>
      </c>
      <c r="L24">
        <v>982</v>
      </c>
      <c r="M24">
        <v>329</v>
      </c>
      <c r="N24">
        <v>248</v>
      </c>
      <c r="O24">
        <v>54</v>
      </c>
      <c r="P24">
        <v>476</v>
      </c>
      <c r="Q24">
        <v>583</v>
      </c>
      <c r="R24">
        <v>23</v>
      </c>
    </row>
    <row r="25" spans="1:18">
      <c r="A25" s="1" t="s">
        <v>303</v>
      </c>
      <c r="B25">
        <v>27</v>
      </c>
      <c r="C25">
        <v>14</v>
      </c>
      <c r="D25">
        <v>13</v>
      </c>
      <c r="E25">
        <v>-5.13</v>
      </c>
      <c r="F25">
        <v>1797</v>
      </c>
      <c r="G25">
        <v>649</v>
      </c>
      <c r="H25">
        <v>1544</v>
      </c>
      <c r="I25">
        <v>292</v>
      </c>
      <c r="J25">
        <v>432</v>
      </c>
      <c r="K25">
        <v>316</v>
      </c>
      <c r="L25">
        <v>970</v>
      </c>
      <c r="M25">
        <v>343</v>
      </c>
      <c r="N25">
        <v>174</v>
      </c>
      <c r="O25">
        <v>176</v>
      </c>
      <c r="P25">
        <v>407</v>
      </c>
      <c r="Q25">
        <v>493</v>
      </c>
      <c r="R25">
        <v>24</v>
      </c>
    </row>
    <row r="26" spans="1:18">
      <c r="A26" s="1" t="s">
        <v>317</v>
      </c>
      <c r="B26">
        <v>28</v>
      </c>
      <c r="C26">
        <v>19</v>
      </c>
      <c r="D26">
        <v>9</v>
      </c>
      <c r="F26">
        <v>1958</v>
      </c>
      <c r="R26">
        <v>25</v>
      </c>
    </row>
    <row r="27" spans="1:18">
      <c r="A27" s="1" t="s">
        <v>35</v>
      </c>
      <c r="B27">
        <v>29</v>
      </c>
      <c r="C27">
        <v>13</v>
      </c>
      <c r="D27">
        <v>16</v>
      </c>
      <c r="E27">
        <v>7.0000000000000007E-2</v>
      </c>
      <c r="F27">
        <v>1897</v>
      </c>
      <c r="G27">
        <v>666</v>
      </c>
      <c r="H27">
        <v>1626</v>
      </c>
      <c r="I27">
        <v>416</v>
      </c>
      <c r="J27">
        <v>596</v>
      </c>
      <c r="K27">
        <v>321</v>
      </c>
      <c r="L27">
        <v>957</v>
      </c>
      <c r="M27">
        <v>335</v>
      </c>
      <c r="N27">
        <v>187</v>
      </c>
      <c r="O27">
        <v>109</v>
      </c>
      <c r="P27">
        <v>412</v>
      </c>
      <c r="Q27">
        <v>560</v>
      </c>
      <c r="R27">
        <v>26</v>
      </c>
    </row>
    <row r="28" spans="1:18">
      <c r="A28" s="1" t="s">
        <v>36</v>
      </c>
      <c r="B28">
        <v>31</v>
      </c>
      <c r="C28">
        <v>19</v>
      </c>
      <c r="D28">
        <v>12</v>
      </c>
      <c r="E28">
        <v>7.23</v>
      </c>
      <c r="F28">
        <v>2462</v>
      </c>
      <c r="G28">
        <v>869</v>
      </c>
      <c r="H28">
        <v>1849</v>
      </c>
      <c r="I28">
        <v>539</v>
      </c>
      <c r="J28">
        <v>780</v>
      </c>
      <c r="K28">
        <v>421</v>
      </c>
      <c r="L28">
        <v>1116</v>
      </c>
      <c r="M28">
        <v>522</v>
      </c>
      <c r="N28">
        <v>212</v>
      </c>
      <c r="O28">
        <v>88</v>
      </c>
      <c r="P28">
        <v>414</v>
      </c>
      <c r="Q28">
        <v>585</v>
      </c>
      <c r="R28">
        <v>27</v>
      </c>
    </row>
    <row r="29" spans="1:18">
      <c r="A29" s="1" t="s">
        <v>37</v>
      </c>
      <c r="B29">
        <v>31</v>
      </c>
      <c r="C29">
        <v>20</v>
      </c>
      <c r="D29">
        <v>11</v>
      </c>
      <c r="E29">
        <v>-3.42</v>
      </c>
      <c r="F29">
        <v>2100</v>
      </c>
      <c r="G29">
        <v>728</v>
      </c>
      <c r="H29">
        <v>1699</v>
      </c>
      <c r="I29">
        <v>440</v>
      </c>
      <c r="J29">
        <v>593</v>
      </c>
      <c r="K29">
        <v>339</v>
      </c>
      <c r="L29">
        <v>1100</v>
      </c>
      <c r="M29">
        <v>420</v>
      </c>
      <c r="N29">
        <v>176</v>
      </c>
      <c r="O29">
        <v>107</v>
      </c>
      <c r="P29">
        <v>414</v>
      </c>
      <c r="Q29">
        <v>626</v>
      </c>
      <c r="R29">
        <v>28</v>
      </c>
    </row>
    <row r="30" spans="1:18">
      <c r="A30" s="1" t="s">
        <v>38</v>
      </c>
      <c r="B30">
        <v>29</v>
      </c>
      <c r="C30">
        <v>13</v>
      </c>
      <c r="D30">
        <v>16</v>
      </c>
      <c r="E30">
        <v>1.95</v>
      </c>
      <c r="F30">
        <v>1962</v>
      </c>
      <c r="G30">
        <v>629</v>
      </c>
      <c r="H30">
        <v>1427</v>
      </c>
      <c r="I30">
        <v>519</v>
      </c>
      <c r="J30">
        <v>704</v>
      </c>
      <c r="K30">
        <v>264</v>
      </c>
      <c r="L30">
        <v>908</v>
      </c>
      <c r="M30">
        <v>378</v>
      </c>
      <c r="N30">
        <v>230</v>
      </c>
      <c r="O30">
        <v>76</v>
      </c>
      <c r="P30">
        <v>482</v>
      </c>
      <c r="Q30">
        <v>640</v>
      </c>
      <c r="R30">
        <v>29</v>
      </c>
    </row>
    <row r="31" spans="1:18">
      <c r="A31" s="1" t="s">
        <v>39</v>
      </c>
      <c r="B31">
        <v>30</v>
      </c>
      <c r="C31">
        <v>12</v>
      </c>
      <c r="D31">
        <v>18</v>
      </c>
      <c r="E31">
        <v>1.2</v>
      </c>
      <c r="F31">
        <v>2204</v>
      </c>
      <c r="G31">
        <v>756</v>
      </c>
      <c r="H31">
        <v>1711</v>
      </c>
      <c r="I31">
        <v>497</v>
      </c>
      <c r="J31">
        <v>707</v>
      </c>
      <c r="K31">
        <v>330</v>
      </c>
      <c r="L31">
        <v>1027</v>
      </c>
      <c r="M31">
        <v>393</v>
      </c>
      <c r="N31">
        <v>231</v>
      </c>
      <c r="O31">
        <v>49</v>
      </c>
      <c r="P31">
        <v>425</v>
      </c>
      <c r="Q31">
        <v>616</v>
      </c>
      <c r="R31">
        <v>30</v>
      </c>
    </row>
    <row r="32" spans="1:18">
      <c r="A32" s="1" t="s">
        <v>40</v>
      </c>
      <c r="B32">
        <v>32</v>
      </c>
      <c r="C32">
        <v>23</v>
      </c>
      <c r="D32">
        <v>9</v>
      </c>
      <c r="E32">
        <v>5.29</v>
      </c>
      <c r="F32">
        <v>2299</v>
      </c>
      <c r="G32">
        <v>765</v>
      </c>
      <c r="H32">
        <v>1654</v>
      </c>
      <c r="I32">
        <v>575</v>
      </c>
      <c r="J32">
        <v>762</v>
      </c>
      <c r="K32">
        <v>353</v>
      </c>
      <c r="L32">
        <v>1134</v>
      </c>
      <c r="M32">
        <v>428</v>
      </c>
      <c r="N32">
        <v>222</v>
      </c>
      <c r="O32">
        <v>82</v>
      </c>
      <c r="P32">
        <v>436</v>
      </c>
      <c r="Q32">
        <v>688</v>
      </c>
      <c r="R32">
        <v>31</v>
      </c>
    </row>
    <row r="33" spans="1:18">
      <c r="A33" s="1" t="s">
        <v>41</v>
      </c>
      <c r="B33">
        <v>29</v>
      </c>
      <c r="C33">
        <v>17</v>
      </c>
      <c r="D33">
        <v>12</v>
      </c>
      <c r="E33">
        <v>-3.6</v>
      </c>
      <c r="F33">
        <v>2144</v>
      </c>
      <c r="G33">
        <v>715</v>
      </c>
      <c r="H33">
        <v>1550</v>
      </c>
      <c r="I33">
        <v>527</v>
      </c>
      <c r="J33">
        <v>708</v>
      </c>
      <c r="K33">
        <v>280</v>
      </c>
      <c r="L33">
        <v>949</v>
      </c>
      <c r="M33">
        <v>421</v>
      </c>
      <c r="N33">
        <v>224</v>
      </c>
      <c r="O33">
        <v>106</v>
      </c>
      <c r="P33">
        <v>453</v>
      </c>
      <c r="Q33">
        <v>514</v>
      </c>
      <c r="R33">
        <v>32</v>
      </c>
    </row>
    <row r="34" spans="1:18">
      <c r="A34" s="1" t="s">
        <v>42</v>
      </c>
      <c r="B34">
        <v>29</v>
      </c>
      <c r="C34">
        <v>14</v>
      </c>
      <c r="D34">
        <v>15</v>
      </c>
      <c r="E34">
        <v>-4.97</v>
      </c>
      <c r="F34">
        <v>1687</v>
      </c>
      <c r="G34">
        <v>558</v>
      </c>
      <c r="H34">
        <v>1374</v>
      </c>
      <c r="I34">
        <v>400</v>
      </c>
      <c r="J34">
        <v>632</v>
      </c>
      <c r="K34">
        <v>289</v>
      </c>
      <c r="L34">
        <v>931</v>
      </c>
      <c r="M34">
        <v>345</v>
      </c>
      <c r="N34">
        <v>178</v>
      </c>
      <c r="O34">
        <v>67</v>
      </c>
      <c r="P34">
        <v>464</v>
      </c>
      <c r="Q34">
        <v>509</v>
      </c>
      <c r="R34">
        <v>33</v>
      </c>
    </row>
    <row r="35" spans="1:18">
      <c r="A35" s="1" t="s">
        <v>43</v>
      </c>
      <c r="B35">
        <v>28</v>
      </c>
      <c r="C35">
        <v>5</v>
      </c>
      <c r="D35">
        <v>23</v>
      </c>
      <c r="E35">
        <v>-0.56999999999999995</v>
      </c>
      <c r="F35">
        <v>1815</v>
      </c>
      <c r="G35">
        <v>652</v>
      </c>
      <c r="H35">
        <v>1622</v>
      </c>
      <c r="I35">
        <v>360</v>
      </c>
      <c r="J35">
        <v>536</v>
      </c>
      <c r="K35">
        <v>380</v>
      </c>
      <c r="L35">
        <v>1014</v>
      </c>
      <c r="M35">
        <v>354</v>
      </c>
      <c r="N35">
        <v>180</v>
      </c>
      <c r="O35">
        <v>58</v>
      </c>
      <c r="P35">
        <v>406</v>
      </c>
      <c r="Q35">
        <v>637</v>
      </c>
      <c r="R35">
        <v>34</v>
      </c>
    </row>
    <row r="36" spans="1:18">
      <c r="A36" s="1" t="s">
        <v>304</v>
      </c>
      <c r="B36">
        <v>33</v>
      </c>
      <c r="C36">
        <v>27</v>
      </c>
      <c r="D36">
        <v>6</v>
      </c>
      <c r="E36">
        <v>2.23</v>
      </c>
      <c r="F36">
        <v>2229</v>
      </c>
      <c r="G36">
        <v>786</v>
      </c>
      <c r="H36">
        <v>1655</v>
      </c>
      <c r="I36">
        <v>383</v>
      </c>
      <c r="J36">
        <v>533</v>
      </c>
      <c r="K36">
        <v>261</v>
      </c>
      <c r="L36">
        <v>923</v>
      </c>
      <c r="M36">
        <v>420</v>
      </c>
      <c r="N36">
        <v>207</v>
      </c>
      <c r="O36">
        <v>59</v>
      </c>
      <c r="P36">
        <v>353</v>
      </c>
      <c r="Q36">
        <v>528</v>
      </c>
      <c r="R36">
        <v>35</v>
      </c>
    </row>
    <row r="37" spans="1:18">
      <c r="A37" s="1" t="s">
        <v>44</v>
      </c>
      <c r="B37">
        <v>30</v>
      </c>
      <c r="C37">
        <v>16</v>
      </c>
      <c r="D37">
        <v>14</v>
      </c>
      <c r="E37">
        <v>-1.51</v>
      </c>
      <c r="F37">
        <v>2046</v>
      </c>
      <c r="G37">
        <v>716</v>
      </c>
      <c r="H37">
        <v>1678</v>
      </c>
      <c r="I37">
        <v>424</v>
      </c>
      <c r="J37">
        <v>592</v>
      </c>
      <c r="K37">
        <v>350</v>
      </c>
      <c r="L37">
        <v>1052</v>
      </c>
      <c r="M37">
        <v>376</v>
      </c>
      <c r="N37">
        <v>210</v>
      </c>
      <c r="O37">
        <v>122</v>
      </c>
      <c r="P37">
        <v>480</v>
      </c>
      <c r="Q37">
        <v>587</v>
      </c>
      <c r="R37">
        <v>36</v>
      </c>
    </row>
    <row r="38" spans="1:18">
      <c r="A38" s="1" t="s">
        <v>45</v>
      </c>
      <c r="B38">
        <v>29</v>
      </c>
      <c r="C38">
        <v>10</v>
      </c>
      <c r="D38">
        <v>19</v>
      </c>
      <c r="E38">
        <v>-3</v>
      </c>
      <c r="F38">
        <v>1825</v>
      </c>
      <c r="G38">
        <v>660</v>
      </c>
      <c r="H38">
        <v>1502</v>
      </c>
      <c r="I38">
        <v>367</v>
      </c>
      <c r="J38">
        <v>566</v>
      </c>
      <c r="K38">
        <v>358</v>
      </c>
      <c r="L38">
        <v>911</v>
      </c>
      <c r="M38">
        <v>339</v>
      </c>
      <c r="N38">
        <v>172</v>
      </c>
      <c r="O38">
        <v>44</v>
      </c>
      <c r="P38">
        <v>384</v>
      </c>
      <c r="Q38">
        <v>523</v>
      </c>
      <c r="R38">
        <v>37</v>
      </c>
    </row>
    <row r="39" spans="1:18">
      <c r="A39" s="1" t="s">
        <v>46</v>
      </c>
      <c r="B39">
        <v>29</v>
      </c>
      <c r="C39">
        <v>14</v>
      </c>
      <c r="D39">
        <v>15</v>
      </c>
      <c r="E39">
        <v>-2.2000000000000002</v>
      </c>
      <c r="F39">
        <v>2073</v>
      </c>
      <c r="G39">
        <v>730</v>
      </c>
      <c r="H39">
        <v>1621</v>
      </c>
      <c r="I39">
        <v>434</v>
      </c>
      <c r="J39">
        <v>617</v>
      </c>
      <c r="K39">
        <v>382</v>
      </c>
      <c r="L39">
        <v>1022</v>
      </c>
      <c r="M39">
        <v>388</v>
      </c>
      <c r="N39">
        <v>265</v>
      </c>
      <c r="O39">
        <v>56</v>
      </c>
      <c r="P39">
        <v>491</v>
      </c>
      <c r="Q39">
        <v>654</v>
      </c>
      <c r="R39">
        <v>38</v>
      </c>
    </row>
    <row r="40" spans="1:18">
      <c r="A40" s="1" t="s">
        <v>47</v>
      </c>
      <c r="B40">
        <v>29</v>
      </c>
      <c r="C40">
        <v>20</v>
      </c>
      <c r="D40">
        <v>9</v>
      </c>
      <c r="E40">
        <v>-1.65</v>
      </c>
      <c r="F40">
        <v>2029</v>
      </c>
      <c r="G40">
        <v>696</v>
      </c>
      <c r="H40">
        <v>1557</v>
      </c>
      <c r="I40">
        <v>466</v>
      </c>
      <c r="J40">
        <v>635</v>
      </c>
      <c r="K40">
        <v>331</v>
      </c>
      <c r="L40">
        <v>996</v>
      </c>
      <c r="M40">
        <v>350</v>
      </c>
      <c r="N40">
        <v>212</v>
      </c>
      <c r="O40">
        <v>80</v>
      </c>
      <c r="P40">
        <v>418</v>
      </c>
      <c r="Q40">
        <v>565</v>
      </c>
      <c r="R40">
        <v>39</v>
      </c>
    </row>
    <row r="41" spans="1:18">
      <c r="A41" s="1" t="s">
        <v>305</v>
      </c>
      <c r="B41">
        <v>24</v>
      </c>
      <c r="C41">
        <v>6</v>
      </c>
      <c r="D41">
        <v>18</v>
      </c>
      <c r="E41">
        <v>-0.26</v>
      </c>
      <c r="F41">
        <v>1575</v>
      </c>
      <c r="G41">
        <v>543</v>
      </c>
      <c r="H41">
        <v>1272</v>
      </c>
      <c r="I41">
        <v>340</v>
      </c>
      <c r="J41">
        <v>470</v>
      </c>
      <c r="K41">
        <v>260</v>
      </c>
      <c r="L41">
        <v>758</v>
      </c>
      <c r="M41">
        <v>291</v>
      </c>
      <c r="N41">
        <v>135</v>
      </c>
      <c r="O41">
        <v>35</v>
      </c>
      <c r="P41">
        <v>406</v>
      </c>
      <c r="Q41">
        <v>513</v>
      </c>
      <c r="R41">
        <v>40</v>
      </c>
    </row>
    <row r="42" spans="1:18">
      <c r="A42" s="1" t="s">
        <v>48</v>
      </c>
      <c r="B42">
        <v>32</v>
      </c>
      <c r="C42">
        <v>18</v>
      </c>
      <c r="D42">
        <v>14</v>
      </c>
      <c r="E42">
        <v>-1.1200000000000001</v>
      </c>
      <c r="F42">
        <v>2066</v>
      </c>
      <c r="G42">
        <v>696</v>
      </c>
      <c r="H42">
        <v>1574</v>
      </c>
      <c r="I42">
        <v>455</v>
      </c>
      <c r="J42">
        <v>614</v>
      </c>
      <c r="K42">
        <v>288</v>
      </c>
      <c r="L42">
        <v>985</v>
      </c>
      <c r="M42">
        <v>413</v>
      </c>
      <c r="N42">
        <v>190</v>
      </c>
      <c r="O42">
        <v>30</v>
      </c>
      <c r="P42">
        <v>399</v>
      </c>
      <c r="Q42">
        <v>578</v>
      </c>
      <c r="R42">
        <v>41</v>
      </c>
    </row>
    <row r="43" spans="1:18">
      <c r="A43" s="1" t="s">
        <v>49</v>
      </c>
      <c r="B43">
        <v>31</v>
      </c>
      <c r="C43">
        <v>22</v>
      </c>
      <c r="D43">
        <v>9</v>
      </c>
      <c r="E43">
        <v>7.58</v>
      </c>
      <c r="F43">
        <v>2301</v>
      </c>
      <c r="G43">
        <v>847</v>
      </c>
      <c r="H43">
        <v>1819</v>
      </c>
      <c r="I43">
        <v>409</v>
      </c>
      <c r="J43">
        <v>601</v>
      </c>
      <c r="K43">
        <v>350</v>
      </c>
      <c r="L43">
        <v>1095</v>
      </c>
      <c r="M43">
        <v>487</v>
      </c>
      <c r="N43">
        <v>203</v>
      </c>
      <c r="O43">
        <v>87</v>
      </c>
      <c r="P43">
        <v>433</v>
      </c>
      <c r="Q43">
        <v>533</v>
      </c>
      <c r="R43">
        <v>42</v>
      </c>
    </row>
    <row r="44" spans="1:18">
      <c r="A44" s="1" t="s">
        <v>50</v>
      </c>
      <c r="B44">
        <v>27</v>
      </c>
      <c r="C44">
        <v>5</v>
      </c>
      <c r="D44">
        <v>22</v>
      </c>
      <c r="E44">
        <v>-6.51</v>
      </c>
      <c r="F44">
        <v>1756</v>
      </c>
      <c r="G44">
        <v>620</v>
      </c>
      <c r="H44">
        <v>1416</v>
      </c>
      <c r="I44">
        <v>344</v>
      </c>
      <c r="J44">
        <v>492</v>
      </c>
      <c r="K44">
        <v>214</v>
      </c>
      <c r="L44">
        <v>748</v>
      </c>
      <c r="M44">
        <v>393</v>
      </c>
      <c r="N44">
        <v>172</v>
      </c>
      <c r="O44">
        <v>74</v>
      </c>
      <c r="P44">
        <v>428</v>
      </c>
      <c r="Q44">
        <v>447</v>
      </c>
      <c r="R44">
        <v>43</v>
      </c>
    </row>
    <row r="45" spans="1:18">
      <c r="A45" s="1" t="s">
        <v>51</v>
      </c>
      <c r="B45">
        <v>28</v>
      </c>
      <c r="C45">
        <v>10</v>
      </c>
      <c r="D45">
        <v>18</v>
      </c>
      <c r="E45">
        <v>-2.34</v>
      </c>
      <c r="F45">
        <v>1967</v>
      </c>
      <c r="G45">
        <v>739</v>
      </c>
      <c r="H45">
        <v>1684</v>
      </c>
      <c r="I45">
        <v>323</v>
      </c>
      <c r="J45">
        <v>458</v>
      </c>
      <c r="K45">
        <v>322</v>
      </c>
      <c r="L45">
        <v>1029</v>
      </c>
      <c r="M45">
        <v>438</v>
      </c>
      <c r="N45">
        <v>228</v>
      </c>
      <c r="O45">
        <v>95</v>
      </c>
      <c r="P45">
        <v>401</v>
      </c>
      <c r="Q45">
        <v>542</v>
      </c>
      <c r="R45">
        <v>44</v>
      </c>
    </row>
    <row r="46" spans="1:18">
      <c r="A46" s="1" t="s">
        <v>52</v>
      </c>
      <c r="B46">
        <v>28</v>
      </c>
      <c r="C46">
        <v>14</v>
      </c>
      <c r="D46">
        <v>14</v>
      </c>
      <c r="E46">
        <v>-3.89</v>
      </c>
      <c r="F46">
        <v>2145</v>
      </c>
      <c r="G46">
        <v>752</v>
      </c>
      <c r="H46">
        <v>1592</v>
      </c>
      <c r="I46">
        <v>518</v>
      </c>
      <c r="J46">
        <v>682</v>
      </c>
      <c r="L46">
        <v>853</v>
      </c>
      <c r="M46">
        <v>381</v>
      </c>
      <c r="N46">
        <v>259</v>
      </c>
      <c r="O46">
        <v>105</v>
      </c>
      <c r="P46">
        <v>435</v>
      </c>
      <c r="Q46">
        <v>552</v>
      </c>
      <c r="R46">
        <v>45</v>
      </c>
    </row>
    <row r="47" spans="1:18">
      <c r="A47" s="1" t="s">
        <v>274</v>
      </c>
      <c r="B47">
        <v>28</v>
      </c>
      <c r="C47">
        <v>15</v>
      </c>
      <c r="D47">
        <v>13</v>
      </c>
      <c r="E47">
        <v>-8.58</v>
      </c>
      <c r="F47">
        <v>1891</v>
      </c>
      <c r="G47">
        <v>684</v>
      </c>
      <c r="H47">
        <v>1480</v>
      </c>
      <c r="I47">
        <v>373</v>
      </c>
      <c r="J47">
        <v>499</v>
      </c>
      <c r="K47">
        <v>322</v>
      </c>
      <c r="L47">
        <v>937</v>
      </c>
      <c r="M47">
        <v>322</v>
      </c>
      <c r="N47">
        <v>163</v>
      </c>
      <c r="O47">
        <v>46</v>
      </c>
      <c r="P47">
        <v>432</v>
      </c>
      <c r="Q47">
        <v>435</v>
      </c>
      <c r="R47">
        <v>46</v>
      </c>
    </row>
    <row r="48" spans="1:18">
      <c r="A48" s="1" t="s">
        <v>53</v>
      </c>
      <c r="B48">
        <v>32</v>
      </c>
      <c r="C48">
        <v>21</v>
      </c>
      <c r="D48">
        <v>11</v>
      </c>
      <c r="E48">
        <v>-5.84</v>
      </c>
      <c r="F48">
        <v>2292</v>
      </c>
      <c r="G48">
        <v>806</v>
      </c>
      <c r="H48">
        <v>1790</v>
      </c>
      <c r="I48">
        <v>477</v>
      </c>
      <c r="J48">
        <v>653</v>
      </c>
      <c r="K48">
        <v>405</v>
      </c>
      <c r="L48">
        <v>1166</v>
      </c>
      <c r="M48">
        <v>448</v>
      </c>
      <c r="N48">
        <v>259</v>
      </c>
      <c r="O48">
        <v>101</v>
      </c>
      <c r="P48">
        <v>501</v>
      </c>
      <c r="Q48">
        <v>604</v>
      </c>
      <c r="R48">
        <v>47</v>
      </c>
    </row>
    <row r="49" spans="1:18">
      <c r="A49" s="1" t="s">
        <v>54</v>
      </c>
      <c r="B49">
        <v>32</v>
      </c>
      <c r="C49">
        <v>25</v>
      </c>
      <c r="D49">
        <v>7</v>
      </c>
      <c r="E49">
        <v>1.79</v>
      </c>
      <c r="F49">
        <v>2553</v>
      </c>
      <c r="G49">
        <v>864</v>
      </c>
      <c r="H49">
        <v>1714</v>
      </c>
      <c r="I49">
        <v>601</v>
      </c>
      <c r="J49">
        <v>789</v>
      </c>
      <c r="K49">
        <v>347</v>
      </c>
      <c r="L49">
        <v>1079</v>
      </c>
      <c r="M49">
        <v>504</v>
      </c>
      <c r="N49">
        <v>237</v>
      </c>
      <c r="O49">
        <v>120</v>
      </c>
      <c r="P49">
        <v>577</v>
      </c>
      <c r="Q49">
        <v>658</v>
      </c>
      <c r="R49">
        <v>48</v>
      </c>
    </row>
    <row r="50" spans="1:18">
      <c r="A50" s="1" t="s">
        <v>55</v>
      </c>
      <c r="B50">
        <v>28</v>
      </c>
      <c r="C50">
        <v>14</v>
      </c>
      <c r="D50">
        <v>14</v>
      </c>
      <c r="E50">
        <v>-8.91</v>
      </c>
      <c r="F50">
        <v>1828</v>
      </c>
      <c r="G50">
        <v>687</v>
      </c>
      <c r="H50">
        <v>1553</v>
      </c>
      <c r="I50">
        <v>350</v>
      </c>
      <c r="J50">
        <v>469</v>
      </c>
      <c r="K50">
        <v>310</v>
      </c>
      <c r="L50">
        <v>912</v>
      </c>
      <c r="M50">
        <v>353</v>
      </c>
      <c r="N50">
        <v>277</v>
      </c>
      <c r="O50">
        <v>86</v>
      </c>
      <c r="P50">
        <v>408</v>
      </c>
      <c r="Q50">
        <v>539</v>
      </c>
      <c r="R50">
        <v>49</v>
      </c>
    </row>
    <row r="51" spans="1:18">
      <c r="A51" s="1" t="s">
        <v>56</v>
      </c>
      <c r="B51">
        <v>29</v>
      </c>
      <c r="C51">
        <v>13</v>
      </c>
      <c r="D51">
        <v>16</v>
      </c>
      <c r="E51">
        <v>6.94</v>
      </c>
      <c r="F51">
        <v>1985</v>
      </c>
      <c r="G51">
        <v>691</v>
      </c>
      <c r="H51">
        <v>1744</v>
      </c>
      <c r="I51">
        <v>372</v>
      </c>
      <c r="J51">
        <v>587</v>
      </c>
      <c r="K51">
        <v>425</v>
      </c>
      <c r="L51">
        <v>1099</v>
      </c>
      <c r="M51">
        <v>421</v>
      </c>
      <c r="N51">
        <v>246</v>
      </c>
      <c r="O51">
        <v>59</v>
      </c>
      <c r="P51">
        <v>398</v>
      </c>
      <c r="Q51">
        <v>534</v>
      </c>
      <c r="R51">
        <v>50</v>
      </c>
    </row>
    <row r="52" spans="1:18">
      <c r="A52" s="1" t="s">
        <v>57</v>
      </c>
      <c r="B52">
        <v>30</v>
      </c>
      <c r="C52">
        <v>21</v>
      </c>
      <c r="D52">
        <v>9</v>
      </c>
      <c r="E52">
        <v>-3.64</v>
      </c>
      <c r="F52">
        <v>2435</v>
      </c>
      <c r="G52">
        <v>846</v>
      </c>
      <c r="H52">
        <v>1750</v>
      </c>
      <c r="I52">
        <v>517</v>
      </c>
      <c r="J52">
        <v>683</v>
      </c>
      <c r="K52">
        <v>516</v>
      </c>
      <c r="L52">
        <v>1102</v>
      </c>
      <c r="M52">
        <v>509</v>
      </c>
      <c r="N52">
        <v>227</v>
      </c>
      <c r="O52">
        <v>98</v>
      </c>
      <c r="P52">
        <v>500</v>
      </c>
      <c r="Q52">
        <v>547</v>
      </c>
      <c r="R52">
        <v>51</v>
      </c>
    </row>
    <row r="53" spans="1:18">
      <c r="A53" s="1" t="s">
        <v>58</v>
      </c>
      <c r="B53">
        <v>30</v>
      </c>
      <c r="C53">
        <v>3</v>
      </c>
      <c r="D53">
        <v>27</v>
      </c>
      <c r="E53">
        <v>-2.4300000000000002</v>
      </c>
      <c r="F53">
        <v>1896</v>
      </c>
      <c r="G53">
        <v>706</v>
      </c>
      <c r="H53">
        <v>1597</v>
      </c>
      <c r="I53">
        <v>370</v>
      </c>
      <c r="J53">
        <v>599</v>
      </c>
      <c r="K53">
        <v>361</v>
      </c>
      <c r="L53">
        <v>979</v>
      </c>
      <c r="M53">
        <v>363</v>
      </c>
      <c r="N53">
        <v>216</v>
      </c>
      <c r="O53">
        <v>50</v>
      </c>
      <c r="P53">
        <v>523</v>
      </c>
      <c r="Q53">
        <v>661</v>
      </c>
      <c r="R53">
        <v>52</v>
      </c>
    </row>
    <row r="54" spans="1:18">
      <c r="A54" s="1" t="s">
        <v>335</v>
      </c>
      <c r="B54">
        <v>29</v>
      </c>
      <c r="C54">
        <v>17</v>
      </c>
      <c r="D54">
        <v>12</v>
      </c>
      <c r="E54">
        <v>7.45</v>
      </c>
      <c r="F54">
        <v>1954</v>
      </c>
      <c r="G54">
        <v>667</v>
      </c>
      <c r="H54">
        <v>1653</v>
      </c>
      <c r="I54">
        <v>423</v>
      </c>
      <c r="J54">
        <v>613</v>
      </c>
      <c r="K54">
        <v>366</v>
      </c>
      <c r="L54">
        <v>1030</v>
      </c>
      <c r="M54">
        <v>357</v>
      </c>
      <c r="N54">
        <v>152</v>
      </c>
      <c r="O54">
        <v>125</v>
      </c>
      <c r="P54">
        <v>307</v>
      </c>
      <c r="Q54">
        <v>556</v>
      </c>
      <c r="R54">
        <v>53</v>
      </c>
    </row>
    <row r="55" spans="1:18">
      <c r="A55" s="1" t="s">
        <v>59</v>
      </c>
      <c r="B55">
        <v>28</v>
      </c>
      <c r="C55">
        <v>8</v>
      </c>
      <c r="D55">
        <v>20</v>
      </c>
      <c r="E55">
        <v>-3.9</v>
      </c>
      <c r="F55">
        <v>1858</v>
      </c>
      <c r="G55">
        <v>649</v>
      </c>
      <c r="H55">
        <v>1585</v>
      </c>
      <c r="I55">
        <v>376</v>
      </c>
      <c r="J55">
        <v>568</v>
      </c>
      <c r="K55">
        <v>333</v>
      </c>
      <c r="L55">
        <v>948</v>
      </c>
      <c r="M55">
        <v>393</v>
      </c>
      <c r="N55">
        <v>237</v>
      </c>
      <c r="O55">
        <v>93</v>
      </c>
      <c r="P55">
        <v>427</v>
      </c>
      <c r="Q55">
        <v>567</v>
      </c>
      <c r="R55">
        <v>54</v>
      </c>
    </row>
    <row r="56" spans="1:18">
      <c r="A56" s="1" t="s">
        <v>60</v>
      </c>
      <c r="B56">
        <v>28</v>
      </c>
      <c r="C56">
        <v>15</v>
      </c>
      <c r="D56">
        <v>13</v>
      </c>
      <c r="E56">
        <v>5.35</v>
      </c>
      <c r="F56">
        <v>1916</v>
      </c>
      <c r="G56">
        <v>685</v>
      </c>
      <c r="H56">
        <v>1551</v>
      </c>
      <c r="I56">
        <v>411</v>
      </c>
      <c r="J56">
        <v>626</v>
      </c>
      <c r="K56">
        <v>376</v>
      </c>
      <c r="L56">
        <v>1004</v>
      </c>
      <c r="M56">
        <v>351</v>
      </c>
      <c r="N56">
        <v>199</v>
      </c>
      <c r="O56">
        <v>74</v>
      </c>
      <c r="P56">
        <v>377</v>
      </c>
      <c r="Q56">
        <v>536</v>
      </c>
      <c r="R56">
        <v>55</v>
      </c>
    </row>
    <row r="57" spans="1:18">
      <c r="A57" s="1" t="s">
        <v>61</v>
      </c>
      <c r="B57">
        <v>30</v>
      </c>
      <c r="C57">
        <v>8</v>
      </c>
      <c r="D57">
        <v>22</v>
      </c>
      <c r="E57">
        <v>0.62</v>
      </c>
      <c r="F57">
        <v>1969</v>
      </c>
      <c r="G57">
        <v>687</v>
      </c>
      <c r="H57">
        <v>1540</v>
      </c>
      <c r="I57">
        <v>418</v>
      </c>
      <c r="J57">
        <v>634</v>
      </c>
      <c r="K57">
        <v>313</v>
      </c>
      <c r="L57">
        <v>943</v>
      </c>
      <c r="M57">
        <v>406</v>
      </c>
      <c r="N57">
        <v>212</v>
      </c>
      <c r="O57">
        <v>133</v>
      </c>
      <c r="P57">
        <v>517</v>
      </c>
      <c r="Q57">
        <v>585</v>
      </c>
      <c r="R57">
        <v>56</v>
      </c>
    </row>
    <row r="58" spans="1:18">
      <c r="A58" s="1" t="s">
        <v>62</v>
      </c>
      <c r="B58">
        <v>28</v>
      </c>
      <c r="C58">
        <v>13</v>
      </c>
      <c r="D58">
        <v>15</v>
      </c>
      <c r="E58">
        <v>-8.9499999999999993</v>
      </c>
      <c r="F58">
        <v>1886</v>
      </c>
      <c r="G58">
        <v>665</v>
      </c>
      <c r="H58">
        <v>1538</v>
      </c>
      <c r="I58">
        <v>388</v>
      </c>
      <c r="J58">
        <v>537</v>
      </c>
      <c r="K58">
        <v>379</v>
      </c>
      <c r="L58">
        <v>1004</v>
      </c>
      <c r="M58">
        <v>347</v>
      </c>
      <c r="N58">
        <v>178</v>
      </c>
      <c r="O58">
        <v>50</v>
      </c>
      <c r="P58">
        <v>468</v>
      </c>
      <c r="Q58">
        <v>587</v>
      </c>
      <c r="R58">
        <v>57</v>
      </c>
    </row>
    <row r="59" spans="1:18">
      <c r="A59" s="1" t="s">
        <v>63</v>
      </c>
      <c r="B59">
        <v>28</v>
      </c>
      <c r="C59">
        <v>14</v>
      </c>
      <c r="D59">
        <v>14</v>
      </c>
      <c r="E59">
        <v>-6.46</v>
      </c>
      <c r="F59">
        <v>1897</v>
      </c>
      <c r="G59">
        <v>710</v>
      </c>
      <c r="H59">
        <v>1607</v>
      </c>
      <c r="I59">
        <v>292</v>
      </c>
      <c r="J59">
        <v>424</v>
      </c>
      <c r="K59">
        <v>303</v>
      </c>
      <c r="L59">
        <v>932</v>
      </c>
      <c r="M59">
        <v>404</v>
      </c>
      <c r="N59">
        <v>198</v>
      </c>
      <c r="O59">
        <v>49</v>
      </c>
      <c r="P59">
        <v>400</v>
      </c>
      <c r="Q59">
        <v>538</v>
      </c>
      <c r="R59">
        <v>58</v>
      </c>
    </row>
    <row r="60" spans="1:18">
      <c r="A60" s="1" t="s">
        <v>64</v>
      </c>
      <c r="B60">
        <v>33</v>
      </c>
      <c r="C60">
        <v>25</v>
      </c>
      <c r="D60">
        <v>8</v>
      </c>
      <c r="E60">
        <v>-3.18</v>
      </c>
      <c r="F60">
        <v>2461</v>
      </c>
      <c r="G60">
        <v>854</v>
      </c>
      <c r="H60">
        <v>1943</v>
      </c>
      <c r="I60">
        <v>445</v>
      </c>
      <c r="J60">
        <v>652</v>
      </c>
      <c r="K60">
        <v>380</v>
      </c>
      <c r="L60">
        <v>1162</v>
      </c>
      <c r="M60">
        <v>483</v>
      </c>
      <c r="N60">
        <v>253</v>
      </c>
      <c r="O60">
        <v>138</v>
      </c>
      <c r="P60">
        <v>466</v>
      </c>
      <c r="Q60">
        <v>626</v>
      </c>
      <c r="R60">
        <v>59</v>
      </c>
    </row>
    <row r="61" spans="1:18">
      <c r="A61" s="1" t="s">
        <v>65</v>
      </c>
      <c r="B61">
        <v>33</v>
      </c>
      <c r="C61">
        <v>19</v>
      </c>
      <c r="D61">
        <v>14</v>
      </c>
      <c r="E61">
        <v>4.41</v>
      </c>
      <c r="F61">
        <v>2450</v>
      </c>
      <c r="G61">
        <v>876</v>
      </c>
      <c r="H61">
        <v>1733</v>
      </c>
      <c r="I61">
        <v>561</v>
      </c>
      <c r="J61">
        <v>805</v>
      </c>
      <c r="K61">
        <v>374</v>
      </c>
      <c r="L61">
        <v>1175</v>
      </c>
      <c r="M61">
        <v>514</v>
      </c>
      <c r="N61">
        <v>179</v>
      </c>
      <c r="O61">
        <v>149</v>
      </c>
      <c r="P61">
        <v>553</v>
      </c>
      <c r="Q61">
        <v>682</v>
      </c>
      <c r="R61">
        <v>60</v>
      </c>
    </row>
    <row r="62" spans="1:18">
      <c r="A62" s="1" t="s">
        <v>66</v>
      </c>
      <c r="B62">
        <v>32</v>
      </c>
      <c r="C62">
        <v>20</v>
      </c>
      <c r="D62">
        <v>12</v>
      </c>
      <c r="E62">
        <v>8.01</v>
      </c>
      <c r="F62">
        <v>2405</v>
      </c>
      <c r="G62">
        <v>869</v>
      </c>
      <c r="H62">
        <v>1961</v>
      </c>
      <c r="I62">
        <v>508</v>
      </c>
      <c r="J62">
        <v>759</v>
      </c>
      <c r="K62">
        <v>461</v>
      </c>
      <c r="L62">
        <v>1351</v>
      </c>
      <c r="M62">
        <v>424</v>
      </c>
      <c r="N62">
        <v>196</v>
      </c>
      <c r="O62">
        <v>214</v>
      </c>
      <c r="P62">
        <v>447</v>
      </c>
      <c r="Q62">
        <v>568</v>
      </c>
      <c r="R62">
        <v>61</v>
      </c>
    </row>
    <row r="63" spans="1:18">
      <c r="A63" s="1" t="s">
        <v>67</v>
      </c>
      <c r="B63">
        <v>27</v>
      </c>
      <c r="C63">
        <v>2</v>
      </c>
      <c r="D63">
        <v>25</v>
      </c>
      <c r="E63">
        <v>-4.83</v>
      </c>
      <c r="F63">
        <v>1340</v>
      </c>
      <c r="G63">
        <v>457</v>
      </c>
      <c r="H63">
        <v>1226</v>
      </c>
      <c r="I63">
        <v>290</v>
      </c>
      <c r="J63">
        <v>432</v>
      </c>
      <c r="K63">
        <v>255</v>
      </c>
      <c r="L63">
        <v>839</v>
      </c>
      <c r="M63">
        <v>262</v>
      </c>
      <c r="N63">
        <v>140</v>
      </c>
      <c r="O63">
        <v>93</v>
      </c>
      <c r="P63">
        <v>461</v>
      </c>
      <c r="Q63">
        <v>493</v>
      </c>
      <c r="R63">
        <v>62</v>
      </c>
    </row>
    <row r="64" spans="1:18">
      <c r="A64" s="1" t="s">
        <v>275</v>
      </c>
      <c r="B64">
        <v>33</v>
      </c>
      <c r="C64">
        <v>23</v>
      </c>
      <c r="D64">
        <v>10</v>
      </c>
      <c r="E64">
        <v>7.63</v>
      </c>
      <c r="F64">
        <v>2622</v>
      </c>
      <c r="G64">
        <v>964</v>
      </c>
      <c r="H64">
        <v>2057</v>
      </c>
      <c r="I64">
        <v>498</v>
      </c>
      <c r="J64">
        <v>736</v>
      </c>
      <c r="K64">
        <v>486</v>
      </c>
      <c r="L64">
        <v>1407</v>
      </c>
      <c r="M64">
        <v>502</v>
      </c>
      <c r="N64">
        <v>192</v>
      </c>
      <c r="O64">
        <v>253</v>
      </c>
      <c r="P64">
        <v>507</v>
      </c>
      <c r="Q64">
        <v>604</v>
      </c>
      <c r="R64">
        <v>63</v>
      </c>
    </row>
    <row r="65" spans="1:18">
      <c r="A65" s="1" t="s">
        <v>68</v>
      </c>
      <c r="B65">
        <v>28</v>
      </c>
      <c r="C65">
        <v>11</v>
      </c>
      <c r="D65">
        <v>17</v>
      </c>
      <c r="E65">
        <v>-7.39</v>
      </c>
      <c r="F65">
        <v>1625</v>
      </c>
      <c r="G65">
        <v>590</v>
      </c>
      <c r="H65">
        <v>1350</v>
      </c>
      <c r="I65">
        <v>321</v>
      </c>
      <c r="J65">
        <v>439</v>
      </c>
      <c r="K65">
        <v>259</v>
      </c>
      <c r="L65">
        <v>803</v>
      </c>
      <c r="M65">
        <v>258</v>
      </c>
      <c r="N65">
        <v>205</v>
      </c>
      <c r="O65">
        <v>58</v>
      </c>
      <c r="P65">
        <v>416</v>
      </c>
      <c r="Q65">
        <v>440</v>
      </c>
      <c r="R65">
        <v>64</v>
      </c>
    </row>
    <row r="66" spans="1:18">
      <c r="A66" s="1" t="s">
        <v>69</v>
      </c>
      <c r="B66">
        <v>27</v>
      </c>
      <c r="C66">
        <v>9</v>
      </c>
      <c r="D66">
        <v>18</v>
      </c>
      <c r="E66">
        <v>-4.2699999999999996</v>
      </c>
      <c r="F66">
        <v>1641</v>
      </c>
      <c r="G66">
        <v>581</v>
      </c>
      <c r="H66">
        <v>1357</v>
      </c>
      <c r="I66">
        <v>307</v>
      </c>
      <c r="J66">
        <v>488</v>
      </c>
      <c r="K66">
        <v>249</v>
      </c>
      <c r="L66">
        <v>855</v>
      </c>
      <c r="M66">
        <v>363</v>
      </c>
      <c r="N66">
        <v>201</v>
      </c>
      <c r="O66">
        <v>61</v>
      </c>
      <c r="P66">
        <v>419</v>
      </c>
      <c r="Q66">
        <v>498</v>
      </c>
      <c r="R66">
        <v>65</v>
      </c>
    </row>
    <row r="67" spans="1:18">
      <c r="A67" s="1" t="s">
        <v>326</v>
      </c>
      <c r="B67">
        <v>34</v>
      </c>
      <c r="C67">
        <v>29</v>
      </c>
      <c r="D67">
        <v>5</v>
      </c>
      <c r="E67">
        <v>1.03</v>
      </c>
      <c r="F67">
        <v>2688</v>
      </c>
      <c r="G67">
        <v>974</v>
      </c>
      <c r="H67">
        <v>1956</v>
      </c>
      <c r="I67">
        <v>470</v>
      </c>
      <c r="J67">
        <v>678</v>
      </c>
      <c r="K67">
        <v>373</v>
      </c>
      <c r="L67">
        <v>1155</v>
      </c>
      <c r="M67">
        <v>575</v>
      </c>
      <c r="N67">
        <v>283</v>
      </c>
      <c r="O67">
        <v>153</v>
      </c>
      <c r="P67">
        <v>461</v>
      </c>
      <c r="Q67">
        <v>591</v>
      </c>
      <c r="R67">
        <v>66</v>
      </c>
    </row>
    <row r="68" spans="1:18">
      <c r="A68" s="1" t="s">
        <v>70</v>
      </c>
      <c r="B68">
        <v>27</v>
      </c>
      <c r="C68">
        <v>8</v>
      </c>
      <c r="D68">
        <v>19</v>
      </c>
      <c r="E68">
        <v>-5.44</v>
      </c>
      <c r="F68">
        <v>1625</v>
      </c>
      <c r="G68">
        <v>565</v>
      </c>
      <c r="H68">
        <v>1352</v>
      </c>
      <c r="I68">
        <v>274</v>
      </c>
      <c r="J68">
        <v>390</v>
      </c>
      <c r="K68">
        <v>186</v>
      </c>
      <c r="L68">
        <v>775</v>
      </c>
      <c r="M68">
        <v>376</v>
      </c>
      <c r="N68">
        <v>163</v>
      </c>
      <c r="O68">
        <v>70</v>
      </c>
      <c r="P68">
        <v>333</v>
      </c>
      <c r="Q68">
        <v>496</v>
      </c>
      <c r="R68">
        <v>67</v>
      </c>
    </row>
    <row r="69" spans="1:18">
      <c r="A69" s="1" t="s">
        <v>71</v>
      </c>
      <c r="B69">
        <v>27</v>
      </c>
      <c r="C69">
        <v>17</v>
      </c>
      <c r="D69">
        <v>10</v>
      </c>
      <c r="E69">
        <v>-2.25</v>
      </c>
      <c r="F69">
        <v>2180</v>
      </c>
      <c r="G69">
        <v>749</v>
      </c>
      <c r="H69">
        <v>1607</v>
      </c>
      <c r="I69">
        <v>413</v>
      </c>
      <c r="J69">
        <v>531</v>
      </c>
      <c r="K69">
        <v>430</v>
      </c>
      <c r="L69">
        <v>1110</v>
      </c>
      <c r="M69">
        <v>460</v>
      </c>
      <c r="N69">
        <v>170</v>
      </c>
      <c r="O69">
        <v>52</v>
      </c>
      <c r="P69">
        <v>485</v>
      </c>
      <c r="Q69">
        <v>533</v>
      </c>
      <c r="R69">
        <v>68</v>
      </c>
    </row>
    <row r="70" spans="1:18">
      <c r="A70" s="1" t="s">
        <v>276</v>
      </c>
      <c r="B70">
        <v>30</v>
      </c>
      <c r="C70">
        <v>24</v>
      </c>
      <c r="D70">
        <v>6</v>
      </c>
      <c r="E70">
        <v>5.17</v>
      </c>
      <c r="F70">
        <v>2182</v>
      </c>
      <c r="G70">
        <v>738</v>
      </c>
      <c r="H70">
        <v>1638</v>
      </c>
      <c r="I70">
        <v>479</v>
      </c>
      <c r="J70">
        <v>671</v>
      </c>
      <c r="K70">
        <v>403</v>
      </c>
      <c r="L70">
        <v>1091</v>
      </c>
      <c r="M70">
        <v>452</v>
      </c>
      <c r="N70">
        <v>159</v>
      </c>
      <c r="O70">
        <v>88</v>
      </c>
      <c r="P70">
        <v>397</v>
      </c>
      <c r="Q70">
        <v>529</v>
      </c>
      <c r="R70">
        <v>69</v>
      </c>
    </row>
    <row r="71" spans="1:18">
      <c r="A71" s="1" t="s">
        <v>72</v>
      </c>
      <c r="B71">
        <v>27</v>
      </c>
      <c r="C71">
        <v>15</v>
      </c>
      <c r="D71">
        <v>12</v>
      </c>
      <c r="E71">
        <v>-9.57</v>
      </c>
      <c r="F71">
        <v>1680</v>
      </c>
      <c r="G71">
        <v>592</v>
      </c>
      <c r="H71">
        <v>1342</v>
      </c>
      <c r="I71">
        <v>318</v>
      </c>
      <c r="J71">
        <v>463</v>
      </c>
      <c r="K71">
        <v>287</v>
      </c>
      <c r="L71">
        <v>809</v>
      </c>
      <c r="M71">
        <v>328</v>
      </c>
      <c r="N71">
        <v>180</v>
      </c>
      <c r="O71">
        <v>91</v>
      </c>
      <c r="P71">
        <v>370</v>
      </c>
      <c r="Q71">
        <v>496</v>
      </c>
      <c r="R71">
        <v>70</v>
      </c>
    </row>
    <row r="72" spans="1:18">
      <c r="A72" s="1" t="s">
        <v>73</v>
      </c>
      <c r="B72">
        <v>29</v>
      </c>
      <c r="C72">
        <v>15</v>
      </c>
      <c r="D72">
        <v>14</v>
      </c>
      <c r="E72">
        <v>-1.54</v>
      </c>
      <c r="F72">
        <v>1990</v>
      </c>
      <c r="G72">
        <v>702</v>
      </c>
      <c r="H72">
        <v>1719</v>
      </c>
      <c r="I72">
        <v>384</v>
      </c>
      <c r="J72">
        <v>544</v>
      </c>
      <c r="K72">
        <v>320</v>
      </c>
      <c r="L72">
        <v>1028</v>
      </c>
      <c r="M72">
        <v>407</v>
      </c>
      <c r="N72">
        <v>231</v>
      </c>
      <c r="O72">
        <v>108</v>
      </c>
      <c r="P72">
        <v>389</v>
      </c>
      <c r="Q72">
        <v>554</v>
      </c>
      <c r="R72">
        <v>71</v>
      </c>
    </row>
    <row r="73" spans="1:18">
      <c r="A73" s="1" t="s">
        <v>74</v>
      </c>
      <c r="B73">
        <v>32</v>
      </c>
      <c r="C73">
        <v>17</v>
      </c>
      <c r="D73">
        <v>15</v>
      </c>
      <c r="E73">
        <v>-0.28000000000000003</v>
      </c>
      <c r="F73">
        <v>2268</v>
      </c>
      <c r="G73">
        <v>778</v>
      </c>
      <c r="H73">
        <v>1909</v>
      </c>
      <c r="I73">
        <v>463</v>
      </c>
      <c r="J73">
        <v>636</v>
      </c>
      <c r="K73">
        <v>409</v>
      </c>
      <c r="L73">
        <v>1182</v>
      </c>
      <c r="M73">
        <v>461</v>
      </c>
      <c r="N73">
        <v>230</v>
      </c>
      <c r="O73">
        <v>53</v>
      </c>
      <c r="P73">
        <v>426</v>
      </c>
      <c r="Q73">
        <v>614</v>
      </c>
      <c r="R73">
        <v>72</v>
      </c>
    </row>
    <row r="74" spans="1:18">
      <c r="A74" s="1" t="s">
        <v>277</v>
      </c>
      <c r="B74">
        <v>29</v>
      </c>
      <c r="C74">
        <v>16</v>
      </c>
      <c r="D74">
        <v>13</v>
      </c>
      <c r="E74">
        <v>6.49</v>
      </c>
      <c r="F74">
        <v>1949</v>
      </c>
      <c r="G74">
        <v>687</v>
      </c>
      <c r="H74">
        <v>1553</v>
      </c>
      <c r="I74">
        <v>447</v>
      </c>
      <c r="J74">
        <v>622</v>
      </c>
      <c r="K74">
        <v>383</v>
      </c>
      <c r="L74">
        <v>1075</v>
      </c>
      <c r="M74">
        <v>377</v>
      </c>
      <c r="N74">
        <v>167</v>
      </c>
      <c r="O74">
        <v>59</v>
      </c>
      <c r="P74">
        <v>428</v>
      </c>
      <c r="Q74">
        <v>530</v>
      </c>
      <c r="R74">
        <v>73</v>
      </c>
    </row>
    <row r="75" spans="1:18">
      <c r="A75" s="1" t="s">
        <v>75</v>
      </c>
      <c r="B75">
        <v>30</v>
      </c>
      <c r="C75">
        <v>18</v>
      </c>
      <c r="D75">
        <v>12</v>
      </c>
      <c r="E75">
        <v>-0.1</v>
      </c>
      <c r="F75">
        <v>2128</v>
      </c>
      <c r="G75">
        <v>798</v>
      </c>
      <c r="H75">
        <v>1662</v>
      </c>
      <c r="I75">
        <v>397</v>
      </c>
      <c r="J75">
        <v>569</v>
      </c>
      <c r="K75">
        <v>333</v>
      </c>
      <c r="L75">
        <v>1009</v>
      </c>
      <c r="M75">
        <v>402</v>
      </c>
      <c r="N75">
        <v>190</v>
      </c>
      <c r="O75">
        <v>78</v>
      </c>
      <c r="P75">
        <v>354</v>
      </c>
      <c r="Q75">
        <v>567</v>
      </c>
      <c r="R75">
        <v>74</v>
      </c>
    </row>
    <row r="76" spans="1:18">
      <c r="A76" s="1" t="s">
        <v>76</v>
      </c>
      <c r="B76">
        <v>30</v>
      </c>
      <c r="C76">
        <v>10</v>
      </c>
      <c r="D76">
        <v>20</v>
      </c>
      <c r="E76">
        <v>1.47</v>
      </c>
      <c r="F76">
        <v>2017</v>
      </c>
      <c r="G76">
        <v>697</v>
      </c>
      <c r="H76">
        <v>1501</v>
      </c>
      <c r="I76">
        <v>463</v>
      </c>
      <c r="J76">
        <v>625</v>
      </c>
      <c r="K76">
        <v>256</v>
      </c>
      <c r="L76">
        <v>957</v>
      </c>
      <c r="M76">
        <v>406</v>
      </c>
      <c r="N76">
        <v>123</v>
      </c>
      <c r="O76">
        <v>56</v>
      </c>
      <c r="P76">
        <v>437</v>
      </c>
      <c r="Q76">
        <v>515</v>
      </c>
      <c r="R76">
        <v>75</v>
      </c>
    </row>
    <row r="77" spans="1:18">
      <c r="A77" s="1" t="s">
        <v>77</v>
      </c>
      <c r="B77">
        <v>31</v>
      </c>
      <c r="C77">
        <v>19</v>
      </c>
      <c r="D77">
        <v>12</v>
      </c>
      <c r="E77">
        <v>-1.45</v>
      </c>
      <c r="F77">
        <v>2127</v>
      </c>
      <c r="G77">
        <v>765</v>
      </c>
      <c r="H77">
        <v>1777</v>
      </c>
      <c r="I77">
        <v>400</v>
      </c>
      <c r="J77">
        <v>594</v>
      </c>
      <c r="K77">
        <v>344</v>
      </c>
      <c r="L77">
        <v>1106</v>
      </c>
      <c r="M77">
        <v>464</v>
      </c>
      <c r="N77">
        <v>228</v>
      </c>
      <c r="O77">
        <v>150</v>
      </c>
      <c r="P77">
        <v>419</v>
      </c>
      <c r="Q77">
        <v>567</v>
      </c>
      <c r="R77">
        <v>76</v>
      </c>
    </row>
    <row r="78" spans="1:18">
      <c r="A78" s="1" t="s">
        <v>373</v>
      </c>
      <c r="B78">
        <v>33</v>
      </c>
      <c r="C78">
        <v>26</v>
      </c>
      <c r="D78">
        <v>7</v>
      </c>
      <c r="E78">
        <v>8.3800000000000008</v>
      </c>
      <c r="F78">
        <v>2677</v>
      </c>
      <c r="G78">
        <v>897</v>
      </c>
      <c r="H78">
        <v>1981</v>
      </c>
      <c r="I78">
        <v>639</v>
      </c>
      <c r="J78">
        <v>897</v>
      </c>
      <c r="K78">
        <v>431</v>
      </c>
      <c r="L78">
        <v>1206</v>
      </c>
      <c r="M78">
        <v>444</v>
      </c>
      <c r="N78">
        <v>286</v>
      </c>
      <c r="O78">
        <v>178</v>
      </c>
      <c r="P78">
        <v>462</v>
      </c>
      <c r="Q78">
        <v>698</v>
      </c>
      <c r="R78">
        <v>77</v>
      </c>
    </row>
    <row r="79" spans="1:18">
      <c r="A79" s="1" t="s">
        <v>78</v>
      </c>
      <c r="B79">
        <v>30</v>
      </c>
      <c r="C79">
        <v>9</v>
      </c>
      <c r="D79">
        <v>21</v>
      </c>
      <c r="E79">
        <v>2.29</v>
      </c>
      <c r="F79">
        <v>2001</v>
      </c>
      <c r="G79">
        <v>705</v>
      </c>
      <c r="H79">
        <v>1585</v>
      </c>
      <c r="I79">
        <v>421</v>
      </c>
      <c r="J79">
        <v>611</v>
      </c>
      <c r="K79">
        <v>326</v>
      </c>
      <c r="L79">
        <v>992</v>
      </c>
      <c r="M79">
        <v>377</v>
      </c>
      <c r="N79">
        <v>202</v>
      </c>
      <c r="O79">
        <v>108</v>
      </c>
      <c r="P79">
        <v>568</v>
      </c>
      <c r="Q79">
        <v>582</v>
      </c>
      <c r="R79">
        <v>78</v>
      </c>
    </row>
    <row r="80" spans="1:18">
      <c r="A80" s="1" t="s">
        <v>79</v>
      </c>
      <c r="B80">
        <v>27</v>
      </c>
      <c r="C80">
        <v>12</v>
      </c>
      <c r="D80">
        <v>15</v>
      </c>
      <c r="E80">
        <v>4.7300000000000004</v>
      </c>
      <c r="F80">
        <v>1760</v>
      </c>
      <c r="G80">
        <v>632</v>
      </c>
      <c r="H80">
        <v>1527</v>
      </c>
      <c r="I80">
        <v>377</v>
      </c>
      <c r="J80">
        <v>548</v>
      </c>
      <c r="K80">
        <v>355</v>
      </c>
      <c r="L80">
        <v>1028</v>
      </c>
      <c r="M80">
        <v>329</v>
      </c>
      <c r="N80">
        <v>136</v>
      </c>
      <c r="O80">
        <v>100</v>
      </c>
      <c r="P80">
        <v>347</v>
      </c>
      <c r="Q80">
        <v>473</v>
      </c>
      <c r="R80">
        <v>79</v>
      </c>
    </row>
    <row r="81" spans="1:18">
      <c r="A81" s="1" t="s">
        <v>80</v>
      </c>
      <c r="B81">
        <v>31</v>
      </c>
      <c r="C81">
        <v>20</v>
      </c>
      <c r="D81">
        <v>11</v>
      </c>
      <c r="E81">
        <v>-2.94</v>
      </c>
      <c r="F81">
        <v>2543</v>
      </c>
      <c r="G81">
        <v>899</v>
      </c>
      <c r="H81">
        <v>1933</v>
      </c>
      <c r="I81">
        <v>578</v>
      </c>
      <c r="J81">
        <v>791</v>
      </c>
      <c r="K81">
        <v>437</v>
      </c>
      <c r="L81">
        <v>1201</v>
      </c>
      <c r="M81">
        <v>448</v>
      </c>
      <c r="N81">
        <v>354</v>
      </c>
      <c r="O81">
        <v>156</v>
      </c>
      <c r="P81">
        <v>561</v>
      </c>
      <c r="Q81">
        <v>590</v>
      </c>
      <c r="R81">
        <v>80</v>
      </c>
    </row>
    <row r="82" spans="1:18">
      <c r="A82" s="1" t="s">
        <v>81</v>
      </c>
      <c r="B82">
        <v>29</v>
      </c>
      <c r="C82">
        <v>14</v>
      </c>
      <c r="D82">
        <v>15</v>
      </c>
      <c r="E82">
        <v>-1.92</v>
      </c>
      <c r="F82">
        <v>2242</v>
      </c>
      <c r="G82">
        <v>798</v>
      </c>
      <c r="H82">
        <v>1808</v>
      </c>
      <c r="I82">
        <v>453</v>
      </c>
      <c r="J82">
        <v>590</v>
      </c>
      <c r="K82">
        <v>362</v>
      </c>
      <c r="L82">
        <v>1039</v>
      </c>
      <c r="M82">
        <v>469</v>
      </c>
      <c r="N82">
        <v>183</v>
      </c>
      <c r="O82">
        <v>66</v>
      </c>
      <c r="P82">
        <v>377</v>
      </c>
      <c r="Q82">
        <v>565</v>
      </c>
      <c r="R82">
        <v>81</v>
      </c>
    </row>
    <row r="83" spans="1:18">
      <c r="A83" s="1" t="s">
        <v>82</v>
      </c>
      <c r="B83">
        <v>28</v>
      </c>
      <c r="C83">
        <v>11</v>
      </c>
      <c r="D83">
        <v>17</v>
      </c>
      <c r="E83">
        <v>-5.03</v>
      </c>
      <c r="F83">
        <v>2172</v>
      </c>
      <c r="G83">
        <v>795</v>
      </c>
      <c r="H83">
        <v>1730</v>
      </c>
      <c r="I83">
        <v>422</v>
      </c>
      <c r="J83">
        <v>619</v>
      </c>
      <c r="K83">
        <v>341</v>
      </c>
      <c r="L83">
        <v>986</v>
      </c>
      <c r="M83">
        <v>442</v>
      </c>
      <c r="N83">
        <v>235</v>
      </c>
      <c r="O83">
        <v>79</v>
      </c>
      <c r="P83">
        <v>410</v>
      </c>
      <c r="Q83">
        <v>621</v>
      </c>
      <c r="R83">
        <v>82</v>
      </c>
    </row>
    <row r="84" spans="1:18">
      <c r="A84" s="1" t="s">
        <v>83</v>
      </c>
      <c r="B84">
        <v>28</v>
      </c>
      <c r="C84">
        <v>14</v>
      </c>
      <c r="D84">
        <v>14</v>
      </c>
      <c r="E84">
        <v>-0.91</v>
      </c>
      <c r="F84">
        <v>2210</v>
      </c>
      <c r="G84">
        <v>767</v>
      </c>
      <c r="H84">
        <v>1633</v>
      </c>
      <c r="I84">
        <v>534</v>
      </c>
      <c r="J84">
        <v>828</v>
      </c>
      <c r="K84">
        <v>385</v>
      </c>
      <c r="L84">
        <v>1055</v>
      </c>
      <c r="M84">
        <v>424</v>
      </c>
      <c r="N84">
        <v>182</v>
      </c>
      <c r="O84">
        <v>90</v>
      </c>
      <c r="P84">
        <v>429</v>
      </c>
      <c r="Q84">
        <v>597</v>
      </c>
      <c r="R84">
        <v>83</v>
      </c>
    </row>
    <row r="85" spans="1:18">
      <c r="A85" s="1" t="s">
        <v>84</v>
      </c>
      <c r="B85">
        <v>31</v>
      </c>
      <c r="C85">
        <v>18</v>
      </c>
      <c r="D85">
        <v>13</v>
      </c>
      <c r="E85">
        <v>-0.8</v>
      </c>
      <c r="F85">
        <v>2189</v>
      </c>
      <c r="G85">
        <v>758</v>
      </c>
      <c r="H85">
        <v>1603</v>
      </c>
      <c r="I85">
        <v>529</v>
      </c>
      <c r="J85">
        <v>721</v>
      </c>
      <c r="K85">
        <v>293</v>
      </c>
      <c r="L85">
        <v>1004</v>
      </c>
      <c r="M85">
        <v>469</v>
      </c>
      <c r="N85">
        <v>236</v>
      </c>
      <c r="O85">
        <v>82</v>
      </c>
      <c r="P85">
        <v>530</v>
      </c>
      <c r="Q85">
        <v>662</v>
      </c>
      <c r="R85">
        <v>84</v>
      </c>
    </row>
    <row r="86" spans="1:18">
      <c r="A86" s="1" t="s">
        <v>85</v>
      </c>
      <c r="B86">
        <v>27</v>
      </c>
      <c r="C86">
        <v>12</v>
      </c>
      <c r="D86">
        <v>15</v>
      </c>
      <c r="E86">
        <v>-7.97</v>
      </c>
      <c r="F86">
        <v>1706</v>
      </c>
      <c r="G86">
        <v>625</v>
      </c>
      <c r="H86">
        <v>1461</v>
      </c>
      <c r="I86">
        <v>339</v>
      </c>
      <c r="J86">
        <v>515</v>
      </c>
      <c r="K86">
        <v>350</v>
      </c>
      <c r="L86">
        <v>912</v>
      </c>
      <c r="M86">
        <v>310</v>
      </c>
      <c r="N86">
        <v>202</v>
      </c>
      <c r="O86">
        <v>77</v>
      </c>
      <c r="P86">
        <v>441</v>
      </c>
      <c r="Q86">
        <v>523</v>
      </c>
      <c r="R86">
        <v>85</v>
      </c>
    </row>
    <row r="87" spans="1:18">
      <c r="A87" s="1" t="s">
        <v>86</v>
      </c>
      <c r="B87">
        <v>28</v>
      </c>
      <c r="C87">
        <v>12</v>
      </c>
      <c r="D87">
        <v>16</v>
      </c>
      <c r="E87">
        <v>2.97</v>
      </c>
      <c r="F87">
        <v>1960</v>
      </c>
      <c r="G87">
        <v>670</v>
      </c>
      <c r="H87">
        <v>1386</v>
      </c>
      <c r="I87">
        <v>456</v>
      </c>
      <c r="J87">
        <v>625</v>
      </c>
      <c r="K87">
        <v>246</v>
      </c>
      <c r="L87">
        <v>893</v>
      </c>
      <c r="M87">
        <v>441</v>
      </c>
      <c r="N87">
        <v>150</v>
      </c>
      <c r="O87">
        <v>95</v>
      </c>
      <c r="P87">
        <v>446</v>
      </c>
      <c r="Q87">
        <v>558</v>
      </c>
      <c r="R87">
        <v>86</v>
      </c>
    </row>
    <row r="88" spans="1:18">
      <c r="A88" s="1" t="s">
        <v>87</v>
      </c>
      <c r="B88">
        <v>31</v>
      </c>
      <c r="C88">
        <v>19</v>
      </c>
      <c r="D88">
        <v>12</v>
      </c>
      <c r="E88">
        <v>-1.06</v>
      </c>
      <c r="F88">
        <v>2197</v>
      </c>
      <c r="G88">
        <v>748</v>
      </c>
      <c r="H88">
        <v>1690</v>
      </c>
      <c r="I88">
        <v>565</v>
      </c>
      <c r="J88">
        <v>780</v>
      </c>
      <c r="K88">
        <v>365</v>
      </c>
      <c r="L88">
        <v>1156</v>
      </c>
      <c r="M88">
        <v>399</v>
      </c>
      <c r="N88">
        <v>235</v>
      </c>
      <c r="O88">
        <v>167</v>
      </c>
      <c r="P88">
        <v>524</v>
      </c>
      <c r="Q88">
        <v>623</v>
      </c>
      <c r="R88">
        <v>87</v>
      </c>
    </row>
    <row r="89" spans="1:18">
      <c r="A89" s="1" t="s">
        <v>88</v>
      </c>
      <c r="B89">
        <v>29</v>
      </c>
      <c r="C89">
        <v>15</v>
      </c>
      <c r="D89">
        <v>14</v>
      </c>
      <c r="E89">
        <v>-9.91</v>
      </c>
      <c r="F89">
        <v>2106</v>
      </c>
      <c r="G89">
        <v>737</v>
      </c>
      <c r="H89">
        <v>1685</v>
      </c>
      <c r="I89">
        <v>386</v>
      </c>
      <c r="J89">
        <v>548</v>
      </c>
      <c r="K89">
        <v>292</v>
      </c>
      <c r="L89">
        <v>909</v>
      </c>
      <c r="M89">
        <v>407</v>
      </c>
      <c r="N89">
        <v>174</v>
      </c>
      <c r="O89">
        <v>68</v>
      </c>
      <c r="P89">
        <v>423</v>
      </c>
      <c r="Q89">
        <v>558</v>
      </c>
      <c r="R89">
        <v>88</v>
      </c>
    </row>
    <row r="90" spans="1:18">
      <c r="A90" s="1" t="s">
        <v>89</v>
      </c>
      <c r="B90">
        <v>29</v>
      </c>
      <c r="C90">
        <v>17</v>
      </c>
      <c r="D90">
        <v>12</v>
      </c>
      <c r="E90">
        <v>-10.3</v>
      </c>
      <c r="F90">
        <v>2073</v>
      </c>
      <c r="G90">
        <v>681</v>
      </c>
      <c r="H90">
        <v>1581</v>
      </c>
      <c r="I90">
        <v>471</v>
      </c>
      <c r="J90">
        <v>696</v>
      </c>
      <c r="L90">
        <v>1097</v>
      </c>
      <c r="M90">
        <v>324</v>
      </c>
      <c r="N90">
        <v>211</v>
      </c>
      <c r="O90">
        <v>58</v>
      </c>
      <c r="P90">
        <v>504</v>
      </c>
      <c r="Q90">
        <v>573</v>
      </c>
      <c r="R90">
        <v>89</v>
      </c>
    </row>
    <row r="91" spans="1:18">
      <c r="A91" s="1" t="s">
        <v>90</v>
      </c>
      <c r="B91">
        <v>28</v>
      </c>
      <c r="C91">
        <v>7</v>
      </c>
      <c r="D91">
        <v>21</v>
      </c>
      <c r="E91">
        <v>-4.18</v>
      </c>
      <c r="F91">
        <v>1951</v>
      </c>
      <c r="G91">
        <v>710</v>
      </c>
      <c r="H91">
        <v>1785</v>
      </c>
      <c r="I91">
        <v>344</v>
      </c>
      <c r="J91">
        <v>517</v>
      </c>
      <c r="K91">
        <v>398</v>
      </c>
      <c r="L91">
        <v>1007</v>
      </c>
      <c r="M91">
        <v>344</v>
      </c>
      <c r="N91">
        <v>263</v>
      </c>
      <c r="O91">
        <v>103</v>
      </c>
      <c r="P91">
        <v>471</v>
      </c>
      <c r="Q91">
        <v>649</v>
      </c>
      <c r="R91">
        <v>90</v>
      </c>
    </row>
    <row r="92" spans="1:18">
      <c r="A92" s="1" t="s">
        <v>91</v>
      </c>
      <c r="B92">
        <v>29</v>
      </c>
      <c r="C92">
        <v>8</v>
      </c>
      <c r="D92">
        <v>21</v>
      </c>
      <c r="E92">
        <v>-0.19</v>
      </c>
      <c r="F92">
        <v>1755</v>
      </c>
      <c r="G92">
        <v>626</v>
      </c>
      <c r="H92">
        <v>1520</v>
      </c>
      <c r="I92">
        <v>392</v>
      </c>
      <c r="J92">
        <v>642</v>
      </c>
      <c r="K92">
        <v>395</v>
      </c>
      <c r="L92">
        <v>1015</v>
      </c>
      <c r="M92">
        <v>286</v>
      </c>
      <c r="N92">
        <v>226</v>
      </c>
      <c r="O92">
        <v>63</v>
      </c>
      <c r="P92">
        <v>464</v>
      </c>
      <c r="Q92">
        <v>555</v>
      </c>
      <c r="R92">
        <v>91</v>
      </c>
    </row>
    <row r="93" spans="1:18">
      <c r="A93" s="1" t="s">
        <v>92</v>
      </c>
      <c r="B93">
        <v>29</v>
      </c>
      <c r="C93">
        <v>14</v>
      </c>
      <c r="D93">
        <v>15</v>
      </c>
      <c r="E93">
        <v>7.75</v>
      </c>
      <c r="F93">
        <v>1974</v>
      </c>
      <c r="G93">
        <v>718</v>
      </c>
      <c r="H93">
        <v>1662</v>
      </c>
      <c r="I93">
        <v>352</v>
      </c>
      <c r="J93">
        <v>524</v>
      </c>
      <c r="K93">
        <v>308</v>
      </c>
      <c r="L93">
        <v>1000</v>
      </c>
      <c r="M93">
        <v>404</v>
      </c>
      <c r="N93">
        <v>273</v>
      </c>
      <c r="O93">
        <v>130</v>
      </c>
      <c r="P93">
        <v>432</v>
      </c>
      <c r="Q93">
        <v>550</v>
      </c>
      <c r="R93">
        <v>92</v>
      </c>
    </row>
    <row r="94" spans="1:18">
      <c r="A94" s="1" t="s">
        <v>347</v>
      </c>
      <c r="B94">
        <v>33</v>
      </c>
      <c r="C94">
        <v>25</v>
      </c>
      <c r="D94">
        <v>8</v>
      </c>
      <c r="E94">
        <v>7.76</v>
      </c>
      <c r="F94">
        <v>2484</v>
      </c>
      <c r="G94">
        <v>883</v>
      </c>
      <c r="H94">
        <v>1856</v>
      </c>
      <c r="I94">
        <v>431</v>
      </c>
      <c r="J94">
        <v>613</v>
      </c>
      <c r="K94">
        <v>352</v>
      </c>
      <c r="L94">
        <v>1149</v>
      </c>
      <c r="M94">
        <v>542</v>
      </c>
      <c r="N94">
        <v>249</v>
      </c>
      <c r="O94">
        <v>131</v>
      </c>
      <c r="P94">
        <v>438</v>
      </c>
      <c r="Q94">
        <v>559</v>
      </c>
      <c r="R94">
        <v>93</v>
      </c>
    </row>
    <row r="95" spans="1:18">
      <c r="A95" s="1" t="s">
        <v>93</v>
      </c>
      <c r="B95">
        <v>28</v>
      </c>
      <c r="C95">
        <v>2</v>
      </c>
      <c r="D95">
        <v>26</v>
      </c>
      <c r="E95">
        <v>4.03</v>
      </c>
      <c r="F95">
        <v>1810</v>
      </c>
      <c r="G95">
        <v>648</v>
      </c>
      <c r="H95">
        <v>1572</v>
      </c>
      <c r="I95">
        <v>322</v>
      </c>
      <c r="J95">
        <v>521</v>
      </c>
      <c r="K95">
        <v>321</v>
      </c>
      <c r="L95">
        <v>947</v>
      </c>
      <c r="M95">
        <v>339</v>
      </c>
      <c r="N95">
        <v>208</v>
      </c>
      <c r="O95">
        <v>92</v>
      </c>
      <c r="P95">
        <v>489</v>
      </c>
      <c r="Q95">
        <v>591</v>
      </c>
      <c r="R95">
        <v>94</v>
      </c>
    </row>
    <row r="96" spans="1:18">
      <c r="A96" s="1" t="s">
        <v>306</v>
      </c>
      <c r="B96">
        <v>28</v>
      </c>
      <c r="C96">
        <v>20</v>
      </c>
      <c r="D96">
        <v>8</v>
      </c>
      <c r="E96">
        <v>0.44</v>
      </c>
      <c r="F96">
        <v>2006</v>
      </c>
      <c r="G96">
        <v>725</v>
      </c>
      <c r="H96">
        <v>1617</v>
      </c>
      <c r="I96">
        <v>373</v>
      </c>
      <c r="J96">
        <v>528</v>
      </c>
      <c r="K96">
        <v>376</v>
      </c>
      <c r="L96">
        <v>1057</v>
      </c>
      <c r="M96">
        <v>413</v>
      </c>
      <c r="N96">
        <v>184</v>
      </c>
      <c r="O96">
        <v>124</v>
      </c>
      <c r="P96">
        <v>442</v>
      </c>
      <c r="Q96">
        <v>558</v>
      </c>
      <c r="R96">
        <v>95</v>
      </c>
    </row>
    <row r="97" spans="1:18">
      <c r="A97" s="1" t="s">
        <v>94</v>
      </c>
      <c r="B97">
        <v>31</v>
      </c>
      <c r="C97">
        <v>14</v>
      </c>
      <c r="D97">
        <v>17</v>
      </c>
      <c r="E97">
        <v>-3.15</v>
      </c>
      <c r="F97">
        <v>2047</v>
      </c>
      <c r="G97">
        <v>748</v>
      </c>
      <c r="H97">
        <v>1747</v>
      </c>
      <c r="I97">
        <v>382</v>
      </c>
      <c r="J97">
        <v>554</v>
      </c>
      <c r="K97">
        <v>400</v>
      </c>
      <c r="L97">
        <v>1130</v>
      </c>
      <c r="M97">
        <v>409</v>
      </c>
      <c r="N97">
        <v>230</v>
      </c>
      <c r="O97">
        <v>95</v>
      </c>
      <c r="P97">
        <v>465</v>
      </c>
      <c r="Q97">
        <v>538</v>
      </c>
      <c r="R97">
        <v>96</v>
      </c>
    </row>
    <row r="98" spans="1:18">
      <c r="A98" s="1" t="s">
        <v>318</v>
      </c>
      <c r="B98">
        <v>29</v>
      </c>
      <c r="C98">
        <v>5</v>
      </c>
      <c r="D98">
        <v>24</v>
      </c>
      <c r="E98">
        <v>-3.36</v>
      </c>
      <c r="F98">
        <v>1964</v>
      </c>
      <c r="G98">
        <v>736</v>
      </c>
      <c r="H98">
        <v>1843</v>
      </c>
      <c r="I98">
        <v>261</v>
      </c>
      <c r="J98">
        <v>373</v>
      </c>
      <c r="K98">
        <v>364</v>
      </c>
      <c r="L98">
        <v>1116</v>
      </c>
      <c r="M98">
        <v>459</v>
      </c>
      <c r="N98">
        <v>196</v>
      </c>
      <c r="O98">
        <v>92</v>
      </c>
      <c r="P98">
        <v>485</v>
      </c>
      <c r="Q98">
        <v>534</v>
      </c>
      <c r="R98">
        <v>97</v>
      </c>
    </row>
    <row r="99" spans="1:18">
      <c r="A99" s="1" t="s">
        <v>95</v>
      </c>
      <c r="B99">
        <v>28</v>
      </c>
      <c r="C99">
        <v>16</v>
      </c>
      <c r="D99">
        <v>12</v>
      </c>
      <c r="E99">
        <v>-1.3</v>
      </c>
      <c r="F99">
        <v>1794</v>
      </c>
      <c r="G99">
        <v>638</v>
      </c>
      <c r="H99">
        <v>1508</v>
      </c>
      <c r="I99">
        <v>393</v>
      </c>
      <c r="J99">
        <v>579</v>
      </c>
      <c r="K99">
        <v>362</v>
      </c>
      <c r="L99">
        <v>1019</v>
      </c>
      <c r="M99">
        <v>328</v>
      </c>
      <c r="N99">
        <v>213</v>
      </c>
      <c r="O99">
        <v>62</v>
      </c>
      <c r="P99">
        <v>439</v>
      </c>
      <c r="Q99">
        <v>475</v>
      </c>
      <c r="R99">
        <v>98</v>
      </c>
    </row>
    <row r="100" spans="1:18">
      <c r="A100" s="1" t="s">
        <v>96</v>
      </c>
      <c r="B100">
        <v>29</v>
      </c>
      <c r="C100">
        <v>12</v>
      </c>
      <c r="D100">
        <v>17</v>
      </c>
      <c r="E100">
        <v>3.34</v>
      </c>
      <c r="F100">
        <v>2070</v>
      </c>
      <c r="G100">
        <v>691</v>
      </c>
      <c r="H100">
        <v>1576</v>
      </c>
      <c r="I100">
        <v>516</v>
      </c>
      <c r="J100">
        <v>764</v>
      </c>
      <c r="K100">
        <v>400</v>
      </c>
      <c r="L100">
        <v>1060</v>
      </c>
      <c r="M100">
        <v>385</v>
      </c>
      <c r="N100">
        <v>187</v>
      </c>
      <c r="O100">
        <v>92</v>
      </c>
      <c r="P100">
        <v>474</v>
      </c>
      <c r="Q100">
        <v>597</v>
      </c>
      <c r="R100">
        <v>99</v>
      </c>
    </row>
    <row r="101" spans="1:18">
      <c r="A101" s="1" t="s">
        <v>97</v>
      </c>
      <c r="B101">
        <v>34</v>
      </c>
      <c r="C101">
        <v>19</v>
      </c>
      <c r="D101">
        <v>15</v>
      </c>
      <c r="E101">
        <v>6.27</v>
      </c>
      <c r="F101">
        <v>2584</v>
      </c>
      <c r="G101">
        <v>889</v>
      </c>
      <c r="H101">
        <v>2062</v>
      </c>
      <c r="I101">
        <v>649</v>
      </c>
      <c r="J101">
        <v>874</v>
      </c>
      <c r="K101">
        <v>463</v>
      </c>
      <c r="L101">
        <v>1325</v>
      </c>
      <c r="M101">
        <v>526</v>
      </c>
      <c r="N101">
        <v>328</v>
      </c>
      <c r="O101">
        <v>209</v>
      </c>
      <c r="P101">
        <v>537</v>
      </c>
      <c r="Q101">
        <v>746</v>
      </c>
      <c r="R101">
        <v>100</v>
      </c>
    </row>
    <row r="102" spans="1:18">
      <c r="A102" s="1" t="s">
        <v>98</v>
      </c>
      <c r="B102">
        <v>29</v>
      </c>
      <c r="C102">
        <v>16</v>
      </c>
      <c r="D102">
        <v>13</v>
      </c>
      <c r="E102">
        <v>-5.61</v>
      </c>
      <c r="F102">
        <v>2226</v>
      </c>
      <c r="G102">
        <v>819</v>
      </c>
      <c r="H102">
        <v>1766</v>
      </c>
      <c r="I102">
        <v>414</v>
      </c>
      <c r="J102">
        <v>646</v>
      </c>
      <c r="K102">
        <v>413</v>
      </c>
      <c r="L102">
        <v>1081</v>
      </c>
      <c r="M102">
        <v>411</v>
      </c>
      <c r="N102">
        <v>218</v>
      </c>
      <c r="O102">
        <v>102</v>
      </c>
      <c r="P102">
        <v>464</v>
      </c>
      <c r="Q102">
        <v>557</v>
      </c>
      <c r="R102">
        <v>101</v>
      </c>
    </row>
    <row r="103" spans="1:18">
      <c r="A103" s="1" t="s">
        <v>99</v>
      </c>
      <c r="B103">
        <v>29</v>
      </c>
      <c r="C103">
        <v>14</v>
      </c>
      <c r="D103">
        <v>15</v>
      </c>
      <c r="E103">
        <v>-5.85</v>
      </c>
      <c r="F103">
        <v>2145</v>
      </c>
      <c r="G103">
        <v>783</v>
      </c>
      <c r="H103">
        <v>1714</v>
      </c>
      <c r="I103">
        <v>398</v>
      </c>
      <c r="J103">
        <v>566</v>
      </c>
      <c r="K103">
        <v>360</v>
      </c>
      <c r="L103">
        <v>987</v>
      </c>
      <c r="M103">
        <v>393</v>
      </c>
      <c r="N103">
        <v>217</v>
      </c>
      <c r="O103">
        <v>143</v>
      </c>
      <c r="P103">
        <v>424</v>
      </c>
      <c r="Q103">
        <v>495</v>
      </c>
      <c r="R103">
        <v>102</v>
      </c>
    </row>
    <row r="104" spans="1:18">
      <c r="A104" s="1" t="s">
        <v>100</v>
      </c>
      <c r="B104">
        <v>31</v>
      </c>
      <c r="C104">
        <v>16</v>
      </c>
      <c r="D104">
        <v>15</v>
      </c>
      <c r="E104">
        <v>7.94</v>
      </c>
      <c r="F104">
        <v>2297</v>
      </c>
      <c r="G104">
        <v>836</v>
      </c>
      <c r="H104">
        <v>1857</v>
      </c>
      <c r="I104">
        <v>447</v>
      </c>
      <c r="J104">
        <v>656</v>
      </c>
      <c r="K104">
        <v>429</v>
      </c>
      <c r="L104">
        <v>1188</v>
      </c>
      <c r="M104">
        <v>484</v>
      </c>
      <c r="N104">
        <v>243</v>
      </c>
      <c r="O104">
        <v>164</v>
      </c>
      <c r="P104">
        <v>469</v>
      </c>
      <c r="Q104">
        <v>582</v>
      </c>
      <c r="R104">
        <v>103</v>
      </c>
    </row>
    <row r="105" spans="1:18">
      <c r="A105" s="1" t="s">
        <v>101</v>
      </c>
      <c r="B105">
        <v>27</v>
      </c>
      <c r="C105">
        <v>19</v>
      </c>
      <c r="D105">
        <v>8</v>
      </c>
      <c r="E105">
        <v>11.3</v>
      </c>
      <c r="F105">
        <v>2138</v>
      </c>
      <c r="G105">
        <v>770</v>
      </c>
      <c r="H105">
        <v>1659</v>
      </c>
      <c r="I105">
        <v>417</v>
      </c>
      <c r="J105">
        <v>584</v>
      </c>
      <c r="K105">
        <v>346</v>
      </c>
      <c r="L105">
        <v>1010</v>
      </c>
      <c r="M105">
        <v>483</v>
      </c>
      <c r="N105">
        <v>206</v>
      </c>
      <c r="O105">
        <v>118</v>
      </c>
      <c r="P105">
        <v>312</v>
      </c>
      <c r="Q105">
        <v>465</v>
      </c>
      <c r="R105">
        <v>104</v>
      </c>
    </row>
    <row r="106" spans="1:18">
      <c r="A106" s="1" t="s">
        <v>374</v>
      </c>
      <c r="B106">
        <v>33</v>
      </c>
      <c r="C106">
        <v>24</v>
      </c>
      <c r="D106">
        <v>9</v>
      </c>
      <c r="E106">
        <v>3.8</v>
      </c>
      <c r="F106">
        <v>2558</v>
      </c>
      <c r="G106">
        <v>862</v>
      </c>
      <c r="H106">
        <v>1843</v>
      </c>
      <c r="I106">
        <v>595</v>
      </c>
      <c r="J106">
        <v>822</v>
      </c>
      <c r="K106">
        <v>394</v>
      </c>
      <c r="L106">
        <v>1234</v>
      </c>
      <c r="M106">
        <v>520</v>
      </c>
      <c r="N106">
        <v>218</v>
      </c>
      <c r="O106">
        <v>116</v>
      </c>
      <c r="P106">
        <v>474</v>
      </c>
      <c r="Q106">
        <v>619</v>
      </c>
      <c r="R106">
        <v>105</v>
      </c>
    </row>
    <row r="107" spans="1:18">
      <c r="A107" s="1" t="s">
        <v>102</v>
      </c>
      <c r="B107">
        <v>30</v>
      </c>
      <c r="C107">
        <v>12</v>
      </c>
      <c r="D107">
        <v>18</v>
      </c>
      <c r="E107">
        <v>-7.47</v>
      </c>
      <c r="F107">
        <v>2188</v>
      </c>
      <c r="G107">
        <v>813</v>
      </c>
      <c r="H107">
        <v>1883</v>
      </c>
      <c r="I107">
        <v>374</v>
      </c>
      <c r="J107">
        <v>532</v>
      </c>
      <c r="K107">
        <v>326</v>
      </c>
      <c r="L107">
        <v>1104</v>
      </c>
      <c r="M107">
        <v>410</v>
      </c>
      <c r="N107">
        <v>164</v>
      </c>
      <c r="O107">
        <v>124</v>
      </c>
      <c r="P107">
        <v>491</v>
      </c>
      <c r="Q107">
        <v>590</v>
      </c>
      <c r="R107">
        <v>106</v>
      </c>
    </row>
    <row r="108" spans="1:18">
      <c r="A108" s="1" t="s">
        <v>103</v>
      </c>
      <c r="B108">
        <v>30</v>
      </c>
      <c r="C108">
        <v>10</v>
      </c>
      <c r="D108">
        <v>20</v>
      </c>
      <c r="E108">
        <v>0.68</v>
      </c>
      <c r="F108">
        <v>2029</v>
      </c>
      <c r="G108">
        <v>689</v>
      </c>
      <c r="H108">
        <v>1616</v>
      </c>
      <c r="I108">
        <v>498</v>
      </c>
      <c r="J108">
        <v>677</v>
      </c>
      <c r="K108">
        <v>381</v>
      </c>
      <c r="L108">
        <v>1121</v>
      </c>
      <c r="M108">
        <v>343</v>
      </c>
      <c r="N108">
        <v>112</v>
      </c>
      <c r="O108">
        <v>77</v>
      </c>
      <c r="P108">
        <v>448</v>
      </c>
      <c r="Q108">
        <v>615</v>
      </c>
      <c r="R108">
        <v>107</v>
      </c>
    </row>
    <row r="109" spans="1:18">
      <c r="A109" s="1" t="s">
        <v>104</v>
      </c>
      <c r="B109">
        <v>30</v>
      </c>
      <c r="C109">
        <v>19</v>
      </c>
      <c r="D109">
        <v>11</v>
      </c>
      <c r="E109">
        <v>-10.51</v>
      </c>
      <c r="F109">
        <v>2144</v>
      </c>
      <c r="G109">
        <v>760</v>
      </c>
      <c r="H109">
        <v>1674</v>
      </c>
      <c r="I109">
        <v>446</v>
      </c>
      <c r="J109">
        <v>674</v>
      </c>
      <c r="K109">
        <v>380</v>
      </c>
      <c r="L109">
        <v>1084</v>
      </c>
      <c r="M109">
        <v>439</v>
      </c>
      <c r="N109">
        <v>253</v>
      </c>
      <c r="O109">
        <v>111</v>
      </c>
      <c r="P109">
        <v>531</v>
      </c>
      <c r="Q109">
        <v>679</v>
      </c>
      <c r="R109">
        <v>108</v>
      </c>
    </row>
    <row r="110" spans="1:18">
      <c r="A110" s="1" t="s">
        <v>105</v>
      </c>
      <c r="B110">
        <v>29</v>
      </c>
      <c r="C110">
        <v>16</v>
      </c>
      <c r="D110">
        <v>13</v>
      </c>
      <c r="E110">
        <v>-5.5</v>
      </c>
      <c r="F110">
        <v>1907</v>
      </c>
      <c r="G110">
        <v>693</v>
      </c>
      <c r="H110">
        <v>1634</v>
      </c>
      <c r="I110">
        <v>373</v>
      </c>
      <c r="J110">
        <v>583</v>
      </c>
      <c r="K110">
        <v>405</v>
      </c>
      <c r="L110">
        <v>1069</v>
      </c>
      <c r="M110">
        <v>358</v>
      </c>
      <c r="N110">
        <v>212</v>
      </c>
      <c r="O110">
        <v>70</v>
      </c>
      <c r="P110">
        <v>401</v>
      </c>
      <c r="Q110">
        <v>541</v>
      </c>
      <c r="R110">
        <v>109</v>
      </c>
    </row>
    <row r="111" spans="1:18">
      <c r="A111" s="1" t="s">
        <v>106</v>
      </c>
      <c r="B111">
        <v>27</v>
      </c>
      <c r="C111">
        <v>12</v>
      </c>
      <c r="D111">
        <v>15</v>
      </c>
      <c r="E111">
        <v>-3.65</v>
      </c>
      <c r="F111">
        <v>1929</v>
      </c>
      <c r="G111">
        <v>694</v>
      </c>
      <c r="H111">
        <v>1616</v>
      </c>
      <c r="I111">
        <v>329</v>
      </c>
      <c r="J111">
        <v>484</v>
      </c>
      <c r="K111">
        <v>352</v>
      </c>
      <c r="L111">
        <v>1027</v>
      </c>
      <c r="M111">
        <v>424</v>
      </c>
      <c r="N111">
        <v>204</v>
      </c>
      <c r="O111">
        <v>64</v>
      </c>
      <c r="P111">
        <v>456</v>
      </c>
      <c r="Q111">
        <v>552</v>
      </c>
      <c r="R111">
        <v>110</v>
      </c>
    </row>
    <row r="112" spans="1:18">
      <c r="A112" s="1" t="s">
        <v>107</v>
      </c>
      <c r="B112">
        <v>31</v>
      </c>
      <c r="C112">
        <v>19</v>
      </c>
      <c r="D112">
        <v>12</v>
      </c>
      <c r="E112">
        <v>1.56</v>
      </c>
      <c r="F112">
        <v>2180</v>
      </c>
      <c r="G112">
        <v>778</v>
      </c>
      <c r="H112">
        <v>1699</v>
      </c>
      <c r="I112">
        <v>452</v>
      </c>
      <c r="J112">
        <v>655</v>
      </c>
      <c r="K112">
        <v>358</v>
      </c>
      <c r="L112">
        <v>1036</v>
      </c>
      <c r="M112">
        <v>507</v>
      </c>
      <c r="N112">
        <v>211</v>
      </c>
      <c r="O112">
        <v>97</v>
      </c>
      <c r="P112">
        <v>454</v>
      </c>
      <c r="Q112">
        <v>561</v>
      </c>
      <c r="R112">
        <v>111</v>
      </c>
    </row>
    <row r="113" spans="1:18">
      <c r="A113" s="1" t="s">
        <v>108</v>
      </c>
      <c r="B113">
        <v>27</v>
      </c>
      <c r="C113">
        <v>7</v>
      </c>
      <c r="D113">
        <v>20</v>
      </c>
      <c r="E113">
        <v>-9.08</v>
      </c>
      <c r="F113">
        <v>1850</v>
      </c>
      <c r="G113">
        <v>674</v>
      </c>
      <c r="H113">
        <v>1519</v>
      </c>
      <c r="I113">
        <v>356</v>
      </c>
      <c r="J113">
        <v>549</v>
      </c>
      <c r="K113">
        <v>323</v>
      </c>
      <c r="L113">
        <v>903</v>
      </c>
      <c r="M113">
        <v>321</v>
      </c>
      <c r="N113">
        <v>200</v>
      </c>
      <c r="O113">
        <v>54</v>
      </c>
      <c r="P113">
        <v>437</v>
      </c>
      <c r="Q113">
        <v>494</v>
      </c>
      <c r="R113">
        <v>112</v>
      </c>
    </row>
    <row r="114" spans="1:18">
      <c r="A114" s="1" t="s">
        <v>307</v>
      </c>
      <c r="B114">
        <v>29</v>
      </c>
      <c r="C114">
        <v>8</v>
      </c>
      <c r="D114">
        <v>21</v>
      </c>
      <c r="E114">
        <v>-2.06</v>
      </c>
      <c r="F114">
        <v>1859</v>
      </c>
      <c r="G114">
        <v>679</v>
      </c>
      <c r="H114">
        <v>1669</v>
      </c>
      <c r="I114">
        <v>303</v>
      </c>
      <c r="J114">
        <v>515</v>
      </c>
      <c r="K114">
        <v>435</v>
      </c>
      <c r="L114">
        <v>1178</v>
      </c>
      <c r="M114">
        <v>379</v>
      </c>
      <c r="N114">
        <v>152</v>
      </c>
      <c r="O114">
        <v>85</v>
      </c>
      <c r="P114">
        <v>536</v>
      </c>
      <c r="Q114">
        <v>586</v>
      </c>
      <c r="R114">
        <v>113</v>
      </c>
    </row>
    <row r="115" spans="1:18">
      <c r="A115" s="1" t="s">
        <v>109</v>
      </c>
      <c r="B115">
        <v>31</v>
      </c>
      <c r="C115">
        <v>26</v>
      </c>
      <c r="D115">
        <v>5</v>
      </c>
      <c r="E115">
        <v>-5.38</v>
      </c>
      <c r="F115">
        <v>2180</v>
      </c>
      <c r="G115">
        <v>759</v>
      </c>
      <c r="H115">
        <v>1643</v>
      </c>
      <c r="I115">
        <v>492</v>
      </c>
      <c r="J115">
        <v>695</v>
      </c>
      <c r="K115">
        <v>377</v>
      </c>
      <c r="L115">
        <v>1131</v>
      </c>
      <c r="M115">
        <v>489</v>
      </c>
      <c r="N115">
        <v>246</v>
      </c>
      <c r="O115">
        <v>138</v>
      </c>
      <c r="P115">
        <v>426</v>
      </c>
      <c r="Q115">
        <v>577</v>
      </c>
      <c r="R115">
        <v>114</v>
      </c>
    </row>
    <row r="116" spans="1:18">
      <c r="A116" s="1" t="s">
        <v>110</v>
      </c>
      <c r="B116">
        <v>28</v>
      </c>
      <c r="C116">
        <v>8</v>
      </c>
      <c r="D116">
        <v>20</v>
      </c>
      <c r="E116">
        <v>4.9400000000000004</v>
      </c>
      <c r="F116">
        <v>1631</v>
      </c>
      <c r="G116">
        <v>596</v>
      </c>
      <c r="H116">
        <v>1478</v>
      </c>
      <c r="I116">
        <v>283</v>
      </c>
      <c r="J116">
        <v>429</v>
      </c>
      <c r="K116">
        <v>327</v>
      </c>
      <c r="L116">
        <v>1054</v>
      </c>
      <c r="M116">
        <v>302</v>
      </c>
      <c r="N116">
        <v>146</v>
      </c>
      <c r="O116">
        <v>124</v>
      </c>
      <c r="P116">
        <v>488</v>
      </c>
      <c r="Q116">
        <v>465</v>
      </c>
      <c r="R116">
        <v>115</v>
      </c>
    </row>
    <row r="117" spans="1:18">
      <c r="A117" s="1" t="s">
        <v>111</v>
      </c>
      <c r="B117">
        <v>30</v>
      </c>
      <c r="C117">
        <v>13</v>
      </c>
      <c r="D117">
        <v>17</v>
      </c>
      <c r="E117">
        <v>-10.72</v>
      </c>
      <c r="F117">
        <v>2196</v>
      </c>
      <c r="G117">
        <v>780</v>
      </c>
      <c r="H117">
        <v>1796</v>
      </c>
      <c r="I117">
        <v>456</v>
      </c>
      <c r="J117">
        <v>663</v>
      </c>
      <c r="K117">
        <v>425</v>
      </c>
      <c r="L117">
        <v>1038</v>
      </c>
      <c r="M117">
        <v>335</v>
      </c>
      <c r="N117">
        <v>240</v>
      </c>
      <c r="O117">
        <v>83</v>
      </c>
      <c r="P117">
        <v>456</v>
      </c>
      <c r="Q117">
        <v>576</v>
      </c>
      <c r="R117">
        <v>116</v>
      </c>
    </row>
    <row r="118" spans="1:18">
      <c r="A118" s="1" t="s">
        <v>112</v>
      </c>
      <c r="B118">
        <v>29</v>
      </c>
      <c r="C118">
        <v>15</v>
      </c>
      <c r="D118">
        <v>14</v>
      </c>
      <c r="E118">
        <v>-2.66</v>
      </c>
      <c r="F118">
        <v>2064</v>
      </c>
      <c r="G118">
        <v>761</v>
      </c>
      <c r="H118">
        <v>1698</v>
      </c>
      <c r="I118">
        <v>385</v>
      </c>
      <c r="J118">
        <v>600</v>
      </c>
      <c r="K118">
        <v>326</v>
      </c>
      <c r="L118">
        <v>987</v>
      </c>
      <c r="M118">
        <v>427</v>
      </c>
      <c r="N118">
        <v>241</v>
      </c>
      <c r="O118">
        <v>99</v>
      </c>
      <c r="P118">
        <v>434</v>
      </c>
      <c r="Q118">
        <v>569</v>
      </c>
      <c r="R118">
        <v>117</v>
      </c>
    </row>
    <row r="119" spans="1:18">
      <c r="A119" s="1" t="s">
        <v>113</v>
      </c>
      <c r="B119">
        <v>28</v>
      </c>
      <c r="C119">
        <v>13</v>
      </c>
      <c r="D119">
        <v>15</v>
      </c>
      <c r="E119">
        <v>-2.4900000000000002</v>
      </c>
      <c r="F119">
        <v>1759</v>
      </c>
      <c r="G119">
        <v>630</v>
      </c>
      <c r="H119">
        <v>1510</v>
      </c>
      <c r="I119">
        <v>344</v>
      </c>
      <c r="J119">
        <v>489</v>
      </c>
      <c r="K119">
        <v>329</v>
      </c>
      <c r="L119">
        <v>970</v>
      </c>
      <c r="M119">
        <v>344</v>
      </c>
      <c r="N119">
        <v>176</v>
      </c>
      <c r="O119">
        <v>84</v>
      </c>
      <c r="P119">
        <v>383</v>
      </c>
      <c r="Q119">
        <v>464</v>
      </c>
      <c r="R119">
        <v>118</v>
      </c>
    </row>
    <row r="120" spans="1:18">
      <c r="A120" s="1" t="s">
        <v>114</v>
      </c>
      <c r="B120">
        <v>30</v>
      </c>
      <c r="C120">
        <v>21</v>
      </c>
      <c r="D120">
        <v>9</v>
      </c>
      <c r="E120">
        <v>-0.12</v>
      </c>
      <c r="F120">
        <v>2249</v>
      </c>
      <c r="G120">
        <v>834</v>
      </c>
      <c r="H120">
        <v>1763</v>
      </c>
      <c r="I120">
        <v>394</v>
      </c>
      <c r="J120">
        <v>666</v>
      </c>
      <c r="K120">
        <v>408</v>
      </c>
      <c r="L120">
        <v>1135</v>
      </c>
      <c r="M120">
        <v>488</v>
      </c>
      <c r="N120">
        <v>188</v>
      </c>
      <c r="O120">
        <v>102</v>
      </c>
      <c r="P120">
        <v>374</v>
      </c>
      <c r="Q120">
        <v>581</v>
      </c>
      <c r="R120">
        <v>119</v>
      </c>
    </row>
    <row r="121" spans="1:18">
      <c r="A121" s="1" t="s">
        <v>115</v>
      </c>
      <c r="B121">
        <v>29</v>
      </c>
      <c r="C121">
        <v>8</v>
      </c>
      <c r="D121">
        <v>21</v>
      </c>
      <c r="E121">
        <v>2.1800000000000002</v>
      </c>
      <c r="F121">
        <v>1873</v>
      </c>
      <c r="G121">
        <v>687</v>
      </c>
      <c r="H121">
        <v>1554</v>
      </c>
      <c r="I121">
        <v>311</v>
      </c>
      <c r="J121">
        <v>442</v>
      </c>
      <c r="K121">
        <v>283</v>
      </c>
      <c r="L121">
        <v>896</v>
      </c>
      <c r="M121">
        <v>334</v>
      </c>
      <c r="N121">
        <v>179</v>
      </c>
      <c r="O121">
        <v>70</v>
      </c>
      <c r="P121">
        <v>431</v>
      </c>
      <c r="Q121">
        <v>549</v>
      </c>
      <c r="R121">
        <v>120</v>
      </c>
    </row>
    <row r="122" spans="1:18">
      <c r="A122" s="1" t="s">
        <v>348</v>
      </c>
      <c r="B122">
        <v>32</v>
      </c>
      <c r="C122">
        <v>25</v>
      </c>
      <c r="D122">
        <v>7</v>
      </c>
      <c r="E122">
        <v>6.76</v>
      </c>
      <c r="F122">
        <v>2388</v>
      </c>
      <c r="G122">
        <v>859</v>
      </c>
      <c r="H122">
        <v>1793</v>
      </c>
      <c r="I122">
        <v>437</v>
      </c>
      <c r="J122">
        <v>603</v>
      </c>
      <c r="K122">
        <v>305</v>
      </c>
      <c r="L122">
        <v>1133</v>
      </c>
      <c r="M122">
        <v>575</v>
      </c>
      <c r="N122">
        <v>227</v>
      </c>
      <c r="O122">
        <v>100</v>
      </c>
      <c r="P122">
        <v>418</v>
      </c>
      <c r="Q122">
        <v>598</v>
      </c>
      <c r="R122">
        <v>121</v>
      </c>
    </row>
    <row r="123" spans="1:18">
      <c r="A123" s="1" t="s">
        <v>308</v>
      </c>
      <c r="B123">
        <v>31</v>
      </c>
      <c r="C123">
        <v>7</v>
      </c>
      <c r="D123">
        <v>24</v>
      </c>
      <c r="E123">
        <v>2.37</v>
      </c>
      <c r="F123">
        <v>1749</v>
      </c>
      <c r="G123">
        <v>644</v>
      </c>
      <c r="H123">
        <v>1636</v>
      </c>
      <c r="I123">
        <v>311</v>
      </c>
      <c r="J123">
        <v>454</v>
      </c>
      <c r="K123">
        <v>320</v>
      </c>
      <c r="L123">
        <v>954</v>
      </c>
      <c r="M123">
        <v>380</v>
      </c>
      <c r="N123">
        <v>202</v>
      </c>
      <c r="O123">
        <v>86</v>
      </c>
      <c r="P123">
        <v>414</v>
      </c>
      <c r="Q123">
        <v>569</v>
      </c>
      <c r="R123">
        <v>122</v>
      </c>
    </row>
    <row r="124" spans="1:18">
      <c r="A124" s="1" t="s">
        <v>327</v>
      </c>
      <c r="B124">
        <v>34</v>
      </c>
      <c r="C124">
        <v>21</v>
      </c>
      <c r="D124">
        <v>13</v>
      </c>
      <c r="E124">
        <v>9.81</v>
      </c>
      <c r="F124">
        <v>2376</v>
      </c>
      <c r="G124">
        <v>788</v>
      </c>
      <c r="H124">
        <v>1851</v>
      </c>
      <c r="I124">
        <v>546</v>
      </c>
      <c r="J124">
        <v>760</v>
      </c>
      <c r="K124">
        <v>387</v>
      </c>
      <c r="L124">
        <v>1234</v>
      </c>
      <c r="M124">
        <v>470</v>
      </c>
      <c r="N124">
        <v>146</v>
      </c>
      <c r="O124">
        <v>175</v>
      </c>
      <c r="P124">
        <v>392</v>
      </c>
      <c r="Q124">
        <v>613</v>
      </c>
      <c r="R124">
        <v>123</v>
      </c>
    </row>
    <row r="125" spans="1:18">
      <c r="A125" s="1" t="s">
        <v>309</v>
      </c>
      <c r="B125">
        <v>29</v>
      </c>
      <c r="C125">
        <v>17</v>
      </c>
      <c r="D125">
        <v>12</v>
      </c>
      <c r="E125">
        <v>-3.59</v>
      </c>
      <c r="F125">
        <v>2174</v>
      </c>
      <c r="G125">
        <v>758</v>
      </c>
      <c r="H125">
        <v>1645</v>
      </c>
      <c r="I125">
        <v>492</v>
      </c>
      <c r="J125">
        <v>687</v>
      </c>
      <c r="K125">
        <v>323</v>
      </c>
      <c r="L125">
        <v>1027</v>
      </c>
      <c r="M125">
        <v>477</v>
      </c>
      <c r="N125">
        <v>238</v>
      </c>
      <c r="O125">
        <v>126</v>
      </c>
      <c r="P125">
        <v>445</v>
      </c>
      <c r="Q125">
        <v>590</v>
      </c>
      <c r="R125">
        <v>124</v>
      </c>
    </row>
    <row r="126" spans="1:18">
      <c r="A126" s="1" t="s">
        <v>310</v>
      </c>
      <c r="B126">
        <v>31</v>
      </c>
      <c r="C126">
        <v>17</v>
      </c>
      <c r="D126">
        <v>14</v>
      </c>
      <c r="E126">
        <v>6.05</v>
      </c>
      <c r="F126">
        <v>2187</v>
      </c>
      <c r="G126">
        <v>814</v>
      </c>
      <c r="H126">
        <v>1789</v>
      </c>
      <c r="I126">
        <v>382</v>
      </c>
      <c r="J126">
        <v>564</v>
      </c>
      <c r="K126">
        <v>347</v>
      </c>
      <c r="L126">
        <v>1129</v>
      </c>
      <c r="M126">
        <v>371</v>
      </c>
      <c r="N126">
        <v>173</v>
      </c>
      <c r="O126">
        <v>170</v>
      </c>
      <c r="P126">
        <v>409</v>
      </c>
      <c r="Q126">
        <v>584</v>
      </c>
      <c r="R126">
        <v>125</v>
      </c>
    </row>
    <row r="127" spans="1:18">
      <c r="A127" s="1" t="s">
        <v>116</v>
      </c>
      <c r="B127">
        <v>31</v>
      </c>
      <c r="C127">
        <v>17</v>
      </c>
      <c r="D127">
        <v>14</v>
      </c>
      <c r="E127">
        <v>5.83</v>
      </c>
      <c r="F127">
        <v>2141</v>
      </c>
      <c r="G127">
        <v>746</v>
      </c>
      <c r="H127">
        <v>1656</v>
      </c>
      <c r="I127">
        <v>503</v>
      </c>
      <c r="J127">
        <v>703</v>
      </c>
      <c r="K127">
        <v>343</v>
      </c>
      <c r="L127">
        <v>1115</v>
      </c>
      <c r="M127">
        <v>447</v>
      </c>
      <c r="N127">
        <v>207</v>
      </c>
      <c r="O127">
        <v>127</v>
      </c>
      <c r="P127">
        <v>471</v>
      </c>
      <c r="Q127">
        <v>553</v>
      </c>
      <c r="R127">
        <v>126</v>
      </c>
    </row>
    <row r="128" spans="1:18">
      <c r="A128" s="1" t="s">
        <v>319</v>
      </c>
      <c r="B128">
        <v>30</v>
      </c>
      <c r="C128">
        <v>9</v>
      </c>
      <c r="D128">
        <v>21</v>
      </c>
      <c r="E128">
        <v>-2.2599999999999998</v>
      </c>
      <c r="F128">
        <v>2055</v>
      </c>
      <c r="G128">
        <v>703</v>
      </c>
      <c r="H128">
        <v>1651</v>
      </c>
      <c r="I128">
        <v>447</v>
      </c>
      <c r="J128">
        <v>633</v>
      </c>
      <c r="K128">
        <v>282</v>
      </c>
      <c r="L128">
        <v>969</v>
      </c>
      <c r="M128">
        <v>406</v>
      </c>
      <c r="N128">
        <v>249</v>
      </c>
      <c r="O128">
        <v>88</v>
      </c>
      <c r="P128">
        <v>479</v>
      </c>
      <c r="Q128">
        <v>586</v>
      </c>
      <c r="R128">
        <v>127</v>
      </c>
    </row>
    <row r="129" spans="1:18">
      <c r="A129" s="1" t="s">
        <v>117</v>
      </c>
      <c r="B129">
        <v>34</v>
      </c>
      <c r="C129">
        <v>20</v>
      </c>
      <c r="D129">
        <v>14</v>
      </c>
      <c r="E129">
        <v>-1.8</v>
      </c>
      <c r="F129">
        <v>2423</v>
      </c>
      <c r="G129">
        <v>833</v>
      </c>
      <c r="H129">
        <v>1855</v>
      </c>
      <c r="I129">
        <v>542</v>
      </c>
      <c r="J129">
        <v>774</v>
      </c>
      <c r="K129">
        <v>404</v>
      </c>
      <c r="L129">
        <v>1118</v>
      </c>
      <c r="M129">
        <v>457</v>
      </c>
      <c r="N129">
        <v>289</v>
      </c>
      <c r="O129">
        <v>61</v>
      </c>
      <c r="P129">
        <v>547</v>
      </c>
      <c r="Q129">
        <v>654</v>
      </c>
      <c r="R129">
        <v>128</v>
      </c>
    </row>
    <row r="130" spans="1:18">
      <c r="A130" s="1" t="s">
        <v>278</v>
      </c>
      <c r="B130">
        <v>28</v>
      </c>
      <c r="C130">
        <v>10</v>
      </c>
      <c r="D130">
        <v>18</v>
      </c>
      <c r="E130">
        <v>-7.93</v>
      </c>
      <c r="F130">
        <v>1972</v>
      </c>
      <c r="G130">
        <v>671</v>
      </c>
      <c r="H130">
        <v>1624</v>
      </c>
      <c r="I130">
        <v>447</v>
      </c>
      <c r="J130">
        <v>657</v>
      </c>
      <c r="K130">
        <v>285</v>
      </c>
      <c r="L130">
        <v>940</v>
      </c>
      <c r="M130">
        <v>367</v>
      </c>
      <c r="N130">
        <v>277</v>
      </c>
      <c r="O130">
        <v>71</v>
      </c>
      <c r="P130">
        <v>451</v>
      </c>
      <c r="Q130">
        <v>619</v>
      </c>
      <c r="R130">
        <v>129</v>
      </c>
    </row>
    <row r="131" spans="1:18">
      <c r="A131" s="1" t="s">
        <v>118</v>
      </c>
      <c r="B131">
        <v>30</v>
      </c>
      <c r="C131">
        <v>20</v>
      </c>
      <c r="D131">
        <v>10</v>
      </c>
      <c r="E131">
        <v>-7.23</v>
      </c>
      <c r="F131">
        <v>2269</v>
      </c>
      <c r="G131">
        <v>807</v>
      </c>
      <c r="H131">
        <v>1766</v>
      </c>
      <c r="I131">
        <v>426</v>
      </c>
      <c r="J131">
        <v>630</v>
      </c>
      <c r="K131">
        <v>388</v>
      </c>
      <c r="L131">
        <v>1029</v>
      </c>
      <c r="M131">
        <v>484</v>
      </c>
      <c r="N131">
        <v>314</v>
      </c>
      <c r="O131">
        <v>87</v>
      </c>
      <c r="P131">
        <v>453</v>
      </c>
      <c r="Q131">
        <v>631</v>
      </c>
      <c r="R131">
        <v>130</v>
      </c>
    </row>
    <row r="132" spans="1:18">
      <c r="A132" s="1" t="s">
        <v>119</v>
      </c>
      <c r="B132">
        <v>29</v>
      </c>
      <c r="C132">
        <v>13</v>
      </c>
      <c r="D132">
        <v>16</v>
      </c>
      <c r="E132">
        <v>-6.12</v>
      </c>
      <c r="F132">
        <v>1921</v>
      </c>
      <c r="G132">
        <v>701</v>
      </c>
      <c r="H132">
        <v>1603</v>
      </c>
      <c r="I132">
        <v>372</v>
      </c>
      <c r="J132">
        <v>565</v>
      </c>
      <c r="K132">
        <v>354</v>
      </c>
      <c r="L132">
        <v>1034</v>
      </c>
      <c r="M132">
        <v>353</v>
      </c>
      <c r="N132">
        <v>204</v>
      </c>
      <c r="O132">
        <v>159</v>
      </c>
      <c r="P132">
        <v>497</v>
      </c>
      <c r="Q132">
        <v>480</v>
      </c>
      <c r="R132">
        <v>131</v>
      </c>
    </row>
    <row r="133" spans="1:18">
      <c r="A133" s="1" t="s">
        <v>120</v>
      </c>
      <c r="B133">
        <v>30</v>
      </c>
      <c r="C133">
        <v>13</v>
      </c>
      <c r="D133">
        <v>17</v>
      </c>
      <c r="E133">
        <v>-2.4500000000000002</v>
      </c>
      <c r="F133">
        <v>2017</v>
      </c>
      <c r="G133">
        <v>725</v>
      </c>
      <c r="H133">
        <v>1684</v>
      </c>
      <c r="I133">
        <v>374</v>
      </c>
      <c r="J133">
        <v>555</v>
      </c>
      <c r="K133">
        <v>347</v>
      </c>
      <c r="L133">
        <v>1051</v>
      </c>
      <c r="M133">
        <v>389</v>
      </c>
      <c r="N133">
        <v>176</v>
      </c>
      <c r="O133">
        <v>150</v>
      </c>
      <c r="P133">
        <v>452</v>
      </c>
      <c r="Q133">
        <v>596</v>
      </c>
      <c r="R133">
        <v>132</v>
      </c>
    </row>
    <row r="134" spans="1:18">
      <c r="A134" s="1" t="s">
        <v>121</v>
      </c>
      <c r="B134">
        <v>30</v>
      </c>
      <c r="C134">
        <v>13</v>
      </c>
      <c r="D134">
        <v>17</v>
      </c>
      <c r="E134">
        <v>7.37</v>
      </c>
      <c r="F134">
        <v>2089</v>
      </c>
      <c r="G134">
        <v>766</v>
      </c>
      <c r="H134">
        <v>1674</v>
      </c>
      <c r="I134">
        <v>388</v>
      </c>
      <c r="J134">
        <v>617</v>
      </c>
      <c r="K134">
        <v>341</v>
      </c>
      <c r="L134">
        <v>1112</v>
      </c>
      <c r="M134">
        <v>462</v>
      </c>
      <c r="N134">
        <v>148</v>
      </c>
      <c r="O134">
        <v>109</v>
      </c>
      <c r="P134">
        <v>397</v>
      </c>
      <c r="Q134">
        <v>539</v>
      </c>
      <c r="R134">
        <v>133</v>
      </c>
    </row>
    <row r="135" spans="1:18">
      <c r="A135" s="1" t="s">
        <v>375</v>
      </c>
      <c r="B135">
        <v>38</v>
      </c>
      <c r="C135">
        <v>30</v>
      </c>
      <c r="D135">
        <v>8</v>
      </c>
      <c r="E135">
        <v>10.53</v>
      </c>
      <c r="F135">
        <v>3141</v>
      </c>
      <c r="G135">
        <v>1182</v>
      </c>
      <c r="H135">
        <v>2393</v>
      </c>
      <c r="I135">
        <v>594</v>
      </c>
      <c r="J135">
        <v>906</v>
      </c>
      <c r="K135">
        <v>550</v>
      </c>
      <c r="L135">
        <v>1589</v>
      </c>
      <c r="M135">
        <v>653</v>
      </c>
      <c r="N135">
        <v>373</v>
      </c>
      <c r="O135">
        <v>192</v>
      </c>
      <c r="P135">
        <v>562</v>
      </c>
      <c r="Q135">
        <v>633</v>
      </c>
      <c r="R135">
        <v>134</v>
      </c>
    </row>
    <row r="136" spans="1:18">
      <c r="A136" s="1" t="s">
        <v>122</v>
      </c>
      <c r="B136">
        <v>31</v>
      </c>
      <c r="C136">
        <v>21</v>
      </c>
      <c r="D136">
        <v>10</v>
      </c>
      <c r="E136">
        <v>0.56000000000000005</v>
      </c>
      <c r="F136">
        <v>2381</v>
      </c>
      <c r="G136">
        <v>848</v>
      </c>
      <c r="H136">
        <v>1741</v>
      </c>
      <c r="I136">
        <v>456</v>
      </c>
      <c r="J136">
        <v>650</v>
      </c>
      <c r="K136">
        <v>336</v>
      </c>
      <c r="L136">
        <v>1077</v>
      </c>
      <c r="M136">
        <v>451</v>
      </c>
      <c r="N136">
        <v>216</v>
      </c>
      <c r="O136">
        <v>63</v>
      </c>
      <c r="P136">
        <v>402</v>
      </c>
      <c r="Q136">
        <v>627</v>
      </c>
      <c r="R136">
        <v>135</v>
      </c>
    </row>
    <row r="137" spans="1:18">
      <c r="A137" s="1" t="s">
        <v>354</v>
      </c>
      <c r="B137">
        <v>36</v>
      </c>
      <c r="C137">
        <v>32</v>
      </c>
      <c r="D137">
        <v>4</v>
      </c>
      <c r="E137">
        <v>9.33</v>
      </c>
      <c r="F137">
        <v>2782</v>
      </c>
      <c r="G137">
        <v>1026</v>
      </c>
      <c r="H137">
        <v>2102</v>
      </c>
      <c r="I137">
        <v>522</v>
      </c>
      <c r="J137">
        <v>742</v>
      </c>
      <c r="K137">
        <v>460</v>
      </c>
      <c r="L137">
        <v>1324</v>
      </c>
      <c r="M137">
        <v>574</v>
      </c>
      <c r="N137">
        <v>281</v>
      </c>
      <c r="O137">
        <v>176</v>
      </c>
      <c r="P137">
        <v>501</v>
      </c>
      <c r="Q137">
        <v>625</v>
      </c>
      <c r="R137">
        <v>136</v>
      </c>
    </row>
    <row r="138" spans="1:18">
      <c r="A138" s="1" t="s">
        <v>123</v>
      </c>
      <c r="B138">
        <v>29</v>
      </c>
      <c r="C138">
        <v>12</v>
      </c>
      <c r="D138">
        <v>17</v>
      </c>
      <c r="E138">
        <v>3.16</v>
      </c>
      <c r="F138">
        <v>1981</v>
      </c>
      <c r="G138">
        <v>655</v>
      </c>
      <c r="H138">
        <v>1650</v>
      </c>
      <c r="I138">
        <v>488</v>
      </c>
      <c r="J138">
        <v>668</v>
      </c>
      <c r="K138">
        <v>378</v>
      </c>
      <c r="L138">
        <v>1034</v>
      </c>
      <c r="M138">
        <v>331</v>
      </c>
      <c r="N138">
        <v>184</v>
      </c>
      <c r="O138">
        <v>60</v>
      </c>
      <c r="P138">
        <v>416</v>
      </c>
      <c r="Q138">
        <v>612</v>
      </c>
      <c r="R138">
        <v>137</v>
      </c>
    </row>
    <row r="139" spans="1:18">
      <c r="A139" s="1" t="s">
        <v>279</v>
      </c>
      <c r="B139">
        <v>29</v>
      </c>
      <c r="C139">
        <v>13</v>
      </c>
      <c r="D139">
        <v>16</v>
      </c>
      <c r="E139">
        <v>-5.22</v>
      </c>
      <c r="F139">
        <v>1969</v>
      </c>
      <c r="G139">
        <v>697</v>
      </c>
      <c r="H139">
        <v>1549</v>
      </c>
      <c r="I139">
        <v>366</v>
      </c>
      <c r="J139">
        <v>514</v>
      </c>
      <c r="K139">
        <v>284</v>
      </c>
      <c r="L139">
        <v>975</v>
      </c>
      <c r="M139">
        <v>403</v>
      </c>
      <c r="N139">
        <v>163</v>
      </c>
      <c r="O139">
        <v>113</v>
      </c>
      <c r="P139">
        <v>416</v>
      </c>
      <c r="Q139">
        <v>470</v>
      </c>
      <c r="R139">
        <v>138</v>
      </c>
    </row>
    <row r="140" spans="1:18">
      <c r="A140" s="1" t="s">
        <v>280</v>
      </c>
      <c r="B140">
        <v>27</v>
      </c>
      <c r="C140">
        <v>13</v>
      </c>
      <c r="D140">
        <v>14</v>
      </c>
      <c r="E140">
        <v>-8.11</v>
      </c>
      <c r="F140">
        <v>1771</v>
      </c>
      <c r="G140">
        <v>605</v>
      </c>
      <c r="H140">
        <v>1410</v>
      </c>
      <c r="I140">
        <v>409</v>
      </c>
      <c r="J140">
        <v>600</v>
      </c>
      <c r="K140">
        <v>301</v>
      </c>
      <c r="L140">
        <v>1008</v>
      </c>
      <c r="M140">
        <v>291</v>
      </c>
      <c r="N140">
        <v>167</v>
      </c>
      <c r="O140">
        <v>127</v>
      </c>
      <c r="P140">
        <v>479</v>
      </c>
      <c r="Q140">
        <v>497</v>
      </c>
      <c r="R140">
        <v>139</v>
      </c>
    </row>
    <row r="141" spans="1:18">
      <c r="A141" s="1" t="s">
        <v>124</v>
      </c>
      <c r="B141">
        <v>28</v>
      </c>
      <c r="C141">
        <v>16</v>
      </c>
      <c r="D141">
        <v>12</v>
      </c>
      <c r="E141">
        <v>-6.62</v>
      </c>
      <c r="F141">
        <v>1829</v>
      </c>
      <c r="G141">
        <v>645</v>
      </c>
      <c r="H141">
        <v>1477</v>
      </c>
      <c r="I141">
        <v>394</v>
      </c>
      <c r="J141">
        <v>538</v>
      </c>
      <c r="K141">
        <v>292</v>
      </c>
      <c r="L141">
        <v>977</v>
      </c>
      <c r="M141">
        <v>356</v>
      </c>
      <c r="N141">
        <v>211</v>
      </c>
      <c r="O141">
        <v>87</v>
      </c>
      <c r="P141">
        <v>398</v>
      </c>
      <c r="Q141">
        <v>529</v>
      </c>
      <c r="R141">
        <v>140</v>
      </c>
    </row>
    <row r="142" spans="1:18">
      <c r="A142" s="1" t="s">
        <v>125</v>
      </c>
      <c r="B142">
        <v>29</v>
      </c>
      <c r="C142">
        <v>14</v>
      </c>
      <c r="D142">
        <v>15</v>
      </c>
      <c r="E142">
        <v>-10.35</v>
      </c>
      <c r="F142">
        <v>1900</v>
      </c>
      <c r="G142">
        <v>609</v>
      </c>
      <c r="H142">
        <v>1513</v>
      </c>
      <c r="I142">
        <v>522</v>
      </c>
      <c r="J142">
        <v>706</v>
      </c>
      <c r="K142">
        <v>335</v>
      </c>
      <c r="L142">
        <v>1037</v>
      </c>
      <c r="M142">
        <v>328</v>
      </c>
      <c r="N142">
        <v>250</v>
      </c>
      <c r="O142">
        <v>88</v>
      </c>
      <c r="P142">
        <v>527</v>
      </c>
      <c r="Q142">
        <v>584</v>
      </c>
      <c r="R142">
        <v>141</v>
      </c>
    </row>
    <row r="143" spans="1:18">
      <c r="A143" s="1" t="s">
        <v>320</v>
      </c>
      <c r="B143">
        <v>28</v>
      </c>
      <c r="C143">
        <v>8</v>
      </c>
      <c r="D143">
        <v>20</v>
      </c>
      <c r="F143">
        <v>2158</v>
      </c>
      <c r="G143">
        <v>699</v>
      </c>
      <c r="H143">
        <v>1583</v>
      </c>
      <c r="I143">
        <v>517</v>
      </c>
      <c r="J143">
        <v>713</v>
      </c>
      <c r="K143">
        <v>290</v>
      </c>
      <c r="L143">
        <v>1051</v>
      </c>
      <c r="M143">
        <v>426</v>
      </c>
      <c r="N143">
        <v>121</v>
      </c>
      <c r="O143">
        <v>101</v>
      </c>
      <c r="P143">
        <v>481</v>
      </c>
      <c r="Q143">
        <v>515</v>
      </c>
      <c r="R143">
        <v>142</v>
      </c>
    </row>
    <row r="144" spans="1:18">
      <c r="A144" s="1" t="s">
        <v>126</v>
      </c>
      <c r="B144">
        <v>27</v>
      </c>
      <c r="C144">
        <v>5</v>
      </c>
      <c r="D144">
        <v>22</v>
      </c>
      <c r="E144">
        <v>-0.78</v>
      </c>
      <c r="F144">
        <v>1711</v>
      </c>
      <c r="G144">
        <v>584</v>
      </c>
      <c r="H144">
        <v>1351</v>
      </c>
      <c r="I144">
        <v>387</v>
      </c>
      <c r="J144">
        <v>543</v>
      </c>
      <c r="K144">
        <v>267</v>
      </c>
      <c r="L144">
        <v>820</v>
      </c>
      <c r="M144">
        <v>326</v>
      </c>
      <c r="N144">
        <v>125</v>
      </c>
      <c r="O144">
        <v>73</v>
      </c>
      <c r="P144">
        <v>458</v>
      </c>
      <c r="Q144">
        <v>525</v>
      </c>
      <c r="R144">
        <v>143</v>
      </c>
    </row>
    <row r="145" spans="1:18">
      <c r="A145" s="1" t="s">
        <v>127</v>
      </c>
      <c r="B145">
        <v>28</v>
      </c>
      <c r="C145">
        <v>9</v>
      </c>
      <c r="D145">
        <v>19</v>
      </c>
      <c r="E145">
        <v>-7.72</v>
      </c>
      <c r="F145">
        <v>2102</v>
      </c>
      <c r="G145">
        <v>772</v>
      </c>
      <c r="H145">
        <v>1765</v>
      </c>
      <c r="I145">
        <v>393</v>
      </c>
      <c r="J145">
        <v>582</v>
      </c>
      <c r="K145">
        <v>415</v>
      </c>
      <c r="L145">
        <v>1136</v>
      </c>
      <c r="M145">
        <v>401</v>
      </c>
      <c r="N145">
        <v>184</v>
      </c>
      <c r="O145">
        <v>61</v>
      </c>
      <c r="P145">
        <v>484</v>
      </c>
      <c r="Q145">
        <v>590</v>
      </c>
      <c r="R145">
        <v>144</v>
      </c>
    </row>
    <row r="146" spans="1:18">
      <c r="A146" s="1" t="s">
        <v>281</v>
      </c>
      <c r="B146">
        <v>30</v>
      </c>
      <c r="C146">
        <v>20</v>
      </c>
      <c r="D146">
        <v>10</v>
      </c>
      <c r="E146">
        <v>1.24</v>
      </c>
      <c r="F146">
        <v>2326</v>
      </c>
      <c r="G146">
        <v>839</v>
      </c>
      <c r="H146">
        <v>1780</v>
      </c>
      <c r="I146">
        <v>442</v>
      </c>
      <c r="J146">
        <v>669</v>
      </c>
      <c r="K146">
        <v>402</v>
      </c>
      <c r="L146">
        <v>1094</v>
      </c>
      <c r="M146">
        <v>452</v>
      </c>
      <c r="N146">
        <v>251</v>
      </c>
      <c r="O146">
        <v>120</v>
      </c>
      <c r="P146">
        <v>463</v>
      </c>
      <c r="Q146">
        <v>557</v>
      </c>
      <c r="R146">
        <v>145</v>
      </c>
    </row>
    <row r="147" spans="1:18">
      <c r="A147" s="1" t="s">
        <v>128</v>
      </c>
      <c r="B147">
        <v>28</v>
      </c>
      <c r="C147">
        <v>12</v>
      </c>
      <c r="D147">
        <v>16</v>
      </c>
      <c r="E147">
        <v>-6.67</v>
      </c>
      <c r="F147">
        <v>2013</v>
      </c>
      <c r="G147">
        <v>732</v>
      </c>
      <c r="H147">
        <v>1736</v>
      </c>
      <c r="I147">
        <v>427</v>
      </c>
      <c r="J147">
        <v>692</v>
      </c>
      <c r="K147">
        <v>432</v>
      </c>
      <c r="L147">
        <v>1053</v>
      </c>
      <c r="M147">
        <v>360</v>
      </c>
      <c r="N147">
        <v>252</v>
      </c>
      <c r="O147">
        <v>90</v>
      </c>
      <c r="P147">
        <v>476</v>
      </c>
      <c r="Q147">
        <v>618</v>
      </c>
      <c r="R147">
        <v>146</v>
      </c>
    </row>
    <row r="148" spans="1:18">
      <c r="A148" s="1" t="s">
        <v>282</v>
      </c>
      <c r="B148">
        <v>32</v>
      </c>
      <c r="C148">
        <v>21</v>
      </c>
      <c r="D148">
        <v>11</v>
      </c>
      <c r="E148">
        <v>6.83</v>
      </c>
      <c r="F148">
        <v>2326</v>
      </c>
      <c r="G148">
        <v>851</v>
      </c>
      <c r="H148">
        <v>1767</v>
      </c>
      <c r="I148">
        <v>409</v>
      </c>
      <c r="J148">
        <v>633</v>
      </c>
      <c r="K148">
        <v>346</v>
      </c>
      <c r="L148">
        <v>1124</v>
      </c>
      <c r="M148">
        <v>515</v>
      </c>
      <c r="N148">
        <v>255</v>
      </c>
      <c r="O148">
        <v>132</v>
      </c>
      <c r="P148">
        <v>446</v>
      </c>
      <c r="Q148">
        <v>524</v>
      </c>
      <c r="R148">
        <v>147</v>
      </c>
    </row>
    <row r="149" spans="1:18">
      <c r="A149" s="1" t="s">
        <v>129</v>
      </c>
      <c r="B149">
        <v>27</v>
      </c>
      <c r="C149">
        <v>12</v>
      </c>
      <c r="D149">
        <v>15</v>
      </c>
      <c r="E149">
        <v>2.93</v>
      </c>
      <c r="F149">
        <v>1855</v>
      </c>
      <c r="G149">
        <v>666</v>
      </c>
      <c r="H149">
        <v>1549</v>
      </c>
      <c r="I149">
        <v>396</v>
      </c>
      <c r="J149">
        <v>572</v>
      </c>
      <c r="K149">
        <v>339</v>
      </c>
      <c r="L149">
        <v>987</v>
      </c>
      <c r="M149">
        <v>309</v>
      </c>
      <c r="N149">
        <v>156</v>
      </c>
      <c r="O149">
        <v>93</v>
      </c>
      <c r="P149">
        <v>386</v>
      </c>
      <c r="Q149">
        <v>534</v>
      </c>
      <c r="R149">
        <v>148</v>
      </c>
    </row>
    <row r="150" spans="1:18">
      <c r="A150" s="1" t="s">
        <v>283</v>
      </c>
      <c r="B150">
        <v>32</v>
      </c>
      <c r="C150">
        <v>25</v>
      </c>
      <c r="D150">
        <v>7</v>
      </c>
      <c r="E150">
        <v>6.84</v>
      </c>
      <c r="F150">
        <v>2612</v>
      </c>
      <c r="G150">
        <v>902</v>
      </c>
      <c r="H150">
        <v>1950</v>
      </c>
      <c r="I150">
        <v>536</v>
      </c>
      <c r="J150">
        <v>770</v>
      </c>
      <c r="K150">
        <v>442</v>
      </c>
      <c r="L150">
        <v>1220</v>
      </c>
      <c r="M150">
        <v>529</v>
      </c>
      <c r="N150">
        <v>237</v>
      </c>
      <c r="O150">
        <v>148</v>
      </c>
      <c r="P150">
        <v>426</v>
      </c>
      <c r="Q150">
        <v>725</v>
      </c>
      <c r="R150">
        <v>149</v>
      </c>
    </row>
    <row r="151" spans="1:18">
      <c r="A151" s="1" t="s">
        <v>130</v>
      </c>
      <c r="B151">
        <v>31</v>
      </c>
      <c r="C151">
        <v>15</v>
      </c>
      <c r="D151">
        <v>16</v>
      </c>
      <c r="E151">
        <v>0.97</v>
      </c>
      <c r="F151">
        <v>2309</v>
      </c>
      <c r="G151">
        <v>819</v>
      </c>
      <c r="H151">
        <v>1949</v>
      </c>
      <c r="I151">
        <v>474</v>
      </c>
      <c r="J151">
        <v>652</v>
      </c>
      <c r="K151">
        <v>457</v>
      </c>
      <c r="L151">
        <v>1189</v>
      </c>
      <c r="M151">
        <v>367</v>
      </c>
      <c r="N151">
        <v>225</v>
      </c>
      <c r="O151">
        <v>124</v>
      </c>
      <c r="P151">
        <v>434</v>
      </c>
      <c r="Q151">
        <v>643</v>
      </c>
      <c r="R151">
        <v>150</v>
      </c>
    </row>
    <row r="152" spans="1:18">
      <c r="A152" s="1" t="s">
        <v>131</v>
      </c>
      <c r="B152">
        <v>31</v>
      </c>
      <c r="C152">
        <v>11</v>
      </c>
      <c r="D152">
        <v>20</v>
      </c>
      <c r="E152">
        <v>0.04</v>
      </c>
      <c r="F152">
        <v>2182</v>
      </c>
      <c r="G152">
        <v>755</v>
      </c>
      <c r="H152">
        <v>1762</v>
      </c>
      <c r="I152">
        <v>545</v>
      </c>
      <c r="J152">
        <v>772</v>
      </c>
      <c r="K152">
        <v>379</v>
      </c>
      <c r="L152">
        <v>1044</v>
      </c>
      <c r="M152">
        <v>448</v>
      </c>
      <c r="N152">
        <v>240</v>
      </c>
      <c r="O152">
        <v>129</v>
      </c>
      <c r="P152">
        <v>492</v>
      </c>
      <c r="Q152">
        <v>688</v>
      </c>
      <c r="R152">
        <v>151</v>
      </c>
    </row>
    <row r="153" spans="1:18">
      <c r="A153" s="1" t="s">
        <v>132</v>
      </c>
      <c r="B153">
        <v>28</v>
      </c>
      <c r="C153">
        <v>4</v>
      </c>
      <c r="D153">
        <v>24</v>
      </c>
      <c r="E153">
        <v>-3.71</v>
      </c>
      <c r="F153">
        <v>1653</v>
      </c>
      <c r="G153">
        <v>543</v>
      </c>
      <c r="H153">
        <v>1378</v>
      </c>
      <c r="I153">
        <v>417</v>
      </c>
      <c r="J153">
        <v>607</v>
      </c>
      <c r="K153">
        <v>280</v>
      </c>
      <c r="L153">
        <v>900</v>
      </c>
      <c r="M153">
        <v>276</v>
      </c>
      <c r="N153">
        <v>156</v>
      </c>
      <c r="O153">
        <v>74</v>
      </c>
      <c r="P153">
        <v>489</v>
      </c>
      <c r="Q153">
        <v>510</v>
      </c>
      <c r="R153">
        <v>152</v>
      </c>
    </row>
    <row r="154" spans="1:18">
      <c r="A154" s="1" t="s">
        <v>133</v>
      </c>
      <c r="B154">
        <v>30</v>
      </c>
      <c r="C154">
        <v>14</v>
      </c>
      <c r="D154">
        <v>16</v>
      </c>
      <c r="E154">
        <v>-5.04</v>
      </c>
      <c r="F154">
        <v>2205</v>
      </c>
      <c r="G154">
        <v>827</v>
      </c>
      <c r="H154">
        <v>1697</v>
      </c>
      <c r="I154">
        <v>329</v>
      </c>
      <c r="J154">
        <v>507</v>
      </c>
      <c r="K154">
        <v>332</v>
      </c>
      <c r="L154">
        <v>1137</v>
      </c>
      <c r="M154">
        <v>505</v>
      </c>
      <c r="N154">
        <v>243</v>
      </c>
      <c r="O154">
        <v>169</v>
      </c>
      <c r="P154">
        <v>543</v>
      </c>
      <c r="Q154">
        <v>515</v>
      </c>
      <c r="R154">
        <v>153</v>
      </c>
    </row>
    <row r="155" spans="1:18">
      <c r="A155" s="1" t="s">
        <v>134</v>
      </c>
      <c r="B155">
        <v>30</v>
      </c>
      <c r="C155">
        <v>23</v>
      </c>
      <c r="D155">
        <v>7</v>
      </c>
      <c r="E155">
        <v>-1.99</v>
      </c>
      <c r="F155">
        <v>2274</v>
      </c>
      <c r="G155">
        <v>774</v>
      </c>
      <c r="H155">
        <v>1730</v>
      </c>
      <c r="I155">
        <v>560</v>
      </c>
      <c r="J155">
        <v>711</v>
      </c>
      <c r="K155">
        <v>342</v>
      </c>
      <c r="L155">
        <v>1032</v>
      </c>
      <c r="M155">
        <v>418</v>
      </c>
      <c r="N155">
        <v>275</v>
      </c>
      <c r="O155">
        <v>115</v>
      </c>
      <c r="P155">
        <v>423</v>
      </c>
      <c r="Q155">
        <v>650</v>
      </c>
      <c r="R155">
        <v>154</v>
      </c>
    </row>
    <row r="156" spans="1:18">
      <c r="A156" s="1" t="s">
        <v>135</v>
      </c>
      <c r="B156">
        <v>29</v>
      </c>
      <c r="C156">
        <v>13</v>
      </c>
      <c r="D156">
        <v>16</v>
      </c>
      <c r="E156">
        <v>-2.16</v>
      </c>
      <c r="F156">
        <v>2069</v>
      </c>
      <c r="G156">
        <v>701</v>
      </c>
      <c r="H156">
        <v>1714</v>
      </c>
      <c r="I156">
        <v>442</v>
      </c>
      <c r="J156">
        <v>568</v>
      </c>
      <c r="K156">
        <v>318</v>
      </c>
      <c r="L156">
        <v>1009</v>
      </c>
      <c r="M156">
        <v>402</v>
      </c>
      <c r="N156">
        <v>199</v>
      </c>
      <c r="O156">
        <v>103</v>
      </c>
      <c r="P156">
        <v>390</v>
      </c>
      <c r="Q156">
        <v>490</v>
      </c>
      <c r="R156">
        <v>155</v>
      </c>
    </row>
    <row r="157" spans="1:18">
      <c r="A157" s="1" t="s">
        <v>136</v>
      </c>
      <c r="B157">
        <v>33</v>
      </c>
      <c r="C157">
        <v>27</v>
      </c>
      <c r="D157">
        <v>6</v>
      </c>
      <c r="E157">
        <v>7.28</v>
      </c>
      <c r="F157">
        <v>2589</v>
      </c>
      <c r="G157">
        <v>901</v>
      </c>
      <c r="H157">
        <v>1871</v>
      </c>
      <c r="I157">
        <v>585</v>
      </c>
      <c r="J157">
        <v>759</v>
      </c>
      <c r="K157">
        <v>487</v>
      </c>
      <c r="L157">
        <v>1208</v>
      </c>
      <c r="M157">
        <v>533</v>
      </c>
      <c r="N157">
        <v>198</v>
      </c>
      <c r="O157">
        <v>117</v>
      </c>
      <c r="P157">
        <v>438</v>
      </c>
      <c r="Q157">
        <v>622</v>
      </c>
      <c r="R157">
        <v>156</v>
      </c>
    </row>
    <row r="158" spans="1:18">
      <c r="A158" s="1" t="s">
        <v>137</v>
      </c>
      <c r="B158">
        <v>29</v>
      </c>
      <c r="C158">
        <v>14</v>
      </c>
      <c r="D158">
        <v>15</v>
      </c>
      <c r="E158">
        <v>-0.63</v>
      </c>
      <c r="F158">
        <v>2126</v>
      </c>
      <c r="G158">
        <v>737</v>
      </c>
      <c r="H158">
        <v>1555</v>
      </c>
      <c r="I158">
        <v>468</v>
      </c>
      <c r="J158">
        <v>609</v>
      </c>
      <c r="K158">
        <v>253</v>
      </c>
      <c r="L158">
        <v>953</v>
      </c>
      <c r="M158">
        <v>414</v>
      </c>
      <c r="N158">
        <v>179</v>
      </c>
      <c r="O158">
        <v>108</v>
      </c>
      <c r="P158">
        <v>426</v>
      </c>
      <c r="Q158">
        <v>560</v>
      </c>
      <c r="R158">
        <v>157</v>
      </c>
    </row>
    <row r="159" spans="1:18">
      <c r="A159" s="1" t="s">
        <v>138</v>
      </c>
      <c r="B159">
        <v>27</v>
      </c>
      <c r="C159">
        <v>7</v>
      </c>
      <c r="D159">
        <v>20</v>
      </c>
      <c r="E159">
        <v>-8</v>
      </c>
      <c r="F159">
        <v>1703</v>
      </c>
      <c r="G159">
        <v>627</v>
      </c>
      <c r="H159">
        <v>1454</v>
      </c>
      <c r="I159">
        <v>352</v>
      </c>
      <c r="J159">
        <v>526</v>
      </c>
      <c r="K159">
        <v>324</v>
      </c>
      <c r="L159">
        <v>946</v>
      </c>
      <c r="M159">
        <v>359</v>
      </c>
      <c r="N159">
        <v>199</v>
      </c>
      <c r="O159">
        <v>74</v>
      </c>
      <c r="P159">
        <v>437</v>
      </c>
      <c r="Q159">
        <v>512</v>
      </c>
      <c r="R159">
        <v>158</v>
      </c>
    </row>
    <row r="160" spans="1:18">
      <c r="A160" s="1" t="s">
        <v>139</v>
      </c>
      <c r="B160">
        <v>28</v>
      </c>
      <c r="C160">
        <v>5</v>
      </c>
      <c r="D160">
        <v>23</v>
      </c>
      <c r="E160">
        <v>-11.25</v>
      </c>
      <c r="F160">
        <v>1760</v>
      </c>
      <c r="G160">
        <v>602</v>
      </c>
      <c r="H160">
        <v>1570</v>
      </c>
      <c r="I160">
        <v>334</v>
      </c>
      <c r="J160">
        <v>456</v>
      </c>
      <c r="K160">
        <v>352</v>
      </c>
      <c r="L160">
        <v>887</v>
      </c>
      <c r="M160">
        <v>290</v>
      </c>
      <c r="N160">
        <v>176</v>
      </c>
      <c r="O160">
        <v>69</v>
      </c>
      <c r="P160">
        <v>426</v>
      </c>
      <c r="Q160">
        <v>595</v>
      </c>
      <c r="R160">
        <v>159</v>
      </c>
    </row>
    <row r="161" spans="1:18">
      <c r="A161" s="1" t="s">
        <v>332</v>
      </c>
      <c r="B161">
        <v>31</v>
      </c>
      <c r="C161">
        <v>21</v>
      </c>
      <c r="D161">
        <v>10</v>
      </c>
      <c r="E161">
        <v>7.56</v>
      </c>
      <c r="F161">
        <v>2472</v>
      </c>
      <c r="G161">
        <v>901</v>
      </c>
      <c r="H161">
        <v>1940</v>
      </c>
      <c r="I161">
        <v>466</v>
      </c>
      <c r="J161">
        <v>654</v>
      </c>
      <c r="K161">
        <v>409</v>
      </c>
      <c r="L161">
        <v>1241</v>
      </c>
      <c r="M161">
        <v>573</v>
      </c>
      <c r="N161">
        <v>322</v>
      </c>
      <c r="O161">
        <v>198</v>
      </c>
      <c r="P161">
        <v>431</v>
      </c>
      <c r="Q161">
        <v>588</v>
      </c>
      <c r="R161">
        <v>160</v>
      </c>
    </row>
    <row r="162" spans="1:18">
      <c r="A162" s="1" t="s">
        <v>140</v>
      </c>
      <c r="B162">
        <v>29</v>
      </c>
      <c r="C162">
        <v>11</v>
      </c>
      <c r="D162">
        <v>18</v>
      </c>
      <c r="E162">
        <v>3.52</v>
      </c>
      <c r="F162">
        <v>1789</v>
      </c>
      <c r="G162">
        <v>648</v>
      </c>
      <c r="H162">
        <v>1503</v>
      </c>
      <c r="I162">
        <v>329</v>
      </c>
      <c r="J162">
        <v>516</v>
      </c>
      <c r="K162">
        <v>313</v>
      </c>
      <c r="L162">
        <v>933</v>
      </c>
      <c r="M162">
        <v>410</v>
      </c>
      <c r="N162">
        <v>179</v>
      </c>
      <c r="O162">
        <v>108</v>
      </c>
      <c r="P162">
        <v>454</v>
      </c>
      <c r="Q162">
        <v>567</v>
      </c>
      <c r="R162">
        <v>161</v>
      </c>
    </row>
    <row r="163" spans="1:18">
      <c r="A163" s="1" t="s">
        <v>141</v>
      </c>
      <c r="B163">
        <v>29</v>
      </c>
      <c r="C163">
        <v>15</v>
      </c>
      <c r="D163">
        <v>14</v>
      </c>
      <c r="E163">
        <v>-5.44</v>
      </c>
      <c r="F163">
        <v>2037</v>
      </c>
      <c r="G163">
        <v>719</v>
      </c>
      <c r="H163">
        <v>1619</v>
      </c>
      <c r="I163">
        <v>389</v>
      </c>
      <c r="J163">
        <v>570</v>
      </c>
      <c r="K163">
        <v>365</v>
      </c>
      <c r="L163">
        <v>1041</v>
      </c>
      <c r="M163">
        <v>386</v>
      </c>
      <c r="N163">
        <v>224</v>
      </c>
      <c r="O163">
        <v>120</v>
      </c>
      <c r="P163">
        <v>474</v>
      </c>
      <c r="Q163">
        <v>618</v>
      </c>
      <c r="R163">
        <v>162</v>
      </c>
    </row>
    <row r="164" spans="1:18">
      <c r="A164" s="1" t="s">
        <v>142</v>
      </c>
      <c r="B164">
        <v>30</v>
      </c>
      <c r="C164">
        <v>23</v>
      </c>
      <c r="D164">
        <v>7</v>
      </c>
      <c r="E164">
        <v>5.27</v>
      </c>
      <c r="F164">
        <v>2232</v>
      </c>
      <c r="G164">
        <v>787</v>
      </c>
      <c r="H164">
        <v>1809</v>
      </c>
      <c r="I164">
        <v>448</v>
      </c>
      <c r="J164">
        <v>685</v>
      </c>
      <c r="K164">
        <v>448</v>
      </c>
      <c r="L164">
        <v>1203</v>
      </c>
      <c r="M164">
        <v>493</v>
      </c>
      <c r="N164">
        <v>216</v>
      </c>
      <c r="O164">
        <v>152</v>
      </c>
      <c r="P164">
        <v>412</v>
      </c>
      <c r="Q164">
        <v>563</v>
      </c>
      <c r="R164">
        <v>163</v>
      </c>
    </row>
    <row r="165" spans="1:18">
      <c r="A165" s="1" t="s">
        <v>143</v>
      </c>
      <c r="B165">
        <v>29</v>
      </c>
      <c r="C165">
        <v>23</v>
      </c>
      <c r="D165">
        <v>6</v>
      </c>
      <c r="E165">
        <v>-9.0299999999999994</v>
      </c>
      <c r="F165">
        <v>2271</v>
      </c>
      <c r="G165">
        <v>800</v>
      </c>
      <c r="H165">
        <v>1694</v>
      </c>
      <c r="I165">
        <v>476</v>
      </c>
      <c r="J165">
        <v>687</v>
      </c>
      <c r="K165">
        <v>408</v>
      </c>
      <c r="L165">
        <v>1171</v>
      </c>
      <c r="M165">
        <v>492</v>
      </c>
      <c r="N165">
        <v>189</v>
      </c>
      <c r="O165">
        <v>127</v>
      </c>
      <c r="P165">
        <v>480</v>
      </c>
      <c r="Q165">
        <v>497</v>
      </c>
      <c r="R165">
        <v>164</v>
      </c>
    </row>
    <row r="166" spans="1:18">
      <c r="A166" s="1" t="s">
        <v>284</v>
      </c>
      <c r="B166">
        <v>28</v>
      </c>
      <c r="C166">
        <v>11</v>
      </c>
      <c r="D166">
        <v>17</v>
      </c>
      <c r="E166">
        <v>4.91</v>
      </c>
      <c r="F166">
        <v>1956</v>
      </c>
      <c r="G166">
        <v>692</v>
      </c>
      <c r="H166">
        <v>1627</v>
      </c>
      <c r="I166">
        <v>401</v>
      </c>
      <c r="J166">
        <v>559</v>
      </c>
      <c r="K166">
        <v>370</v>
      </c>
      <c r="L166">
        <v>1017</v>
      </c>
      <c r="M166">
        <v>393</v>
      </c>
      <c r="N166">
        <v>272</v>
      </c>
      <c r="O166">
        <v>119</v>
      </c>
      <c r="P166">
        <v>463</v>
      </c>
      <c r="Q166">
        <v>557</v>
      </c>
      <c r="R166">
        <v>165</v>
      </c>
    </row>
    <row r="167" spans="1:18">
      <c r="A167" s="1" t="s">
        <v>144</v>
      </c>
      <c r="B167">
        <v>28</v>
      </c>
      <c r="C167">
        <v>13</v>
      </c>
      <c r="D167">
        <v>15</v>
      </c>
      <c r="E167">
        <v>2.87</v>
      </c>
      <c r="F167">
        <v>1641</v>
      </c>
      <c r="G167">
        <v>561</v>
      </c>
      <c r="H167">
        <v>1335</v>
      </c>
      <c r="I167">
        <v>344</v>
      </c>
      <c r="J167">
        <v>496</v>
      </c>
      <c r="K167">
        <v>262</v>
      </c>
      <c r="L167">
        <v>818</v>
      </c>
      <c r="M167">
        <v>311</v>
      </c>
      <c r="N167">
        <v>169</v>
      </c>
      <c r="O167">
        <v>50</v>
      </c>
      <c r="P167">
        <v>325</v>
      </c>
      <c r="Q167">
        <v>517</v>
      </c>
      <c r="R167">
        <v>166</v>
      </c>
    </row>
    <row r="168" spans="1:18">
      <c r="A168" s="1" t="s">
        <v>377</v>
      </c>
      <c r="B168">
        <v>35</v>
      </c>
      <c r="C168">
        <v>22</v>
      </c>
      <c r="D168">
        <v>13</v>
      </c>
      <c r="E168">
        <v>9.7200000000000006</v>
      </c>
      <c r="F168">
        <v>2367</v>
      </c>
      <c r="G168">
        <v>812</v>
      </c>
      <c r="H168">
        <v>1795</v>
      </c>
      <c r="I168">
        <v>564</v>
      </c>
      <c r="J168">
        <v>767</v>
      </c>
      <c r="K168">
        <v>373</v>
      </c>
      <c r="L168">
        <v>1226</v>
      </c>
      <c r="M168">
        <v>474</v>
      </c>
      <c r="N168">
        <v>217</v>
      </c>
      <c r="O168">
        <v>121</v>
      </c>
      <c r="P168">
        <v>502</v>
      </c>
      <c r="Q168">
        <v>707</v>
      </c>
      <c r="R168">
        <v>167</v>
      </c>
    </row>
    <row r="169" spans="1:18">
      <c r="A169" s="1" t="s">
        <v>145</v>
      </c>
      <c r="B169">
        <v>30</v>
      </c>
      <c r="C169">
        <v>17</v>
      </c>
      <c r="D169">
        <v>13</v>
      </c>
      <c r="E169">
        <v>7.89</v>
      </c>
      <c r="F169">
        <v>2070</v>
      </c>
      <c r="G169">
        <v>706</v>
      </c>
      <c r="H169">
        <v>1629</v>
      </c>
      <c r="I169">
        <v>470</v>
      </c>
      <c r="J169">
        <v>635</v>
      </c>
      <c r="K169">
        <v>356</v>
      </c>
      <c r="L169">
        <v>1039</v>
      </c>
      <c r="M169">
        <v>365</v>
      </c>
      <c r="N169">
        <v>164</v>
      </c>
      <c r="O169">
        <v>104</v>
      </c>
      <c r="P169">
        <v>424</v>
      </c>
      <c r="Q169">
        <v>552</v>
      </c>
      <c r="R169">
        <v>168</v>
      </c>
    </row>
    <row r="170" spans="1:18">
      <c r="A170" s="1" t="s">
        <v>146</v>
      </c>
      <c r="B170">
        <v>30</v>
      </c>
      <c r="C170">
        <v>16</v>
      </c>
      <c r="D170">
        <v>14</v>
      </c>
      <c r="E170">
        <v>0.92</v>
      </c>
      <c r="F170">
        <v>2053</v>
      </c>
      <c r="G170">
        <v>740</v>
      </c>
      <c r="H170">
        <v>1589</v>
      </c>
      <c r="I170">
        <v>379</v>
      </c>
      <c r="J170">
        <v>555</v>
      </c>
      <c r="K170">
        <v>318</v>
      </c>
      <c r="L170">
        <v>1056</v>
      </c>
      <c r="M170">
        <v>358</v>
      </c>
      <c r="N170">
        <v>159</v>
      </c>
      <c r="O170">
        <v>69</v>
      </c>
      <c r="P170">
        <v>492</v>
      </c>
      <c r="Q170">
        <v>598</v>
      </c>
      <c r="R170">
        <v>169</v>
      </c>
    </row>
    <row r="171" spans="1:18">
      <c r="A171" s="1" t="s">
        <v>147</v>
      </c>
      <c r="B171">
        <v>32</v>
      </c>
      <c r="C171">
        <v>24</v>
      </c>
      <c r="D171">
        <v>8</v>
      </c>
      <c r="E171">
        <v>0.81</v>
      </c>
      <c r="F171">
        <v>2466</v>
      </c>
      <c r="G171">
        <v>874</v>
      </c>
      <c r="H171">
        <v>1855</v>
      </c>
      <c r="I171">
        <v>472</v>
      </c>
      <c r="J171">
        <v>681</v>
      </c>
      <c r="K171">
        <v>370</v>
      </c>
      <c r="L171">
        <v>1101</v>
      </c>
      <c r="M171">
        <v>542</v>
      </c>
      <c r="N171">
        <v>283</v>
      </c>
      <c r="O171">
        <v>114</v>
      </c>
      <c r="P171">
        <v>475</v>
      </c>
      <c r="Q171">
        <v>649</v>
      </c>
      <c r="R171">
        <v>170</v>
      </c>
    </row>
    <row r="172" spans="1:18">
      <c r="A172" s="1" t="s">
        <v>148</v>
      </c>
      <c r="B172">
        <v>33</v>
      </c>
      <c r="C172">
        <v>19</v>
      </c>
      <c r="D172">
        <v>14</v>
      </c>
      <c r="E172">
        <v>6.72</v>
      </c>
      <c r="F172">
        <v>2428</v>
      </c>
      <c r="G172">
        <v>844</v>
      </c>
      <c r="H172">
        <v>1927</v>
      </c>
      <c r="I172">
        <v>503</v>
      </c>
      <c r="J172">
        <v>717</v>
      </c>
      <c r="K172">
        <v>421</v>
      </c>
      <c r="L172">
        <v>1235</v>
      </c>
      <c r="M172">
        <v>532</v>
      </c>
      <c r="N172">
        <v>235</v>
      </c>
      <c r="O172">
        <v>196</v>
      </c>
      <c r="P172">
        <v>498</v>
      </c>
      <c r="Q172">
        <v>653</v>
      </c>
      <c r="R172">
        <v>171</v>
      </c>
    </row>
    <row r="173" spans="1:18">
      <c r="A173" s="1" t="s">
        <v>149</v>
      </c>
      <c r="B173">
        <v>31</v>
      </c>
      <c r="C173">
        <v>21</v>
      </c>
      <c r="D173">
        <v>10</v>
      </c>
      <c r="E173">
        <v>8</v>
      </c>
      <c r="F173">
        <v>2151</v>
      </c>
      <c r="G173">
        <v>806</v>
      </c>
      <c r="H173">
        <v>1718</v>
      </c>
      <c r="I173">
        <v>366</v>
      </c>
      <c r="J173">
        <v>543</v>
      </c>
      <c r="K173">
        <v>374</v>
      </c>
      <c r="L173">
        <v>1148</v>
      </c>
      <c r="M173">
        <v>445</v>
      </c>
      <c r="N173">
        <v>268</v>
      </c>
      <c r="O173">
        <v>116</v>
      </c>
      <c r="P173">
        <v>479</v>
      </c>
      <c r="Q173">
        <v>490</v>
      </c>
      <c r="R173">
        <v>172</v>
      </c>
    </row>
    <row r="174" spans="1:18">
      <c r="A174" s="1" t="s">
        <v>150</v>
      </c>
      <c r="B174">
        <v>29</v>
      </c>
      <c r="C174">
        <v>15</v>
      </c>
      <c r="D174">
        <v>14</v>
      </c>
      <c r="E174">
        <v>-10.47</v>
      </c>
      <c r="F174">
        <v>2229</v>
      </c>
      <c r="G174">
        <v>792</v>
      </c>
      <c r="H174">
        <v>1959</v>
      </c>
      <c r="I174">
        <v>346</v>
      </c>
      <c r="J174">
        <v>489</v>
      </c>
      <c r="K174">
        <v>489</v>
      </c>
      <c r="L174">
        <v>1106</v>
      </c>
      <c r="M174">
        <v>448</v>
      </c>
      <c r="N174">
        <v>256</v>
      </c>
      <c r="O174">
        <v>75</v>
      </c>
      <c r="P174">
        <v>338</v>
      </c>
      <c r="Q174">
        <v>518</v>
      </c>
      <c r="R174">
        <v>173</v>
      </c>
    </row>
    <row r="175" spans="1:18">
      <c r="A175" s="1" t="s">
        <v>151</v>
      </c>
      <c r="B175">
        <v>29</v>
      </c>
      <c r="C175">
        <v>14</v>
      </c>
      <c r="D175">
        <v>15</v>
      </c>
      <c r="E175">
        <v>6.25</v>
      </c>
      <c r="F175">
        <v>1933</v>
      </c>
      <c r="G175">
        <v>679</v>
      </c>
      <c r="H175">
        <v>1487</v>
      </c>
      <c r="I175">
        <v>393</v>
      </c>
      <c r="J175">
        <v>541</v>
      </c>
      <c r="K175">
        <v>293</v>
      </c>
      <c r="L175">
        <v>901</v>
      </c>
      <c r="M175">
        <v>388</v>
      </c>
      <c r="N175">
        <v>187</v>
      </c>
      <c r="O175">
        <v>58</v>
      </c>
      <c r="P175">
        <v>395</v>
      </c>
      <c r="Q175">
        <v>582</v>
      </c>
      <c r="R175">
        <v>174</v>
      </c>
    </row>
    <row r="176" spans="1:18">
      <c r="A176" s="1" t="s">
        <v>152</v>
      </c>
      <c r="B176">
        <v>29</v>
      </c>
      <c r="C176">
        <v>9</v>
      </c>
      <c r="D176">
        <v>20</v>
      </c>
      <c r="E176">
        <v>-2.35</v>
      </c>
      <c r="F176">
        <v>1968</v>
      </c>
      <c r="G176">
        <v>678</v>
      </c>
      <c r="H176">
        <v>1669</v>
      </c>
      <c r="I176">
        <v>340</v>
      </c>
      <c r="J176">
        <v>522</v>
      </c>
      <c r="K176">
        <v>339</v>
      </c>
      <c r="L176">
        <v>951</v>
      </c>
      <c r="M176">
        <v>349</v>
      </c>
      <c r="N176">
        <v>169</v>
      </c>
      <c r="O176">
        <v>78</v>
      </c>
      <c r="P176">
        <v>360</v>
      </c>
      <c r="Q176">
        <v>529</v>
      </c>
      <c r="R176">
        <v>175</v>
      </c>
    </row>
    <row r="177" spans="1:18">
      <c r="A177" s="1" t="s">
        <v>153</v>
      </c>
      <c r="B177">
        <v>29</v>
      </c>
      <c r="C177">
        <v>17</v>
      </c>
      <c r="D177">
        <v>12</v>
      </c>
      <c r="E177">
        <v>0.92</v>
      </c>
      <c r="F177">
        <v>1931</v>
      </c>
      <c r="G177">
        <v>685</v>
      </c>
      <c r="H177">
        <v>1569</v>
      </c>
      <c r="I177">
        <v>436</v>
      </c>
      <c r="J177">
        <v>654</v>
      </c>
      <c r="K177">
        <v>365</v>
      </c>
      <c r="L177">
        <v>1014</v>
      </c>
      <c r="M177">
        <v>300</v>
      </c>
      <c r="N177">
        <v>212</v>
      </c>
      <c r="O177">
        <v>107</v>
      </c>
      <c r="P177">
        <v>391</v>
      </c>
      <c r="Q177">
        <v>584</v>
      </c>
      <c r="R177">
        <v>176</v>
      </c>
    </row>
    <row r="178" spans="1:18">
      <c r="A178" s="1" t="s">
        <v>328</v>
      </c>
      <c r="B178">
        <v>33</v>
      </c>
      <c r="C178">
        <v>22</v>
      </c>
      <c r="D178">
        <v>11</v>
      </c>
      <c r="E178">
        <v>10.15</v>
      </c>
      <c r="F178">
        <v>2389</v>
      </c>
      <c r="G178">
        <v>870</v>
      </c>
      <c r="H178">
        <v>1959</v>
      </c>
      <c r="I178">
        <v>397</v>
      </c>
      <c r="J178">
        <v>600</v>
      </c>
      <c r="K178">
        <v>437</v>
      </c>
      <c r="L178">
        <v>1301</v>
      </c>
      <c r="M178">
        <v>452</v>
      </c>
      <c r="N178">
        <v>185</v>
      </c>
      <c r="O178">
        <v>144</v>
      </c>
      <c r="P178">
        <v>457</v>
      </c>
      <c r="Q178">
        <v>562</v>
      </c>
      <c r="R178">
        <v>177</v>
      </c>
    </row>
    <row r="179" spans="1:18">
      <c r="A179" s="1" t="s">
        <v>154</v>
      </c>
      <c r="B179">
        <v>28</v>
      </c>
      <c r="C179">
        <v>15</v>
      </c>
      <c r="D179">
        <v>13</v>
      </c>
      <c r="E179">
        <v>-7.48</v>
      </c>
      <c r="F179">
        <v>1848</v>
      </c>
      <c r="G179">
        <v>629</v>
      </c>
      <c r="H179">
        <v>1472</v>
      </c>
      <c r="I179">
        <v>413</v>
      </c>
      <c r="J179">
        <v>603</v>
      </c>
      <c r="K179">
        <v>231</v>
      </c>
      <c r="L179">
        <v>933</v>
      </c>
      <c r="M179">
        <v>401</v>
      </c>
      <c r="N179">
        <v>221</v>
      </c>
      <c r="O179">
        <v>76</v>
      </c>
      <c r="P179">
        <v>418</v>
      </c>
      <c r="Q179">
        <v>475</v>
      </c>
      <c r="R179">
        <v>178</v>
      </c>
    </row>
    <row r="180" spans="1:18">
      <c r="A180" s="1" t="s">
        <v>155</v>
      </c>
      <c r="B180">
        <v>27</v>
      </c>
      <c r="C180">
        <v>11</v>
      </c>
      <c r="D180">
        <v>16</v>
      </c>
      <c r="E180">
        <v>-2.27</v>
      </c>
      <c r="F180">
        <v>1753</v>
      </c>
      <c r="G180">
        <v>608</v>
      </c>
      <c r="H180">
        <v>1373</v>
      </c>
      <c r="I180">
        <v>365</v>
      </c>
      <c r="J180">
        <v>517</v>
      </c>
      <c r="K180">
        <v>233</v>
      </c>
      <c r="L180">
        <v>811</v>
      </c>
      <c r="M180">
        <v>354</v>
      </c>
      <c r="N180">
        <v>153</v>
      </c>
      <c r="O180">
        <v>50</v>
      </c>
      <c r="P180">
        <v>373</v>
      </c>
      <c r="Q180">
        <v>431</v>
      </c>
      <c r="R180">
        <v>179</v>
      </c>
    </row>
    <row r="181" spans="1:18">
      <c r="A181" s="1" t="s">
        <v>156</v>
      </c>
      <c r="B181">
        <v>30</v>
      </c>
      <c r="C181">
        <v>13</v>
      </c>
      <c r="D181">
        <v>17</v>
      </c>
      <c r="E181">
        <v>-0.71</v>
      </c>
      <c r="F181">
        <v>2070</v>
      </c>
      <c r="G181">
        <v>720</v>
      </c>
      <c r="H181">
        <v>1697</v>
      </c>
      <c r="I181">
        <v>404</v>
      </c>
      <c r="J181">
        <v>574</v>
      </c>
      <c r="K181">
        <v>329</v>
      </c>
      <c r="L181">
        <v>1030</v>
      </c>
      <c r="M181">
        <v>364</v>
      </c>
      <c r="N181">
        <v>175</v>
      </c>
      <c r="O181">
        <v>126</v>
      </c>
      <c r="P181">
        <v>413</v>
      </c>
      <c r="Q181">
        <v>648</v>
      </c>
      <c r="R181">
        <v>180</v>
      </c>
    </row>
    <row r="182" spans="1:18">
      <c r="A182" s="1" t="s">
        <v>157</v>
      </c>
      <c r="B182">
        <v>29</v>
      </c>
      <c r="C182">
        <v>20</v>
      </c>
      <c r="D182">
        <v>9</v>
      </c>
      <c r="E182">
        <v>-4</v>
      </c>
      <c r="F182">
        <v>2355</v>
      </c>
      <c r="G182">
        <v>854</v>
      </c>
      <c r="H182">
        <v>1674</v>
      </c>
      <c r="I182">
        <v>468</v>
      </c>
      <c r="J182">
        <v>619</v>
      </c>
      <c r="K182">
        <v>334</v>
      </c>
      <c r="L182">
        <v>973</v>
      </c>
      <c r="M182">
        <v>457</v>
      </c>
      <c r="N182">
        <v>214</v>
      </c>
      <c r="O182">
        <v>68</v>
      </c>
      <c r="P182">
        <v>389</v>
      </c>
      <c r="Q182">
        <v>487</v>
      </c>
      <c r="R182">
        <v>181</v>
      </c>
    </row>
    <row r="183" spans="1:18">
      <c r="A183" s="1" t="s">
        <v>158</v>
      </c>
      <c r="B183">
        <v>29</v>
      </c>
      <c r="C183">
        <v>7</v>
      </c>
      <c r="D183">
        <v>22</v>
      </c>
      <c r="E183">
        <v>-12.69</v>
      </c>
      <c r="F183">
        <v>1977</v>
      </c>
      <c r="G183">
        <v>686</v>
      </c>
      <c r="H183">
        <v>1684</v>
      </c>
      <c r="I183">
        <v>430</v>
      </c>
      <c r="J183">
        <v>662</v>
      </c>
      <c r="K183">
        <v>417</v>
      </c>
      <c r="L183">
        <v>1016</v>
      </c>
      <c r="M183">
        <v>308</v>
      </c>
      <c r="N183">
        <v>185</v>
      </c>
      <c r="O183">
        <v>59</v>
      </c>
      <c r="P183">
        <v>459</v>
      </c>
      <c r="Q183">
        <v>597</v>
      </c>
      <c r="R183">
        <v>182</v>
      </c>
    </row>
    <row r="184" spans="1:18">
      <c r="A184" s="1" t="s">
        <v>311</v>
      </c>
      <c r="B184">
        <v>28</v>
      </c>
      <c r="C184">
        <v>8</v>
      </c>
      <c r="D184">
        <v>20</v>
      </c>
      <c r="E184">
        <v>-10.210000000000001</v>
      </c>
      <c r="F184">
        <v>1765</v>
      </c>
      <c r="G184">
        <v>617</v>
      </c>
      <c r="H184">
        <v>1524</v>
      </c>
      <c r="I184">
        <v>388</v>
      </c>
      <c r="J184">
        <v>617</v>
      </c>
      <c r="L184">
        <v>947</v>
      </c>
      <c r="M184">
        <v>276</v>
      </c>
      <c r="N184">
        <v>193</v>
      </c>
      <c r="O184">
        <v>87</v>
      </c>
      <c r="P184">
        <v>471</v>
      </c>
      <c r="Q184">
        <v>511</v>
      </c>
      <c r="R184">
        <v>183</v>
      </c>
    </row>
    <row r="185" spans="1:18">
      <c r="A185" s="1" t="s">
        <v>159</v>
      </c>
      <c r="B185">
        <v>27</v>
      </c>
      <c r="C185">
        <v>11</v>
      </c>
      <c r="D185">
        <v>16</v>
      </c>
      <c r="E185">
        <v>-8.11</v>
      </c>
      <c r="F185">
        <v>1715</v>
      </c>
      <c r="G185">
        <v>581</v>
      </c>
      <c r="H185">
        <v>1505</v>
      </c>
      <c r="I185">
        <v>374</v>
      </c>
      <c r="J185">
        <v>537</v>
      </c>
      <c r="K185">
        <v>333</v>
      </c>
      <c r="L185">
        <v>883</v>
      </c>
      <c r="M185">
        <v>315</v>
      </c>
      <c r="N185">
        <v>225</v>
      </c>
      <c r="O185">
        <v>82</v>
      </c>
      <c r="P185">
        <v>407</v>
      </c>
      <c r="Q185">
        <v>577</v>
      </c>
      <c r="R185">
        <v>184</v>
      </c>
    </row>
    <row r="186" spans="1:18">
      <c r="A186" s="1" t="s">
        <v>160</v>
      </c>
      <c r="B186">
        <v>29</v>
      </c>
      <c r="C186">
        <v>17</v>
      </c>
      <c r="D186">
        <v>12</v>
      </c>
      <c r="E186">
        <v>-2.8</v>
      </c>
      <c r="F186">
        <v>2194</v>
      </c>
      <c r="G186">
        <v>803</v>
      </c>
      <c r="H186">
        <v>1735</v>
      </c>
      <c r="I186">
        <v>383</v>
      </c>
      <c r="J186">
        <v>540</v>
      </c>
      <c r="K186">
        <v>391</v>
      </c>
      <c r="L186">
        <v>1097</v>
      </c>
      <c r="M186">
        <v>475</v>
      </c>
      <c r="N186">
        <v>208</v>
      </c>
      <c r="O186">
        <v>132</v>
      </c>
      <c r="P186">
        <v>395</v>
      </c>
      <c r="Q186">
        <v>500</v>
      </c>
      <c r="R186">
        <v>185</v>
      </c>
    </row>
    <row r="187" spans="1:18">
      <c r="A187" s="1" t="s">
        <v>161</v>
      </c>
      <c r="B187">
        <v>28</v>
      </c>
      <c r="C187">
        <v>8</v>
      </c>
      <c r="D187">
        <v>20</v>
      </c>
      <c r="E187">
        <v>-5.21</v>
      </c>
      <c r="F187">
        <v>1701</v>
      </c>
      <c r="G187">
        <v>597</v>
      </c>
      <c r="H187">
        <v>1457</v>
      </c>
      <c r="I187">
        <v>345</v>
      </c>
      <c r="J187">
        <v>531</v>
      </c>
      <c r="K187">
        <v>320</v>
      </c>
      <c r="L187">
        <v>935</v>
      </c>
      <c r="M187">
        <v>344</v>
      </c>
      <c r="N187">
        <v>204</v>
      </c>
      <c r="O187">
        <v>75</v>
      </c>
      <c r="P187">
        <v>477</v>
      </c>
      <c r="Q187">
        <v>557</v>
      </c>
      <c r="R187">
        <v>186</v>
      </c>
    </row>
    <row r="188" spans="1:18">
      <c r="A188" s="1" t="s">
        <v>162</v>
      </c>
      <c r="B188">
        <v>30</v>
      </c>
      <c r="C188">
        <v>11</v>
      </c>
      <c r="D188">
        <v>19</v>
      </c>
      <c r="E188">
        <v>9.2100000000000009</v>
      </c>
      <c r="F188">
        <v>1900</v>
      </c>
      <c r="G188">
        <v>686</v>
      </c>
      <c r="H188">
        <v>1724</v>
      </c>
      <c r="I188">
        <v>389</v>
      </c>
      <c r="J188">
        <v>599</v>
      </c>
      <c r="K188">
        <v>379</v>
      </c>
      <c r="L188">
        <v>1143</v>
      </c>
      <c r="M188">
        <v>335</v>
      </c>
      <c r="N188">
        <v>188</v>
      </c>
      <c r="O188">
        <v>96</v>
      </c>
      <c r="P188">
        <v>432</v>
      </c>
      <c r="Q188">
        <v>545</v>
      </c>
      <c r="R188">
        <v>187</v>
      </c>
    </row>
    <row r="189" spans="1:18">
      <c r="A189" s="1" t="s">
        <v>285</v>
      </c>
      <c r="B189">
        <v>32</v>
      </c>
      <c r="C189">
        <v>21</v>
      </c>
      <c r="D189">
        <v>11</v>
      </c>
      <c r="E189">
        <v>4.67</v>
      </c>
      <c r="F189">
        <v>2411</v>
      </c>
      <c r="G189">
        <v>846</v>
      </c>
      <c r="H189">
        <v>1798</v>
      </c>
      <c r="I189">
        <v>532</v>
      </c>
      <c r="J189">
        <v>753</v>
      </c>
      <c r="K189">
        <v>347</v>
      </c>
      <c r="L189">
        <v>1058</v>
      </c>
      <c r="M189">
        <v>460</v>
      </c>
      <c r="N189">
        <v>279</v>
      </c>
      <c r="O189">
        <v>105</v>
      </c>
      <c r="P189">
        <v>471</v>
      </c>
      <c r="Q189">
        <v>633</v>
      </c>
      <c r="R189">
        <v>188</v>
      </c>
    </row>
    <row r="190" spans="1:18">
      <c r="A190" s="1" t="s">
        <v>163</v>
      </c>
      <c r="B190">
        <v>32</v>
      </c>
      <c r="C190">
        <v>18</v>
      </c>
      <c r="D190">
        <v>14</v>
      </c>
      <c r="E190">
        <v>2.06</v>
      </c>
      <c r="F190">
        <v>2432</v>
      </c>
      <c r="G190">
        <v>809</v>
      </c>
      <c r="H190">
        <v>1859</v>
      </c>
      <c r="I190">
        <v>622</v>
      </c>
      <c r="J190">
        <v>872</v>
      </c>
      <c r="K190">
        <v>418</v>
      </c>
      <c r="L190">
        <v>1219</v>
      </c>
      <c r="M190">
        <v>377</v>
      </c>
      <c r="N190">
        <v>218</v>
      </c>
      <c r="O190">
        <v>123</v>
      </c>
      <c r="P190">
        <v>421</v>
      </c>
      <c r="Q190">
        <v>662</v>
      </c>
      <c r="R190">
        <v>189</v>
      </c>
    </row>
    <row r="191" spans="1:18">
      <c r="A191" s="1" t="s">
        <v>164</v>
      </c>
      <c r="B191">
        <v>28</v>
      </c>
      <c r="C191">
        <v>5</v>
      </c>
      <c r="D191">
        <v>23</v>
      </c>
      <c r="E191">
        <v>-5.15</v>
      </c>
      <c r="F191">
        <v>1834</v>
      </c>
      <c r="G191">
        <v>609</v>
      </c>
      <c r="H191">
        <v>1531</v>
      </c>
      <c r="I191">
        <v>417</v>
      </c>
      <c r="J191">
        <v>673</v>
      </c>
      <c r="K191">
        <v>327</v>
      </c>
      <c r="L191">
        <v>958</v>
      </c>
      <c r="M191">
        <v>320</v>
      </c>
      <c r="N191">
        <v>193</v>
      </c>
      <c r="O191">
        <v>43</v>
      </c>
      <c r="P191">
        <v>454</v>
      </c>
      <c r="Q191">
        <v>574</v>
      </c>
      <c r="R191">
        <v>190</v>
      </c>
    </row>
    <row r="192" spans="1:18">
      <c r="A192" s="1" t="s">
        <v>165</v>
      </c>
      <c r="B192">
        <v>29</v>
      </c>
      <c r="C192">
        <v>20</v>
      </c>
      <c r="D192">
        <v>9</v>
      </c>
      <c r="E192">
        <v>-0.92</v>
      </c>
      <c r="F192">
        <v>2136</v>
      </c>
      <c r="G192">
        <v>755</v>
      </c>
      <c r="H192">
        <v>1675</v>
      </c>
      <c r="I192">
        <v>456</v>
      </c>
      <c r="J192">
        <v>619</v>
      </c>
      <c r="K192">
        <v>357</v>
      </c>
      <c r="L192">
        <v>1042</v>
      </c>
      <c r="M192">
        <v>364</v>
      </c>
      <c r="N192">
        <v>199</v>
      </c>
      <c r="O192">
        <v>116</v>
      </c>
      <c r="P192">
        <v>392</v>
      </c>
      <c r="Q192">
        <v>467</v>
      </c>
      <c r="R192">
        <v>191</v>
      </c>
    </row>
    <row r="193" spans="1:18">
      <c r="A193" s="1" t="s">
        <v>166</v>
      </c>
      <c r="B193">
        <v>28</v>
      </c>
      <c r="C193">
        <v>10</v>
      </c>
      <c r="D193">
        <v>18</v>
      </c>
      <c r="E193">
        <v>4.0599999999999996</v>
      </c>
      <c r="F193">
        <v>1986</v>
      </c>
      <c r="G193">
        <v>659</v>
      </c>
      <c r="H193">
        <v>1559</v>
      </c>
      <c r="I193">
        <v>446</v>
      </c>
      <c r="J193">
        <v>609</v>
      </c>
      <c r="K193">
        <v>296</v>
      </c>
      <c r="L193">
        <v>910</v>
      </c>
      <c r="M193">
        <v>339</v>
      </c>
      <c r="N193">
        <v>160</v>
      </c>
      <c r="O193">
        <v>75</v>
      </c>
      <c r="P193">
        <v>331</v>
      </c>
      <c r="Q193">
        <v>506</v>
      </c>
      <c r="R193">
        <v>192</v>
      </c>
    </row>
    <row r="194" spans="1:18">
      <c r="A194" s="1" t="s">
        <v>167</v>
      </c>
      <c r="B194">
        <v>29</v>
      </c>
      <c r="C194">
        <v>15</v>
      </c>
      <c r="D194">
        <v>14</v>
      </c>
      <c r="E194">
        <v>0.28000000000000003</v>
      </c>
      <c r="F194">
        <v>2049</v>
      </c>
      <c r="G194">
        <v>717</v>
      </c>
      <c r="H194">
        <v>1611</v>
      </c>
      <c r="I194">
        <v>456</v>
      </c>
      <c r="J194">
        <v>671</v>
      </c>
      <c r="K194">
        <v>391</v>
      </c>
      <c r="L194">
        <v>1087</v>
      </c>
      <c r="M194">
        <v>365</v>
      </c>
      <c r="N194">
        <v>195</v>
      </c>
      <c r="O194">
        <v>115</v>
      </c>
      <c r="P194">
        <v>480</v>
      </c>
      <c r="Q194">
        <v>502</v>
      </c>
      <c r="R194">
        <v>193</v>
      </c>
    </row>
    <row r="195" spans="1:18">
      <c r="A195" s="1" t="s">
        <v>168</v>
      </c>
      <c r="B195">
        <v>29</v>
      </c>
      <c r="C195">
        <v>17</v>
      </c>
      <c r="D195">
        <v>12</v>
      </c>
      <c r="E195">
        <v>-2.23</v>
      </c>
      <c r="F195">
        <v>2163</v>
      </c>
      <c r="G195">
        <v>756</v>
      </c>
      <c r="H195">
        <v>1632</v>
      </c>
      <c r="I195">
        <v>505</v>
      </c>
      <c r="J195">
        <v>737</v>
      </c>
      <c r="K195">
        <v>394</v>
      </c>
      <c r="L195">
        <v>1058</v>
      </c>
      <c r="M195">
        <v>413</v>
      </c>
      <c r="N195">
        <v>220</v>
      </c>
      <c r="O195">
        <v>94</v>
      </c>
      <c r="P195">
        <v>423</v>
      </c>
      <c r="Q195">
        <v>509</v>
      </c>
      <c r="R195">
        <v>194</v>
      </c>
    </row>
    <row r="196" spans="1:18">
      <c r="A196" s="1" t="s">
        <v>169</v>
      </c>
      <c r="B196">
        <v>28</v>
      </c>
      <c r="C196">
        <v>3</v>
      </c>
      <c r="D196">
        <v>25</v>
      </c>
      <c r="E196">
        <v>-5.51</v>
      </c>
      <c r="F196">
        <v>1508</v>
      </c>
      <c r="G196">
        <v>531</v>
      </c>
      <c r="H196">
        <v>1375</v>
      </c>
      <c r="I196">
        <v>296</v>
      </c>
      <c r="J196">
        <v>445</v>
      </c>
      <c r="K196">
        <v>283</v>
      </c>
      <c r="L196">
        <v>857</v>
      </c>
      <c r="M196">
        <v>276</v>
      </c>
      <c r="N196">
        <v>157</v>
      </c>
      <c r="O196">
        <v>23</v>
      </c>
      <c r="P196">
        <v>494</v>
      </c>
      <c r="Q196">
        <v>527</v>
      </c>
      <c r="R196">
        <v>195</v>
      </c>
    </row>
    <row r="197" spans="1:18">
      <c r="A197" s="1" t="s">
        <v>170</v>
      </c>
      <c r="B197">
        <v>29</v>
      </c>
      <c r="C197">
        <v>14</v>
      </c>
      <c r="D197">
        <v>15</v>
      </c>
      <c r="E197">
        <v>-11.83</v>
      </c>
      <c r="F197">
        <v>1826</v>
      </c>
      <c r="G197">
        <v>643</v>
      </c>
      <c r="H197">
        <v>1520</v>
      </c>
      <c r="I197">
        <v>410</v>
      </c>
      <c r="J197">
        <v>634</v>
      </c>
      <c r="K197">
        <v>340</v>
      </c>
      <c r="L197">
        <v>1000</v>
      </c>
      <c r="M197">
        <v>281</v>
      </c>
      <c r="N197">
        <v>226</v>
      </c>
      <c r="O197">
        <v>119</v>
      </c>
      <c r="P197">
        <v>497</v>
      </c>
      <c r="Q197">
        <v>547</v>
      </c>
      <c r="R197">
        <v>196</v>
      </c>
    </row>
    <row r="198" spans="1:18">
      <c r="A198" s="1" t="s">
        <v>171</v>
      </c>
      <c r="B198">
        <v>32</v>
      </c>
      <c r="C198">
        <v>15</v>
      </c>
      <c r="D198">
        <v>17</v>
      </c>
      <c r="E198">
        <v>-5.61</v>
      </c>
      <c r="F198">
        <v>2320</v>
      </c>
      <c r="G198">
        <v>801</v>
      </c>
      <c r="H198">
        <v>1848</v>
      </c>
      <c r="I198">
        <v>506</v>
      </c>
      <c r="J198">
        <v>665</v>
      </c>
      <c r="K198">
        <v>393</v>
      </c>
      <c r="L198">
        <v>1142</v>
      </c>
      <c r="M198">
        <v>430</v>
      </c>
      <c r="N198">
        <v>230</v>
      </c>
      <c r="O198">
        <v>99</v>
      </c>
      <c r="P198">
        <v>514</v>
      </c>
      <c r="Q198">
        <v>616</v>
      </c>
      <c r="R198">
        <v>197</v>
      </c>
    </row>
    <row r="199" spans="1:18">
      <c r="A199" s="1" t="s">
        <v>172</v>
      </c>
      <c r="B199">
        <v>27</v>
      </c>
      <c r="C199">
        <v>1</v>
      </c>
      <c r="D199">
        <v>26</v>
      </c>
      <c r="E199">
        <v>-8.15</v>
      </c>
      <c r="F199">
        <v>1654</v>
      </c>
      <c r="G199">
        <v>600</v>
      </c>
      <c r="H199">
        <v>1523</v>
      </c>
      <c r="I199">
        <v>286</v>
      </c>
      <c r="J199">
        <v>488</v>
      </c>
      <c r="K199">
        <v>323</v>
      </c>
      <c r="L199">
        <v>878</v>
      </c>
      <c r="M199">
        <v>248</v>
      </c>
      <c r="N199">
        <v>166</v>
      </c>
      <c r="O199">
        <v>39</v>
      </c>
      <c r="P199">
        <v>457</v>
      </c>
      <c r="Q199">
        <v>507</v>
      </c>
      <c r="R199">
        <v>198</v>
      </c>
    </row>
    <row r="200" spans="1:18">
      <c r="A200" s="1" t="s">
        <v>173</v>
      </c>
      <c r="B200">
        <v>29</v>
      </c>
      <c r="C200">
        <v>7</v>
      </c>
      <c r="D200">
        <v>22</v>
      </c>
      <c r="E200">
        <v>-2.78</v>
      </c>
      <c r="F200">
        <v>2042</v>
      </c>
      <c r="G200">
        <v>759</v>
      </c>
      <c r="H200">
        <v>1708</v>
      </c>
      <c r="I200">
        <v>336</v>
      </c>
      <c r="J200">
        <v>466</v>
      </c>
      <c r="K200">
        <v>329</v>
      </c>
      <c r="L200">
        <v>988</v>
      </c>
      <c r="M200">
        <v>408</v>
      </c>
      <c r="N200">
        <v>207</v>
      </c>
      <c r="O200">
        <v>102</v>
      </c>
      <c r="P200">
        <v>473</v>
      </c>
      <c r="Q200">
        <v>571</v>
      </c>
      <c r="R200">
        <v>199</v>
      </c>
    </row>
    <row r="201" spans="1:18">
      <c r="A201" s="1" t="s">
        <v>174</v>
      </c>
      <c r="B201">
        <v>31</v>
      </c>
      <c r="C201">
        <v>18</v>
      </c>
      <c r="D201">
        <v>13</v>
      </c>
      <c r="E201">
        <v>7.57</v>
      </c>
      <c r="F201">
        <v>2246</v>
      </c>
      <c r="G201">
        <v>755</v>
      </c>
      <c r="H201">
        <v>1656</v>
      </c>
      <c r="I201">
        <v>488</v>
      </c>
      <c r="J201">
        <v>634</v>
      </c>
      <c r="K201">
        <v>290</v>
      </c>
      <c r="L201">
        <v>989</v>
      </c>
      <c r="M201">
        <v>456</v>
      </c>
      <c r="N201">
        <v>238</v>
      </c>
      <c r="O201">
        <v>100</v>
      </c>
      <c r="P201">
        <v>440</v>
      </c>
      <c r="Q201">
        <v>580</v>
      </c>
      <c r="R201">
        <v>200</v>
      </c>
    </row>
    <row r="202" spans="1:18">
      <c r="A202" s="1" t="s">
        <v>286</v>
      </c>
      <c r="B202">
        <v>31</v>
      </c>
      <c r="C202">
        <v>24</v>
      </c>
      <c r="D202">
        <v>7</v>
      </c>
      <c r="E202">
        <v>-2.8</v>
      </c>
      <c r="F202">
        <v>2214</v>
      </c>
      <c r="G202">
        <v>801</v>
      </c>
      <c r="H202">
        <v>1747</v>
      </c>
      <c r="I202">
        <v>396</v>
      </c>
      <c r="J202">
        <v>572</v>
      </c>
      <c r="K202">
        <v>309</v>
      </c>
      <c r="L202">
        <v>1022</v>
      </c>
      <c r="M202">
        <v>456</v>
      </c>
      <c r="N202">
        <v>283</v>
      </c>
      <c r="O202">
        <v>58</v>
      </c>
      <c r="P202">
        <v>352</v>
      </c>
      <c r="Q202">
        <v>572</v>
      </c>
      <c r="R202">
        <v>201</v>
      </c>
    </row>
    <row r="203" spans="1:18">
      <c r="A203" s="1" t="s">
        <v>312</v>
      </c>
      <c r="B203">
        <v>35</v>
      </c>
      <c r="C203">
        <v>19</v>
      </c>
      <c r="D203">
        <v>16</v>
      </c>
      <c r="E203">
        <v>10.31</v>
      </c>
      <c r="F203">
        <v>2524</v>
      </c>
      <c r="G203">
        <v>900</v>
      </c>
      <c r="H203">
        <v>2062</v>
      </c>
      <c r="I203">
        <v>434</v>
      </c>
      <c r="J203">
        <v>655</v>
      </c>
      <c r="K203">
        <v>400</v>
      </c>
      <c r="L203">
        <v>1196</v>
      </c>
      <c r="M203">
        <v>555</v>
      </c>
      <c r="N203">
        <v>293</v>
      </c>
      <c r="O203">
        <v>163</v>
      </c>
      <c r="P203">
        <v>522</v>
      </c>
      <c r="Q203">
        <v>604</v>
      </c>
      <c r="R203">
        <v>202</v>
      </c>
    </row>
    <row r="204" spans="1:18">
      <c r="A204" s="1" t="s">
        <v>175</v>
      </c>
      <c r="B204">
        <v>28</v>
      </c>
      <c r="C204">
        <v>7</v>
      </c>
      <c r="D204">
        <v>21</v>
      </c>
      <c r="E204">
        <v>3.09</v>
      </c>
      <c r="F204">
        <v>1965</v>
      </c>
      <c r="G204">
        <v>692</v>
      </c>
      <c r="H204">
        <v>1629</v>
      </c>
      <c r="I204">
        <v>424</v>
      </c>
      <c r="J204">
        <v>604</v>
      </c>
      <c r="K204">
        <v>349</v>
      </c>
      <c r="L204">
        <v>1037</v>
      </c>
      <c r="M204">
        <v>359</v>
      </c>
      <c r="N204">
        <v>179</v>
      </c>
      <c r="O204">
        <v>113</v>
      </c>
      <c r="P204">
        <v>488</v>
      </c>
      <c r="Q204">
        <v>623</v>
      </c>
      <c r="R204">
        <v>203</v>
      </c>
    </row>
    <row r="205" spans="1:18">
      <c r="A205" s="1" t="s">
        <v>176</v>
      </c>
      <c r="B205">
        <v>31</v>
      </c>
      <c r="C205">
        <v>16</v>
      </c>
      <c r="D205">
        <v>15</v>
      </c>
      <c r="E205">
        <v>-4.8099999999999996</v>
      </c>
      <c r="F205">
        <v>2290</v>
      </c>
      <c r="G205">
        <v>826</v>
      </c>
      <c r="H205">
        <v>1930</v>
      </c>
      <c r="I205">
        <v>422</v>
      </c>
      <c r="J205">
        <v>616</v>
      </c>
      <c r="K205">
        <v>422</v>
      </c>
      <c r="L205">
        <v>1131</v>
      </c>
      <c r="M205">
        <v>433</v>
      </c>
      <c r="N205">
        <v>299</v>
      </c>
      <c r="O205">
        <v>91</v>
      </c>
      <c r="P205">
        <v>476</v>
      </c>
      <c r="Q205">
        <v>677</v>
      </c>
      <c r="R205">
        <v>204</v>
      </c>
    </row>
    <row r="206" spans="1:18">
      <c r="A206" s="1" t="s">
        <v>287</v>
      </c>
      <c r="B206">
        <v>28</v>
      </c>
      <c r="C206">
        <v>15</v>
      </c>
      <c r="D206">
        <v>13</v>
      </c>
      <c r="E206">
        <v>-3.25</v>
      </c>
      <c r="F206">
        <v>2038</v>
      </c>
      <c r="G206">
        <v>737</v>
      </c>
      <c r="H206">
        <v>1609</v>
      </c>
      <c r="I206">
        <v>337</v>
      </c>
      <c r="J206">
        <v>527</v>
      </c>
      <c r="K206">
        <v>299</v>
      </c>
      <c r="L206">
        <v>1007</v>
      </c>
      <c r="M206">
        <v>434</v>
      </c>
      <c r="N206">
        <v>148</v>
      </c>
      <c r="O206">
        <v>86</v>
      </c>
      <c r="P206">
        <v>465</v>
      </c>
      <c r="Q206">
        <v>552</v>
      </c>
      <c r="R206">
        <v>205</v>
      </c>
    </row>
    <row r="207" spans="1:18">
      <c r="A207" s="1" t="s">
        <v>177</v>
      </c>
      <c r="B207">
        <v>31</v>
      </c>
      <c r="C207">
        <v>17</v>
      </c>
      <c r="D207">
        <v>14</v>
      </c>
      <c r="E207">
        <v>1.1100000000000001</v>
      </c>
      <c r="F207">
        <v>2158</v>
      </c>
      <c r="G207">
        <v>755</v>
      </c>
      <c r="H207">
        <v>1645</v>
      </c>
      <c r="I207">
        <v>453</v>
      </c>
      <c r="J207">
        <v>694</v>
      </c>
      <c r="K207">
        <v>403</v>
      </c>
      <c r="L207">
        <v>1105</v>
      </c>
      <c r="M207">
        <v>393</v>
      </c>
      <c r="N207">
        <v>236</v>
      </c>
      <c r="O207">
        <v>113</v>
      </c>
      <c r="P207">
        <v>527</v>
      </c>
      <c r="Q207">
        <v>613</v>
      </c>
      <c r="R207">
        <v>206</v>
      </c>
    </row>
    <row r="208" spans="1:18">
      <c r="A208" s="1" t="s">
        <v>178</v>
      </c>
      <c r="B208">
        <v>28</v>
      </c>
      <c r="C208">
        <v>11</v>
      </c>
      <c r="D208">
        <v>17</v>
      </c>
      <c r="E208">
        <v>1.47</v>
      </c>
      <c r="F208">
        <v>1830</v>
      </c>
      <c r="G208">
        <v>646</v>
      </c>
      <c r="H208">
        <v>1438</v>
      </c>
      <c r="I208">
        <v>322</v>
      </c>
      <c r="J208">
        <v>473</v>
      </c>
      <c r="K208">
        <v>229</v>
      </c>
      <c r="L208">
        <v>872</v>
      </c>
      <c r="M208">
        <v>396</v>
      </c>
      <c r="N208">
        <v>140</v>
      </c>
      <c r="O208">
        <v>51</v>
      </c>
      <c r="P208">
        <v>375</v>
      </c>
      <c r="Q208">
        <v>459</v>
      </c>
      <c r="R208">
        <v>207</v>
      </c>
    </row>
    <row r="209" spans="1:18">
      <c r="A209" s="1" t="s">
        <v>179</v>
      </c>
      <c r="B209">
        <v>27</v>
      </c>
      <c r="C209">
        <v>6</v>
      </c>
      <c r="D209">
        <v>21</v>
      </c>
      <c r="E209">
        <v>-6.76</v>
      </c>
      <c r="F209">
        <v>1682</v>
      </c>
      <c r="G209">
        <v>603</v>
      </c>
      <c r="H209">
        <v>1533</v>
      </c>
      <c r="I209">
        <v>386</v>
      </c>
      <c r="J209">
        <v>612</v>
      </c>
      <c r="K209">
        <v>376</v>
      </c>
      <c r="L209">
        <v>984</v>
      </c>
      <c r="M209">
        <v>294</v>
      </c>
      <c r="N209">
        <v>216</v>
      </c>
      <c r="O209">
        <v>105</v>
      </c>
      <c r="P209">
        <v>503</v>
      </c>
      <c r="Q209">
        <v>586</v>
      </c>
      <c r="R209">
        <v>208</v>
      </c>
    </row>
    <row r="210" spans="1:18">
      <c r="A210" s="1" t="s">
        <v>180</v>
      </c>
      <c r="B210">
        <v>29</v>
      </c>
      <c r="C210">
        <v>12</v>
      </c>
      <c r="D210">
        <v>17</v>
      </c>
      <c r="E210">
        <v>5.43</v>
      </c>
      <c r="F210">
        <v>1816</v>
      </c>
      <c r="G210">
        <v>624</v>
      </c>
      <c r="H210">
        <v>1455</v>
      </c>
      <c r="I210">
        <v>369</v>
      </c>
      <c r="J210">
        <v>529</v>
      </c>
      <c r="K210">
        <v>277</v>
      </c>
      <c r="L210">
        <v>862</v>
      </c>
      <c r="M210">
        <v>429</v>
      </c>
      <c r="N210">
        <v>200</v>
      </c>
      <c r="O210">
        <v>81</v>
      </c>
      <c r="P210">
        <v>373</v>
      </c>
      <c r="Q210">
        <v>513</v>
      </c>
      <c r="R210">
        <v>209</v>
      </c>
    </row>
    <row r="211" spans="1:18">
      <c r="A211" s="1" t="s">
        <v>181</v>
      </c>
      <c r="B211">
        <v>34</v>
      </c>
      <c r="C211">
        <v>24</v>
      </c>
      <c r="D211">
        <v>10</v>
      </c>
      <c r="E211">
        <v>9.43</v>
      </c>
      <c r="F211">
        <v>2692</v>
      </c>
      <c r="G211">
        <v>917</v>
      </c>
      <c r="H211">
        <v>2055</v>
      </c>
      <c r="I211">
        <v>575</v>
      </c>
      <c r="J211">
        <v>756</v>
      </c>
      <c r="K211">
        <v>378</v>
      </c>
      <c r="L211">
        <v>1303</v>
      </c>
      <c r="M211">
        <v>558</v>
      </c>
      <c r="N211">
        <v>248</v>
      </c>
      <c r="O211">
        <v>189</v>
      </c>
      <c r="P211">
        <v>446</v>
      </c>
      <c r="Q211">
        <v>551</v>
      </c>
      <c r="R211">
        <v>210</v>
      </c>
    </row>
    <row r="212" spans="1:18">
      <c r="A212" s="1" t="s">
        <v>182</v>
      </c>
      <c r="B212">
        <v>28</v>
      </c>
      <c r="C212">
        <v>17</v>
      </c>
      <c r="D212">
        <v>11</v>
      </c>
      <c r="E212">
        <v>-5.05</v>
      </c>
      <c r="F212">
        <v>2207</v>
      </c>
      <c r="G212">
        <v>762</v>
      </c>
      <c r="H212">
        <v>1651</v>
      </c>
      <c r="I212">
        <v>505</v>
      </c>
      <c r="J212">
        <v>735</v>
      </c>
      <c r="K212">
        <v>355</v>
      </c>
      <c r="L212">
        <v>1022</v>
      </c>
      <c r="M212">
        <v>390</v>
      </c>
      <c r="N212">
        <v>229</v>
      </c>
      <c r="O212">
        <v>92</v>
      </c>
      <c r="P212">
        <v>396</v>
      </c>
      <c r="Q212">
        <v>516</v>
      </c>
      <c r="R212">
        <v>211</v>
      </c>
    </row>
    <row r="213" spans="1:18">
      <c r="A213" s="1" t="s">
        <v>321</v>
      </c>
      <c r="B213">
        <v>32</v>
      </c>
      <c r="C213">
        <v>17</v>
      </c>
      <c r="D213">
        <v>15</v>
      </c>
      <c r="E213">
        <v>8.49</v>
      </c>
      <c r="F213">
        <v>2055</v>
      </c>
      <c r="G213">
        <v>685</v>
      </c>
      <c r="H213">
        <v>1670</v>
      </c>
      <c r="I213">
        <v>529</v>
      </c>
      <c r="J213">
        <v>746</v>
      </c>
      <c r="K213">
        <v>359</v>
      </c>
      <c r="L213">
        <v>1100</v>
      </c>
      <c r="M213">
        <v>369</v>
      </c>
      <c r="N213">
        <v>168</v>
      </c>
      <c r="O213">
        <v>62</v>
      </c>
      <c r="P213">
        <v>442</v>
      </c>
      <c r="Q213">
        <v>585</v>
      </c>
      <c r="R213">
        <v>212</v>
      </c>
    </row>
    <row r="214" spans="1:18">
      <c r="A214" s="1" t="s">
        <v>183</v>
      </c>
      <c r="B214">
        <v>30</v>
      </c>
      <c r="C214">
        <v>14</v>
      </c>
      <c r="D214">
        <v>16</v>
      </c>
      <c r="E214">
        <v>2.41</v>
      </c>
      <c r="F214">
        <v>2139</v>
      </c>
      <c r="G214">
        <v>722</v>
      </c>
      <c r="H214">
        <v>1588</v>
      </c>
      <c r="I214">
        <v>509</v>
      </c>
      <c r="J214">
        <v>747</v>
      </c>
      <c r="K214">
        <v>304</v>
      </c>
      <c r="L214">
        <v>1006</v>
      </c>
      <c r="M214">
        <v>426</v>
      </c>
      <c r="N214">
        <v>189</v>
      </c>
      <c r="O214">
        <v>76</v>
      </c>
      <c r="P214">
        <v>457</v>
      </c>
      <c r="Q214">
        <v>572</v>
      </c>
      <c r="R214">
        <v>213</v>
      </c>
    </row>
    <row r="215" spans="1:18">
      <c r="A215" s="1" t="s">
        <v>340</v>
      </c>
      <c r="B215">
        <v>32</v>
      </c>
      <c r="C215">
        <v>22</v>
      </c>
      <c r="D215">
        <v>10</v>
      </c>
      <c r="E215">
        <v>8.4600000000000009</v>
      </c>
      <c r="F215">
        <v>2224</v>
      </c>
      <c r="G215">
        <v>800</v>
      </c>
      <c r="H215">
        <v>1784</v>
      </c>
      <c r="I215">
        <v>467</v>
      </c>
      <c r="J215">
        <v>719</v>
      </c>
      <c r="K215">
        <v>397</v>
      </c>
      <c r="L215">
        <v>1175</v>
      </c>
      <c r="M215">
        <v>408</v>
      </c>
      <c r="N215">
        <v>286</v>
      </c>
      <c r="O215">
        <v>171</v>
      </c>
      <c r="P215">
        <v>474</v>
      </c>
      <c r="Q215">
        <v>644</v>
      </c>
      <c r="R215">
        <v>214</v>
      </c>
    </row>
    <row r="216" spans="1:18">
      <c r="A216" s="1" t="s">
        <v>329</v>
      </c>
      <c r="B216">
        <v>34</v>
      </c>
      <c r="C216">
        <v>27</v>
      </c>
      <c r="D216">
        <v>7</v>
      </c>
      <c r="E216">
        <v>8.5299999999999994</v>
      </c>
      <c r="F216">
        <v>2392</v>
      </c>
      <c r="G216">
        <v>853</v>
      </c>
      <c r="H216">
        <v>1912</v>
      </c>
      <c r="I216">
        <v>436</v>
      </c>
      <c r="J216">
        <v>629</v>
      </c>
      <c r="K216">
        <v>414</v>
      </c>
      <c r="L216">
        <v>1251</v>
      </c>
      <c r="M216">
        <v>482</v>
      </c>
      <c r="N216">
        <v>237</v>
      </c>
      <c r="O216">
        <v>123</v>
      </c>
      <c r="P216">
        <v>412</v>
      </c>
      <c r="Q216">
        <v>619</v>
      </c>
      <c r="R216">
        <v>215</v>
      </c>
    </row>
    <row r="217" spans="1:18">
      <c r="A217" s="1" t="s">
        <v>184</v>
      </c>
      <c r="B217">
        <v>27</v>
      </c>
      <c r="C217">
        <v>12</v>
      </c>
      <c r="D217">
        <v>15</v>
      </c>
      <c r="E217">
        <v>-2.2000000000000002</v>
      </c>
      <c r="F217">
        <v>1799</v>
      </c>
      <c r="G217">
        <v>627</v>
      </c>
      <c r="H217">
        <v>1560</v>
      </c>
      <c r="I217">
        <v>387</v>
      </c>
      <c r="J217">
        <v>551</v>
      </c>
      <c r="K217">
        <v>377</v>
      </c>
      <c r="L217">
        <v>1023</v>
      </c>
      <c r="M217">
        <v>384</v>
      </c>
      <c r="N217">
        <v>223</v>
      </c>
      <c r="O217">
        <v>76</v>
      </c>
      <c r="P217">
        <v>360</v>
      </c>
      <c r="Q217">
        <v>495</v>
      </c>
      <c r="R217">
        <v>216</v>
      </c>
    </row>
    <row r="218" spans="1:18">
      <c r="A218" s="1" t="s">
        <v>185</v>
      </c>
      <c r="B218">
        <v>28</v>
      </c>
      <c r="C218">
        <v>18</v>
      </c>
      <c r="D218">
        <v>10</v>
      </c>
      <c r="E218">
        <v>-5.73</v>
      </c>
      <c r="F218">
        <v>2169</v>
      </c>
      <c r="G218">
        <v>712</v>
      </c>
      <c r="H218">
        <v>1593</v>
      </c>
      <c r="I218">
        <v>530</v>
      </c>
      <c r="J218">
        <v>706</v>
      </c>
      <c r="K218">
        <v>339</v>
      </c>
      <c r="L218">
        <v>1058</v>
      </c>
      <c r="M218">
        <v>435</v>
      </c>
      <c r="N218">
        <v>150</v>
      </c>
      <c r="O218">
        <v>131</v>
      </c>
      <c r="P218">
        <v>400</v>
      </c>
      <c r="Q218">
        <v>553</v>
      </c>
      <c r="R218">
        <v>217</v>
      </c>
    </row>
    <row r="219" spans="1:18">
      <c r="A219" s="1" t="s">
        <v>186</v>
      </c>
      <c r="B219">
        <v>28</v>
      </c>
      <c r="C219">
        <v>13</v>
      </c>
      <c r="D219">
        <v>15</v>
      </c>
      <c r="E219">
        <v>5.86</v>
      </c>
      <c r="F219">
        <v>1903</v>
      </c>
      <c r="G219">
        <v>671</v>
      </c>
      <c r="H219">
        <v>1595</v>
      </c>
      <c r="I219">
        <v>435</v>
      </c>
      <c r="J219">
        <v>634</v>
      </c>
      <c r="K219">
        <v>324</v>
      </c>
      <c r="L219">
        <v>1022</v>
      </c>
      <c r="M219">
        <v>382</v>
      </c>
      <c r="N219">
        <v>150</v>
      </c>
      <c r="O219">
        <v>98</v>
      </c>
      <c r="P219">
        <v>383</v>
      </c>
      <c r="Q219">
        <v>464</v>
      </c>
      <c r="R219">
        <v>218</v>
      </c>
    </row>
    <row r="220" spans="1:18">
      <c r="A220" s="1" t="s">
        <v>288</v>
      </c>
      <c r="B220">
        <v>33</v>
      </c>
      <c r="C220">
        <v>23</v>
      </c>
      <c r="D220">
        <v>10</v>
      </c>
      <c r="E220">
        <v>6.11</v>
      </c>
      <c r="F220">
        <v>2689</v>
      </c>
      <c r="G220">
        <v>934</v>
      </c>
      <c r="H220">
        <v>2039</v>
      </c>
      <c r="I220">
        <v>530</v>
      </c>
      <c r="J220">
        <v>685</v>
      </c>
      <c r="K220">
        <v>377</v>
      </c>
      <c r="L220">
        <v>1190</v>
      </c>
      <c r="M220">
        <v>567</v>
      </c>
      <c r="N220">
        <v>263</v>
      </c>
      <c r="O220">
        <v>91</v>
      </c>
      <c r="P220">
        <v>504</v>
      </c>
      <c r="Q220">
        <v>692</v>
      </c>
      <c r="R220">
        <v>219</v>
      </c>
    </row>
    <row r="221" spans="1:18">
      <c r="A221" s="1" t="s">
        <v>187</v>
      </c>
      <c r="B221">
        <v>28</v>
      </c>
      <c r="C221">
        <v>12</v>
      </c>
      <c r="D221">
        <v>16</v>
      </c>
      <c r="E221">
        <v>-0.95</v>
      </c>
      <c r="F221">
        <v>1846</v>
      </c>
      <c r="G221">
        <v>656</v>
      </c>
      <c r="H221">
        <v>1584</v>
      </c>
      <c r="I221">
        <v>344</v>
      </c>
      <c r="J221">
        <v>485</v>
      </c>
      <c r="K221">
        <v>313</v>
      </c>
      <c r="L221">
        <v>964</v>
      </c>
      <c r="M221">
        <v>330</v>
      </c>
      <c r="N221">
        <v>162</v>
      </c>
      <c r="O221">
        <v>77</v>
      </c>
      <c r="P221">
        <v>378</v>
      </c>
      <c r="Q221">
        <v>552</v>
      </c>
      <c r="R221">
        <v>220</v>
      </c>
    </row>
    <row r="222" spans="1:18">
      <c r="A222" s="1" t="s">
        <v>188</v>
      </c>
      <c r="B222">
        <v>28</v>
      </c>
      <c r="C222">
        <v>7</v>
      </c>
      <c r="D222">
        <v>21</v>
      </c>
      <c r="E222">
        <v>7.71</v>
      </c>
      <c r="F222">
        <v>1766</v>
      </c>
      <c r="G222">
        <v>637</v>
      </c>
      <c r="H222">
        <v>1589</v>
      </c>
      <c r="I222">
        <v>320</v>
      </c>
      <c r="J222">
        <v>435</v>
      </c>
      <c r="K222">
        <v>323</v>
      </c>
      <c r="L222">
        <v>890</v>
      </c>
      <c r="M222">
        <v>320</v>
      </c>
      <c r="N222">
        <v>165</v>
      </c>
      <c r="O222">
        <v>107</v>
      </c>
      <c r="P222">
        <v>445</v>
      </c>
      <c r="Q222">
        <v>571</v>
      </c>
      <c r="R222">
        <v>221</v>
      </c>
    </row>
    <row r="223" spans="1:18">
      <c r="A223" s="1" t="s">
        <v>289</v>
      </c>
      <c r="B223">
        <v>28</v>
      </c>
      <c r="C223">
        <v>22</v>
      </c>
      <c r="D223">
        <v>6</v>
      </c>
      <c r="E223">
        <v>-1.45</v>
      </c>
      <c r="F223">
        <v>1958</v>
      </c>
      <c r="G223">
        <v>668</v>
      </c>
      <c r="H223">
        <v>1432</v>
      </c>
      <c r="I223">
        <v>371</v>
      </c>
      <c r="J223">
        <v>523</v>
      </c>
      <c r="K223">
        <v>254</v>
      </c>
      <c r="L223">
        <v>926</v>
      </c>
      <c r="M223">
        <v>418</v>
      </c>
      <c r="N223">
        <v>199</v>
      </c>
      <c r="O223">
        <v>59</v>
      </c>
      <c r="P223">
        <v>370</v>
      </c>
      <c r="Q223">
        <v>500</v>
      </c>
      <c r="R223">
        <v>222</v>
      </c>
    </row>
    <row r="224" spans="1:18">
      <c r="A224" s="1" t="s">
        <v>290</v>
      </c>
      <c r="B224">
        <v>28</v>
      </c>
      <c r="C224">
        <v>15</v>
      </c>
      <c r="D224">
        <v>13</v>
      </c>
      <c r="E224">
        <v>1.79</v>
      </c>
      <c r="F224">
        <v>2195</v>
      </c>
      <c r="G224">
        <v>804</v>
      </c>
      <c r="H224">
        <v>1738</v>
      </c>
      <c r="I224">
        <v>367</v>
      </c>
      <c r="J224">
        <v>507</v>
      </c>
      <c r="K224">
        <v>304</v>
      </c>
      <c r="L224">
        <v>938</v>
      </c>
      <c r="M224">
        <v>378</v>
      </c>
      <c r="N224">
        <v>191</v>
      </c>
      <c r="O224">
        <v>87</v>
      </c>
      <c r="P224">
        <v>364</v>
      </c>
      <c r="Q224">
        <v>520</v>
      </c>
      <c r="R224">
        <v>223</v>
      </c>
    </row>
    <row r="225" spans="1:18">
      <c r="A225" s="1" t="s">
        <v>189</v>
      </c>
      <c r="B225">
        <v>33</v>
      </c>
      <c r="C225">
        <v>28</v>
      </c>
      <c r="D225">
        <v>5</v>
      </c>
      <c r="E225">
        <v>5.79</v>
      </c>
      <c r="F225">
        <v>2473</v>
      </c>
      <c r="G225">
        <v>893</v>
      </c>
      <c r="H225">
        <v>1766</v>
      </c>
      <c r="I225">
        <v>479</v>
      </c>
      <c r="J225">
        <v>748</v>
      </c>
      <c r="K225">
        <v>369</v>
      </c>
      <c r="L225">
        <v>1203</v>
      </c>
      <c r="M225">
        <v>589</v>
      </c>
      <c r="N225">
        <v>271</v>
      </c>
      <c r="O225">
        <v>134</v>
      </c>
      <c r="P225">
        <v>484</v>
      </c>
      <c r="Q225">
        <v>591</v>
      </c>
      <c r="R225">
        <v>224</v>
      </c>
    </row>
    <row r="226" spans="1:18">
      <c r="A226" s="1" t="s">
        <v>190</v>
      </c>
      <c r="B226">
        <v>27</v>
      </c>
      <c r="C226">
        <v>5</v>
      </c>
      <c r="D226">
        <v>22</v>
      </c>
      <c r="E226">
        <v>-0.28000000000000003</v>
      </c>
      <c r="F226">
        <v>1576</v>
      </c>
      <c r="G226">
        <v>544</v>
      </c>
      <c r="H226">
        <v>1344</v>
      </c>
      <c r="I226">
        <v>353</v>
      </c>
      <c r="J226">
        <v>528</v>
      </c>
      <c r="K226">
        <v>269</v>
      </c>
      <c r="L226">
        <v>873</v>
      </c>
      <c r="M226">
        <v>293</v>
      </c>
      <c r="N226">
        <v>142</v>
      </c>
      <c r="O226">
        <v>72</v>
      </c>
      <c r="P226">
        <v>484</v>
      </c>
      <c r="Q226">
        <v>549</v>
      </c>
      <c r="R226">
        <v>225</v>
      </c>
    </row>
    <row r="227" spans="1:18">
      <c r="A227" s="1" t="s">
        <v>191</v>
      </c>
      <c r="B227">
        <v>28</v>
      </c>
      <c r="C227">
        <v>11</v>
      </c>
      <c r="D227">
        <v>17</v>
      </c>
      <c r="E227">
        <v>1.07</v>
      </c>
      <c r="F227">
        <v>1896</v>
      </c>
      <c r="G227">
        <v>625</v>
      </c>
      <c r="H227">
        <v>1525</v>
      </c>
      <c r="I227">
        <v>450</v>
      </c>
      <c r="J227">
        <v>615</v>
      </c>
      <c r="K227">
        <v>235</v>
      </c>
      <c r="L227">
        <v>789</v>
      </c>
      <c r="M227">
        <v>395</v>
      </c>
      <c r="N227">
        <v>213</v>
      </c>
      <c r="O227">
        <v>74</v>
      </c>
      <c r="P227">
        <v>399</v>
      </c>
      <c r="Q227">
        <v>609</v>
      </c>
      <c r="R227">
        <v>226</v>
      </c>
    </row>
    <row r="228" spans="1:18">
      <c r="A228" s="1" t="s">
        <v>192</v>
      </c>
      <c r="B228">
        <v>29</v>
      </c>
      <c r="C228">
        <v>17</v>
      </c>
      <c r="D228">
        <v>12</v>
      </c>
      <c r="E228">
        <v>-8.42</v>
      </c>
      <c r="F228">
        <v>2042</v>
      </c>
      <c r="G228">
        <v>714</v>
      </c>
      <c r="H228">
        <v>1630</v>
      </c>
      <c r="I228">
        <v>470</v>
      </c>
      <c r="J228">
        <v>673</v>
      </c>
      <c r="K228">
        <v>312</v>
      </c>
      <c r="L228">
        <v>1080</v>
      </c>
      <c r="M228">
        <v>343</v>
      </c>
      <c r="N228">
        <v>191</v>
      </c>
      <c r="O228">
        <v>44</v>
      </c>
      <c r="P228">
        <v>426</v>
      </c>
      <c r="Q228">
        <v>571</v>
      </c>
      <c r="R228">
        <v>227</v>
      </c>
    </row>
    <row r="229" spans="1:18">
      <c r="A229" s="1" t="s">
        <v>193</v>
      </c>
      <c r="B229">
        <v>27</v>
      </c>
      <c r="C229">
        <v>16</v>
      </c>
      <c r="D229">
        <v>11</v>
      </c>
      <c r="E229">
        <v>-2.6</v>
      </c>
      <c r="F229">
        <v>1795</v>
      </c>
      <c r="G229">
        <v>637</v>
      </c>
      <c r="H229">
        <v>1349</v>
      </c>
      <c r="I229">
        <v>301</v>
      </c>
      <c r="J229">
        <v>436</v>
      </c>
      <c r="K229">
        <v>222</v>
      </c>
      <c r="L229">
        <v>766</v>
      </c>
      <c r="M229">
        <v>410</v>
      </c>
      <c r="N229">
        <v>204</v>
      </c>
      <c r="O229">
        <v>45</v>
      </c>
      <c r="P229">
        <v>318</v>
      </c>
      <c r="Q229">
        <v>481</v>
      </c>
      <c r="R229">
        <v>228</v>
      </c>
    </row>
    <row r="230" spans="1:18">
      <c r="A230" s="1" t="s">
        <v>194</v>
      </c>
      <c r="B230">
        <v>32</v>
      </c>
      <c r="C230">
        <v>18</v>
      </c>
      <c r="D230">
        <v>14</v>
      </c>
      <c r="E230">
        <v>7.82</v>
      </c>
      <c r="F230">
        <v>2284</v>
      </c>
      <c r="G230">
        <v>791</v>
      </c>
      <c r="H230">
        <v>1830</v>
      </c>
      <c r="I230">
        <v>496</v>
      </c>
      <c r="J230">
        <v>637</v>
      </c>
      <c r="K230">
        <v>380</v>
      </c>
      <c r="L230">
        <v>1110</v>
      </c>
      <c r="M230">
        <v>473</v>
      </c>
      <c r="N230">
        <v>283</v>
      </c>
      <c r="O230">
        <v>179</v>
      </c>
      <c r="P230">
        <v>461</v>
      </c>
      <c r="Q230">
        <v>553</v>
      </c>
      <c r="R230">
        <v>229</v>
      </c>
    </row>
    <row r="231" spans="1:18">
      <c r="A231" s="1" t="s">
        <v>291</v>
      </c>
      <c r="B231">
        <v>30</v>
      </c>
      <c r="C231">
        <v>19</v>
      </c>
      <c r="D231">
        <v>11</v>
      </c>
      <c r="E231">
        <v>9.42</v>
      </c>
      <c r="F231">
        <v>2156</v>
      </c>
      <c r="G231">
        <v>715</v>
      </c>
      <c r="H231">
        <v>1638</v>
      </c>
      <c r="I231">
        <v>569</v>
      </c>
      <c r="J231">
        <v>757</v>
      </c>
      <c r="K231">
        <v>312</v>
      </c>
      <c r="L231">
        <v>1015</v>
      </c>
      <c r="M231">
        <v>360</v>
      </c>
      <c r="N231">
        <v>216</v>
      </c>
      <c r="O231">
        <v>85</v>
      </c>
      <c r="P231">
        <v>413</v>
      </c>
      <c r="Q231">
        <v>598</v>
      </c>
      <c r="R231">
        <v>230</v>
      </c>
    </row>
    <row r="232" spans="1:18">
      <c r="A232" s="1" t="s">
        <v>195</v>
      </c>
      <c r="B232">
        <v>29</v>
      </c>
      <c r="C232">
        <v>17</v>
      </c>
      <c r="D232">
        <v>12</v>
      </c>
      <c r="E232">
        <v>-8.56</v>
      </c>
      <c r="F232">
        <v>2139</v>
      </c>
      <c r="G232">
        <v>761</v>
      </c>
      <c r="H232">
        <v>1681</v>
      </c>
      <c r="I232">
        <v>430</v>
      </c>
      <c r="J232">
        <v>630</v>
      </c>
      <c r="K232">
        <v>341</v>
      </c>
      <c r="L232">
        <v>1019</v>
      </c>
      <c r="M232">
        <v>479</v>
      </c>
      <c r="N232">
        <v>222</v>
      </c>
      <c r="O232">
        <v>77</v>
      </c>
      <c r="P232">
        <v>456</v>
      </c>
      <c r="Q232">
        <v>612</v>
      </c>
      <c r="R232">
        <v>231</v>
      </c>
    </row>
    <row r="233" spans="1:18">
      <c r="A233" s="1" t="s">
        <v>196</v>
      </c>
      <c r="B233">
        <v>30</v>
      </c>
      <c r="C233">
        <v>10</v>
      </c>
      <c r="D233">
        <v>20</v>
      </c>
      <c r="E233">
        <v>-9.24</v>
      </c>
      <c r="F233">
        <v>1893</v>
      </c>
      <c r="G233">
        <v>642</v>
      </c>
      <c r="H233">
        <v>1734</v>
      </c>
      <c r="I233">
        <v>423</v>
      </c>
      <c r="J233">
        <v>630</v>
      </c>
      <c r="K233">
        <v>359</v>
      </c>
      <c r="L233">
        <v>1056</v>
      </c>
      <c r="M233">
        <v>278</v>
      </c>
      <c r="N233">
        <v>166</v>
      </c>
      <c r="O233">
        <v>99</v>
      </c>
      <c r="P233">
        <v>430</v>
      </c>
      <c r="Q233">
        <v>587</v>
      </c>
      <c r="R233">
        <v>232</v>
      </c>
    </row>
    <row r="234" spans="1:18">
      <c r="A234" s="1" t="s">
        <v>197</v>
      </c>
      <c r="B234">
        <v>31</v>
      </c>
      <c r="C234">
        <v>19</v>
      </c>
      <c r="D234">
        <v>12</v>
      </c>
      <c r="E234">
        <v>3.35</v>
      </c>
      <c r="F234">
        <v>2163</v>
      </c>
      <c r="G234">
        <v>751</v>
      </c>
      <c r="H234">
        <v>1897</v>
      </c>
      <c r="I234">
        <v>487</v>
      </c>
      <c r="J234">
        <v>733</v>
      </c>
      <c r="K234">
        <v>472</v>
      </c>
      <c r="L234">
        <v>1182</v>
      </c>
      <c r="M234">
        <v>410</v>
      </c>
      <c r="N234">
        <v>252</v>
      </c>
      <c r="O234">
        <v>75</v>
      </c>
      <c r="P234">
        <v>418</v>
      </c>
      <c r="Q234">
        <v>618</v>
      </c>
      <c r="R234">
        <v>233</v>
      </c>
    </row>
    <row r="235" spans="1:18">
      <c r="A235" s="1" t="s">
        <v>198</v>
      </c>
      <c r="B235">
        <v>29</v>
      </c>
      <c r="C235">
        <v>19</v>
      </c>
      <c r="D235">
        <v>10</v>
      </c>
      <c r="E235">
        <v>0.89</v>
      </c>
      <c r="F235">
        <v>2159</v>
      </c>
      <c r="G235">
        <v>757</v>
      </c>
      <c r="H235">
        <v>1613</v>
      </c>
      <c r="I235">
        <v>463</v>
      </c>
      <c r="J235">
        <v>628</v>
      </c>
      <c r="K235">
        <v>316</v>
      </c>
      <c r="L235">
        <v>1011</v>
      </c>
      <c r="M235">
        <v>463</v>
      </c>
      <c r="N235">
        <v>244</v>
      </c>
      <c r="O235">
        <v>97</v>
      </c>
      <c r="P235">
        <v>479</v>
      </c>
      <c r="Q235">
        <v>587</v>
      </c>
      <c r="R235">
        <v>234</v>
      </c>
    </row>
    <row r="236" spans="1:18">
      <c r="A236" s="1" t="s">
        <v>199</v>
      </c>
      <c r="B236">
        <v>29</v>
      </c>
      <c r="C236">
        <v>15</v>
      </c>
      <c r="D236">
        <v>14</v>
      </c>
      <c r="E236">
        <v>3.5</v>
      </c>
      <c r="F236">
        <v>1889</v>
      </c>
      <c r="G236">
        <v>659</v>
      </c>
      <c r="H236">
        <v>1601</v>
      </c>
      <c r="I236">
        <v>382</v>
      </c>
      <c r="J236">
        <v>544</v>
      </c>
      <c r="K236">
        <v>327</v>
      </c>
      <c r="L236">
        <v>970</v>
      </c>
      <c r="M236">
        <v>377</v>
      </c>
      <c r="N236">
        <v>194</v>
      </c>
      <c r="O236">
        <v>114</v>
      </c>
      <c r="P236">
        <v>352</v>
      </c>
      <c r="Q236">
        <v>524</v>
      </c>
      <c r="R236">
        <v>235</v>
      </c>
    </row>
    <row r="237" spans="1:18">
      <c r="A237" s="1" t="s">
        <v>200</v>
      </c>
      <c r="B237">
        <v>28</v>
      </c>
      <c r="C237">
        <v>12</v>
      </c>
      <c r="D237">
        <v>16</v>
      </c>
      <c r="E237">
        <v>-3.6</v>
      </c>
      <c r="F237">
        <v>1875</v>
      </c>
      <c r="G237">
        <v>667</v>
      </c>
      <c r="H237">
        <v>1596</v>
      </c>
      <c r="I237">
        <v>347</v>
      </c>
      <c r="J237">
        <v>473</v>
      </c>
      <c r="K237">
        <v>307</v>
      </c>
      <c r="L237">
        <v>946</v>
      </c>
      <c r="M237">
        <v>370</v>
      </c>
      <c r="N237">
        <v>203</v>
      </c>
      <c r="O237">
        <v>97</v>
      </c>
      <c r="P237">
        <v>374</v>
      </c>
      <c r="Q237">
        <v>504</v>
      </c>
      <c r="R237">
        <v>236</v>
      </c>
    </row>
    <row r="238" spans="1:18">
      <c r="A238" s="1" t="s">
        <v>201</v>
      </c>
      <c r="B238">
        <v>27</v>
      </c>
      <c r="C238">
        <v>10</v>
      </c>
      <c r="D238">
        <v>17</v>
      </c>
      <c r="E238">
        <v>-9.1999999999999993</v>
      </c>
      <c r="F238">
        <v>1912</v>
      </c>
      <c r="G238">
        <v>681</v>
      </c>
      <c r="H238">
        <v>1459</v>
      </c>
      <c r="I238">
        <v>357</v>
      </c>
      <c r="J238">
        <v>494</v>
      </c>
      <c r="K238">
        <v>265</v>
      </c>
      <c r="L238">
        <v>828</v>
      </c>
      <c r="M238">
        <v>316</v>
      </c>
      <c r="N238">
        <v>147</v>
      </c>
      <c r="O238">
        <v>58</v>
      </c>
      <c r="P238">
        <v>368</v>
      </c>
      <c r="Q238">
        <v>494</v>
      </c>
      <c r="R238">
        <v>237</v>
      </c>
    </row>
    <row r="239" spans="1:18">
      <c r="A239" s="1" t="s">
        <v>202</v>
      </c>
      <c r="B239">
        <v>28</v>
      </c>
      <c r="C239">
        <v>12</v>
      </c>
      <c r="D239">
        <v>16</v>
      </c>
      <c r="E239">
        <v>6.45</v>
      </c>
      <c r="F239">
        <v>1894</v>
      </c>
      <c r="G239">
        <v>674</v>
      </c>
      <c r="H239">
        <v>1706</v>
      </c>
      <c r="I239">
        <v>360</v>
      </c>
      <c r="J239">
        <v>548</v>
      </c>
      <c r="K239">
        <v>389</v>
      </c>
      <c r="L239">
        <v>1015</v>
      </c>
      <c r="M239">
        <v>350</v>
      </c>
      <c r="N239">
        <v>258</v>
      </c>
      <c r="O239">
        <v>147</v>
      </c>
      <c r="P239">
        <v>382</v>
      </c>
      <c r="Q239">
        <v>587</v>
      </c>
      <c r="R239">
        <v>238</v>
      </c>
    </row>
    <row r="240" spans="1:18">
      <c r="A240" s="1" t="s">
        <v>203</v>
      </c>
      <c r="B240">
        <v>29</v>
      </c>
      <c r="C240">
        <v>12</v>
      </c>
      <c r="D240">
        <v>17</v>
      </c>
      <c r="E240">
        <v>-1.84</v>
      </c>
      <c r="F240">
        <v>1894</v>
      </c>
      <c r="G240">
        <v>660</v>
      </c>
      <c r="H240">
        <v>1611</v>
      </c>
      <c r="I240">
        <v>409</v>
      </c>
      <c r="J240">
        <v>608</v>
      </c>
      <c r="K240">
        <v>315</v>
      </c>
      <c r="L240">
        <v>963</v>
      </c>
      <c r="M240">
        <v>375</v>
      </c>
      <c r="N240">
        <v>247</v>
      </c>
      <c r="O240">
        <v>87</v>
      </c>
      <c r="P240">
        <v>480</v>
      </c>
      <c r="Q240">
        <v>615</v>
      </c>
      <c r="R240">
        <v>239</v>
      </c>
    </row>
    <row r="241" spans="1:18">
      <c r="A241" s="1" t="s">
        <v>204</v>
      </c>
      <c r="B241">
        <v>29</v>
      </c>
      <c r="C241">
        <v>8</v>
      </c>
      <c r="D241">
        <v>21</v>
      </c>
      <c r="E241">
        <v>-7.27</v>
      </c>
      <c r="F241">
        <v>2007</v>
      </c>
      <c r="G241">
        <v>760</v>
      </c>
      <c r="H241">
        <v>1834</v>
      </c>
      <c r="I241">
        <v>307</v>
      </c>
      <c r="J241">
        <v>437</v>
      </c>
      <c r="K241">
        <v>385</v>
      </c>
      <c r="L241">
        <v>981</v>
      </c>
      <c r="M241">
        <v>394</v>
      </c>
      <c r="N241">
        <v>267</v>
      </c>
      <c r="O241">
        <v>62</v>
      </c>
      <c r="P241">
        <v>457</v>
      </c>
      <c r="Q241">
        <v>576</v>
      </c>
      <c r="R241">
        <v>240</v>
      </c>
    </row>
    <row r="242" spans="1:18">
      <c r="A242" s="1" t="s">
        <v>205</v>
      </c>
      <c r="B242">
        <v>28</v>
      </c>
      <c r="C242">
        <v>14</v>
      </c>
      <c r="D242">
        <v>14</v>
      </c>
      <c r="E242">
        <v>-8.3699999999999992</v>
      </c>
      <c r="F242">
        <v>1912</v>
      </c>
      <c r="G242">
        <v>681</v>
      </c>
      <c r="H242">
        <v>1565</v>
      </c>
      <c r="I242">
        <v>378</v>
      </c>
      <c r="J242">
        <v>556</v>
      </c>
      <c r="K242">
        <v>280</v>
      </c>
      <c r="L242">
        <v>902</v>
      </c>
      <c r="M242">
        <v>377</v>
      </c>
      <c r="N242">
        <v>210</v>
      </c>
      <c r="O242">
        <v>65</v>
      </c>
      <c r="P242">
        <v>435</v>
      </c>
      <c r="Q242">
        <v>497</v>
      </c>
      <c r="R242">
        <v>241</v>
      </c>
    </row>
    <row r="243" spans="1:18">
      <c r="A243" s="1" t="s">
        <v>206</v>
      </c>
      <c r="B243">
        <v>30</v>
      </c>
      <c r="C243">
        <v>23</v>
      </c>
      <c r="D243">
        <v>7</v>
      </c>
      <c r="E243">
        <v>3.71</v>
      </c>
      <c r="F243">
        <v>2111</v>
      </c>
      <c r="G243">
        <v>725</v>
      </c>
      <c r="H243">
        <v>1637</v>
      </c>
      <c r="I243">
        <v>422</v>
      </c>
      <c r="J243">
        <v>615</v>
      </c>
      <c r="K243">
        <v>339</v>
      </c>
      <c r="L243">
        <v>1060</v>
      </c>
      <c r="M243">
        <v>417</v>
      </c>
      <c r="N243">
        <v>217</v>
      </c>
      <c r="O243">
        <v>166</v>
      </c>
      <c r="P243">
        <v>387</v>
      </c>
      <c r="Q243">
        <v>563</v>
      </c>
      <c r="R243">
        <v>242</v>
      </c>
    </row>
    <row r="244" spans="1:18">
      <c r="A244" s="1" t="s">
        <v>292</v>
      </c>
      <c r="B244">
        <v>30</v>
      </c>
      <c r="C244">
        <v>16</v>
      </c>
      <c r="D244">
        <v>14</v>
      </c>
      <c r="E244">
        <v>6.88</v>
      </c>
      <c r="F244">
        <v>1821</v>
      </c>
      <c r="G244">
        <v>655</v>
      </c>
      <c r="H244">
        <v>1520</v>
      </c>
      <c r="I244">
        <v>343</v>
      </c>
      <c r="J244">
        <v>525</v>
      </c>
      <c r="K244">
        <v>275</v>
      </c>
      <c r="L244">
        <v>909</v>
      </c>
      <c r="M244">
        <v>367</v>
      </c>
      <c r="N244">
        <v>182</v>
      </c>
      <c r="O244">
        <v>76</v>
      </c>
      <c r="P244">
        <v>328</v>
      </c>
      <c r="Q244">
        <v>544</v>
      </c>
      <c r="R244">
        <v>243</v>
      </c>
    </row>
    <row r="245" spans="1:18">
      <c r="A245" s="1" t="s">
        <v>207</v>
      </c>
      <c r="B245">
        <v>30</v>
      </c>
      <c r="C245">
        <v>15</v>
      </c>
      <c r="D245">
        <v>15</v>
      </c>
      <c r="E245">
        <v>0.84</v>
      </c>
      <c r="F245">
        <v>2001</v>
      </c>
      <c r="G245">
        <v>664</v>
      </c>
      <c r="H245">
        <v>1481</v>
      </c>
      <c r="I245">
        <v>509</v>
      </c>
      <c r="J245">
        <v>723</v>
      </c>
      <c r="K245">
        <v>308</v>
      </c>
      <c r="L245">
        <v>1016</v>
      </c>
      <c r="M245">
        <v>347</v>
      </c>
      <c r="N245">
        <v>198</v>
      </c>
      <c r="O245">
        <v>108</v>
      </c>
      <c r="P245">
        <v>506</v>
      </c>
      <c r="Q245">
        <v>657</v>
      </c>
      <c r="R245">
        <v>244</v>
      </c>
    </row>
    <row r="246" spans="1:18">
      <c r="A246" s="1" t="s">
        <v>208</v>
      </c>
      <c r="B246">
        <v>29</v>
      </c>
      <c r="C246">
        <v>10</v>
      </c>
      <c r="D246">
        <v>19</v>
      </c>
      <c r="E246">
        <v>-2.97</v>
      </c>
      <c r="F246">
        <v>2132</v>
      </c>
      <c r="G246">
        <v>782</v>
      </c>
      <c r="H246">
        <v>1864</v>
      </c>
      <c r="I246">
        <v>369</v>
      </c>
      <c r="J246">
        <v>520</v>
      </c>
      <c r="K246">
        <v>431</v>
      </c>
      <c r="L246">
        <v>1036</v>
      </c>
      <c r="M246">
        <v>372</v>
      </c>
      <c r="N246">
        <v>235</v>
      </c>
      <c r="O246">
        <v>111</v>
      </c>
      <c r="P246">
        <v>433</v>
      </c>
      <c r="Q246">
        <v>642</v>
      </c>
      <c r="R246">
        <v>245</v>
      </c>
    </row>
    <row r="247" spans="1:18">
      <c r="A247" s="1" t="s">
        <v>209</v>
      </c>
      <c r="B247">
        <v>30</v>
      </c>
      <c r="C247">
        <v>23</v>
      </c>
      <c r="D247">
        <v>7</v>
      </c>
      <c r="E247">
        <v>-6.87</v>
      </c>
      <c r="F247">
        <v>2185</v>
      </c>
      <c r="G247">
        <v>751</v>
      </c>
      <c r="H247">
        <v>1636</v>
      </c>
      <c r="I247">
        <v>489</v>
      </c>
      <c r="J247">
        <v>694</v>
      </c>
      <c r="K247">
        <v>338</v>
      </c>
      <c r="L247">
        <v>1111</v>
      </c>
      <c r="M247">
        <v>502</v>
      </c>
      <c r="N247">
        <v>252</v>
      </c>
      <c r="O247">
        <v>174</v>
      </c>
      <c r="P247">
        <v>475</v>
      </c>
      <c r="Q247">
        <v>578</v>
      </c>
      <c r="R247">
        <v>246</v>
      </c>
    </row>
    <row r="248" spans="1:18">
      <c r="A248" s="1" t="s">
        <v>293</v>
      </c>
      <c r="B248">
        <v>28</v>
      </c>
      <c r="C248">
        <v>13</v>
      </c>
      <c r="D248">
        <v>15</v>
      </c>
      <c r="E248">
        <v>-3.86</v>
      </c>
      <c r="F248">
        <v>1793</v>
      </c>
      <c r="G248">
        <v>618</v>
      </c>
      <c r="H248">
        <v>1310</v>
      </c>
      <c r="I248">
        <v>299</v>
      </c>
      <c r="J248">
        <v>405</v>
      </c>
      <c r="K248">
        <v>169</v>
      </c>
      <c r="L248">
        <v>829</v>
      </c>
      <c r="M248">
        <v>450</v>
      </c>
      <c r="N248">
        <v>131</v>
      </c>
      <c r="O248">
        <v>43</v>
      </c>
      <c r="P248">
        <v>421</v>
      </c>
      <c r="Q248">
        <v>503</v>
      </c>
      <c r="R248">
        <v>247</v>
      </c>
    </row>
    <row r="249" spans="1:18">
      <c r="A249" s="1" t="s">
        <v>210</v>
      </c>
      <c r="B249">
        <v>30</v>
      </c>
      <c r="C249">
        <v>16</v>
      </c>
      <c r="D249">
        <v>14</v>
      </c>
      <c r="E249">
        <v>4.1399999999999997</v>
      </c>
      <c r="F249">
        <v>2145</v>
      </c>
      <c r="G249">
        <v>778</v>
      </c>
      <c r="H249">
        <v>1697</v>
      </c>
      <c r="I249">
        <v>402</v>
      </c>
      <c r="J249">
        <v>593</v>
      </c>
      <c r="K249">
        <v>383</v>
      </c>
      <c r="L249">
        <v>1051</v>
      </c>
      <c r="M249">
        <v>431</v>
      </c>
      <c r="N249">
        <v>188</v>
      </c>
      <c r="O249">
        <v>84</v>
      </c>
      <c r="P249">
        <v>453</v>
      </c>
      <c r="Q249">
        <v>587</v>
      </c>
      <c r="R249">
        <v>248</v>
      </c>
    </row>
    <row r="250" spans="1:18">
      <c r="A250" s="1" t="s">
        <v>211</v>
      </c>
      <c r="B250">
        <v>30</v>
      </c>
      <c r="C250">
        <v>18</v>
      </c>
      <c r="D250">
        <v>12</v>
      </c>
      <c r="E250">
        <v>2.74</v>
      </c>
      <c r="F250">
        <v>2265</v>
      </c>
      <c r="G250">
        <v>765</v>
      </c>
      <c r="H250">
        <v>1626</v>
      </c>
      <c r="I250">
        <v>525</v>
      </c>
      <c r="J250">
        <v>789</v>
      </c>
      <c r="K250">
        <v>354</v>
      </c>
      <c r="L250">
        <v>1147</v>
      </c>
      <c r="M250">
        <v>496</v>
      </c>
      <c r="N250">
        <v>162</v>
      </c>
      <c r="O250">
        <v>101</v>
      </c>
      <c r="P250">
        <v>536</v>
      </c>
      <c r="Q250">
        <v>602</v>
      </c>
      <c r="R250">
        <v>249</v>
      </c>
    </row>
    <row r="251" spans="1:18">
      <c r="A251" s="1" t="s">
        <v>212</v>
      </c>
      <c r="B251">
        <v>29</v>
      </c>
      <c r="C251">
        <v>15</v>
      </c>
      <c r="D251">
        <v>14</v>
      </c>
      <c r="E251">
        <v>1.43</v>
      </c>
      <c r="F251">
        <v>2018</v>
      </c>
      <c r="G251">
        <v>733</v>
      </c>
      <c r="H251">
        <v>1575</v>
      </c>
      <c r="I251">
        <v>354</v>
      </c>
      <c r="J251">
        <v>491</v>
      </c>
      <c r="K251">
        <v>302</v>
      </c>
      <c r="L251">
        <v>924</v>
      </c>
      <c r="M251">
        <v>408</v>
      </c>
      <c r="N251">
        <v>157</v>
      </c>
      <c r="O251">
        <v>53</v>
      </c>
      <c r="P251">
        <v>396</v>
      </c>
      <c r="Q251">
        <v>572</v>
      </c>
      <c r="R251">
        <v>250</v>
      </c>
    </row>
    <row r="252" spans="1:18">
      <c r="A252" s="1" t="s">
        <v>213</v>
      </c>
      <c r="B252">
        <v>28</v>
      </c>
      <c r="C252">
        <v>7</v>
      </c>
      <c r="D252">
        <v>21</v>
      </c>
      <c r="E252">
        <v>0.23</v>
      </c>
      <c r="F252">
        <v>1841</v>
      </c>
      <c r="G252">
        <v>696</v>
      </c>
      <c r="H252">
        <v>1638</v>
      </c>
      <c r="I252">
        <v>333</v>
      </c>
      <c r="J252">
        <v>536</v>
      </c>
      <c r="K252">
        <v>384</v>
      </c>
      <c r="L252">
        <v>894</v>
      </c>
      <c r="M252">
        <v>373</v>
      </c>
      <c r="N252">
        <v>200</v>
      </c>
      <c r="O252">
        <v>28</v>
      </c>
      <c r="P252">
        <v>396</v>
      </c>
      <c r="Q252">
        <v>595</v>
      </c>
      <c r="R252">
        <v>251</v>
      </c>
    </row>
    <row r="253" spans="1:18">
      <c r="A253" s="1" t="s">
        <v>214</v>
      </c>
      <c r="B253">
        <v>28</v>
      </c>
      <c r="C253">
        <v>13</v>
      </c>
      <c r="D253">
        <v>15</v>
      </c>
      <c r="E253">
        <v>-0.11</v>
      </c>
      <c r="F253">
        <v>1827</v>
      </c>
      <c r="G253">
        <v>637</v>
      </c>
      <c r="H253">
        <v>1515</v>
      </c>
      <c r="I253">
        <v>380</v>
      </c>
      <c r="J253">
        <v>562</v>
      </c>
      <c r="K253">
        <v>340</v>
      </c>
      <c r="L253">
        <v>1026</v>
      </c>
      <c r="M253">
        <v>344</v>
      </c>
      <c r="N253">
        <v>159</v>
      </c>
      <c r="O253">
        <v>52</v>
      </c>
      <c r="P253">
        <v>425</v>
      </c>
      <c r="Q253">
        <v>547</v>
      </c>
      <c r="R253">
        <v>252</v>
      </c>
    </row>
    <row r="254" spans="1:18">
      <c r="A254" s="1" t="s">
        <v>322</v>
      </c>
      <c r="B254">
        <v>27</v>
      </c>
      <c r="C254">
        <v>3</v>
      </c>
      <c r="D254">
        <v>24</v>
      </c>
      <c r="E254">
        <v>-7.49</v>
      </c>
      <c r="F254">
        <v>1661</v>
      </c>
      <c r="G254">
        <v>628</v>
      </c>
      <c r="H254">
        <v>1688</v>
      </c>
      <c r="I254">
        <v>289</v>
      </c>
      <c r="J254">
        <v>481</v>
      </c>
      <c r="K254">
        <v>414</v>
      </c>
      <c r="L254">
        <v>1007</v>
      </c>
      <c r="M254">
        <v>267</v>
      </c>
      <c r="N254">
        <v>253</v>
      </c>
      <c r="O254">
        <v>88</v>
      </c>
      <c r="P254">
        <v>525</v>
      </c>
      <c r="Q254">
        <v>693</v>
      </c>
      <c r="R254">
        <v>253</v>
      </c>
    </row>
    <row r="255" spans="1:18">
      <c r="A255" s="1" t="s">
        <v>294</v>
      </c>
      <c r="B255">
        <v>30</v>
      </c>
      <c r="C255">
        <v>17</v>
      </c>
      <c r="D255">
        <v>13</v>
      </c>
      <c r="E255">
        <v>8.1999999999999993</v>
      </c>
      <c r="F255">
        <v>2029</v>
      </c>
      <c r="G255">
        <v>733</v>
      </c>
      <c r="H255">
        <v>1694</v>
      </c>
      <c r="I255">
        <v>422</v>
      </c>
      <c r="J255">
        <v>609</v>
      </c>
      <c r="K255">
        <v>367</v>
      </c>
      <c r="L255">
        <v>1080</v>
      </c>
      <c r="M255">
        <v>397</v>
      </c>
      <c r="N255">
        <v>219</v>
      </c>
      <c r="O255">
        <v>100</v>
      </c>
      <c r="P255">
        <v>446</v>
      </c>
      <c r="Q255">
        <v>575</v>
      </c>
      <c r="R255">
        <v>254</v>
      </c>
    </row>
    <row r="256" spans="1:18">
      <c r="A256" s="1" t="s">
        <v>215</v>
      </c>
      <c r="B256">
        <v>32</v>
      </c>
      <c r="C256">
        <v>21</v>
      </c>
      <c r="D256">
        <v>11</v>
      </c>
      <c r="E256">
        <v>-1.79</v>
      </c>
      <c r="F256">
        <v>2395</v>
      </c>
      <c r="G256">
        <v>808</v>
      </c>
      <c r="H256">
        <v>1864</v>
      </c>
      <c r="I256">
        <v>586</v>
      </c>
      <c r="J256">
        <v>819</v>
      </c>
      <c r="K256">
        <v>470</v>
      </c>
      <c r="L256">
        <v>1269</v>
      </c>
      <c r="M256">
        <v>457</v>
      </c>
      <c r="N256">
        <v>222</v>
      </c>
      <c r="O256">
        <v>112</v>
      </c>
      <c r="P256">
        <v>506</v>
      </c>
      <c r="Q256">
        <v>653</v>
      </c>
      <c r="R256">
        <v>255</v>
      </c>
    </row>
    <row r="257" spans="1:18">
      <c r="A257" s="1" t="s">
        <v>216</v>
      </c>
      <c r="B257">
        <v>28</v>
      </c>
      <c r="C257">
        <v>14</v>
      </c>
      <c r="D257">
        <v>14</v>
      </c>
      <c r="E257">
        <v>2.16</v>
      </c>
      <c r="F257">
        <v>2044</v>
      </c>
      <c r="G257">
        <v>731</v>
      </c>
      <c r="H257">
        <v>1645</v>
      </c>
      <c r="I257">
        <v>363</v>
      </c>
      <c r="J257">
        <v>520</v>
      </c>
      <c r="K257">
        <v>315</v>
      </c>
      <c r="L257">
        <v>881</v>
      </c>
      <c r="M257">
        <v>362</v>
      </c>
      <c r="N257">
        <v>246</v>
      </c>
      <c r="O257">
        <v>32</v>
      </c>
      <c r="P257">
        <v>363</v>
      </c>
      <c r="Q257">
        <v>518</v>
      </c>
      <c r="R257">
        <v>256</v>
      </c>
    </row>
    <row r="258" spans="1:18">
      <c r="A258" s="1" t="s">
        <v>295</v>
      </c>
      <c r="B258">
        <v>31</v>
      </c>
      <c r="C258">
        <v>20</v>
      </c>
      <c r="D258">
        <v>11</v>
      </c>
      <c r="E258">
        <v>-10.14</v>
      </c>
      <c r="F258">
        <v>2238</v>
      </c>
      <c r="G258">
        <v>765</v>
      </c>
      <c r="H258">
        <v>1683</v>
      </c>
      <c r="I258">
        <v>547</v>
      </c>
      <c r="J258">
        <v>782</v>
      </c>
      <c r="K258">
        <v>396</v>
      </c>
      <c r="L258">
        <v>1145</v>
      </c>
      <c r="M258">
        <v>316</v>
      </c>
      <c r="N258">
        <v>247</v>
      </c>
      <c r="O258">
        <v>89</v>
      </c>
      <c r="P258">
        <v>602</v>
      </c>
      <c r="Q258">
        <v>643</v>
      </c>
      <c r="R258">
        <v>257</v>
      </c>
    </row>
    <row r="259" spans="1:18">
      <c r="A259" s="1" t="s">
        <v>217</v>
      </c>
      <c r="B259">
        <v>28</v>
      </c>
      <c r="C259">
        <v>12</v>
      </c>
      <c r="D259">
        <v>16</v>
      </c>
      <c r="E259">
        <v>8.9600000000000009</v>
      </c>
      <c r="F259">
        <v>1839</v>
      </c>
      <c r="G259">
        <v>671</v>
      </c>
      <c r="H259">
        <v>1592</v>
      </c>
      <c r="I259">
        <v>353</v>
      </c>
      <c r="J259">
        <v>517</v>
      </c>
      <c r="K259">
        <v>307</v>
      </c>
      <c r="L259">
        <v>910</v>
      </c>
      <c r="M259">
        <v>388</v>
      </c>
      <c r="N259">
        <v>234</v>
      </c>
      <c r="O259">
        <v>92</v>
      </c>
      <c r="P259">
        <v>373</v>
      </c>
      <c r="Q259">
        <v>487</v>
      </c>
      <c r="R259">
        <v>258</v>
      </c>
    </row>
    <row r="260" spans="1:18">
      <c r="A260" s="1" t="s">
        <v>218</v>
      </c>
      <c r="B260">
        <v>29</v>
      </c>
      <c r="C260">
        <v>15</v>
      </c>
      <c r="D260">
        <v>14</v>
      </c>
      <c r="E260">
        <v>4.5199999999999996</v>
      </c>
      <c r="F260">
        <v>2001</v>
      </c>
      <c r="G260">
        <v>737</v>
      </c>
      <c r="H260">
        <v>1697</v>
      </c>
      <c r="I260">
        <v>345</v>
      </c>
      <c r="J260">
        <v>542</v>
      </c>
      <c r="K260">
        <v>372</v>
      </c>
      <c r="L260">
        <v>1105</v>
      </c>
      <c r="M260">
        <v>460</v>
      </c>
      <c r="N260">
        <v>254</v>
      </c>
      <c r="O260">
        <v>136</v>
      </c>
      <c r="P260">
        <v>440</v>
      </c>
      <c r="Q260">
        <v>538</v>
      </c>
      <c r="R260">
        <v>259</v>
      </c>
    </row>
    <row r="261" spans="1:18">
      <c r="A261" s="1" t="s">
        <v>296</v>
      </c>
      <c r="B261">
        <v>30</v>
      </c>
      <c r="C261">
        <v>11</v>
      </c>
      <c r="D261">
        <v>19</v>
      </c>
      <c r="E261">
        <v>-3.18</v>
      </c>
      <c r="F261">
        <v>2149</v>
      </c>
      <c r="G261">
        <v>786</v>
      </c>
      <c r="H261">
        <v>1719</v>
      </c>
      <c r="I261">
        <v>365</v>
      </c>
      <c r="J261">
        <v>497</v>
      </c>
      <c r="K261">
        <v>308</v>
      </c>
      <c r="L261">
        <v>976</v>
      </c>
      <c r="M261">
        <v>535</v>
      </c>
      <c r="N261">
        <v>165</v>
      </c>
      <c r="O261">
        <v>62</v>
      </c>
      <c r="P261">
        <v>407</v>
      </c>
      <c r="Q261">
        <v>524</v>
      </c>
      <c r="R261">
        <v>260</v>
      </c>
    </row>
    <row r="262" spans="1:18">
      <c r="A262" s="1" t="s">
        <v>219</v>
      </c>
      <c r="B262">
        <v>27</v>
      </c>
      <c r="C262">
        <v>11</v>
      </c>
      <c r="D262">
        <v>16</v>
      </c>
      <c r="E262">
        <v>-5.41</v>
      </c>
      <c r="F262">
        <v>1775</v>
      </c>
      <c r="G262">
        <v>616</v>
      </c>
      <c r="H262">
        <v>1519</v>
      </c>
      <c r="I262">
        <v>367</v>
      </c>
      <c r="J262">
        <v>543</v>
      </c>
      <c r="K262">
        <v>307</v>
      </c>
      <c r="L262">
        <v>869</v>
      </c>
      <c r="M262">
        <v>341</v>
      </c>
      <c r="N262">
        <v>229</v>
      </c>
      <c r="O262">
        <v>42</v>
      </c>
      <c r="P262">
        <v>373</v>
      </c>
      <c r="Q262">
        <v>565</v>
      </c>
      <c r="R262">
        <v>261</v>
      </c>
    </row>
    <row r="263" spans="1:18">
      <c r="A263" s="1" t="s">
        <v>220</v>
      </c>
      <c r="B263">
        <v>30</v>
      </c>
      <c r="C263">
        <v>13</v>
      </c>
      <c r="D263">
        <v>17</v>
      </c>
      <c r="E263">
        <v>7.28</v>
      </c>
      <c r="F263">
        <v>2295</v>
      </c>
      <c r="G263">
        <v>829</v>
      </c>
      <c r="H263">
        <v>1989</v>
      </c>
      <c r="I263">
        <v>451</v>
      </c>
      <c r="J263">
        <v>645</v>
      </c>
      <c r="K263">
        <v>466</v>
      </c>
      <c r="L263">
        <v>1158</v>
      </c>
      <c r="M263">
        <v>411</v>
      </c>
      <c r="N263">
        <v>276</v>
      </c>
      <c r="O263">
        <v>105</v>
      </c>
      <c r="P263">
        <v>446</v>
      </c>
      <c r="Q263">
        <v>656</v>
      </c>
      <c r="R263">
        <v>262</v>
      </c>
    </row>
    <row r="264" spans="1:18">
      <c r="A264" s="1" t="s">
        <v>221</v>
      </c>
      <c r="B264">
        <v>31</v>
      </c>
      <c r="C264">
        <v>24</v>
      </c>
      <c r="D264">
        <v>7</v>
      </c>
      <c r="E264">
        <v>2.37</v>
      </c>
      <c r="F264">
        <v>2307</v>
      </c>
      <c r="G264">
        <v>847</v>
      </c>
      <c r="H264">
        <v>1801</v>
      </c>
      <c r="I264">
        <v>422</v>
      </c>
      <c r="J264">
        <v>603</v>
      </c>
      <c r="K264">
        <v>336</v>
      </c>
      <c r="L264">
        <v>1028</v>
      </c>
      <c r="M264">
        <v>430</v>
      </c>
      <c r="N264">
        <v>245</v>
      </c>
      <c r="O264">
        <v>96</v>
      </c>
      <c r="P264">
        <v>388</v>
      </c>
      <c r="Q264">
        <v>600</v>
      </c>
      <c r="R264">
        <v>263</v>
      </c>
    </row>
    <row r="265" spans="1:18">
      <c r="A265" s="1" t="s">
        <v>222</v>
      </c>
      <c r="B265">
        <v>30</v>
      </c>
      <c r="C265">
        <v>17</v>
      </c>
      <c r="D265">
        <v>13</v>
      </c>
      <c r="E265">
        <v>1.76</v>
      </c>
      <c r="F265">
        <v>2185</v>
      </c>
      <c r="G265">
        <v>750</v>
      </c>
      <c r="H265">
        <v>1729</v>
      </c>
      <c r="I265">
        <v>518</v>
      </c>
      <c r="J265">
        <v>729</v>
      </c>
      <c r="K265">
        <v>389</v>
      </c>
      <c r="L265">
        <v>1113</v>
      </c>
      <c r="M265">
        <v>387</v>
      </c>
      <c r="N265">
        <v>234</v>
      </c>
      <c r="O265">
        <v>149</v>
      </c>
      <c r="P265">
        <v>474</v>
      </c>
      <c r="Q265">
        <v>561</v>
      </c>
      <c r="R265">
        <v>264</v>
      </c>
    </row>
    <row r="266" spans="1:18">
      <c r="A266" s="1" t="s">
        <v>223</v>
      </c>
      <c r="B266">
        <v>29</v>
      </c>
      <c r="C266">
        <v>13</v>
      </c>
      <c r="D266">
        <v>16</v>
      </c>
      <c r="E266">
        <v>3.85</v>
      </c>
      <c r="F266">
        <v>1939</v>
      </c>
      <c r="G266">
        <v>675</v>
      </c>
      <c r="H266">
        <v>1641</v>
      </c>
      <c r="I266">
        <v>472</v>
      </c>
      <c r="J266">
        <v>687</v>
      </c>
      <c r="K266">
        <v>375</v>
      </c>
      <c r="L266">
        <v>1095</v>
      </c>
      <c r="M266">
        <v>381</v>
      </c>
      <c r="N266">
        <v>184</v>
      </c>
      <c r="O266">
        <v>99</v>
      </c>
      <c r="P266">
        <v>447</v>
      </c>
      <c r="Q266">
        <v>551</v>
      </c>
      <c r="R266">
        <v>265</v>
      </c>
    </row>
    <row r="267" spans="1:18">
      <c r="A267" s="1" t="s">
        <v>224</v>
      </c>
      <c r="B267">
        <v>28</v>
      </c>
      <c r="C267">
        <v>11</v>
      </c>
      <c r="D267">
        <v>17</v>
      </c>
      <c r="E267">
        <v>-3.6</v>
      </c>
      <c r="F267">
        <v>1899</v>
      </c>
      <c r="G267">
        <v>683</v>
      </c>
      <c r="H267">
        <v>1429</v>
      </c>
      <c r="I267">
        <v>361</v>
      </c>
      <c r="J267">
        <v>514</v>
      </c>
      <c r="K267">
        <v>240</v>
      </c>
      <c r="L267">
        <v>831</v>
      </c>
      <c r="M267">
        <v>386</v>
      </c>
      <c r="N267">
        <v>226</v>
      </c>
      <c r="O267">
        <v>88</v>
      </c>
      <c r="P267">
        <v>426</v>
      </c>
      <c r="Q267">
        <v>563</v>
      </c>
      <c r="R267">
        <v>266</v>
      </c>
    </row>
    <row r="268" spans="1:18">
      <c r="A268" s="1" t="s">
        <v>225</v>
      </c>
      <c r="B268">
        <v>29</v>
      </c>
      <c r="C268">
        <v>9</v>
      </c>
      <c r="D268">
        <v>20</v>
      </c>
      <c r="E268">
        <v>-13.2</v>
      </c>
      <c r="F268">
        <v>1967</v>
      </c>
      <c r="G268">
        <v>748</v>
      </c>
      <c r="H268">
        <v>1807</v>
      </c>
      <c r="I268">
        <v>318</v>
      </c>
      <c r="J268">
        <v>508</v>
      </c>
      <c r="K268">
        <v>413</v>
      </c>
      <c r="L268">
        <v>1116</v>
      </c>
      <c r="M268">
        <v>400</v>
      </c>
      <c r="N268">
        <v>201</v>
      </c>
      <c r="O268">
        <v>124</v>
      </c>
      <c r="P268">
        <v>459</v>
      </c>
      <c r="Q268">
        <v>538</v>
      </c>
      <c r="R268">
        <v>267</v>
      </c>
    </row>
    <row r="269" spans="1:18">
      <c r="A269" s="1" t="s">
        <v>297</v>
      </c>
      <c r="B269">
        <v>27</v>
      </c>
      <c r="C269">
        <v>13</v>
      </c>
      <c r="D269">
        <v>14</v>
      </c>
      <c r="E269">
        <v>4.38</v>
      </c>
      <c r="F269">
        <v>2146</v>
      </c>
      <c r="G269">
        <v>753</v>
      </c>
      <c r="H269">
        <v>1773</v>
      </c>
      <c r="I269">
        <v>369</v>
      </c>
      <c r="J269">
        <v>486</v>
      </c>
      <c r="K269">
        <v>347</v>
      </c>
      <c r="L269">
        <v>932</v>
      </c>
      <c r="M269">
        <v>417</v>
      </c>
      <c r="N269">
        <v>220</v>
      </c>
      <c r="O269">
        <v>63</v>
      </c>
      <c r="P269">
        <v>335</v>
      </c>
      <c r="Q269">
        <v>539</v>
      </c>
      <c r="R269">
        <v>268</v>
      </c>
    </row>
    <row r="270" spans="1:18">
      <c r="A270" s="1" t="s">
        <v>226</v>
      </c>
      <c r="B270">
        <v>30</v>
      </c>
      <c r="C270">
        <v>14</v>
      </c>
      <c r="D270">
        <v>16</v>
      </c>
      <c r="E270">
        <v>-8.82</v>
      </c>
      <c r="F270">
        <v>2281</v>
      </c>
      <c r="G270">
        <v>785</v>
      </c>
      <c r="H270">
        <v>1708</v>
      </c>
      <c r="I270">
        <v>488</v>
      </c>
      <c r="J270">
        <v>704</v>
      </c>
      <c r="K270">
        <v>365</v>
      </c>
      <c r="L270">
        <v>1013</v>
      </c>
      <c r="M270">
        <v>466</v>
      </c>
      <c r="N270">
        <v>269</v>
      </c>
      <c r="O270">
        <v>115</v>
      </c>
      <c r="P270">
        <v>531</v>
      </c>
      <c r="Q270">
        <v>663</v>
      </c>
      <c r="R270">
        <v>269</v>
      </c>
    </row>
    <row r="271" spans="1:18">
      <c r="A271" s="1" t="s">
        <v>298</v>
      </c>
      <c r="B271">
        <v>34</v>
      </c>
      <c r="C271">
        <v>21</v>
      </c>
      <c r="D271">
        <v>13</v>
      </c>
      <c r="E271">
        <v>7.35</v>
      </c>
      <c r="F271">
        <v>2418</v>
      </c>
      <c r="G271">
        <v>859</v>
      </c>
      <c r="H271">
        <v>2125</v>
      </c>
      <c r="I271">
        <v>505</v>
      </c>
      <c r="J271">
        <v>756</v>
      </c>
      <c r="K271">
        <v>561</v>
      </c>
      <c r="L271">
        <v>1285</v>
      </c>
      <c r="M271">
        <v>392</v>
      </c>
      <c r="N271">
        <v>327</v>
      </c>
      <c r="O271">
        <v>151</v>
      </c>
      <c r="P271">
        <v>435</v>
      </c>
      <c r="Q271">
        <v>665</v>
      </c>
      <c r="R271">
        <v>270</v>
      </c>
    </row>
    <row r="272" spans="1:18">
      <c r="A272" s="1" t="s">
        <v>342</v>
      </c>
      <c r="B272">
        <v>33</v>
      </c>
      <c r="C272">
        <v>24</v>
      </c>
      <c r="D272">
        <v>9</v>
      </c>
      <c r="E272">
        <v>8.3699999999999992</v>
      </c>
      <c r="F272">
        <v>2391</v>
      </c>
      <c r="G272">
        <v>851</v>
      </c>
      <c r="H272">
        <v>1925</v>
      </c>
      <c r="I272">
        <v>458</v>
      </c>
      <c r="J272">
        <v>676</v>
      </c>
      <c r="K272">
        <v>449</v>
      </c>
      <c r="L272">
        <v>1279</v>
      </c>
      <c r="M272">
        <v>482</v>
      </c>
      <c r="N272">
        <v>177</v>
      </c>
      <c r="O272">
        <v>117</v>
      </c>
      <c r="P272">
        <v>470</v>
      </c>
      <c r="Q272">
        <v>618</v>
      </c>
      <c r="R272">
        <v>271</v>
      </c>
    </row>
    <row r="273" spans="1:18">
      <c r="A273" s="1" t="s">
        <v>227</v>
      </c>
      <c r="B273">
        <v>29</v>
      </c>
      <c r="C273">
        <v>21</v>
      </c>
      <c r="D273">
        <v>8</v>
      </c>
      <c r="E273">
        <v>-7.98</v>
      </c>
      <c r="F273">
        <v>2099</v>
      </c>
      <c r="G273">
        <v>753</v>
      </c>
      <c r="H273">
        <v>1534</v>
      </c>
      <c r="I273">
        <v>449</v>
      </c>
      <c r="J273">
        <v>624</v>
      </c>
      <c r="K273">
        <v>301</v>
      </c>
      <c r="L273">
        <v>908</v>
      </c>
      <c r="M273">
        <v>366</v>
      </c>
      <c r="N273">
        <v>264</v>
      </c>
      <c r="O273">
        <v>66</v>
      </c>
      <c r="P273">
        <v>392</v>
      </c>
      <c r="Q273">
        <v>537</v>
      </c>
      <c r="R273">
        <v>272</v>
      </c>
    </row>
    <row r="274" spans="1:18">
      <c r="A274" s="1" t="s">
        <v>228</v>
      </c>
      <c r="B274">
        <v>27</v>
      </c>
      <c r="C274">
        <v>7</v>
      </c>
      <c r="D274">
        <v>20</v>
      </c>
      <c r="E274">
        <v>-4.84</v>
      </c>
      <c r="F274">
        <v>1856</v>
      </c>
      <c r="G274">
        <v>659</v>
      </c>
      <c r="H274">
        <v>1662</v>
      </c>
      <c r="I274">
        <v>395</v>
      </c>
      <c r="J274">
        <v>529</v>
      </c>
      <c r="K274">
        <v>380</v>
      </c>
      <c r="L274">
        <v>870</v>
      </c>
      <c r="M274">
        <v>299</v>
      </c>
      <c r="N274">
        <v>282</v>
      </c>
      <c r="O274">
        <v>49</v>
      </c>
      <c r="P274">
        <v>381</v>
      </c>
      <c r="Q274">
        <v>489</v>
      </c>
      <c r="R274">
        <v>273</v>
      </c>
    </row>
    <row r="275" spans="1:18">
      <c r="A275" s="1" t="s">
        <v>229</v>
      </c>
      <c r="B275">
        <v>28</v>
      </c>
      <c r="C275">
        <v>13</v>
      </c>
      <c r="D275">
        <v>15</v>
      </c>
      <c r="E275">
        <v>-5.89</v>
      </c>
      <c r="F275">
        <v>1855</v>
      </c>
      <c r="G275">
        <v>653</v>
      </c>
      <c r="H275">
        <v>1477</v>
      </c>
      <c r="I275">
        <v>416</v>
      </c>
      <c r="J275">
        <v>605</v>
      </c>
      <c r="K275">
        <v>325</v>
      </c>
      <c r="L275">
        <v>938</v>
      </c>
      <c r="M275">
        <v>373</v>
      </c>
      <c r="N275">
        <v>204</v>
      </c>
      <c r="O275">
        <v>63</v>
      </c>
      <c r="P275">
        <v>439</v>
      </c>
      <c r="Q275">
        <v>473</v>
      </c>
      <c r="R275">
        <v>274</v>
      </c>
    </row>
    <row r="276" spans="1:18">
      <c r="A276" s="1" t="s">
        <v>313</v>
      </c>
      <c r="B276">
        <v>35</v>
      </c>
      <c r="C276">
        <v>30</v>
      </c>
      <c r="D276">
        <v>5</v>
      </c>
      <c r="E276">
        <v>9.02</v>
      </c>
      <c r="F276">
        <v>2785</v>
      </c>
      <c r="G276">
        <v>1020</v>
      </c>
      <c r="H276">
        <v>2146</v>
      </c>
      <c r="I276">
        <v>559</v>
      </c>
      <c r="J276">
        <v>806</v>
      </c>
      <c r="K276">
        <v>478</v>
      </c>
      <c r="L276">
        <v>1425</v>
      </c>
      <c r="M276">
        <v>523</v>
      </c>
      <c r="N276">
        <v>298</v>
      </c>
      <c r="O276">
        <v>247</v>
      </c>
      <c r="P276">
        <v>494</v>
      </c>
      <c r="Q276">
        <v>592</v>
      </c>
      <c r="R276">
        <v>275</v>
      </c>
    </row>
    <row r="277" spans="1:18">
      <c r="A277" s="1" t="s">
        <v>314</v>
      </c>
      <c r="B277">
        <v>34</v>
      </c>
      <c r="C277">
        <v>18</v>
      </c>
      <c r="D277">
        <v>16</v>
      </c>
      <c r="E277">
        <v>6.66</v>
      </c>
      <c r="F277">
        <v>2264</v>
      </c>
      <c r="G277">
        <v>812</v>
      </c>
      <c r="H277">
        <v>2018</v>
      </c>
      <c r="I277">
        <v>370</v>
      </c>
      <c r="J277">
        <v>554</v>
      </c>
      <c r="K277">
        <v>443</v>
      </c>
      <c r="L277">
        <v>1186</v>
      </c>
      <c r="M277">
        <v>351</v>
      </c>
      <c r="N277">
        <v>309</v>
      </c>
      <c r="O277">
        <v>128</v>
      </c>
      <c r="P277">
        <v>336</v>
      </c>
      <c r="Q277">
        <v>558</v>
      </c>
      <c r="R277">
        <v>276</v>
      </c>
    </row>
    <row r="278" spans="1:18">
      <c r="A278" s="1" t="s">
        <v>230</v>
      </c>
      <c r="B278">
        <v>28</v>
      </c>
      <c r="C278">
        <v>14</v>
      </c>
      <c r="D278">
        <v>14</v>
      </c>
      <c r="E278">
        <v>-2.77</v>
      </c>
      <c r="F278">
        <v>2143</v>
      </c>
      <c r="G278">
        <v>783</v>
      </c>
      <c r="H278">
        <v>1676</v>
      </c>
      <c r="I278">
        <v>367</v>
      </c>
      <c r="J278">
        <v>539</v>
      </c>
      <c r="K278">
        <v>296</v>
      </c>
      <c r="L278">
        <v>928</v>
      </c>
      <c r="M278">
        <v>474</v>
      </c>
      <c r="N278">
        <v>262</v>
      </c>
      <c r="O278">
        <v>81</v>
      </c>
      <c r="P278">
        <v>428</v>
      </c>
      <c r="Q278">
        <v>572</v>
      </c>
      <c r="R278">
        <v>277</v>
      </c>
    </row>
    <row r="279" spans="1:18">
      <c r="A279" s="1" t="s">
        <v>231</v>
      </c>
      <c r="B279">
        <v>27</v>
      </c>
      <c r="C279">
        <v>2</v>
      </c>
      <c r="D279">
        <v>25</v>
      </c>
      <c r="E279">
        <v>-3.51</v>
      </c>
      <c r="F279">
        <v>1977</v>
      </c>
      <c r="G279">
        <v>719</v>
      </c>
      <c r="H279">
        <v>1677</v>
      </c>
      <c r="I279">
        <v>353</v>
      </c>
      <c r="J279">
        <v>528</v>
      </c>
      <c r="K279">
        <v>302</v>
      </c>
      <c r="L279">
        <v>881</v>
      </c>
      <c r="M279">
        <v>366</v>
      </c>
      <c r="N279">
        <v>233</v>
      </c>
      <c r="O279">
        <v>105</v>
      </c>
      <c r="P279">
        <v>474</v>
      </c>
      <c r="Q279">
        <v>595</v>
      </c>
      <c r="R279">
        <v>278</v>
      </c>
    </row>
    <row r="280" spans="1:18">
      <c r="A280" s="1" t="s">
        <v>232</v>
      </c>
      <c r="B280">
        <v>32</v>
      </c>
      <c r="C280">
        <v>20</v>
      </c>
      <c r="D280">
        <v>12</v>
      </c>
      <c r="E280">
        <v>-2.96</v>
      </c>
      <c r="F280">
        <v>2422</v>
      </c>
      <c r="G280">
        <v>839</v>
      </c>
      <c r="H280">
        <v>1743</v>
      </c>
      <c r="I280">
        <v>576</v>
      </c>
      <c r="J280">
        <v>798</v>
      </c>
      <c r="K280">
        <v>397</v>
      </c>
      <c r="L280">
        <v>1197</v>
      </c>
      <c r="M280">
        <v>533</v>
      </c>
      <c r="N280">
        <v>239</v>
      </c>
      <c r="O280">
        <v>108</v>
      </c>
      <c r="P280">
        <v>556</v>
      </c>
      <c r="Q280">
        <v>635</v>
      </c>
      <c r="R280">
        <v>279</v>
      </c>
    </row>
    <row r="281" spans="1:18">
      <c r="A281" s="1" t="s">
        <v>315</v>
      </c>
      <c r="B281">
        <v>29</v>
      </c>
      <c r="C281">
        <v>17</v>
      </c>
      <c r="D281">
        <v>12</v>
      </c>
      <c r="E281">
        <v>7.88</v>
      </c>
      <c r="F281">
        <v>1980</v>
      </c>
      <c r="G281">
        <v>692</v>
      </c>
      <c r="H281">
        <v>1529</v>
      </c>
      <c r="I281">
        <v>415</v>
      </c>
      <c r="J281">
        <v>573</v>
      </c>
      <c r="K281">
        <v>325</v>
      </c>
      <c r="L281">
        <v>1036</v>
      </c>
      <c r="M281">
        <v>452</v>
      </c>
      <c r="N281">
        <v>169</v>
      </c>
      <c r="O281">
        <v>101</v>
      </c>
      <c r="P281">
        <v>441</v>
      </c>
      <c r="Q281">
        <v>513</v>
      </c>
      <c r="R281">
        <v>280</v>
      </c>
    </row>
    <row r="282" spans="1:18">
      <c r="A282" s="1" t="s">
        <v>323</v>
      </c>
      <c r="B282">
        <v>29</v>
      </c>
      <c r="C282">
        <v>14</v>
      </c>
      <c r="D282">
        <v>15</v>
      </c>
      <c r="E282">
        <v>-5.25</v>
      </c>
      <c r="F282">
        <v>2204</v>
      </c>
      <c r="G282">
        <v>778</v>
      </c>
      <c r="H282">
        <v>1738</v>
      </c>
      <c r="I282">
        <v>525</v>
      </c>
      <c r="J282">
        <v>720</v>
      </c>
      <c r="K282">
        <v>375</v>
      </c>
      <c r="L282">
        <v>1053</v>
      </c>
      <c r="M282">
        <v>392</v>
      </c>
      <c r="N282">
        <v>242</v>
      </c>
      <c r="O282">
        <v>64</v>
      </c>
      <c r="P282">
        <v>492</v>
      </c>
      <c r="Q282">
        <v>552</v>
      </c>
      <c r="R282">
        <v>281</v>
      </c>
    </row>
    <row r="283" spans="1:18">
      <c r="A283" s="1" t="s">
        <v>233</v>
      </c>
      <c r="B283">
        <v>28</v>
      </c>
      <c r="C283">
        <v>14</v>
      </c>
      <c r="D283">
        <v>14</v>
      </c>
      <c r="E283">
        <v>7.23</v>
      </c>
      <c r="F283">
        <v>2015</v>
      </c>
      <c r="G283">
        <v>706</v>
      </c>
      <c r="H283">
        <v>1653</v>
      </c>
      <c r="I283">
        <v>406</v>
      </c>
      <c r="J283">
        <v>588</v>
      </c>
      <c r="K283">
        <v>300</v>
      </c>
      <c r="L283">
        <v>1024</v>
      </c>
      <c r="M283">
        <v>447</v>
      </c>
      <c r="N283">
        <v>170</v>
      </c>
      <c r="O283">
        <v>59</v>
      </c>
      <c r="P283">
        <v>417</v>
      </c>
      <c r="Q283">
        <v>553</v>
      </c>
      <c r="R283">
        <v>282</v>
      </c>
    </row>
    <row r="284" spans="1:18">
      <c r="A284" s="1" t="s">
        <v>234</v>
      </c>
      <c r="B284">
        <v>29</v>
      </c>
      <c r="C284">
        <v>16</v>
      </c>
      <c r="D284">
        <v>13</v>
      </c>
      <c r="E284">
        <v>-6.17</v>
      </c>
      <c r="F284">
        <v>1859</v>
      </c>
      <c r="G284">
        <v>696</v>
      </c>
      <c r="H284">
        <v>1563</v>
      </c>
      <c r="I284">
        <v>387</v>
      </c>
      <c r="J284">
        <v>573</v>
      </c>
      <c r="K284">
        <v>366</v>
      </c>
      <c r="L284">
        <v>1058</v>
      </c>
      <c r="M284">
        <v>412</v>
      </c>
      <c r="N284">
        <v>187</v>
      </c>
      <c r="O284">
        <v>87</v>
      </c>
      <c r="P284">
        <v>448</v>
      </c>
      <c r="Q284">
        <v>482</v>
      </c>
      <c r="R284">
        <v>283</v>
      </c>
    </row>
    <row r="285" spans="1:18">
      <c r="A285" s="1" t="s">
        <v>235</v>
      </c>
      <c r="B285">
        <v>28</v>
      </c>
      <c r="C285">
        <v>9</v>
      </c>
      <c r="D285">
        <v>19</v>
      </c>
      <c r="E285">
        <v>4.22</v>
      </c>
      <c r="F285">
        <v>2146</v>
      </c>
      <c r="G285">
        <v>726</v>
      </c>
      <c r="H285">
        <v>1707</v>
      </c>
      <c r="I285">
        <v>496</v>
      </c>
      <c r="J285">
        <v>728</v>
      </c>
      <c r="K285">
        <v>367</v>
      </c>
      <c r="L285">
        <v>1073</v>
      </c>
      <c r="M285">
        <v>403</v>
      </c>
      <c r="N285">
        <v>194</v>
      </c>
      <c r="O285">
        <v>59</v>
      </c>
      <c r="P285">
        <v>432</v>
      </c>
      <c r="Q285">
        <v>588</v>
      </c>
      <c r="R285">
        <v>284</v>
      </c>
    </row>
    <row r="286" spans="1:18">
      <c r="A286" s="1" t="s">
        <v>236</v>
      </c>
      <c r="B286">
        <v>30</v>
      </c>
      <c r="C286">
        <v>6</v>
      </c>
      <c r="D286">
        <v>24</v>
      </c>
      <c r="E286">
        <v>0.04</v>
      </c>
      <c r="F286">
        <v>1892</v>
      </c>
      <c r="G286">
        <v>680</v>
      </c>
      <c r="H286">
        <v>1551</v>
      </c>
      <c r="I286">
        <v>364</v>
      </c>
      <c r="J286">
        <v>540</v>
      </c>
      <c r="K286">
        <v>304</v>
      </c>
      <c r="L286">
        <v>1025</v>
      </c>
      <c r="M286">
        <v>363</v>
      </c>
      <c r="N286">
        <v>161</v>
      </c>
      <c r="O286">
        <v>117</v>
      </c>
      <c r="P286">
        <v>528</v>
      </c>
      <c r="Q286">
        <v>579</v>
      </c>
      <c r="R286">
        <v>285</v>
      </c>
    </row>
    <row r="287" spans="1:18">
      <c r="A287" s="1" t="s">
        <v>237</v>
      </c>
      <c r="B287">
        <v>30</v>
      </c>
      <c r="C287">
        <v>10</v>
      </c>
      <c r="D287">
        <v>20</v>
      </c>
      <c r="E287">
        <v>-6.67</v>
      </c>
      <c r="F287">
        <v>1979</v>
      </c>
      <c r="G287">
        <v>714</v>
      </c>
      <c r="H287">
        <v>1719</v>
      </c>
      <c r="I287">
        <v>383</v>
      </c>
      <c r="J287">
        <v>642</v>
      </c>
      <c r="K287">
        <v>404</v>
      </c>
      <c r="L287">
        <v>1096</v>
      </c>
      <c r="M287">
        <v>396</v>
      </c>
      <c r="N287">
        <v>227</v>
      </c>
      <c r="O287">
        <v>34</v>
      </c>
      <c r="P287">
        <v>456</v>
      </c>
      <c r="Q287">
        <v>578</v>
      </c>
      <c r="R287">
        <v>286</v>
      </c>
    </row>
    <row r="288" spans="1:18">
      <c r="A288" s="1" t="s">
        <v>238</v>
      </c>
      <c r="B288">
        <v>27</v>
      </c>
      <c r="C288">
        <v>10</v>
      </c>
      <c r="D288">
        <v>17</v>
      </c>
      <c r="E288">
        <v>-5.3</v>
      </c>
      <c r="F288">
        <v>1801</v>
      </c>
      <c r="G288">
        <v>587</v>
      </c>
      <c r="H288">
        <v>1446</v>
      </c>
      <c r="I288">
        <v>443</v>
      </c>
      <c r="J288">
        <v>625</v>
      </c>
      <c r="K288">
        <v>261</v>
      </c>
      <c r="L288">
        <v>920</v>
      </c>
      <c r="M288">
        <v>327</v>
      </c>
      <c r="N288">
        <v>138</v>
      </c>
      <c r="O288">
        <v>64</v>
      </c>
      <c r="P288">
        <v>449</v>
      </c>
      <c r="Q288">
        <v>548</v>
      </c>
      <c r="R288">
        <v>287</v>
      </c>
    </row>
    <row r="289" spans="1:18">
      <c r="A289" s="1" t="s">
        <v>239</v>
      </c>
      <c r="B289">
        <v>31</v>
      </c>
      <c r="C289">
        <v>18</v>
      </c>
      <c r="D289">
        <v>13</v>
      </c>
      <c r="E289">
        <v>-11.21</v>
      </c>
      <c r="F289">
        <v>2268</v>
      </c>
      <c r="G289">
        <v>771</v>
      </c>
      <c r="H289">
        <v>1721</v>
      </c>
      <c r="I289">
        <v>536</v>
      </c>
      <c r="J289">
        <v>876</v>
      </c>
      <c r="K289">
        <v>411</v>
      </c>
      <c r="L289">
        <v>1184</v>
      </c>
      <c r="M289">
        <v>442</v>
      </c>
      <c r="N289">
        <v>198</v>
      </c>
      <c r="O289">
        <v>67</v>
      </c>
      <c r="P289">
        <v>472</v>
      </c>
      <c r="Q289">
        <v>571</v>
      </c>
      <c r="R289">
        <v>288</v>
      </c>
    </row>
    <row r="290" spans="1:18">
      <c r="A290" s="1" t="s">
        <v>240</v>
      </c>
      <c r="B290">
        <v>29</v>
      </c>
      <c r="C290">
        <v>17</v>
      </c>
      <c r="D290">
        <v>12</v>
      </c>
      <c r="E290">
        <v>-7.59</v>
      </c>
      <c r="F290">
        <v>2105</v>
      </c>
      <c r="G290">
        <v>704</v>
      </c>
      <c r="H290">
        <v>1581</v>
      </c>
      <c r="I290">
        <v>465</v>
      </c>
      <c r="J290">
        <v>661</v>
      </c>
      <c r="K290">
        <v>339</v>
      </c>
      <c r="L290">
        <v>999</v>
      </c>
      <c r="M290">
        <v>420</v>
      </c>
      <c r="N290">
        <v>281</v>
      </c>
      <c r="O290">
        <v>94</v>
      </c>
      <c r="P290">
        <v>470</v>
      </c>
      <c r="Q290">
        <v>572</v>
      </c>
      <c r="R290">
        <v>289</v>
      </c>
    </row>
    <row r="291" spans="1:18">
      <c r="A291" s="1" t="s">
        <v>241</v>
      </c>
      <c r="B291">
        <v>35</v>
      </c>
      <c r="C291">
        <v>22</v>
      </c>
      <c r="D291">
        <v>13</v>
      </c>
      <c r="E291">
        <v>8.2899999999999991</v>
      </c>
      <c r="F291">
        <v>2543</v>
      </c>
      <c r="G291">
        <v>979</v>
      </c>
      <c r="H291">
        <v>2092</v>
      </c>
      <c r="I291">
        <v>473</v>
      </c>
      <c r="J291">
        <v>713</v>
      </c>
      <c r="K291">
        <v>401</v>
      </c>
      <c r="L291">
        <v>1211</v>
      </c>
      <c r="M291">
        <v>565</v>
      </c>
      <c r="N291">
        <v>297</v>
      </c>
      <c r="O291">
        <v>83</v>
      </c>
      <c r="P291">
        <v>402</v>
      </c>
      <c r="Q291">
        <v>555</v>
      </c>
      <c r="R291">
        <v>290</v>
      </c>
    </row>
    <row r="292" spans="1:18">
      <c r="A292" s="1" t="s">
        <v>362</v>
      </c>
      <c r="B292">
        <v>33</v>
      </c>
      <c r="C292">
        <v>26</v>
      </c>
      <c r="D292">
        <v>7</v>
      </c>
      <c r="E292">
        <v>9.27</v>
      </c>
      <c r="F292">
        <v>2618</v>
      </c>
      <c r="G292">
        <v>916</v>
      </c>
      <c r="H292">
        <v>2055</v>
      </c>
      <c r="I292">
        <v>590</v>
      </c>
      <c r="J292">
        <v>818</v>
      </c>
      <c r="K292">
        <v>531</v>
      </c>
      <c r="L292">
        <v>1386</v>
      </c>
      <c r="M292">
        <v>478</v>
      </c>
      <c r="N292">
        <v>206</v>
      </c>
      <c r="O292">
        <v>121</v>
      </c>
      <c r="P292">
        <v>431</v>
      </c>
      <c r="Q292">
        <v>675</v>
      </c>
      <c r="R292">
        <v>291</v>
      </c>
    </row>
    <row r="293" spans="1:18">
      <c r="A293" s="1" t="s">
        <v>242</v>
      </c>
      <c r="B293">
        <v>29</v>
      </c>
      <c r="C293">
        <v>13</v>
      </c>
      <c r="D293">
        <v>16</v>
      </c>
      <c r="E293">
        <v>2.13</v>
      </c>
      <c r="F293">
        <v>2034</v>
      </c>
      <c r="G293">
        <v>713</v>
      </c>
      <c r="H293">
        <v>1585</v>
      </c>
      <c r="I293">
        <v>360</v>
      </c>
      <c r="J293">
        <v>541</v>
      </c>
      <c r="K293">
        <v>320</v>
      </c>
      <c r="L293">
        <v>941</v>
      </c>
      <c r="M293">
        <v>382</v>
      </c>
      <c r="N293">
        <v>212</v>
      </c>
      <c r="O293">
        <v>84</v>
      </c>
      <c r="P293">
        <v>466</v>
      </c>
      <c r="Q293">
        <v>591</v>
      </c>
      <c r="R293">
        <v>292</v>
      </c>
    </row>
    <row r="294" spans="1:18">
      <c r="A294" s="1" t="s">
        <v>243</v>
      </c>
      <c r="B294">
        <v>28</v>
      </c>
      <c r="C294">
        <v>4</v>
      </c>
      <c r="D294">
        <v>24</v>
      </c>
      <c r="E294">
        <v>-3.56</v>
      </c>
      <c r="F294">
        <v>1591</v>
      </c>
      <c r="G294">
        <v>588</v>
      </c>
      <c r="H294">
        <v>1401</v>
      </c>
      <c r="I294">
        <v>297</v>
      </c>
      <c r="J294">
        <v>418</v>
      </c>
      <c r="K294">
        <v>270</v>
      </c>
      <c r="L294">
        <v>915</v>
      </c>
      <c r="M294">
        <v>388</v>
      </c>
      <c r="N294">
        <v>164</v>
      </c>
      <c r="O294">
        <v>145</v>
      </c>
      <c r="P294">
        <v>572</v>
      </c>
      <c r="Q294">
        <v>462</v>
      </c>
      <c r="R294">
        <v>293</v>
      </c>
    </row>
    <row r="295" spans="1:18">
      <c r="A295" s="1" t="s">
        <v>244</v>
      </c>
      <c r="B295">
        <v>32</v>
      </c>
      <c r="C295">
        <v>26</v>
      </c>
      <c r="D295">
        <v>6</v>
      </c>
      <c r="E295">
        <v>-4.8</v>
      </c>
      <c r="F295">
        <v>2556</v>
      </c>
      <c r="G295">
        <v>914</v>
      </c>
      <c r="H295">
        <v>2116</v>
      </c>
      <c r="I295">
        <v>416</v>
      </c>
      <c r="J295">
        <v>606</v>
      </c>
      <c r="K295">
        <v>486</v>
      </c>
      <c r="L295">
        <v>1285</v>
      </c>
      <c r="M295">
        <v>495</v>
      </c>
      <c r="N295">
        <v>309</v>
      </c>
      <c r="O295">
        <v>167</v>
      </c>
      <c r="P295">
        <v>435</v>
      </c>
      <c r="Q295">
        <v>531</v>
      </c>
      <c r="R295">
        <v>294</v>
      </c>
    </row>
    <row r="296" spans="1:18">
      <c r="A296" s="1" t="s">
        <v>245</v>
      </c>
      <c r="B296">
        <v>31</v>
      </c>
      <c r="C296">
        <v>16</v>
      </c>
      <c r="D296">
        <v>15</v>
      </c>
      <c r="E296">
        <v>2.84</v>
      </c>
      <c r="F296">
        <v>2205</v>
      </c>
      <c r="G296">
        <v>826</v>
      </c>
      <c r="H296">
        <v>1764</v>
      </c>
      <c r="I296">
        <v>376</v>
      </c>
      <c r="J296">
        <v>566</v>
      </c>
      <c r="K296">
        <v>364</v>
      </c>
      <c r="L296">
        <v>1090</v>
      </c>
      <c r="M296">
        <v>489</v>
      </c>
      <c r="N296">
        <v>242</v>
      </c>
      <c r="O296">
        <v>102</v>
      </c>
      <c r="P296">
        <v>449</v>
      </c>
      <c r="Q296">
        <v>530</v>
      </c>
      <c r="R296">
        <v>295</v>
      </c>
    </row>
    <row r="297" spans="1:18">
      <c r="A297" s="1" t="s">
        <v>299</v>
      </c>
      <c r="B297">
        <v>33</v>
      </c>
      <c r="C297">
        <v>23</v>
      </c>
      <c r="D297">
        <v>10</v>
      </c>
      <c r="E297">
        <v>2.29</v>
      </c>
      <c r="F297">
        <v>2423</v>
      </c>
      <c r="G297">
        <v>877</v>
      </c>
      <c r="H297">
        <v>1884</v>
      </c>
      <c r="I297">
        <v>452</v>
      </c>
      <c r="J297">
        <v>619</v>
      </c>
      <c r="K297">
        <v>365</v>
      </c>
      <c r="L297">
        <v>1221</v>
      </c>
      <c r="M297">
        <v>488</v>
      </c>
      <c r="N297">
        <v>242</v>
      </c>
      <c r="O297">
        <v>159</v>
      </c>
      <c r="P297">
        <v>467</v>
      </c>
      <c r="Q297">
        <v>565</v>
      </c>
      <c r="R297">
        <v>296</v>
      </c>
    </row>
    <row r="298" spans="1:18">
      <c r="A298" s="1" t="s">
        <v>324</v>
      </c>
      <c r="B298">
        <v>29</v>
      </c>
      <c r="C298">
        <v>10</v>
      </c>
      <c r="D298">
        <v>19</v>
      </c>
      <c r="E298">
        <v>9.74</v>
      </c>
      <c r="F298">
        <v>2181</v>
      </c>
      <c r="G298">
        <v>806</v>
      </c>
      <c r="H298">
        <v>1754</v>
      </c>
      <c r="I298">
        <v>403</v>
      </c>
      <c r="J298">
        <v>578</v>
      </c>
      <c r="K298">
        <v>342</v>
      </c>
      <c r="L298">
        <v>1061</v>
      </c>
      <c r="M298">
        <v>424</v>
      </c>
      <c r="N298">
        <v>162</v>
      </c>
      <c r="O298">
        <v>94</v>
      </c>
      <c r="P298">
        <v>468</v>
      </c>
      <c r="Q298">
        <v>552</v>
      </c>
      <c r="R298">
        <v>297</v>
      </c>
    </row>
    <row r="299" spans="1:18">
      <c r="A299" s="1" t="s">
        <v>316</v>
      </c>
      <c r="B299">
        <v>33</v>
      </c>
      <c r="C299">
        <v>24</v>
      </c>
      <c r="D299">
        <v>9</v>
      </c>
      <c r="E299">
        <v>-1.43</v>
      </c>
      <c r="F299">
        <v>2197</v>
      </c>
      <c r="G299">
        <v>799</v>
      </c>
      <c r="H299">
        <v>1727</v>
      </c>
      <c r="I299">
        <v>465</v>
      </c>
      <c r="J299">
        <v>651</v>
      </c>
      <c r="K299">
        <v>414</v>
      </c>
      <c r="L299">
        <v>1154</v>
      </c>
      <c r="M299">
        <v>471</v>
      </c>
      <c r="N299">
        <v>168</v>
      </c>
      <c r="O299">
        <v>69</v>
      </c>
      <c r="P299">
        <v>406</v>
      </c>
      <c r="Q299">
        <v>528</v>
      </c>
      <c r="R299">
        <v>298</v>
      </c>
    </row>
    <row r="300" spans="1:18">
      <c r="A300" s="1" t="s">
        <v>300</v>
      </c>
      <c r="B300">
        <v>33</v>
      </c>
      <c r="C300">
        <v>25</v>
      </c>
      <c r="D300">
        <v>8</v>
      </c>
      <c r="E300">
        <v>5.25</v>
      </c>
      <c r="F300">
        <v>2191</v>
      </c>
      <c r="G300">
        <v>757</v>
      </c>
      <c r="H300">
        <v>1679</v>
      </c>
      <c r="I300">
        <v>441</v>
      </c>
      <c r="J300">
        <v>620</v>
      </c>
      <c r="K300">
        <v>333</v>
      </c>
      <c r="L300">
        <v>1093</v>
      </c>
      <c r="M300">
        <v>427</v>
      </c>
      <c r="N300">
        <v>163</v>
      </c>
      <c r="O300">
        <v>124</v>
      </c>
      <c r="P300">
        <v>427</v>
      </c>
      <c r="Q300">
        <v>658</v>
      </c>
      <c r="R300">
        <v>299</v>
      </c>
    </row>
    <row r="301" spans="1:18">
      <c r="A301" s="1" t="s">
        <v>301</v>
      </c>
      <c r="B301">
        <v>31</v>
      </c>
      <c r="C301">
        <v>20</v>
      </c>
      <c r="D301">
        <v>11</v>
      </c>
      <c r="E301">
        <v>-1.1299999999999999</v>
      </c>
      <c r="F301">
        <v>2194</v>
      </c>
      <c r="G301">
        <v>772</v>
      </c>
      <c r="H301">
        <v>1653</v>
      </c>
      <c r="I301">
        <v>482</v>
      </c>
      <c r="J301">
        <v>738</v>
      </c>
      <c r="K301">
        <v>363</v>
      </c>
      <c r="L301">
        <v>1107</v>
      </c>
      <c r="M301">
        <v>529</v>
      </c>
      <c r="N301">
        <v>274</v>
      </c>
      <c r="O301">
        <v>120</v>
      </c>
      <c r="P301">
        <v>469</v>
      </c>
      <c r="Q301">
        <v>581</v>
      </c>
      <c r="R301">
        <v>300</v>
      </c>
    </row>
    <row r="302" spans="1:18">
      <c r="A302" s="1" t="s">
        <v>246</v>
      </c>
      <c r="B302">
        <v>29</v>
      </c>
      <c r="C302">
        <v>11</v>
      </c>
      <c r="D302">
        <v>18</v>
      </c>
      <c r="E302">
        <v>9.36</v>
      </c>
      <c r="F302">
        <v>1998</v>
      </c>
      <c r="G302">
        <v>717</v>
      </c>
      <c r="H302">
        <v>1640</v>
      </c>
      <c r="I302">
        <v>383</v>
      </c>
      <c r="J302">
        <v>551</v>
      </c>
      <c r="K302">
        <v>304</v>
      </c>
      <c r="L302">
        <v>962</v>
      </c>
      <c r="M302">
        <v>413</v>
      </c>
      <c r="N302">
        <v>226</v>
      </c>
      <c r="O302">
        <v>114</v>
      </c>
      <c r="P302">
        <v>465</v>
      </c>
      <c r="Q302">
        <v>559</v>
      </c>
      <c r="R302">
        <v>301</v>
      </c>
    </row>
    <row r="303" spans="1:18">
      <c r="A303" s="1" t="s">
        <v>247</v>
      </c>
      <c r="B303">
        <v>33</v>
      </c>
      <c r="C303">
        <v>21</v>
      </c>
      <c r="D303">
        <v>12</v>
      </c>
      <c r="E303">
        <v>-4.8499999999999996</v>
      </c>
      <c r="F303">
        <v>2275</v>
      </c>
      <c r="G303">
        <v>835</v>
      </c>
      <c r="H303">
        <v>1870</v>
      </c>
      <c r="I303">
        <v>426</v>
      </c>
      <c r="J303">
        <v>640</v>
      </c>
      <c r="K303">
        <v>425</v>
      </c>
      <c r="L303">
        <v>1295</v>
      </c>
      <c r="M303">
        <v>477</v>
      </c>
      <c r="N303">
        <v>230</v>
      </c>
      <c r="O303">
        <v>102</v>
      </c>
      <c r="P303">
        <v>479</v>
      </c>
      <c r="Q303">
        <v>520</v>
      </c>
      <c r="R303">
        <v>302</v>
      </c>
    </row>
    <row r="304" spans="1:18">
      <c r="A304" s="1" t="s">
        <v>248</v>
      </c>
      <c r="B304">
        <v>31</v>
      </c>
      <c r="C304">
        <v>15</v>
      </c>
      <c r="D304">
        <v>16</v>
      </c>
      <c r="E304">
        <v>7.56</v>
      </c>
      <c r="F304">
        <v>2225</v>
      </c>
      <c r="G304">
        <v>764</v>
      </c>
      <c r="H304">
        <v>1815</v>
      </c>
      <c r="I304">
        <v>492</v>
      </c>
      <c r="J304">
        <v>689</v>
      </c>
      <c r="K304">
        <v>449</v>
      </c>
      <c r="L304">
        <v>1173</v>
      </c>
      <c r="M304">
        <v>405</v>
      </c>
      <c r="N304">
        <v>230</v>
      </c>
      <c r="O304">
        <v>105</v>
      </c>
      <c r="P304">
        <v>500</v>
      </c>
      <c r="Q304">
        <v>643</v>
      </c>
      <c r="R304">
        <v>303</v>
      </c>
    </row>
    <row r="305" spans="1:18">
      <c r="A305" s="1" t="s">
        <v>249</v>
      </c>
      <c r="B305">
        <v>28</v>
      </c>
      <c r="C305">
        <v>18</v>
      </c>
      <c r="D305">
        <v>10</v>
      </c>
      <c r="E305">
        <v>-3.29</v>
      </c>
      <c r="F305">
        <v>2073</v>
      </c>
      <c r="G305">
        <v>751</v>
      </c>
      <c r="H305">
        <v>1672</v>
      </c>
      <c r="I305">
        <v>392</v>
      </c>
      <c r="J305">
        <v>553</v>
      </c>
      <c r="K305">
        <v>337</v>
      </c>
      <c r="L305">
        <v>1067</v>
      </c>
      <c r="M305">
        <v>341</v>
      </c>
      <c r="N305">
        <v>176</v>
      </c>
      <c r="O305">
        <v>142</v>
      </c>
      <c r="P305">
        <v>391</v>
      </c>
      <c r="Q305">
        <v>525</v>
      </c>
      <c r="R305">
        <v>304</v>
      </c>
    </row>
    <row r="306" spans="1:18">
      <c r="A306" s="1" t="s">
        <v>250</v>
      </c>
      <c r="B306">
        <v>30</v>
      </c>
      <c r="C306">
        <v>10</v>
      </c>
      <c r="D306">
        <v>20</v>
      </c>
      <c r="E306">
        <v>-4.29</v>
      </c>
      <c r="F306">
        <v>1952</v>
      </c>
      <c r="G306">
        <v>724</v>
      </c>
      <c r="H306">
        <v>1743</v>
      </c>
      <c r="I306">
        <v>346</v>
      </c>
      <c r="J306">
        <v>542</v>
      </c>
      <c r="K306">
        <v>352</v>
      </c>
      <c r="L306">
        <v>1069</v>
      </c>
      <c r="M306">
        <v>445</v>
      </c>
      <c r="N306">
        <v>205</v>
      </c>
      <c r="O306">
        <v>110</v>
      </c>
      <c r="P306">
        <v>453</v>
      </c>
      <c r="Q306">
        <v>596</v>
      </c>
      <c r="R306">
        <v>305</v>
      </c>
    </row>
    <row r="307" spans="1:18">
      <c r="A307" s="1" t="s">
        <v>251</v>
      </c>
      <c r="B307">
        <v>29</v>
      </c>
      <c r="C307">
        <v>11</v>
      </c>
      <c r="D307">
        <v>18</v>
      </c>
      <c r="E307">
        <v>5.33</v>
      </c>
      <c r="F307">
        <v>2036</v>
      </c>
      <c r="G307">
        <v>718</v>
      </c>
      <c r="H307">
        <v>1694</v>
      </c>
      <c r="I307">
        <v>421</v>
      </c>
      <c r="J307">
        <v>633</v>
      </c>
      <c r="K307">
        <v>431</v>
      </c>
      <c r="L307">
        <v>1066</v>
      </c>
      <c r="M307">
        <v>374</v>
      </c>
      <c r="N307">
        <v>204</v>
      </c>
      <c r="O307">
        <v>126</v>
      </c>
      <c r="P307">
        <v>425</v>
      </c>
      <c r="Q307">
        <v>530</v>
      </c>
      <c r="R307">
        <v>306</v>
      </c>
    </row>
    <row r="308" spans="1:18">
      <c r="A308" s="1" t="s">
        <v>252</v>
      </c>
      <c r="B308">
        <v>32</v>
      </c>
      <c r="C308">
        <v>16</v>
      </c>
      <c r="D308">
        <v>16</v>
      </c>
      <c r="E308">
        <v>8.64</v>
      </c>
      <c r="F308">
        <v>2366</v>
      </c>
      <c r="G308">
        <v>846</v>
      </c>
      <c r="H308">
        <v>1874</v>
      </c>
      <c r="I308">
        <v>435</v>
      </c>
      <c r="J308">
        <v>661</v>
      </c>
      <c r="K308">
        <v>437</v>
      </c>
      <c r="L308">
        <v>1207</v>
      </c>
      <c r="M308">
        <v>461</v>
      </c>
      <c r="N308">
        <v>185</v>
      </c>
      <c r="O308">
        <v>139</v>
      </c>
      <c r="P308">
        <v>528</v>
      </c>
      <c r="Q308">
        <v>639</v>
      </c>
      <c r="R308">
        <v>307</v>
      </c>
    </row>
    <row r="309" spans="1:18">
      <c r="A309" s="1" t="s">
        <v>253</v>
      </c>
      <c r="B309">
        <v>32</v>
      </c>
      <c r="C309">
        <v>21</v>
      </c>
      <c r="D309">
        <v>11</v>
      </c>
      <c r="E309">
        <v>-6.48</v>
      </c>
      <c r="F309">
        <v>2403</v>
      </c>
      <c r="G309">
        <v>865</v>
      </c>
      <c r="H309">
        <v>1841</v>
      </c>
      <c r="I309">
        <v>448</v>
      </c>
      <c r="J309">
        <v>616</v>
      </c>
      <c r="K309">
        <v>381</v>
      </c>
      <c r="L309">
        <v>1098</v>
      </c>
      <c r="M309">
        <v>514</v>
      </c>
      <c r="N309">
        <v>239</v>
      </c>
      <c r="O309">
        <v>89</v>
      </c>
      <c r="P309">
        <v>482</v>
      </c>
      <c r="Q309">
        <v>566</v>
      </c>
      <c r="R309">
        <v>308</v>
      </c>
    </row>
    <row r="310" spans="1:18">
      <c r="A310" s="1" t="s">
        <v>254</v>
      </c>
      <c r="B310">
        <v>31</v>
      </c>
      <c r="C310">
        <v>25</v>
      </c>
      <c r="D310">
        <v>6</v>
      </c>
      <c r="E310">
        <v>6.96</v>
      </c>
      <c r="F310">
        <v>2412</v>
      </c>
      <c r="G310">
        <v>805</v>
      </c>
      <c r="H310">
        <v>1778</v>
      </c>
      <c r="I310">
        <v>611</v>
      </c>
      <c r="J310">
        <v>813</v>
      </c>
      <c r="K310">
        <v>459</v>
      </c>
      <c r="L310">
        <v>1292</v>
      </c>
      <c r="M310">
        <v>441</v>
      </c>
      <c r="N310">
        <v>201</v>
      </c>
      <c r="O310">
        <v>143</v>
      </c>
      <c r="P310">
        <v>475</v>
      </c>
      <c r="Q310">
        <v>578</v>
      </c>
      <c r="R310">
        <v>309</v>
      </c>
    </row>
    <row r="311" spans="1:18">
      <c r="A311" s="1" t="s">
        <v>255</v>
      </c>
      <c r="B311">
        <v>27</v>
      </c>
      <c r="C311">
        <v>7</v>
      </c>
      <c r="D311">
        <v>20</v>
      </c>
      <c r="E311">
        <v>6.73</v>
      </c>
      <c r="F311">
        <v>1906</v>
      </c>
      <c r="G311">
        <v>667</v>
      </c>
      <c r="H311">
        <v>1645</v>
      </c>
      <c r="I311">
        <v>342</v>
      </c>
      <c r="J311">
        <v>486</v>
      </c>
      <c r="K311">
        <v>353</v>
      </c>
      <c r="L311">
        <v>959</v>
      </c>
      <c r="M311">
        <v>375</v>
      </c>
      <c r="N311">
        <v>155</v>
      </c>
      <c r="O311">
        <v>81</v>
      </c>
      <c r="P311">
        <v>434</v>
      </c>
      <c r="Q311">
        <v>567</v>
      </c>
      <c r="R311">
        <v>310</v>
      </c>
    </row>
    <row r="312" spans="1:18">
      <c r="A312" s="1" t="s">
        <v>256</v>
      </c>
      <c r="B312">
        <v>27</v>
      </c>
      <c r="C312">
        <v>10</v>
      </c>
      <c r="D312">
        <v>17</v>
      </c>
      <c r="E312">
        <v>7.28</v>
      </c>
      <c r="F312">
        <v>1955</v>
      </c>
      <c r="G312">
        <v>714</v>
      </c>
      <c r="H312">
        <v>1645</v>
      </c>
      <c r="I312">
        <v>382</v>
      </c>
      <c r="J312">
        <v>575</v>
      </c>
      <c r="K312">
        <v>348</v>
      </c>
      <c r="L312">
        <v>928</v>
      </c>
      <c r="M312">
        <v>366</v>
      </c>
      <c r="N312">
        <v>176</v>
      </c>
      <c r="O312">
        <v>79</v>
      </c>
      <c r="P312">
        <v>423</v>
      </c>
      <c r="Q312">
        <v>582</v>
      </c>
      <c r="R312">
        <v>311</v>
      </c>
    </row>
    <row r="313" spans="1:18">
      <c r="A313" s="1" t="s">
        <v>257</v>
      </c>
      <c r="B313">
        <v>32</v>
      </c>
      <c r="C313">
        <v>26</v>
      </c>
      <c r="D313">
        <v>6</v>
      </c>
      <c r="E313">
        <v>-2.0099999999999998</v>
      </c>
      <c r="F313">
        <v>2385</v>
      </c>
      <c r="G313">
        <v>800</v>
      </c>
      <c r="H313">
        <v>1710</v>
      </c>
      <c r="I313">
        <v>596</v>
      </c>
      <c r="J313">
        <v>815</v>
      </c>
      <c r="K313">
        <v>345</v>
      </c>
      <c r="L313">
        <v>1078</v>
      </c>
      <c r="M313">
        <v>455</v>
      </c>
      <c r="N313">
        <v>211</v>
      </c>
      <c r="O313">
        <v>24</v>
      </c>
      <c r="P313">
        <v>403</v>
      </c>
      <c r="Q313">
        <v>601</v>
      </c>
      <c r="R313">
        <v>312</v>
      </c>
    </row>
    <row r="314" spans="1:18">
      <c r="A314" s="1" t="s">
        <v>258</v>
      </c>
      <c r="B314">
        <v>29</v>
      </c>
      <c r="C314">
        <v>14</v>
      </c>
      <c r="D314">
        <v>15</v>
      </c>
      <c r="E314">
        <v>6.84</v>
      </c>
      <c r="F314">
        <v>1937</v>
      </c>
      <c r="G314">
        <v>710</v>
      </c>
      <c r="H314">
        <v>1577</v>
      </c>
      <c r="I314">
        <v>314</v>
      </c>
      <c r="J314">
        <v>489</v>
      </c>
      <c r="K314">
        <v>251</v>
      </c>
      <c r="L314">
        <v>877</v>
      </c>
      <c r="M314">
        <v>436</v>
      </c>
      <c r="N314">
        <v>187</v>
      </c>
      <c r="O314">
        <v>105</v>
      </c>
      <c r="P314">
        <v>384</v>
      </c>
      <c r="Q314">
        <v>460</v>
      </c>
      <c r="R314">
        <v>313</v>
      </c>
    </row>
    <row r="315" spans="1:18">
      <c r="A315" s="1" t="s">
        <v>259</v>
      </c>
      <c r="B315">
        <v>28</v>
      </c>
      <c r="C315">
        <v>9</v>
      </c>
      <c r="D315">
        <v>19</v>
      </c>
      <c r="E315">
        <v>-4.38</v>
      </c>
      <c r="F315">
        <v>2044</v>
      </c>
      <c r="G315">
        <v>706</v>
      </c>
      <c r="H315">
        <v>1641</v>
      </c>
      <c r="I315">
        <v>439</v>
      </c>
      <c r="J315">
        <v>583</v>
      </c>
      <c r="K315">
        <v>342</v>
      </c>
      <c r="L315">
        <v>974</v>
      </c>
      <c r="M315">
        <v>363</v>
      </c>
      <c r="N315">
        <v>202</v>
      </c>
      <c r="O315">
        <v>117</v>
      </c>
      <c r="P315">
        <v>454</v>
      </c>
      <c r="Q315">
        <v>535</v>
      </c>
      <c r="R315">
        <v>314</v>
      </c>
    </row>
    <row r="316" spans="1:18">
      <c r="A316" s="1" t="s">
        <v>260</v>
      </c>
      <c r="B316">
        <v>28</v>
      </c>
      <c r="C316">
        <v>7</v>
      </c>
      <c r="D316">
        <v>21</v>
      </c>
      <c r="E316">
        <v>-2.97</v>
      </c>
      <c r="F316">
        <v>1882</v>
      </c>
      <c r="G316">
        <v>685</v>
      </c>
      <c r="H316">
        <v>1555</v>
      </c>
      <c r="I316">
        <v>337</v>
      </c>
      <c r="J316">
        <v>504</v>
      </c>
      <c r="K316">
        <v>305</v>
      </c>
      <c r="L316">
        <v>913</v>
      </c>
      <c r="M316">
        <v>454</v>
      </c>
      <c r="N316">
        <v>151</v>
      </c>
      <c r="O316">
        <v>63</v>
      </c>
      <c r="P316">
        <v>436</v>
      </c>
      <c r="Q316">
        <v>517</v>
      </c>
      <c r="R316">
        <v>315</v>
      </c>
    </row>
    <row r="317" spans="1:18">
      <c r="A317" s="1" t="s">
        <v>261</v>
      </c>
      <c r="B317">
        <v>33</v>
      </c>
      <c r="C317">
        <v>24</v>
      </c>
      <c r="D317">
        <v>9</v>
      </c>
      <c r="E317">
        <v>1.4</v>
      </c>
      <c r="F317">
        <v>2430</v>
      </c>
      <c r="G317">
        <v>860</v>
      </c>
      <c r="H317">
        <v>1866</v>
      </c>
      <c r="I317">
        <v>457</v>
      </c>
      <c r="J317">
        <v>692</v>
      </c>
      <c r="K317">
        <v>411</v>
      </c>
      <c r="L317">
        <v>1186</v>
      </c>
      <c r="M317">
        <v>473</v>
      </c>
      <c r="N317">
        <v>234</v>
      </c>
      <c r="O317">
        <v>120</v>
      </c>
      <c r="P317">
        <v>497</v>
      </c>
      <c r="Q317">
        <v>608</v>
      </c>
      <c r="R317">
        <v>316</v>
      </c>
    </row>
    <row r="318" spans="1:18">
      <c r="A318" s="1" t="s">
        <v>262</v>
      </c>
      <c r="B318">
        <v>31</v>
      </c>
      <c r="C318">
        <v>20</v>
      </c>
      <c r="D318">
        <v>11</v>
      </c>
      <c r="E318">
        <v>0.76</v>
      </c>
      <c r="F318">
        <v>2151</v>
      </c>
      <c r="G318">
        <v>751</v>
      </c>
      <c r="H318">
        <v>1760</v>
      </c>
      <c r="I318">
        <v>468</v>
      </c>
      <c r="J318">
        <v>677</v>
      </c>
      <c r="K318">
        <v>420</v>
      </c>
      <c r="L318">
        <v>1102</v>
      </c>
      <c r="M318">
        <v>390</v>
      </c>
      <c r="N318">
        <v>279</v>
      </c>
      <c r="O318">
        <v>83</v>
      </c>
      <c r="P318">
        <v>420</v>
      </c>
      <c r="Q318">
        <v>619</v>
      </c>
      <c r="R318">
        <v>317</v>
      </c>
    </row>
    <row r="319" spans="1:18">
      <c r="A319" s="1" t="s">
        <v>263</v>
      </c>
      <c r="B319">
        <v>30</v>
      </c>
      <c r="C319">
        <v>18</v>
      </c>
      <c r="D319">
        <v>12</v>
      </c>
      <c r="E319">
        <v>0.99</v>
      </c>
      <c r="F319">
        <v>2157</v>
      </c>
      <c r="G319">
        <v>740</v>
      </c>
      <c r="H319">
        <v>1621</v>
      </c>
      <c r="I319">
        <v>466</v>
      </c>
      <c r="J319">
        <v>639</v>
      </c>
      <c r="K319">
        <v>346</v>
      </c>
      <c r="L319">
        <v>1062</v>
      </c>
      <c r="M319">
        <v>459</v>
      </c>
      <c r="N319">
        <v>184</v>
      </c>
      <c r="O319">
        <v>61</v>
      </c>
      <c r="P319">
        <v>470</v>
      </c>
      <c r="Q319">
        <v>552</v>
      </c>
      <c r="R319">
        <v>318</v>
      </c>
    </row>
    <row r="320" spans="1:18">
      <c r="A320" s="1" t="s">
        <v>264</v>
      </c>
      <c r="B320">
        <v>28</v>
      </c>
      <c r="C320">
        <v>12</v>
      </c>
      <c r="D320">
        <v>16</v>
      </c>
      <c r="E320">
        <v>-5.07</v>
      </c>
      <c r="F320">
        <v>1799</v>
      </c>
      <c r="G320">
        <v>640</v>
      </c>
      <c r="H320">
        <v>1531</v>
      </c>
      <c r="I320">
        <v>345</v>
      </c>
      <c r="J320">
        <v>497</v>
      </c>
      <c r="K320">
        <v>314</v>
      </c>
      <c r="L320">
        <v>994</v>
      </c>
      <c r="M320">
        <v>376</v>
      </c>
      <c r="N320">
        <v>159</v>
      </c>
      <c r="O320">
        <v>71</v>
      </c>
      <c r="P320">
        <v>349</v>
      </c>
      <c r="Q320">
        <v>450</v>
      </c>
      <c r="R320">
        <v>319</v>
      </c>
    </row>
    <row r="321" spans="1:18">
      <c r="A321" s="1" t="s">
        <v>325</v>
      </c>
      <c r="B321">
        <v>30</v>
      </c>
      <c r="C321">
        <v>20</v>
      </c>
      <c r="D321">
        <v>10</v>
      </c>
      <c r="E321">
        <v>-10.58</v>
      </c>
      <c r="F321">
        <v>2104</v>
      </c>
      <c r="G321">
        <v>730</v>
      </c>
      <c r="H321">
        <v>1699</v>
      </c>
      <c r="I321">
        <v>437</v>
      </c>
      <c r="J321">
        <v>676</v>
      </c>
      <c r="K321">
        <v>375</v>
      </c>
      <c r="L321">
        <v>1114</v>
      </c>
      <c r="M321">
        <v>381</v>
      </c>
      <c r="N321">
        <v>231</v>
      </c>
      <c r="O321">
        <v>155</v>
      </c>
      <c r="P321">
        <v>436</v>
      </c>
      <c r="Q321">
        <v>583</v>
      </c>
      <c r="R321">
        <v>320</v>
      </c>
    </row>
    <row r="322" spans="1:18">
      <c r="A322" s="1" t="s">
        <v>367</v>
      </c>
      <c r="B322">
        <v>32</v>
      </c>
      <c r="C322">
        <v>24</v>
      </c>
      <c r="D322">
        <v>8</v>
      </c>
      <c r="E322">
        <v>6.51</v>
      </c>
      <c r="F322">
        <v>2250</v>
      </c>
      <c r="G322">
        <v>798</v>
      </c>
      <c r="H322">
        <v>1723</v>
      </c>
      <c r="I322">
        <v>453</v>
      </c>
      <c r="J322">
        <v>619</v>
      </c>
      <c r="K322">
        <v>326</v>
      </c>
      <c r="L322">
        <v>1045</v>
      </c>
      <c r="M322">
        <v>423</v>
      </c>
      <c r="N322">
        <v>221</v>
      </c>
      <c r="O322">
        <v>88</v>
      </c>
      <c r="P322">
        <v>334</v>
      </c>
      <c r="Q322">
        <v>478</v>
      </c>
      <c r="R322">
        <v>321</v>
      </c>
    </row>
    <row r="323" spans="1:18">
      <c r="A323" s="1" t="s">
        <v>265</v>
      </c>
      <c r="B323">
        <v>29</v>
      </c>
      <c r="C323">
        <v>14</v>
      </c>
      <c r="D323">
        <v>15</v>
      </c>
      <c r="E323">
        <v>-1.83</v>
      </c>
      <c r="F323">
        <v>2209</v>
      </c>
      <c r="G323">
        <v>808</v>
      </c>
      <c r="H323">
        <v>1757</v>
      </c>
      <c r="I323">
        <v>353</v>
      </c>
      <c r="J323">
        <v>513</v>
      </c>
      <c r="K323">
        <v>351</v>
      </c>
      <c r="L323">
        <v>999</v>
      </c>
      <c r="M323">
        <v>462</v>
      </c>
      <c r="N323">
        <v>229</v>
      </c>
      <c r="O323">
        <v>99</v>
      </c>
      <c r="P323">
        <v>424</v>
      </c>
      <c r="Q323">
        <v>509</v>
      </c>
      <c r="R323">
        <v>322</v>
      </c>
    </row>
    <row r="324" spans="1:18">
      <c r="A324" s="1" t="s">
        <v>266</v>
      </c>
      <c r="B324">
        <v>28</v>
      </c>
      <c r="C324">
        <v>10</v>
      </c>
      <c r="D324">
        <v>18</v>
      </c>
      <c r="E324">
        <v>0.48</v>
      </c>
      <c r="F324">
        <v>1907</v>
      </c>
      <c r="G324">
        <v>668</v>
      </c>
      <c r="H324">
        <v>1543</v>
      </c>
      <c r="I324">
        <v>396</v>
      </c>
      <c r="J324">
        <v>563</v>
      </c>
      <c r="K324">
        <v>277</v>
      </c>
      <c r="L324">
        <v>853</v>
      </c>
      <c r="M324">
        <v>343</v>
      </c>
      <c r="N324">
        <v>171</v>
      </c>
      <c r="O324">
        <v>71</v>
      </c>
      <c r="P324">
        <v>345</v>
      </c>
      <c r="Q324">
        <v>557</v>
      </c>
      <c r="R324">
        <v>323</v>
      </c>
    </row>
    <row r="325" spans="1:18">
      <c r="A325" s="1" t="s">
        <v>267</v>
      </c>
      <c r="B325">
        <v>32</v>
      </c>
      <c r="C325">
        <v>21</v>
      </c>
      <c r="D325">
        <v>11</v>
      </c>
      <c r="E325">
        <v>3.5</v>
      </c>
      <c r="F325">
        <v>2343</v>
      </c>
      <c r="G325">
        <v>775</v>
      </c>
      <c r="H325">
        <v>1704</v>
      </c>
      <c r="I325">
        <v>634</v>
      </c>
      <c r="J325">
        <v>903</v>
      </c>
      <c r="K325">
        <v>390</v>
      </c>
      <c r="L325">
        <v>1164</v>
      </c>
      <c r="M325">
        <v>430</v>
      </c>
      <c r="N325">
        <v>188</v>
      </c>
      <c r="O325">
        <v>96</v>
      </c>
      <c r="P325">
        <v>439</v>
      </c>
      <c r="Q325">
        <v>581</v>
      </c>
      <c r="R325">
        <v>324</v>
      </c>
    </row>
    <row r="326" spans="1:18">
      <c r="A326" s="1" t="s">
        <v>268</v>
      </c>
      <c r="B326">
        <v>32</v>
      </c>
      <c r="C326">
        <v>26</v>
      </c>
      <c r="D326">
        <v>6</v>
      </c>
      <c r="E326">
        <v>4.6100000000000003</v>
      </c>
      <c r="F326">
        <v>2482</v>
      </c>
      <c r="G326">
        <v>850</v>
      </c>
      <c r="H326">
        <v>1897</v>
      </c>
      <c r="I326">
        <v>576</v>
      </c>
      <c r="J326">
        <v>772</v>
      </c>
      <c r="K326">
        <v>460</v>
      </c>
      <c r="L326">
        <v>1259</v>
      </c>
      <c r="M326">
        <v>523</v>
      </c>
      <c r="N326">
        <v>172</v>
      </c>
      <c r="O326">
        <v>96</v>
      </c>
      <c r="P326">
        <v>407</v>
      </c>
      <c r="Q326">
        <v>500</v>
      </c>
      <c r="R326">
        <v>325</v>
      </c>
    </row>
    <row r="327" spans="1:18">
      <c r="A327" s="1" t="s">
        <v>269</v>
      </c>
      <c r="B327">
        <v>27</v>
      </c>
      <c r="C327">
        <v>14</v>
      </c>
      <c r="D327">
        <v>13</v>
      </c>
      <c r="E327">
        <v>-2.4500000000000002</v>
      </c>
      <c r="F327">
        <v>1872</v>
      </c>
      <c r="G327">
        <v>654</v>
      </c>
      <c r="H327">
        <v>1451</v>
      </c>
      <c r="I327">
        <v>377</v>
      </c>
      <c r="J327">
        <v>512</v>
      </c>
      <c r="K327">
        <v>254</v>
      </c>
      <c r="L327">
        <v>911</v>
      </c>
      <c r="M327">
        <v>407</v>
      </c>
      <c r="N327">
        <v>203</v>
      </c>
      <c r="O327">
        <v>61</v>
      </c>
      <c r="P327">
        <v>422</v>
      </c>
      <c r="Q327">
        <v>496</v>
      </c>
      <c r="R327">
        <v>326</v>
      </c>
    </row>
    <row r="328" spans="1:18">
      <c r="A328" s="1" t="s">
        <v>270</v>
      </c>
      <c r="B328">
        <v>29</v>
      </c>
      <c r="C328">
        <v>9</v>
      </c>
      <c r="D328">
        <v>20</v>
      </c>
      <c r="E328">
        <v>-0.77</v>
      </c>
      <c r="F328">
        <v>1813</v>
      </c>
      <c r="G328">
        <v>652</v>
      </c>
      <c r="H328">
        <v>1574</v>
      </c>
      <c r="I328">
        <v>387</v>
      </c>
      <c r="J328">
        <v>591</v>
      </c>
      <c r="K328">
        <v>388</v>
      </c>
      <c r="L328">
        <v>1015</v>
      </c>
      <c r="M328">
        <v>365</v>
      </c>
      <c r="N328">
        <v>180</v>
      </c>
      <c r="O328">
        <v>86</v>
      </c>
      <c r="P328">
        <v>469</v>
      </c>
      <c r="Q328">
        <v>639</v>
      </c>
      <c r="R328">
        <v>327</v>
      </c>
    </row>
    <row r="329" spans="1:18">
      <c r="R329">
        <v>328</v>
      </c>
    </row>
    <row r="330" spans="1:18">
      <c r="R330">
        <v>329</v>
      </c>
    </row>
    <row r="331" spans="1:18">
      <c r="R331">
        <v>330</v>
      </c>
    </row>
    <row r="332" spans="1:18">
      <c r="R332">
        <v>331</v>
      </c>
    </row>
    <row r="333" spans="1:18">
      <c r="R333">
        <v>332</v>
      </c>
    </row>
    <row r="334" spans="1:18">
      <c r="R334">
        <v>333</v>
      </c>
    </row>
    <row r="335" spans="1:18">
      <c r="R335">
        <v>334</v>
      </c>
    </row>
    <row r="336" spans="1:18">
      <c r="R336">
        <v>335</v>
      </c>
    </row>
    <row r="337" spans="18:18">
      <c r="R337">
        <v>336</v>
      </c>
    </row>
    <row r="338" spans="18:18">
      <c r="R338">
        <v>337</v>
      </c>
    </row>
    <row r="339" spans="18:18">
      <c r="R339">
        <v>338</v>
      </c>
    </row>
    <row r="340" spans="18:18">
      <c r="R340">
        <v>339</v>
      </c>
    </row>
    <row r="341" spans="18:18">
      <c r="R341">
        <v>340</v>
      </c>
    </row>
    <row r="342" spans="18:18">
      <c r="R342">
        <v>341</v>
      </c>
    </row>
    <row r="343" spans="18:18">
      <c r="R343">
        <v>342</v>
      </c>
    </row>
    <row r="344" spans="18:18">
      <c r="R344">
        <v>343</v>
      </c>
    </row>
    <row r="345" spans="18:18">
      <c r="R345">
        <v>344</v>
      </c>
    </row>
    <row r="346" spans="18:18">
      <c r="R346">
        <v>345</v>
      </c>
    </row>
    <row r="347" spans="18:18">
      <c r="R347">
        <v>346</v>
      </c>
    </row>
    <row r="348" spans="18:18">
      <c r="R348">
        <v>347</v>
      </c>
    </row>
    <row r="349" spans="18:18">
      <c r="R349">
        <v>348</v>
      </c>
    </row>
    <row r="350" spans="18:18">
      <c r="R350">
        <v>349</v>
      </c>
    </row>
    <row r="351" spans="18:18">
      <c r="R351">
        <v>350</v>
      </c>
    </row>
    <row r="352" spans="18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90D59-B209-43D5-9723-D51361B0AA15}">
  <sheetPr codeName="Sheet5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28.425781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29</v>
      </c>
      <c r="C2">
        <v>22</v>
      </c>
      <c r="D2">
        <v>7</v>
      </c>
      <c r="E2">
        <v>0.08</v>
      </c>
      <c r="F2">
        <v>1737</v>
      </c>
      <c r="G2">
        <v>585</v>
      </c>
      <c r="H2">
        <v>1216</v>
      </c>
      <c r="I2">
        <v>322</v>
      </c>
      <c r="J2">
        <v>453</v>
      </c>
      <c r="K2">
        <v>174</v>
      </c>
      <c r="L2">
        <v>623</v>
      </c>
      <c r="M2">
        <v>386</v>
      </c>
      <c r="N2">
        <v>225</v>
      </c>
      <c r="O2">
        <v>68</v>
      </c>
      <c r="P2">
        <v>318</v>
      </c>
      <c r="Q2">
        <v>481</v>
      </c>
      <c r="R2">
        <v>1</v>
      </c>
    </row>
    <row r="3" spans="1:18">
      <c r="A3" s="1" t="s">
        <v>18</v>
      </c>
      <c r="B3">
        <v>28</v>
      </c>
      <c r="C3">
        <v>13</v>
      </c>
      <c r="D3">
        <v>15</v>
      </c>
      <c r="E3">
        <v>0</v>
      </c>
      <c r="F3">
        <v>2009</v>
      </c>
      <c r="G3">
        <v>696</v>
      </c>
      <c r="H3">
        <v>1492</v>
      </c>
      <c r="I3">
        <v>444</v>
      </c>
      <c r="J3">
        <v>688</v>
      </c>
      <c r="K3">
        <v>314</v>
      </c>
      <c r="L3">
        <v>940</v>
      </c>
      <c r="M3">
        <v>423</v>
      </c>
      <c r="N3">
        <v>207</v>
      </c>
      <c r="O3">
        <v>71</v>
      </c>
      <c r="P3">
        <v>410</v>
      </c>
      <c r="Q3">
        <v>544</v>
      </c>
      <c r="R3">
        <v>2</v>
      </c>
    </row>
    <row r="4" spans="1:18">
      <c r="A4" s="1" t="s">
        <v>19</v>
      </c>
      <c r="B4">
        <v>30</v>
      </c>
      <c r="C4">
        <v>13</v>
      </c>
      <c r="D4">
        <v>17</v>
      </c>
      <c r="E4">
        <v>-12.29</v>
      </c>
      <c r="F4">
        <v>2113</v>
      </c>
      <c r="G4">
        <v>721</v>
      </c>
      <c r="H4">
        <v>1762</v>
      </c>
      <c r="I4">
        <v>485</v>
      </c>
      <c r="J4">
        <v>705</v>
      </c>
      <c r="K4">
        <v>387</v>
      </c>
      <c r="L4">
        <v>1112</v>
      </c>
      <c r="M4">
        <v>378</v>
      </c>
      <c r="N4">
        <v>220</v>
      </c>
      <c r="O4">
        <v>78</v>
      </c>
      <c r="P4">
        <v>487</v>
      </c>
      <c r="Q4">
        <v>650</v>
      </c>
      <c r="R4">
        <v>3</v>
      </c>
    </row>
    <row r="5" spans="1:18">
      <c r="A5" s="1" t="s">
        <v>20</v>
      </c>
      <c r="B5">
        <v>32</v>
      </c>
      <c r="C5">
        <v>22</v>
      </c>
      <c r="D5">
        <v>10</v>
      </c>
      <c r="E5">
        <v>5.63</v>
      </c>
      <c r="F5">
        <v>2414</v>
      </c>
      <c r="G5">
        <v>882</v>
      </c>
      <c r="H5">
        <v>2006</v>
      </c>
      <c r="I5">
        <v>437</v>
      </c>
      <c r="J5">
        <v>656</v>
      </c>
      <c r="K5">
        <v>401</v>
      </c>
      <c r="L5">
        <v>1119</v>
      </c>
      <c r="M5">
        <v>564</v>
      </c>
      <c r="N5">
        <v>371</v>
      </c>
      <c r="O5">
        <v>115</v>
      </c>
      <c r="P5">
        <v>431</v>
      </c>
      <c r="Q5">
        <v>681</v>
      </c>
      <c r="R5">
        <v>4</v>
      </c>
    </row>
    <row r="6" spans="1:18">
      <c r="A6" s="1" t="s">
        <v>21</v>
      </c>
      <c r="B6">
        <v>31</v>
      </c>
      <c r="C6">
        <v>16</v>
      </c>
      <c r="D6">
        <v>15</v>
      </c>
      <c r="E6">
        <v>-10.78</v>
      </c>
      <c r="F6">
        <v>1904</v>
      </c>
      <c r="G6">
        <v>639</v>
      </c>
      <c r="H6">
        <v>1523</v>
      </c>
      <c r="I6">
        <v>453</v>
      </c>
      <c r="J6">
        <v>691</v>
      </c>
      <c r="K6">
        <v>360</v>
      </c>
      <c r="L6">
        <v>1066</v>
      </c>
      <c r="M6">
        <v>315</v>
      </c>
      <c r="N6">
        <v>219</v>
      </c>
      <c r="O6">
        <v>95</v>
      </c>
      <c r="P6">
        <v>537</v>
      </c>
      <c r="Q6">
        <v>581</v>
      </c>
      <c r="R6">
        <v>5</v>
      </c>
    </row>
    <row r="7" spans="1:18">
      <c r="A7" s="1" t="s">
        <v>22</v>
      </c>
      <c r="B7">
        <v>33</v>
      </c>
      <c r="C7">
        <v>20</v>
      </c>
      <c r="D7">
        <v>13</v>
      </c>
      <c r="E7">
        <v>10.199999999999999</v>
      </c>
      <c r="F7">
        <v>2380</v>
      </c>
      <c r="G7">
        <v>813</v>
      </c>
      <c r="H7">
        <v>1802</v>
      </c>
      <c r="I7">
        <v>521</v>
      </c>
      <c r="J7">
        <v>735</v>
      </c>
      <c r="K7">
        <v>366</v>
      </c>
      <c r="L7">
        <v>1148</v>
      </c>
      <c r="M7">
        <v>395</v>
      </c>
      <c r="N7">
        <v>213</v>
      </c>
      <c r="O7">
        <v>111</v>
      </c>
      <c r="P7">
        <v>423</v>
      </c>
      <c r="Q7">
        <v>598</v>
      </c>
      <c r="R7">
        <v>6</v>
      </c>
    </row>
    <row r="8" spans="1:18">
      <c r="A8" s="1" t="s">
        <v>23</v>
      </c>
      <c r="B8">
        <v>28</v>
      </c>
      <c r="C8">
        <v>5</v>
      </c>
      <c r="D8">
        <v>23</v>
      </c>
      <c r="E8">
        <v>-7.47</v>
      </c>
      <c r="F8">
        <v>1621</v>
      </c>
      <c r="G8">
        <v>598</v>
      </c>
      <c r="H8">
        <v>1493</v>
      </c>
      <c r="I8">
        <v>290</v>
      </c>
      <c r="J8">
        <v>393</v>
      </c>
      <c r="K8">
        <v>286</v>
      </c>
      <c r="L8">
        <v>916</v>
      </c>
      <c r="M8">
        <v>314</v>
      </c>
      <c r="N8">
        <v>188</v>
      </c>
      <c r="O8">
        <v>63</v>
      </c>
      <c r="P8">
        <v>441</v>
      </c>
      <c r="Q8">
        <v>474</v>
      </c>
      <c r="R8">
        <v>7</v>
      </c>
    </row>
    <row r="9" spans="1:18">
      <c r="A9" s="1" t="s">
        <v>24</v>
      </c>
      <c r="B9">
        <v>29</v>
      </c>
      <c r="C9">
        <v>11</v>
      </c>
      <c r="D9">
        <v>18</v>
      </c>
      <c r="E9">
        <v>-11.79</v>
      </c>
      <c r="F9">
        <v>1855</v>
      </c>
      <c r="G9">
        <v>646</v>
      </c>
      <c r="H9">
        <v>1520</v>
      </c>
      <c r="I9">
        <v>401</v>
      </c>
      <c r="J9">
        <v>592</v>
      </c>
      <c r="K9">
        <v>329</v>
      </c>
      <c r="L9">
        <v>962</v>
      </c>
      <c r="M9">
        <v>329</v>
      </c>
      <c r="N9">
        <v>179</v>
      </c>
      <c r="O9">
        <v>62</v>
      </c>
      <c r="P9">
        <v>560</v>
      </c>
      <c r="Q9">
        <v>565</v>
      </c>
      <c r="R9">
        <v>8</v>
      </c>
    </row>
    <row r="10" spans="1:18">
      <c r="A10" s="1" t="s">
        <v>25</v>
      </c>
      <c r="B10">
        <v>31</v>
      </c>
      <c r="C10">
        <v>18</v>
      </c>
      <c r="D10">
        <v>13</v>
      </c>
      <c r="E10">
        <v>-7.04</v>
      </c>
      <c r="F10">
        <v>2092</v>
      </c>
      <c r="G10">
        <v>726</v>
      </c>
      <c r="H10">
        <v>1643</v>
      </c>
      <c r="I10">
        <v>434</v>
      </c>
      <c r="J10">
        <v>642</v>
      </c>
      <c r="K10">
        <v>331</v>
      </c>
      <c r="L10">
        <v>1067</v>
      </c>
      <c r="M10">
        <v>411</v>
      </c>
      <c r="N10">
        <v>240</v>
      </c>
      <c r="O10">
        <v>72</v>
      </c>
      <c r="P10">
        <v>441</v>
      </c>
      <c r="Q10">
        <v>564</v>
      </c>
      <c r="R10">
        <v>9</v>
      </c>
    </row>
    <row r="11" spans="1:18">
      <c r="A11" s="1" t="s">
        <v>271</v>
      </c>
      <c r="B11">
        <v>30</v>
      </c>
      <c r="C11">
        <v>9</v>
      </c>
      <c r="D11">
        <v>21</v>
      </c>
      <c r="E11">
        <v>-1.18</v>
      </c>
      <c r="F11">
        <v>2091</v>
      </c>
      <c r="G11">
        <v>766</v>
      </c>
      <c r="H11">
        <v>1875</v>
      </c>
      <c r="I11">
        <v>355</v>
      </c>
      <c r="J11">
        <v>554</v>
      </c>
      <c r="K11">
        <v>407</v>
      </c>
      <c r="L11">
        <v>1047</v>
      </c>
      <c r="M11">
        <v>437</v>
      </c>
      <c r="N11">
        <v>324</v>
      </c>
      <c r="O11">
        <v>138</v>
      </c>
      <c r="P11">
        <v>494</v>
      </c>
      <c r="Q11">
        <v>609</v>
      </c>
      <c r="R11">
        <v>10</v>
      </c>
    </row>
    <row r="12" spans="1:18">
      <c r="A12" s="1" t="s">
        <v>26</v>
      </c>
      <c r="B12">
        <v>27</v>
      </c>
      <c r="C12">
        <v>10</v>
      </c>
      <c r="D12">
        <v>17</v>
      </c>
      <c r="E12">
        <v>5.35</v>
      </c>
      <c r="F12">
        <v>2000</v>
      </c>
      <c r="G12">
        <v>646</v>
      </c>
      <c r="H12">
        <v>1498</v>
      </c>
      <c r="I12">
        <v>547</v>
      </c>
      <c r="J12">
        <v>744</v>
      </c>
      <c r="K12">
        <v>327</v>
      </c>
      <c r="L12">
        <v>961</v>
      </c>
      <c r="M12">
        <v>426</v>
      </c>
      <c r="N12">
        <v>150</v>
      </c>
      <c r="O12">
        <v>86</v>
      </c>
      <c r="P12">
        <v>408</v>
      </c>
      <c r="Q12">
        <v>567</v>
      </c>
      <c r="R12">
        <v>11</v>
      </c>
    </row>
    <row r="13" spans="1:18">
      <c r="A13" s="1" t="s">
        <v>356</v>
      </c>
      <c r="B13">
        <v>30</v>
      </c>
      <c r="C13">
        <v>20</v>
      </c>
      <c r="D13">
        <v>10</v>
      </c>
      <c r="E13">
        <v>6.63</v>
      </c>
      <c r="F13">
        <v>2614</v>
      </c>
      <c r="G13">
        <v>942</v>
      </c>
      <c r="H13">
        <v>1938</v>
      </c>
      <c r="I13">
        <v>511</v>
      </c>
      <c r="J13">
        <v>650</v>
      </c>
      <c r="K13">
        <v>421</v>
      </c>
      <c r="L13">
        <v>1177</v>
      </c>
      <c r="M13">
        <v>560</v>
      </c>
      <c r="N13">
        <v>206</v>
      </c>
      <c r="O13">
        <v>135</v>
      </c>
      <c r="P13">
        <v>448</v>
      </c>
      <c r="Q13">
        <v>483</v>
      </c>
      <c r="R13">
        <v>12</v>
      </c>
    </row>
    <row r="14" spans="1:18">
      <c r="A14" s="1" t="s">
        <v>27</v>
      </c>
      <c r="B14">
        <v>29</v>
      </c>
      <c r="C14">
        <v>17</v>
      </c>
      <c r="D14">
        <v>12</v>
      </c>
      <c r="E14">
        <v>-3.97</v>
      </c>
      <c r="F14">
        <v>2081</v>
      </c>
      <c r="G14">
        <v>697</v>
      </c>
      <c r="H14">
        <v>1574</v>
      </c>
      <c r="I14">
        <v>534</v>
      </c>
      <c r="J14">
        <v>739</v>
      </c>
      <c r="K14">
        <v>376</v>
      </c>
      <c r="L14">
        <v>1072</v>
      </c>
      <c r="M14">
        <v>348</v>
      </c>
      <c r="N14">
        <v>187</v>
      </c>
      <c r="O14">
        <v>93</v>
      </c>
      <c r="P14">
        <v>454</v>
      </c>
      <c r="Q14">
        <v>580</v>
      </c>
      <c r="R14">
        <v>13</v>
      </c>
    </row>
    <row r="15" spans="1:18">
      <c r="A15" s="1" t="s">
        <v>28</v>
      </c>
      <c r="B15">
        <v>27</v>
      </c>
      <c r="C15">
        <v>1</v>
      </c>
      <c r="D15">
        <v>26</v>
      </c>
      <c r="E15">
        <v>-8.5399999999999991</v>
      </c>
      <c r="F15">
        <v>1410</v>
      </c>
      <c r="G15">
        <v>511</v>
      </c>
      <c r="H15">
        <v>1485</v>
      </c>
      <c r="I15">
        <v>252</v>
      </c>
      <c r="J15">
        <v>395</v>
      </c>
      <c r="K15">
        <v>292</v>
      </c>
      <c r="L15">
        <v>936</v>
      </c>
      <c r="M15">
        <v>269</v>
      </c>
      <c r="N15">
        <v>149</v>
      </c>
      <c r="O15">
        <v>66</v>
      </c>
      <c r="P15">
        <v>518</v>
      </c>
      <c r="Q15">
        <v>568</v>
      </c>
      <c r="R15">
        <v>14</v>
      </c>
    </row>
    <row r="16" spans="1:18">
      <c r="A16" s="1" t="s">
        <v>29</v>
      </c>
      <c r="B16">
        <v>28</v>
      </c>
      <c r="C16">
        <v>17</v>
      </c>
      <c r="D16">
        <v>11</v>
      </c>
      <c r="E16">
        <v>-4.42</v>
      </c>
      <c r="F16">
        <v>2078</v>
      </c>
      <c r="G16">
        <v>707</v>
      </c>
      <c r="H16">
        <v>1581</v>
      </c>
      <c r="I16">
        <v>468</v>
      </c>
      <c r="J16">
        <v>642</v>
      </c>
      <c r="K16">
        <v>359</v>
      </c>
      <c r="L16">
        <v>1017</v>
      </c>
      <c r="M16">
        <v>315</v>
      </c>
      <c r="N16">
        <v>190</v>
      </c>
      <c r="O16">
        <v>80</v>
      </c>
      <c r="P16">
        <v>434</v>
      </c>
      <c r="Q16">
        <v>576</v>
      </c>
      <c r="R16">
        <v>15</v>
      </c>
    </row>
    <row r="17" spans="1:18">
      <c r="A17" s="1" t="s">
        <v>302</v>
      </c>
      <c r="B17">
        <v>28</v>
      </c>
      <c r="C17">
        <v>12</v>
      </c>
      <c r="D17">
        <v>16</v>
      </c>
      <c r="E17">
        <v>6.28</v>
      </c>
      <c r="F17">
        <v>1928</v>
      </c>
      <c r="G17">
        <v>678</v>
      </c>
      <c r="H17">
        <v>1629</v>
      </c>
      <c r="I17">
        <v>392</v>
      </c>
      <c r="J17">
        <v>577</v>
      </c>
      <c r="K17">
        <v>365</v>
      </c>
      <c r="L17">
        <v>967</v>
      </c>
      <c r="M17">
        <v>363</v>
      </c>
      <c r="N17">
        <v>220</v>
      </c>
      <c r="O17">
        <v>108</v>
      </c>
      <c r="P17">
        <v>386</v>
      </c>
      <c r="Q17">
        <v>555</v>
      </c>
      <c r="R17">
        <v>16</v>
      </c>
    </row>
    <row r="18" spans="1:18">
      <c r="A18" s="1" t="s">
        <v>30</v>
      </c>
      <c r="B18">
        <v>27</v>
      </c>
      <c r="C18">
        <v>6</v>
      </c>
      <c r="D18">
        <v>21</v>
      </c>
      <c r="E18">
        <v>-7.72</v>
      </c>
      <c r="F18">
        <v>1363</v>
      </c>
      <c r="G18">
        <v>455</v>
      </c>
      <c r="H18">
        <v>1257</v>
      </c>
      <c r="I18">
        <v>299</v>
      </c>
      <c r="J18">
        <v>456</v>
      </c>
      <c r="K18">
        <v>186</v>
      </c>
      <c r="L18">
        <v>782</v>
      </c>
      <c r="M18">
        <v>270</v>
      </c>
      <c r="N18">
        <v>170</v>
      </c>
      <c r="O18">
        <v>52</v>
      </c>
      <c r="P18">
        <v>463</v>
      </c>
      <c r="Q18">
        <v>493</v>
      </c>
      <c r="R18">
        <v>17</v>
      </c>
    </row>
    <row r="19" spans="1:18">
      <c r="A19" s="1" t="s">
        <v>272</v>
      </c>
      <c r="B19">
        <v>28</v>
      </c>
      <c r="C19">
        <v>14</v>
      </c>
      <c r="D19">
        <v>14</v>
      </c>
      <c r="E19">
        <v>5.89</v>
      </c>
      <c r="F19">
        <v>1960</v>
      </c>
      <c r="G19">
        <v>700</v>
      </c>
      <c r="H19">
        <v>1598</v>
      </c>
      <c r="I19">
        <v>375</v>
      </c>
      <c r="J19">
        <v>566</v>
      </c>
      <c r="K19">
        <v>415</v>
      </c>
      <c r="L19">
        <v>1043</v>
      </c>
      <c r="M19">
        <v>427</v>
      </c>
      <c r="N19">
        <v>244</v>
      </c>
      <c r="O19">
        <v>134</v>
      </c>
      <c r="P19">
        <v>447</v>
      </c>
      <c r="Q19">
        <v>473</v>
      </c>
      <c r="R19">
        <v>18</v>
      </c>
    </row>
    <row r="20" spans="1:18">
      <c r="A20" s="1" t="s">
        <v>31</v>
      </c>
      <c r="B20">
        <v>32</v>
      </c>
      <c r="C20">
        <v>22</v>
      </c>
      <c r="D20">
        <v>10</v>
      </c>
      <c r="E20">
        <v>-1.38</v>
      </c>
      <c r="F20">
        <v>2098</v>
      </c>
      <c r="G20">
        <v>739</v>
      </c>
      <c r="H20">
        <v>1673</v>
      </c>
      <c r="I20">
        <v>438</v>
      </c>
      <c r="J20">
        <v>632</v>
      </c>
      <c r="K20">
        <v>318</v>
      </c>
      <c r="L20">
        <v>1090</v>
      </c>
      <c r="M20">
        <v>405</v>
      </c>
      <c r="N20">
        <v>218</v>
      </c>
      <c r="O20">
        <v>130</v>
      </c>
      <c r="P20">
        <v>440</v>
      </c>
      <c r="Q20">
        <v>558</v>
      </c>
      <c r="R20">
        <v>19</v>
      </c>
    </row>
    <row r="21" spans="1:18">
      <c r="A21" s="1" t="s">
        <v>273</v>
      </c>
      <c r="B21">
        <v>29</v>
      </c>
      <c r="C21">
        <v>14</v>
      </c>
      <c r="D21">
        <v>15</v>
      </c>
      <c r="E21">
        <v>1.78</v>
      </c>
      <c r="F21">
        <v>2046</v>
      </c>
      <c r="G21">
        <v>703</v>
      </c>
      <c r="H21">
        <v>1657</v>
      </c>
      <c r="I21">
        <v>491</v>
      </c>
      <c r="J21">
        <v>672</v>
      </c>
      <c r="K21">
        <v>344</v>
      </c>
      <c r="L21">
        <v>1023</v>
      </c>
      <c r="M21">
        <v>365</v>
      </c>
      <c r="N21">
        <v>174</v>
      </c>
      <c r="O21">
        <v>63</v>
      </c>
      <c r="P21">
        <v>379</v>
      </c>
      <c r="Q21">
        <v>589</v>
      </c>
      <c r="R21">
        <v>20</v>
      </c>
    </row>
    <row r="22" spans="1:18">
      <c r="A22" s="1" t="s">
        <v>32</v>
      </c>
      <c r="B22">
        <v>29</v>
      </c>
      <c r="C22">
        <v>8</v>
      </c>
      <c r="D22">
        <v>21</v>
      </c>
      <c r="E22">
        <v>5.2</v>
      </c>
      <c r="F22">
        <v>1847</v>
      </c>
      <c r="G22">
        <v>656</v>
      </c>
      <c r="H22">
        <v>1540</v>
      </c>
      <c r="I22">
        <v>367</v>
      </c>
      <c r="J22">
        <v>531</v>
      </c>
      <c r="K22">
        <v>355</v>
      </c>
      <c r="L22">
        <v>924</v>
      </c>
      <c r="M22">
        <v>351</v>
      </c>
      <c r="N22">
        <v>214</v>
      </c>
      <c r="O22">
        <v>74</v>
      </c>
      <c r="P22">
        <v>446</v>
      </c>
      <c r="Q22">
        <v>465</v>
      </c>
      <c r="R22">
        <v>21</v>
      </c>
    </row>
    <row r="23" spans="1:18">
      <c r="A23" s="1" t="s">
        <v>33</v>
      </c>
      <c r="B23">
        <v>30</v>
      </c>
      <c r="C23">
        <v>21</v>
      </c>
      <c r="D23">
        <v>9</v>
      </c>
      <c r="E23">
        <v>-4.68</v>
      </c>
      <c r="F23">
        <v>2171</v>
      </c>
      <c r="G23">
        <v>745</v>
      </c>
      <c r="H23">
        <v>1634</v>
      </c>
      <c r="I23">
        <v>388</v>
      </c>
      <c r="J23">
        <v>566</v>
      </c>
      <c r="K23">
        <v>292</v>
      </c>
      <c r="L23">
        <v>995</v>
      </c>
      <c r="M23">
        <v>494</v>
      </c>
      <c r="N23">
        <v>269</v>
      </c>
      <c r="O23">
        <v>72</v>
      </c>
      <c r="P23">
        <v>437</v>
      </c>
      <c r="Q23">
        <v>539</v>
      </c>
      <c r="R23">
        <v>22</v>
      </c>
    </row>
    <row r="24" spans="1:18">
      <c r="A24" s="1" t="s">
        <v>34</v>
      </c>
      <c r="B24">
        <v>29</v>
      </c>
      <c r="C24">
        <v>8</v>
      </c>
      <c r="D24">
        <v>21</v>
      </c>
      <c r="E24">
        <v>-10.63</v>
      </c>
      <c r="F24">
        <v>1711</v>
      </c>
      <c r="G24">
        <v>606</v>
      </c>
      <c r="H24">
        <v>1549</v>
      </c>
      <c r="I24">
        <v>323</v>
      </c>
      <c r="J24">
        <v>462</v>
      </c>
      <c r="K24">
        <v>311</v>
      </c>
      <c r="L24">
        <v>927</v>
      </c>
      <c r="M24">
        <v>306</v>
      </c>
      <c r="N24">
        <v>241</v>
      </c>
      <c r="O24">
        <v>61</v>
      </c>
      <c r="P24">
        <v>461</v>
      </c>
      <c r="Q24">
        <v>532</v>
      </c>
      <c r="R24">
        <v>23</v>
      </c>
    </row>
    <row r="25" spans="1:18">
      <c r="A25" s="1" t="s">
        <v>303</v>
      </c>
      <c r="B25">
        <v>30</v>
      </c>
      <c r="C25">
        <v>14</v>
      </c>
      <c r="D25">
        <v>16</v>
      </c>
      <c r="E25">
        <v>-6.33</v>
      </c>
      <c r="F25">
        <v>1802</v>
      </c>
      <c r="G25">
        <v>630</v>
      </c>
      <c r="H25">
        <v>1549</v>
      </c>
      <c r="I25">
        <v>381</v>
      </c>
      <c r="J25">
        <v>596</v>
      </c>
      <c r="K25">
        <v>357</v>
      </c>
      <c r="L25">
        <v>1057</v>
      </c>
      <c r="M25">
        <v>314</v>
      </c>
      <c r="N25">
        <v>202</v>
      </c>
      <c r="O25">
        <v>157</v>
      </c>
      <c r="P25">
        <v>509</v>
      </c>
      <c r="Q25">
        <v>564</v>
      </c>
      <c r="R25">
        <v>24</v>
      </c>
    </row>
    <row r="26" spans="1:18">
      <c r="A26" s="1" t="s">
        <v>317</v>
      </c>
      <c r="B26">
        <v>27</v>
      </c>
      <c r="C26">
        <v>20</v>
      </c>
      <c r="D26">
        <v>7</v>
      </c>
      <c r="E26">
        <v>-9.7899999999999991</v>
      </c>
      <c r="F26">
        <v>1998</v>
      </c>
      <c r="G26">
        <v>680</v>
      </c>
      <c r="H26">
        <v>1412</v>
      </c>
      <c r="I26">
        <v>395</v>
      </c>
      <c r="J26">
        <v>568</v>
      </c>
      <c r="L26">
        <v>963</v>
      </c>
      <c r="M26">
        <v>426</v>
      </c>
      <c r="N26">
        <v>205</v>
      </c>
      <c r="O26">
        <v>87</v>
      </c>
      <c r="P26">
        <v>428</v>
      </c>
      <c r="Q26">
        <v>520</v>
      </c>
      <c r="R26">
        <v>25</v>
      </c>
    </row>
    <row r="27" spans="1:18">
      <c r="A27" s="1" t="s">
        <v>35</v>
      </c>
      <c r="B27">
        <v>33</v>
      </c>
      <c r="C27">
        <v>23</v>
      </c>
      <c r="D27">
        <v>10</v>
      </c>
      <c r="E27">
        <v>4.1399999999999997</v>
      </c>
      <c r="F27">
        <v>2431</v>
      </c>
      <c r="G27">
        <v>852</v>
      </c>
      <c r="H27">
        <v>1904</v>
      </c>
      <c r="I27">
        <v>506</v>
      </c>
      <c r="J27">
        <v>686</v>
      </c>
      <c r="K27">
        <v>380</v>
      </c>
      <c r="L27">
        <v>1136</v>
      </c>
      <c r="M27">
        <v>461</v>
      </c>
      <c r="N27">
        <v>212</v>
      </c>
      <c r="O27">
        <v>105</v>
      </c>
      <c r="P27">
        <v>428</v>
      </c>
      <c r="Q27">
        <v>567</v>
      </c>
      <c r="R27">
        <v>26</v>
      </c>
    </row>
    <row r="28" spans="1:18">
      <c r="A28" s="1" t="s">
        <v>36</v>
      </c>
      <c r="B28">
        <v>34</v>
      </c>
      <c r="C28">
        <v>24</v>
      </c>
      <c r="D28">
        <v>10</v>
      </c>
      <c r="E28">
        <v>7.17</v>
      </c>
      <c r="F28">
        <v>2312</v>
      </c>
      <c r="G28">
        <v>819</v>
      </c>
      <c r="H28">
        <v>1799</v>
      </c>
      <c r="I28">
        <v>546</v>
      </c>
      <c r="J28">
        <v>804</v>
      </c>
      <c r="K28">
        <v>425</v>
      </c>
      <c r="L28">
        <v>1224</v>
      </c>
      <c r="M28">
        <v>543</v>
      </c>
      <c r="N28">
        <v>241</v>
      </c>
      <c r="O28">
        <v>102</v>
      </c>
      <c r="P28">
        <v>457</v>
      </c>
      <c r="Q28">
        <v>537</v>
      </c>
      <c r="R28">
        <v>27</v>
      </c>
    </row>
    <row r="29" spans="1:18">
      <c r="A29" s="1" t="s">
        <v>37</v>
      </c>
      <c r="B29">
        <v>29</v>
      </c>
      <c r="C29">
        <v>23</v>
      </c>
      <c r="D29">
        <v>6</v>
      </c>
      <c r="E29">
        <v>-5.91</v>
      </c>
      <c r="F29">
        <v>1930</v>
      </c>
      <c r="G29">
        <v>693</v>
      </c>
      <c r="H29">
        <v>1617</v>
      </c>
      <c r="I29">
        <v>367</v>
      </c>
      <c r="J29">
        <v>530</v>
      </c>
      <c r="K29">
        <v>337</v>
      </c>
      <c r="L29">
        <v>1007</v>
      </c>
      <c r="M29">
        <v>420</v>
      </c>
      <c r="N29">
        <v>228</v>
      </c>
      <c r="O29">
        <v>105</v>
      </c>
      <c r="P29">
        <v>351</v>
      </c>
      <c r="Q29">
        <v>537</v>
      </c>
      <c r="R29">
        <v>28</v>
      </c>
    </row>
    <row r="30" spans="1:18">
      <c r="A30" s="1" t="s">
        <v>38</v>
      </c>
      <c r="B30">
        <v>31</v>
      </c>
      <c r="C30">
        <v>14</v>
      </c>
      <c r="D30">
        <v>17</v>
      </c>
      <c r="E30">
        <v>0.5</v>
      </c>
      <c r="F30">
        <v>2194</v>
      </c>
      <c r="G30">
        <v>721</v>
      </c>
      <c r="H30">
        <v>1609</v>
      </c>
      <c r="I30">
        <v>551</v>
      </c>
      <c r="J30">
        <v>711</v>
      </c>
      <c r="K30">
        <v>323</v>
      </c>
      <c r="L30">
        <v>1061</v>
      </c>
      <c r="M30">
        <v>470</v>
      </c>
      <c r="N30">
        <v>167</v>
      </c>
      <c r="O30">
        <v>120</v>
      </c>
      <c r="P30">
        <v>509</v>
      </c>
      <c r="Q30">
        <v>739</v>
      </c>
      <c r="R30">
        <v>29</v>
      </c>
    </row>
    <row r="31" spans="1:18">
      <c r="A31" s="1" t="s">
        <v>39</v>
      </c>
      <c r="B31">
        <v>31</v>
      </c>
      <c r="C31">
        <v>15</v>
      </c>
      <c r="D31">
        <v>16</v>
      </c>
      <c r="E31">
        <v>1.92</v>
      </c>
      <c r="F31">
        <v>2058</v>
      </c>
      <c r="G31">
        <v>667</v>
      </c>
      <c r="H31">
        <v>1649</v>
      </c>
      <c r="I31">
        <v>532</v>
      </c>
      <c r="J31">
        <v>734</v>
      </c>
      <c r="K31">
        <v>333</v>
      </c>
      <c r="L31">
        <v>1048</v>
      </c>
      <c r="M31">
        <v>379</v>
      </c>
      <c r="N31">
        <v>223</v>
      </c>
      <c r="O31">
        <v>57</v>
      </c>
      <c r="P31">
        <v>486</v>
      </c>
      <c r="Q31">
        <v>685</v>
      </c>
      <c r="R31">
        <v>30</v>
      </c>
    </row>
    <row r="32" spans="1:18">
      <c r="A32" s="1" t="s">
        <v>40</v>
      </c>
      <c r="B32">
        <v>30</v>
      </c>
      <c r="C32">
        <v>21</v>
      </c>
      <c r="D32">
        <v>9</v>
      </c>
      <c r="E32">
        <v>6.31</v>
      </c>
      <c r="F32">
        <v>2200</v>
      </c>
      <c r="G32">
        <v>764</v>
      </c>
      <c r="H32">
        <v>1571</v>
      </c>
      <c r="I32">
        <v>501</v>
      </c>
      <c r="J32">
        <v>692</v>
      </c>
      <c r="K32">
        <v>316</v>
      </c>
      <c r="L32">
        <v>1017</v>
      </c>
      <c r="M32">
        <v>445</v>
      </c>
      <c r="N32">
        <v>208</v>
      </c>
      <c r="O32">
        <v>98</v>
      </c>
      <c r="P32">
        <v>409</v>
      </c>
      <c r="Q32">
        <v>566</v>
      </c>
      <c r="R32">
        <v>31</v>
      </c>
    </row>
    <row r="33" spans="1:18">
      <c r="A33" s="1" t="s">
        <v>41</v>
      </c>
      <c r="B33">
        <v>27</v>
      </c>
      <c r="C33">
        <v>14</v>
      </c>
      <c r="D33">
        <v>13</v>
      </c>
      <c r="E33">
        <v>-4.17</v>
      </c>
      <c r="F33">
        <v>1956</v>
      </c>
      <c r="G33">
        <v>703</v>
      </c>
      <c r="H33">
        <v>1561</v>
      </c>
      <c r="I33">
        <v>342</v>
      </c>
      <c r="J33">
        <v>487</v>
      </c>
      <c r="K33">
        <v>252</v>
      </c>
      <c r="L33">
        <v>891</v>
      </c>
      <c r="M33">
        <v>426</v>
      </c>
      <c r="N33">
        <v>240</v>
      </c>
      <c r="O33">
        <v>85</v>
      </c>
      <c r="P33">
        <v>412</v>
      </c>
      <c r="Q33">
        <v>499</v>
      </c>
      <c r="R33">
        <v>32</v>
      </c>
    </row>
    <row r="34" spans="1:18">
      <c r="A34" s="1" t="s">
        <v>42</v>
      </c>
      <c r="B34">
        <v>29</v>
      </c>
      <c r="C34">
        <v>14</v>
      </c>
      <c r="D34">
        <v>15</v>
      </c>
      <c r="E34">
        <v>-6.65</v>
      </c>
      <c r="F34">
        <v>1883</v>
      </c>
      <c r="G34">
        <v>670</v>
      </c>
      <c r="H34">
        <v>1454</v>
      </c>
      <c r="I34">
        <v>403</v>
      </c>
      <c r="J34">
        <v>602</v>
      </c>
      <c r="K34">
        <v>297</v>
      </c>
      <c r="L34">
        <v>1002</v>
      </c>
      <c r="M34">
        <v>375</v>
      </c>
      <c r="N34">
        <v>244</v>
      </c>
      <c r="O34">
        <v>71</v>
      </c>
      <c r="P34">
        <v>484</v>
      </c>
      <c r="Q34">
        <v>561</v>
      </c>
      <c r="R34">
        <v>33</v>
      </c>
    </row>
    <row r="35" spans="1:18">
      <c r="A35" s="1" t="s">
        <v>43</v>
      </c>
      <c r="B35">
        <v>29</v>
      </c>
      <c r="C35">
        <v>17</v>
      </c>
      <c r="D35">
        <v>12</v>
      </c>
      <c r="E35">
        <v>-1.19</v>
      </c>
      <c r="F35">
        <v>2175</v>
      </c>
      <c r="G35">
        <v>771</v>
      </c>
      <c r="H35">
        <v>1669</v>
      </c>
      <c r="I35">
        <v>446</v>
      </c>
      <c r="J35">
        <v>663</v>
      </c>
      <c r="K35">
        <v>369</v>
      </c>
      <c r="L35">
        <v>1038</v>
      </c>
      <c r="M35">
        <v>383</v>
      </c>
      <c r="N35">
        <v>232</v>
      </c>
      <c r="O35">
        <v>83</v>
      </c>
      <c r="P35">
        <v>436</v>
      </c>
      <c r="Q35">
        <v>633</v>
      </c>
      <c r="R35">
        <v>34</v>
      </c>
    </row>
    <row r="36" spans="1:18">
      <c r="A36" s="1" t="s">
        <v>304</v>
      </c>
      <c r="B36">
        <v>30</v>
      </c>
      <c r="C36">
        <v>16</v>
      </c>
      <c r="D36">
        <v>14</v>
      </c>
      <c r="E36">
        <v>-0.03</v>
      </c>
      <c r="F36">
        <v>1872</v>
      </c>
      <c r="G36">
        <v>646</v>
      </c>
      <c r="H36">
        <v>1554</v>
      </c>
      <c r="I36">
        <v>335</v>
      </c>
      <c r="J36">
        <v>439</v>
      </c>
      <c r="K36">
        <v>287</v>
      </c>
      <c r="L36">
        <v>887</v>
      </c>
      <c r="M36">
        <v>339</v>
      </c>
      <c r="N36">
        <v>160</v>
      </c>
      <c r="O36">
        <v>59</v>
      </c>
      <c r="P36">
        <v>308</v>
      </c>
      <c r="Q36">
        <v>567</v>
      </c>
      <c r="R36">
        <v>35</v>
      </c>
    </row>
    <row r="37" spans="1:18">
      <c r="A37" s="1" t="s">
        <v>44</v>
      </c>
      <c r="B37">
        <v>27</v>
      </c>
      <c r="C37">
        <v>11</v>
      </c>
      <c r="D37">
        <v>16</v>
      </c>
      <c r="E37">
        <v>-0.2</v>
      </c>
      <c r="F37">
        <v>1901</v>
      </c>
      <c r="G37">
        <v>681</v>
      </c>
      <c r="H37">
        <v>1534</v>
      </c>
      <c r="I37">
        <v>373</v>
      </c>
      <c r="J37">
        <v>533</v>
      </c>
      <c r="K37">
        <v>280</v>
      </c>
      <c r="L37">
        <v>909</v>
      </c>
      <c r="M37">
        <v>364</v>
      </c>
      <c r="N37">
        <v>207</v>
      </c>
      <c r="O37">
        <v>88</v>
      </c>
      <c r="P37">
        <v>410</v>
      </c>
      <c r="Q37">
        <v>519</v>
      </c>
      <c r="R37">
        <v>36</v>
      </c>
    </row>
    <row r="38" spans="1:18">
      <c r="A38" s="1" t="s">
        <v>45</v>
      </c>
      <c r="B38">
        <v>28</v>
      </c>
      <c r="C38">
        <v>11</v>
      </c>
      <c r="D38">
        <v>17</v>
      </c>
      <c r="E38">
        <v>-0.81</v>
      </c>
      <c r="F38">
        <v>1983</v>
      </c>
      <c r="G38">
        <v>693</v>
      </c>
      <c r="H38">
        <v>1637</v>
      </c>
      <c r="I38">
        <v>401</v>
      </c>
      <c r="J38">
        <v>588</v>
      </c>
      <c r="K38">
        <v>411</v>
      </c>
      <c r="L38">
        <v>1067</v>
      </c>
      <c r="M38">
        <v>403</v>
      </c>
      <c r="N38">
        <v>184</v>
      </c>
      <c r="O38">
        <v>52</v>
      </c>
      <c r="P38">
        <v>435</v>
      </c>
      <c r="Q38">
        <v>579</v>
      </c>
      <c r="R38">
        <v>37</v>
      </c>
    </row>
    <row r="39" spans="1:18">
      <c r="A39" s="1" t="s">
        <v>46</v>
      </c>
      <c r="B39">
        <v>30</v>
      </c>
      <c r="C39">
        <v>14</v>
      </c>
      <c r="D39">
        <v>16</v>
      </c>
      <c r="E39">
        <v>-0.46</v>
      </c>
      <c r="F39">
        <v>2045</v>
      </c>
      <c r="G39">
        <v>707</v>
      </c>
      <c r="H39">
        <v>1605</v>
      </c>
      <c r="I39">
        <v>456</v>
      </c>
      <c r="J39">
        <v>631</v>
      </c>
      <c r="K39">
        <v>331</v>
      </c>
      <c r="L39">
        <v>904</v>
      </c>
      <c r="M39">
        <v>374</v>
      </c>
      <c r="N39">
        <v>298</v>
      </c>
      <c r="O39">
        <v>70</v>
      </c>
      <c r="P39">
        <v>492</v>
      </c>
      <c r="Q39">
        <v>632</v>
      </c>
      <c r="R39">
        <v>38</v>
      </c>
    </row>
    <row r="40" spans="1:18">
      <c r="A40" s="1" t="s">
        <v>47</v>
      </c>
      <c r="B40">
        <v>28</v>
      </c>
      <c r="C40">
        <v>11</v>
      </c>
      <c r="D40">
        <v>17</v>
      </c>
      <c r="E40">
        <v>-0.1</v>
      </c>
      <c r="F40">
        <v>1782</v>
      </c>
      <c r="G40">
        <v>611</v>
      </c>
      <c r="H40">
        <v>1345</v>
      </c>
      <c r="I40">
        <v>405</v>
      </c>
      <c r="J40">
        <v>591</v>
      </c>
      <c r="K40">
        <v>286</v>
      </c>
      <c r="L40">
        <v>924</v>
      </c>
      <c r="M40">
        <v>382</v>
      </c>
      <c r="N40">
        <v>158</v>
      </c>
      <c r="O40">
        <v>70</v>
      </c>
      <c r="P40">
        <v>449</v>
      </c>
      <c r="Q40">
        <v>542</v>
      </c>
      <c r="R40">
        <v>39</v>
      </c>
    </row>
    <row r="41" spans="1:18">
      <c r="A41" s="1" t="s">
        <v>305</v>
      </c>
      <c r="B41">
        <v>28</v>
      </c>
      <c r="C41">
        <v>11</v>
      </c>
      <c r="D41">
        <v>17</v>
      </c>
      <c r="E41">
        <v>-0.21</v>
      </c>
      <c r="F41">
        <v>1932</v>
      </c>
      <c r="G41">
        <v>681</v>
      </c>
      <c r="H41">
        <v>1537</v>
      </c>
      <c r="I41">
        <v>388</v>
      </c>
      <c r="J41">
        <v>542</v>
      </c>
      <c r="K41">
        <v>271</v>
      </c>
      <c r="L41">
        <v>868</v>
      </c>
      <c r="M41">
        <v>347</v>
      </c>
      <c r="N41">
        <v>179</v>
      </c>
      <c r="O41">
        <v>86</v>
      </c>
      <c r="P41">
        <v>389</v>
      </c>
      <c r="Q41">
        <v>540</v>
      </c>
      <c r="R41">
        <v>40</v>
      </c>
    </row>
    <row r="42" spans="1:18">
      <c r="A42" s="1" t="s">
        <v>48</v>
      </c>
      <c r="B42">
        <v>28</v>
      </c>
      <c r="C42">
        <v>16</v>
      </c>
      <c r="D42">
        <v>12</v>
      </c>
      <c r="E42">
        <v>-0.63</v>
      </c>
      <c r="F42">
        <v>1847</v>
      </c>
      <c r="G42">
        <v>651</v>
      </c>
      <c r="H42">
        <v>1453</v>
      </c>
      <c r="I42">
        <v>381</v>
      </c>
      <c r="J42">
        <v>576</v>
      </c>
      <c r="K42">
        <v>322</v>
      </c>
      <c r="L42">
        <v>972</v>
      </c>
      <c r="M42">
        <v>385</v>
      </c>
      <c r="N42">
        <v>191</v>
      </c>
      <c r="O42">
        <v>58</v>
      </c>
      <c r="P42">
        <v>414</v>
      </c>
      <c r="Q42">
        <v>526</v>
      </c>
      <c r="R42">
        <v>41</v>
      </c>
    </row>
    <row r="43" spans="1:18">
      <c r="A43" s="1" t="s">
        <v>49</v>
      </c>
      <c r="B43">
        <v>28</v>
      </c>
      <c r="C43">
        <v>13</v>
      </c>
      <c r="D43">
        <v>15</v>
      </c>
      <c r="E43">
        <v>6.65</v>
      </c>
      <c r="F43">
        <v>1873</v>
      </c>
      <c r="G43">
        <v>675</v>
      </c>
      <c r="H43">
        <v>1544</v>
      </c>
      <c r="I43">
        <v>396</v>
      </c>
      <c r="J43">
        <v>631</v>
      </c>
      <c r="K43">
        <v>346</v>
      </c>
      <c r="L43">
        <v>984</v>
      </c>
      <c r="M43">
        <v>386</v>
      </c>
      <c r="N43">
        <v>173</v>
      </c>
      <c r="O43">
        <v>84</v>
      </c>
      <c r="P43">
        <v>394</v>
      </c>
      <c r="Q43">
        <v>540</v>
      </c>
      <c r="R43">
        <v>42</v>
      </c>
    </row>
    <row r="44" spans="1:18">
      <c r="A44" s="1" t="s">
        <v>50</v>
      </c>
      <c r="B44">
        <v>27</v>
      </c>
      <c r="C44">
        <v>3</v>
      </c>
      <c r="D44">
        <v>24</v>
      </c>
      <c r="E44">
        <v>-4.49</v>
      </c>
      <c r="F44">
        <v>1858</v>
      </c>
      <c r="G44">
        <v>679</v>
      </c>
      <c r="H44">
        <v>1722</v>
      </c>
      <c r="I44">
        <v>344</v>
      </c>
      <c r="J44">
        <v>521</v>
      </c>
      <c r="K44">
        <v>368</v>
      </c>
      <c r="L44">
        <v>1001</v>
      </c>
      <c r="M44">
        <v>366</v>
      </c>
      <c r="N44">
        <v>209</v>
      </c>
      <c r="O44">
        <v>38</v>
      </c>
      <c r="P44">
        <v>458</v>
      </c>
      <c r="Q44">
        <v>592</v>
      </c>
      <c r="R44">
        <v>43</v>
      </c>
    </row>
    <row r="45" spans="1:18">
      <c r="A45" s="1" t="s">
        <v>51</v>
      </c>
      <c r="B45">
        <v>30</v>
      </c>
      <c r="C45">
        <v>10</v>
      </c>
      <c r="D45">
        <v>20</v>
      </c>
      <c r="E45">
        <v>-2.75</v>
      </c>
      <c r="F45">
        <v>2064</v>
      </c>
      <c r="G45">
        <v>763</v>
      </c>
      <c r="H45">
        <v>1750</v>
      </c>
      <c r="I45">
        <v>331</v>
      </c>
      <c r="J45">
        <v>525</v>
      </c>
      <c r="K45">
        <v>362</v>
      </c>
      <c r="L45">
        <v>1114</v>
      </c>
      <c r="M45">
        <v>458</v>
      </c>
      <c r="N45">
        <v>177</v>
      </c>
      <c r="O45">
        <v>90</v>
      </c>
      <c r="P45">
        <v>446</v>
      </c>
      <c r="Q45">
        <v>572</v>
      </c>
      <c r="R45">
        <v>44</v>
      </c>
    </row>
    <row r="46" spans="1:18">
      <c r="A46" s="1" t="s">
        <v>52</v>
      </c>
      <c r="B46">
        <v>28</v>
      </c>
      <c r="C46">
        <v>16</v>
      </c>
      <c r="D46">
        <v>12</v>
      </c>
      <c r="E46">
        <v>-2.39</v>
      </c>
      <c r="F46">
        <v>1966</v>
      </c>
      <c r="G46">
        <v>684</v>
      </c>
      <c r="H46">
        <v>1444</v>
      </c>
      <c r="I46">
        <v>449</v>
      </c>
      <c r="J46">
        <v>625</v>
      </c>
      <c r="L46">
        <v>852</v>
      </c>
      <c r="M46">
        <v>353</v>
      </c>
      <c r="N46">
        <v>247</v>
      </c>
      <c r="O46">
        <v>85</v>
      </c>
      <c r="P46">
        <v>420</v>
      </c>
      <c r="Q46">
        <v>616</v>
      </c>
      <c r="R46">
        <v>45</v>
      </c>
    </row>
    <row r="47" spans="1:18">
      <c r="A47" s="1" t="s">
        <v>274</v>
      </c>
      <c r="B47">
        <v>28</v>
      </c>
      <c r="C47">
        <v>14</v>
      </c>
      <c r="D47">
        <v>14</v>
      </c>
      <c r="E47">
        <v>-7.98</v>
      </c>
      <c r="F47">
        <v>1979</v>
      </c>
      <c r="G47">
        <v>732</v>
      </c>
      <c r="H47">
        <v>1582</v>
      </c>
      <c r="I47">
        <v>351</v>
      </c>
      <c r="J47">
        <v>548</v>
      </c>
      <c r="K47">
        <v>368</v>
      </c>
      <c r="L47">
        <v>976</v>
      </c>
      <c r="M47">
        <v>406</v>
      </c>
      <c r="N47">
        <v>205</v>
      </c>
      <c r="O47">
        <v>55</v>
      </c>
      <c r="P47">
        <v>422</v>
      </c>
      <c r="Q47">
        <v>447</v>
      </c>
      <c r="R47">
        <v>46</v>
      </c>
    </row>
    <row r="48" spans="1:18">
      <c r="A48" s="1" t="s">
        <v>53</v>
      </c>
      <c r="B48">
        <v>31</v>
      </c>
      <c r="C48">
        <v>25</v>
      </c>
      <c r="D48">
        <v>6</v>
      </c>
      <c r="E48">
        <v>-5.87</v>
      </c>
      <c r="F48">
        <v>2181</v>
      </c>
      <c r="G48">
        <v>792</v>
      </c>
      <c r="H48">
        <v>1732</v>
      </c>
      <c r="I48">
        <v>365</v>
      </c>
      <c r="J48">
        <v>510</v>
      </c>
      <c r="K48">
        <v>382</v>
      </c>
      <c r="L48">
        <v>1129</v>
      </c>
      <c r="M48">
        <v>520</v>
      </c>
      <c r="N48">
        <v>279</v>
      </c>
      <c r="O48">
        <v>141</v>
      </c>
      <c r="P48">
        <v>473</v>
      </c>
      <c r="Q48">
        <v>574</v>
      </c>
      <c r="R48">
        <v>47</v>
      </c>
    </row>
    <row r="49" spans="1:18">
      <c r="A49" s="1" t="s">
        <v>54</v>
      </c>
      <c r="B49">
        <v>30</v>
      </c>
      <c r="C49">
        <v>6</v>
      </c>
      <c r="D49">
        <v>24</v>
      </c>
      <c r="E49">
        <v>1.52</v>
      </c>
      <c r="F49">
        <v>2116</v>
      </c>
      <c r="G49">
        <v>735</v>
      </c>
      <c r="H49">
        <v>1686</v>
      </c>
      <c r="I49">
        <v>428</v>
      </c>
      <c r="J49">
        <v>631</v>
      </c>
      <c r="K49">
        <v>303</v>
      </c>
      <c r="L49">
        <v>962</v>
      </c>
      <c r="M49">
        <v>438</v>
      </c>
      <c r="N49">
        <v>186</v>
      </c>
      <c r="O49">
        <v>59</v>
      </c>
      <c r="P49">
        <v>531</v>
      </c>
      <c r="Q49">
        <v>672</v>
      </c>
      <c r="R49">
        <v>48</v>
      </c>
    </row>
    <row r="50" spans="1:18">
      <c r="A50" s="1" t="s">
        <v>55</v>
      </c>
      <c r="B50">
        <v>28</v>
      </c>
      <c r="C50">
        <v>6</v>
      </c>
      <c r="D50">
        <v>22</v>
      </c>
      <c r="E50">
        <v>-6.96</v>
      </c>
      <c r="F50">
        <v>1660</v>
      </c>
      <c r="G50">
        <v>627</v>
      </c>
      <c r="H50">
        <v>1484</v>
      </c>
      <c r="I50">
        <v>264</v>
      </c>
      <c r="J50">
        <v>416</v>
      </c>
      <c r="K50">
        <v>291</v>
      </c>
      <c r="L50">
        <v>898</v>
      </c>
      <c r="M50">
        <v>372</v>
      </c>
      <c r="N50">
        <v>205</v>
      </c>
      <c r="O50">
        <v>103</v>
      </c>
      <c r="P50">
        <v>435</v>
      </c>
      <c r="Q50">
        <v>564</v>
      </c>
      <c r="R50">
        <v>49</v>
      </c>
    </row>
    <row r="51" spans="1:18">
      <c r="A51" s="1" t="s">
        <v>56</v>
      </c>
      <c r="B51">
        <v>30</v>
      </c>
      <c r="C51">
        <v>21</v>
      </c>
      <c r="D51">
        <v>9</v>
      </c>
      <c r="E51">
        <v>4.7</v>
      </c>
      <c r="F51">
        <v>2374</v>
      </c>
      <c r="G51">
        <v>812</v>
      </c>
      <c r="H51">
        <v>1805</v>
      </c>
      <c r="I51">
        <v>518</v>
      </c>
      <c r="J51">
        <v>798</v>
      </c>
      <c r="K51">
        <v>441</v>
      </c>
      <c r="L51">
        <v>1220</v>
      </c>
      <c r="M51">
        <v>484</v>
      </c>
      <c r="N51">
        <v>264</v>
      </c>
      <c r="O51">
        <v>90</v>
      </c>
      <c r="P51">
        <v>458</v>
      </c>
      <c r="Q51">
        <v>570</v>
      </c>
      <c r="R51">
        <v>50</v>
      </c>
    </row>
    <row r="52" spans="1:18">
      <c r="A52" s="1" t="s">
        <v>57</v>
      </c>
      <c r="B52">
        <v>30</v>
      </c>
      <c r="C52">
        <v>19</v>
      </c>
      <c r="D52">
        <v>11</v>
      </c>
      <c r="E52">
        <v>-2.98</v>
      </c>
      <c r="F52">
        <v>2463</v>
      </c>
      <c r="G52">
        <v>861</v>
      </c>
      <c r="H52">
        <v>1751</v>
      </c>
      <c r="I52">
        <v>510</v>
      </c>
      <c r="J52">
        <v>694</v>
      </c>
      <c r="K52">
        <v>369</v>
      </c>
      <c r="L52">
        <v>1067</v>
      </c>
      <c r="M52">
        <v>535</v>
      </c>
      <c r="N52">
        <v>250</v>
      </c>
      <c r="O52">
        <v>72</v>
      </c>
      <c r="P52">
        <v>480</v>
      </c>
      <c r="Q52">
        <v>515</v>
      </c>
      <c r="R52">
        <v>51</v>
      </c>
    </row>
    <row r="53" spans="1:18">
      <c r="A53" s="1" t="s">
        <v>58</v>
      </c>
      <c r="B53">
        <v>32</v>
      </c>
      <c r="C53">
        <v>12</v>
      </c>
      <c r="D53">
        <v>20</v>
      </c>
      <c r="E53">
        <v>0.14000000000000001</v>
      </c>
      <c r="F53">
        <v>2107</v>
      </c>
      <c r="G53">
        <v>746</v>
      </c>
      <c r="H53">
        <v>1721</v>
      </c>
      <c r="I53">
        <v>470</v>
      </c>
      <c r="J53">
        <v>671</v>
      </c>
      <c r="K53">
        <v>372</v>
      </c>
      <c r="L53">
        <v>997</v>
      </c>
      <c r="M53">
        <v>365</v>
      </c>
      <c r="N53">
        <v>227</v>
      </c>
      <c r="O53">
        <v>95</v>
      </c>
      <c r="P53">
        <v>440</v>
      </c>
      <c r="Q53">
        <v>701</v>
      </c>
      <c r="R53">
        <v>52</v>
      </c>
    </row>
    <row r="54" spans="1:18">
      <c r="A54" s="1" t="s">
        <v>335</v>
      </c>
      <c r="B54">
        <v>32</v>
      </c>
      <c r="C54">
        <v>25</v>
      </c>
      <c r="D54">
        <v>7</v>
      </c>
      <c r="E54">
        <v>6.28</v>
      </c>
      <c r="F54">
        <v>2455</v>
      </c>
      <c r="G54">
        <v>867</v>
      </c>
      <c r="H54">
        <v>1893</v>
      </c>
      <c r="I54">
        <v>484</v>
      </c>
      <c r="J54">
        <v>723</v>
      </c>
      <c r="K54">
        <v>420</v>
      </c>
      <c r="L54">
        <v>1197</v>
      </c>
      <c r="M54">
        <v>517</v>
      </c>
      <c r="N54">
        <v>241</v>
      </c>
      <c r="O54">
        <v>168</v>
      </c>
      <c r="P54">
        <v>393</v>
      </c>
      <c r="Q54">
        <v>620</v>
      </c>
      <c r="R54">
        <v>53</v>
      </c>
    </row>
    <row r="55" spans="1:18">
      <c r="A55" s="1" t="s">
        <v>59</v>
      </c>
      <c r="B55">
        <v>28</v>
      </c>
      <c r="C55">
        <v>6</v>
      </c>
      <c r="D55">
        <v>22</v>
      </c>
      <c r="E55">
        <v>-3.36</v>
      </c>
      <c r="F55">
        <v>1640</v>
      </c>
      <c r="G55">
        <v>586</v>
      </c>
      <c r="H55">
        <v>1575</v>
      </c>
      <c r="I55">
        <v>283</v>
      </c>
      <c r="J55">
        <v>419</v>
      </c>
      <c r="K55">
        <v>334</v>
      </c>
      <c r="L55">
        <v>951</v>
      </c>
      <c r="M55">
        <v>304</v>
      </c>
      <c r="N55">
        <v>213</v>
      </c>
      <c r="O55">
        <v>93</v>
      </c>
      <c r="P55">
        <v>475</v>
      </c>
      <c r="Q55">
        <v>583</v>
      </c>
      <c r="R55">
        <v>54</v>
      </c>
    </row>
    <row r="56" spans="1:18">
      <c r="A56" s="1" t="s">
        <v>60</v>
      </c>
      <c r="B56">
        <v>28</v>
      </c>
      <c r="C56">
        <v>10</v>
      </c>
      <c r="D56">
        <v>18</v>
      </c>
      <c r="E56">
        <v>11.12</v>
      </c>
      <c r="F56">
        <v>1839</v>
      </c>
      <c r="G56">
        <v>649</v>
      </c>
      <c r="H56">
        <v>1504</v>
      </c>
      <c r="I56">
        <v>407</v>
      </c>
      <c r="J56">
        <v>645</v>
      </c>
      <c r="K56">
        <v>398</v>
      </c>
      <c r="L56">
        <v>1050</v>
      </c>
      <c r="M56">
        <v>359</v>
      </c>
      <c r="N56">
        <v>191</v>
      </c>
      <c r="O56">
        <v>125</v>
      </c>
      <c r="P56">
        <v>537</v>
      </c>
      <c r="Q56">
        <v>523</v>
      </c>
      <c r="R56">
        <v>55</v>
      </c>
    </row>
    <row r="57" spans="1:18">
      <c r="A57" s="1" t="s">
        <v>61</v>
      </c>
      <c r="B57">
        <v>29</v>
      </c>
      <c r="C57">
        <v>4</v>
      </c>
      <c r="D57">
        <v>25</v>
      </c>
      <c r="E57">
        <v>0.46</v>
      </c>
      <c r="F57">
        <v>1871</v>
      </c>
      <c r="G57">
        <v>651</v>
      </c>
      <c r="H57">
        <v>1594</v>
      </c>
      <c r="I57">
        <v>411</v>
      </c>
      <c r="J57">
        <v>636</v>
      </c>
      <c r="K57">
        <v>375</v>
      </c>
      <c r="L57">
        <v>1040</v>
      </c>
      <c r="M57">
        <v>334</v>
      </c>
      <c r="N57">
        <v>199</v>
      </c>
      <c r="O57">
        <v>117</v>
      </c>
      <c r="P57">
        <v>534</v>
      </c>
      <c r="Q57">
        <v>606</v>
      </c>
      <c r="R57">
        <v>56</v>
      </c>
    </row>
    <row r="58" spans="1:18">
      <c r="A58" s="1" t="s">
        <v>62</v>
      </c>
      <c r="B58">
        <v>29</v>
      </c>
      <c r="C58">
        <v>14</v>
      </c>
      <c r="D58">
        <v>15</v>
      </c>
      <c r="E58">
        <v>-6.79</v>
      </c>
      <c r="F58">
        <v>2061</v>
      </c>
      <c r="G58">
        <v>742</v>
      </c>
      <c r="H58">
        <v>1686</v>
      </c>
      <c r="I58">
        <v>383</v>
      </c>
      <c r="J58">
        <v>541</v>
      </c>
      <c r="K58">
        <v>366</v>
      </c>
      <c r="L58">
        <v>1090</v>
      </c>
      <c r="M58">
        <v>423</v>
      </c>
      <c r="N58">
        <v>223</v>
      </c>
      <c r="O58">
        <v>58</v>
      </c>
      <c r="P58">
        <v>469</v>
      </c>
      <c r="Q58">
        <v>564</v>
      </c>
      <c r="R58">
        <v>57</v>
      </c>
    </row>
    <row r="59" spans="1:18">
      <c r="A59" s="1" t="s">
        <v>63</v>
      </c>
      <c r="B59">
        <v>29</v>
      </c>
      <c r="C59">
        <v>15</v>
      </c>
      <c r="D59">
        <v>14</v>
      </c>
      <c r="E59">
        <v>-7.59</v>
      </c>
      <c r="F59">
        <v>1968</v>
      </c>
      <c r="G59">
        <v>696</v>
      </c>
      <c r="H59">
        <v>1624</v>
      </c>
      <c r="I59">
        <v>385</v>
      </c>
      <c r="J59">
        <v>552</v>
      </c>
      <c r="K59">
        <v>323</v>
      </c>
      <c r="L59">
        <v>987</v>
      </c>
      <c r="M59">
        <v>386</v>
      </c>
      <c r="N59">
        <v>200</v>
      </c>
      <c r="O59">
        <v>51</v>
      </c>
      <c r="P59">
        <v>395</v>
      </c>
      <c r="Q59">
        <v>520</v>
      </c>
      <c r="R59">
        <v>58</v>
      </c>
    </row>
    <row r="60" spans="1:18">
      <c r="A60" s="1" t="s">
        <v>64</v>
      </c>
      <c r="B60">
        <v>29</v>
      </c>
      <c r="C60">
        <v>20</v>
      </c>
      <c r="D60">
        <v>9</v>
      </c>
      <c r="E60">
        <v>-3.97</v>
      </c>
      <c r="F60">
        <v>2134</v>
      </c>
      <c r="G60">
        <v>739</v>
      </c>
      <c r="H60">
        <v>1673</v>
      </c>
      <c r="I60">
        <v>415</v>
      </c>
      <c r="J60">
        <v>584</v>
      </c>
      <c r="K60">
        <v>305</v>
      </c>
      <c r="L60">
        <v>1045</v>
      </c>
      <c r="M60">
        <v>414</v>
      </c>
      <c r="N60">
        <v>228</v>
      </c>
      <c r="O60">
        <v>132</v>
      </c>
      <c r="P60">
        <v>434</v>
      </c>
      <c r="Q60">
        <v>544</v>
      </c>
      <c r="R60">
        <v>59</v>
      </c>
    </row>
    <row r="61" spans="1:18">
      <c r="A61" s="1" t="s">
        <v>65</v>
      </c>
      <c r="B61">
        <v>29</v>
      </c>
      <c r="C61">
        <v>13</v>
      </c>
      <c r="D61">
        <v>16</v>
      </c>
      <c r="E61">
        <v>4.87</v>
      </c>
      <c r="F61">
        <v>2036</v>
      </c>
      <c r="G61">
        <v>690</v>
      </c>
      <c r="H61">
        <v>1503</v>
      </c>
      <c r="I61">
        <v>521</v>
      </c>
      <c r="J61">
        <v>732</v>
      </c>
      <c r="K61">
        <v>300</v>
      </c>
      <c r="L61">
        <v>1015</v>
      </c>
      <c r="M61">
        <v>395</v>
      </c>
      <c r="N61">
        <v>172</v>
      </c>
      <c r="O61">
        <v>140</v>
      </c>
      <c r="P61">
        <v>494</v>
      </c>
      <c r="Q61">
        <v>689</v>
      </c>
      <c r="R61">
        <v>60</v>
      </c>
    </row>
    <row r="62" spans="1:18">
      <c r="A62" s="1" t="s">
        <v>66</v>
      </c>
      <c r="B62">
        <v>29</v>
      </c>
      <c r="C62">
        <v>18</v>
      </c>
      <c r="D62">
        <v>11</v>
      </c>
      <c r="E62">
        <v>7.18</v>
      </c>
      <c r="F62">
        <v>2151</v>
      </c>
      <c r="G62">
        <v>758</v>
      </c>
      <c r="H62">
        <v>1635</v>
      </c>
      <c r="I62">
        <v>447</v>
      </c>
      <c r="J62">
        <v>720</v>
      </c>
      <c r="K62">
        <v>363</v>
      </c>
      <c r="L62">
        <v>1122</v>
      </c>
      <c r="M62">
        <v>403</v>
      </c>
      <c r="N62">
        <v>172</v>
      </c>
      <c r="O62">
        <v>174</v>
      </c>
      <c r="P62">
        <v>423</v>
      </c>
      <c r="Q62">
        <v>519</v>
      </c>
      <c r="R62">
        <v>61</v>
      </c>
    </row>
    <row r="63" spans="1:18">
      <c r="A63" s="1" t="s">
        <v>67</v>
      </c>
      <c r="B63">
        <v>27</v>
      </c>
      <c r="C63">
        <v>10</v>
      </c>
      <c r="D63">
        <v>17</v>
      </c>
      <c r="E63">
        <v>-5.3</v>
      </c>
      <c r="F63">
        <v>1824</v>
      </c>
      <c r="G63">
        <v>633</v>
      </c>
      <c r="H63">
        <v>1453</v>
      </c>
      <c r="I63">
        <v>347</v>
      </c>
      <c r="J63">
        <v>489</v>
      </c>
      <c r="K63">
        <v>279</v>
      </c>
      <c r="L63">
        <v>894</v>
      </c>
      <c r="M63">
        <v>424</v>
      </c>
      <c r="N63">
        <v>201</v>
      </c>
      <c r="O63">
        <v>37</v>
      </c>
      <c r="P63">
        <v>504</v>
      </c>
      <c r="Q63">
        <v>629</v>
      </c>
      <c r="R63">
        <v>62</v>
      </c>
    </row>
    <row r="64" spans="1:18">
      <c r="A64" s="1" t="s">
        <v>275</v>
      </c>
      <c r="B64">
        <v>39</v>
      </c>
      <c r="C64">
        <v>33</v>
      </c>
      <c r="D64">
        <v>6</v>
      </c>
      <c r="E64">
        <v>7.77</v>
      </c>
      <c r="F64">
        <v>3073</v>
      </c>
      <c r="G64">
        <v>1154</v>
      </c>
      <c r="H64">
        <v>2403</v>
      </c>
      <c r="I64">
        <v>516</v>
      </c>
      <c r="J64">
        <v>828</v>
      </c>
      <c r="K64">
        <v>586</v>
      </c>
      <c r="L64">
        <v>1742</v>
      </c>
      <c r="M64">
        <v>681</v>
      </c>
      <c r="N64">
        <v>233</v>
      </c>
      <c r="O64">
        <v>315</v>
      </c>
      <c r="P64">
        <v>532</v>
      </c>
      <c r="Q64">
        <v>624</v>
      </c>
      <c r="R64">
        <v>63</v>
      </c>
    </row>
    <row r="65" spans="1:18">
      <c r="A65" s="1" t="s">
        <v>68</v>
      </c>
      <c r="B65">
        <v>32</v>
      </c>
      <c r="C65">
        <v>18</v>
      </c>
      <c r="D65">
        <v>14</v>
      </c>
      <c r="E65">
        <v>-8.68</v>
      </c>
      <c r="F65">
        <v>1969</v>
      </c>
      <c r="G65">
        <v>672</v>
      </c>
      <c r="H65">
        <v>1645</v>
      </c>
      <c r="I65">
        <v>417</v>
      </c>
      <c r="J65">
        <v>623</v>
      </c>
      <c r="K65">
        <v>350</v>
      </c>
      <c r="L65">
        <v>1103</v>
      </c>
      <c r="M65">
        <v>354</v>
      </c>
      <c r="N65">
        <v>203</v>
      </c>
      <c r="O65">
        <v>105</v>
      </c>
      <c r="P65">
        <v>478</v>
      </c>
      <c r="Q65">
        <v>569</v>
      </c>
      <c r="R65">
        <v>64</v>
      </c>
    </row>
    <row r="66" spans="1:18">
      <c r="A66" s="1" t="s">
        <v>69</v>
      </c>
      <c r="B66">
        <v>27</v>
      </c>
      <c r="C66">
        <v>11</v>
      </c>
      <c r="D66">
        <v>16</v>
      </c>
      <c r="E66">
        <v>-5.69</v>
      </c>
      <c r="F66">
        <v>1904</v>
      </c>
      <c r="G66">
        <v>659</v>
      </c>
      <c r="H66">
        <v>1553</v>
      </c>
      <c r="I66">
        <v>410</v>
      </c>
      <c r="J66">
        <v>598</v>
      </c>
      <c r="K66">
        <v>348</v>
      </c>
      <c r="L66">
        <v>1015</v>
      </c>
      <c r="M66">
        <v>343</v>
      </c>
      <c r="N66">
        <v>236</v>
      </c>
      <c r="O66">
        <v>88</v>
      </c>
      <c r="P66">
        <v>401</v>
      </c>
      <c r="Q66">
        <v>499</v>
      </c>
      <c r="R66">
        <v>65</v>
      </c>
    </row>
    <row r="67" spans="1:18">
      <c r="A67" s="1" t="s">
        <v>326</v>
      </c>
      <c r="B67">
        <v>29</v>
      </c>
      <c r="C67">
        <v>20</v>
      </c>
      <c r="D67">
        <v>9</v>
      </c>
      <c r="E67">
        <v>1.89</v>
      </c>
      <c r="F67">
        <v>1984</v>
      </c>
      <c r="G67">
        <v>692</v>
      </c>
      <c r="H67">
        <v>1528</v>
      </c>
      <c r="I67">
        <v>425</v>
      </c>
      <c r="J67">
        <v>609</v>
      </c>
      <c r="K67">
        <v>303</v>
      </c>
      <c r="L67">
        <v>991</v>
      </c>
      <c r="M67">
        <v>395</v>
      </c>
      <c r="N67">
        <v>195</v>
      </c>
      <c r="O67">
        <v>113</v>
      </c>
      <c r="P67">
        <v>392</v>
      </c>
      <c r="Q67">
        <v>508</v>
      </c>
      <c r="R67">
        <v>66</v>
      </c>
    </row>
    <row r="68" spans="1:18">
      <c r="A68" s="1" t="s">
        <v>70</v>
      </c>
      <c r="B68">
        <v>28</v>
      </c>
      <c r="C68">
        <v>3</v>
      </c>
      <c r="D68">
        <v>25</v>
      </c>
      <c r="E68">
        <v>-6.17</v>
      </c>
      <c r="F68">
        <v>1594</v>
      </c>
      <c r="G68">
        <v>561</v>
      </c>
      <c r="H68">
        <v>1378</v>
      </c>
      <c r="I68">
        <v>291</v>
      </c>
      <c r="J68">
        <v>407</v>
      </c>
      <c r="K68">
        <v>170</v>
      </c>
      <c r="L68">
        <v>805</v>
      </c>
      <c r="M68">
        <v>302</v>
      </c>
      <c r="N68">
        <v>151</v>
      </c>
      <c r="O68">
        <v>103</v>
      </c>
      <c r="P68">
        <v>397</v>
      </c>
      <c r="Q68">
        <v>485</v>
      </c>
      <c r="R68">
        <v>67</v>
      </c>
    </row>
    <row r="69" spans="1:18">
      <c r="A69" s="1" t="s">
        <v>71</v>
      </c>
      <c r="B69">
        <v>29</v>
      </c>
      <c r="C69">
        <v>17</v>
      </c>
      <c r="D69">
        <v>12</v>
      </c>
      <c r="E69">
        <v>-0.99</v>
      </c>
      <c r="F69">
        <v>2119</v>
      </c>
      <c r="G69">
        <v>732</v>
      </c>
      <c r="H69">
        <v>1659</v>
      </c>
      <c r="I69">
        <v>429</v>
      </c>
      <c r="J69">
        <v>598</v>
      </c>
      <c r="K69">
        <v>361</v>
      </c>
      <c r="L69">
        <v>1115</v>
      </c>
      <c r="M69">
        <v>433</v>
      </c>
      <c r="N69">
        <v>169</v>
      </c>
      <c r="O69">
        <v>35</v>
      </c>
      <c r="P69">
        <v>503</v>
      </c>
      <c r="Q69">
        <v>578</v>
      </c>
      <c r="R69">
        <v>68</v>
      </c>
    </row>
    <row r="70" spans="1:18">
      <c r="A70" s="1" t="s">
        <v>276</v>
      </c>
      <c r="B70">
        <v>33</v>
      </c>
      <c r="C70">
        <v>24</v>
      </c>
      <c r="D70">
        <v>9</v>
      </c>
      <c r="E70">
        <v>3.57</v>
      </c>
      <c r="F70">
        <v>2244</v>
      </c>
      <c r="G70">
        <v>780</v>
      </c>
      <c r="H70">
        <v>1746</v>
      </c>
      <c r="I70">
        <v>477</v>
      </c>
      <c r="J70">
        <v>717</v>
      </c>
      <c r="K70">
        <v>409</v>
      </c>
      <c r="L70">
        <v>1266</v>
      </c>
      <c r="M70">
        <v>489</v>
      </c>
      <c r="N70">
        <v>150</v>
      </c>
      <c r="O70">
        <v>94</v>
      </c>
      <c r="P70">
        <v>467</v>
      </c>
      <c r="Q70">
        <v>577</v>
      </c>
      <c r="R70">
        <v>69</v>
      </c>
    </row>
    <row r="71" spans="1:18">
      <c r="A71" s="1" t="s">
        <v>72</v>
      </c>
      <c r="B71">
        <v>28</v>
      </c>
      <c r="C71">
        <v>13</v>
      </c>
      <c r="D71">
        <v>15</v>
      </c>
      <c r="E71">
        <v>-7.97</v>
      </c>
      <c r="F71">
        <v>1721</v>
      </c>
      <c r="G71">
        <v>574</v>
      </c>
      <c r="H71">
        <v>1289</v>
      </c>
      <c r="I71">
        <v>423</v>
      </c>
      <c r="J71">
        <v>611</v>
      </c>
      <c r="K71">
        <v>265</v>
      </c>
      <c r="L71">
        <v>810</v>
      </c>
      <c r="M71">
        <v>297</v>
      </c>
      <c r="N71">
        <v>189</v>
      </c>
      <c r="O71">
        <v>73</v>
      </c>
      <c r="P71">
        <v>427</v>
      </c>
      <c r="Q71">
        <v>492</v>
      </c>
      <c r="R71">
        <v>70</v>
      </c>
    </row>
    <row r="72" spans="1:18">
      <c r="A72" s="1" t="s">
        <v>73</v>
      </c>
      <c r="B72">
        <v>28</v>
      </c>
      <c r="C72">
        <v>16</v>
      </c>
      <c r="D72">
        <v>12</v>
      </c>
      <c r="E72">
        <v>-1.95</v>
      </c>
      <c r="F72">
        <v>1987</v>
      </c>
      <c r="G72">
        <v>695</v>
      </c>
      <c r="H72">
        <v>1615</v>
      </c>
      <c r="I72">
        <v>431</v>
      </c>
      <c r="J72">
        <v>624</v>
      </c>
      <c r="K72">
        <v>338</v>
      </c>
      <c r="L72">
        <v>1054</v>
      </c>
      <c r="M72">
        <v>364</v>
      </c>
      <c r="N72">
        <v>237</v>
      </c>
      <c r="O72">
        <v>111</v>
      </c>
      <c r="P72">
        <v>474</v>
      </c>
      <c r="Q72">
        <v>624</v>
      </c>
      <c r="R72">
        <v>71</v>
      </c>
    </row>
    <row r="73" spans="1:18">
      <c r="A73" s="1" t="s">
        <v>74</v>
      </c>
      <c r="B73">
        <v>27</v>
      </c>
      <c r="C73">
        <v>14</v>
      </c>
      <c r="D73">
        <v>13</v>
      </c>
      <c r="E73">
        <v>-1.67</v>
      </c>
      <c r="F73">
        <v>1877</v>
      </c>
      <c r="G73">
        <v>656</v>
      </c>
      <c r="H73">
        <v>1518</v>
      </c>
      <c r="I73">
        <v>380</v>
      </c>
      <c r="J73">
        <v>553</v>
      </c>
      <c r="K73">
        <v>309</v>
      </c>
      <c r="L73">
        <v>960</v>
      </c>
      <c r="M73">
        <v>383</v>
      </c>
      <c r="N73">
        <v>185</v>
      </c>
      <c r="O73">
        <v>94</v>
      </c>
      <c r="P73">
        <v>371</v>
      </c>
      <c r="Q73">
        <v>508</v>
      </c>
      <c r="R73">
        <v>72</v>
      </c>
    </row>
    <row r="74" spans="1:18">
      <c r="A74" s="1" t="s">
        <v>277</v>
      </c>
      <c r="B74">
        <v>32</v>
      </c>
      <c r="C74">
        <v>22</v>
      </c>
      <c r="D74">
        <v>10</v>
      </c>
      <c r="E74">
        <v>6.38</v>
      </c>
      <c r="F74">
        <v>2257</v>
      </c>
      <c r="G74">
        <v>813</v>
      </c>
      <c r="H74">
        <v>1755</v>
      </c>
      <c r="I74">
        <v>468</v>
      </c>
      <c r="J74">
        <v>671</v>
      </c>
      <c r="K74">
        <v>382</v>
      </c>
      <c r="L74">
        <v>1159</v>
      </c>
      <c r="M74">
        <v>437</v>
      </c>
      <c r="N74">
        <v>176</v>
      </c>
      <c r="O74">
        <v>74</v>
      </c>
      <c r="P74">
        <v>422</v>
      </c>
      <c r="Q74">
        <v>562</v>
      </c>
      <c r="R74">
        <v>73</v>
      </c>
    </row>
    <row r="75" spans="1:18">
      <c r="A75" s="1" t="s">
        <v>75</v>
      </c>
      <c r="B75">
        <v>30</v>
      </c>
      <c r="C75">
        <v>19</v>
      </c>
      <c r="D75">
        <v>11</v>
      </c>
      <c r="E75">
        <v>0.37</v>
      </c>
      <c r="F75">
        <v>1948</v>
      </c>
      <c r="G75">
        <v>714</v>
      </c>
      <c r="H75">
        <v>1555</v>
      </c>
      <c r="I75">
        <v>348</v>
      </c>
      <c r="J75">
        <v>502</v>
      </c>
      <c r="K75">
        <v>331</v>
      </c>
      <c r="L75">
        <v>951</v>
      </c>
      <c r="M75">
        <v>421</v>
      </c>
      <c r="N75">
        <v>213</v>
      </c>
      <c r="O75">
        <v>83</v>
      </c>
      <c r="P75">
        <v>405</v>
      </c>
      <c r="Q75">
        <v>564</v>
      </c>
      <c r="R75">
        <v>74</v>
      </c>
    </row>
    <row r="76" spans="1:18">
      <c r="A76" s="1" t="s">
        <v>76</v>
      </c>
      <c r="B76">
        <v>28</v>
      </c>
      <c r="C76">
        <v>12</v>
      </c>
      <c r="D76">
        <v>16</v>
      </c>
      <c r="E76">
        <v>2.15</v>
      </c>
      <c r="F76">
        <v>1956</v>
      </c>
      <c r="G76">
        <v>651</v>
      </c>
      <c r="H76">
        <v>1602</v>
      </c>
      <c r="I76">
        <v>479</v>
      </c>
      <c r="J76">
        <v>702</v>
      </c>
      <c r="K76">
        <v>361</v>
      </c>
      <c r="L76">
        <v>933</v>
      </c>
      <c r="M76">
        <v>336</v>
      </c>
      <c r="N76">
        <v>321</v>
      </c>
      <c r="O76">
        <v>57</v>
      </c>
      <c r="P76">
        <v>451</v>
      </c>
      <c r="Q76">
        <v>519</v>
      </c>
      <c r="R76">
        <v>75</v>
      </c>
    </row>
    <row r="77" spans="1:18">
      <c r="A77" s="1" t="s">
        <v>77</v>
      </c>
      <c r="B77">
        <v>29</v>
      </c>
      <c r="C77">
        <v>18</v>
      </c>
      <c r="D77">
        <v>11</v>
      </c>
      <c r="E77">
        <v>-1.22</v>
      </c>
      <c r="F77">
        <v>2113</v>
      </c>
      <c r="G77">
        <v>750</v>
      </c>
      <c r="H77">
        <v>1633</v>
      </c>
      <c r="I77">
        <v>400</v>
      </c>
      <c r="J77">
        <v>594</v>
      </c>
      <c r="K77">
        <v>277</v>
      </c>
      <c r="L77">
        <v>993</v>
      </c>
      <c r="M77">
        <v>466</v>
      </c>
      <c r="N77">
        <v>228</v>
      </c>
      <c r="O77">
        <v>110</v>
      </c>
      <c r="P77">
        <v>375</v>
      </c>
      <c r="Q77">
        <v>566</v>
      </c>
      <c r="R77">
        <v>76</v>
      </c>
    </row>
    <row r="78" spans="1:18">
      <c r="A78" s="1" t="s">
        <v>373</v>
      </c>
      <c r="B78">
        <v>37</v>
      </c>
      <c r="C78">
        <v>31</v>
      </c>
      <c r="D78">
        <v>6</v>
      </c>
      <c r="E78">
        <v>10.86</v>
      </c>
      <c r="F78">
        <v>2954</v>
      </c>
      <c r="G78">
        <v>1018</v>
      </c>
      <c r="H78">
        <v>2161</v>
      </c>
      <c r="I78">
        <v>655</v>
      </c>
      <c r="J78">
        <v>890</v>
      </c>
      <c r="K78">
        <v>474</v>
      </c>
      <c r="L78">
        <v>1351</v>
      </c>
      <c r="M78">
        <v>536</v>
      </c>
      <c r="N78">
        <v>340</v>
      </c>
      <c r="O78">
        <v>240</v>
      </c>
      <c r="P78">
        <v>511</v>
      </c>
      <c r="Q78">
        <v>699</v>
      </c>
      <c r="R78">
        <v>77</v>
      </c>
    </row>
    <row r="79" spans="1:18">
      <c r="A79" s="1" t="s">
        <v>78</v>
      </c>
      <c r="B79">
        <v>29</v>
      </c>
      <c r="C79">
        <v>12</v>
      </c>
      <c r="D79">
        <v>17</v>
      </c>
      <c r="E79">
        <v>2.23</v>
      </c>
      <c r="F79">
        <v>2040</v>
      </c>
      <c r="G79">
        <v>728</v>
      </c>
      <c r="H79">
        <v>1604</v>
      </c>
      <c r="I79">
        <v>409</v>
      </c>
      <c r="J79">
        <v>602</v>
      </c>
      <c r="K79">
        <v>310</v>
      </c>
      <c r="L79">
        <v>1010</v>
      </c>
      <c r="M79">
        <v>444</v>
      </c>
      <c r="N79">
        <v>173</v>
      </c>
      <c r="O79">
        <v>99</v>
      </c>
      <c r="P79">
        <v>427</v>
      </c>
      <c r="Q79">
        <v>565</v>
      </c>
      <c r="R79">
        <v>78</v>
      </c>
    </row>
    <row r="80" spans="1:18">
      <c r="A80" s="1" t="s">
        <v>79</v>
      </c>
      <c r="B80">
        <v>27</v>
      </c>
      <c r="C80">
        <v>13</v>
      </c>
      <c r="D80">
        <v>14</v>
      </c>
      <c r="E80">
        <v>2.16</v>
      </c>
      <c r="F80">
        <v>1905</v>
      </c>
      <c r="G80">
        <v>667</v>
      </c>
      <c r="H80">
        <v>1525</v>
      </c>
      <c r="I80">
        <v>438</v>
      </c>
      <c r="J80">
        <v>670</v>
      </c>
      <c r="K80">
        <v>370</v>
      </c>
      <c r="L80">
        <v>1073</v>
      </c>
      <c r="M80">
        <v>324</v>
      </c>
      <c r="N80">
        <v>183</v>
      </c>
      <c r="O80">
        <v>125</v>
      </c>
      <c r="P80">
        <v>404</v>
      </c>
      <c r="Q80">
        <v>535</v>
      </c>
      <c r="R80">
        <v>79</v>
      </c>
    </row>
    <row r="81" spans="1:18">
      <c r="A81" s="1" t="s">
        <v>80</v>
      </c>
      <c r="B81">
        <v>33</v>
      </c>
      <c r="C81">
        <v>27</v>
      </c>
      <c r="D81">
        <v>6</v>
      </c>
      <c r="E81">
        <v>-3.15</v>
      </c>
      <c r="F81">
        <v>2618</v>
      </c>
      <c r="G81">
        <v>946</v>
      </c>
      <c r="H81">
        <v>2059</v>
      </c>
      <c r="I81">
        <v>525</v>
      </c>
      <c r="J81">
        <v>762</v>
      </c>
      <c r="K81">
        <v>411</v>
      </c>
      <c r="L81">
        <v>1269</v>
      </c>
      <c r="M81">
        <v>505</v>
      </c>
      <c r="N81">
        <v>382</v>
      </c>
      <c r="O81">
        <v>192</v>
      </c>
      <c r="P81">
        <v>514</v>
      </c>
      <c r="Q81">
        <v>557</v>
      </c>
      <c r="R81">
        <v>80</v>
      </c>
    </row>
    <row r="82" spans="1:18">
      <c r="A82" s="1" t="s">
        <v>81</v>
      </c>
      <c r="B82">
        <v>27</v>
      </c>
      <c r="C82">
        <v>6</v>
      </c>
      <c r="D82">
        <v>21</v>
      </c>
      <c r="E82">
        <v>-2.64</v>
      </c>
      <c r="F82">
        <v>1850</v>
      </c>
      <c r="G82">
        <v>693</v>
      </c>
      <c r="H82">
        <v>1562</v>
      </c>
      <c r="I82">
        <v>325</v>
      </c>
      <c r="J82">
        <v>470</v>
      </c>
      <c r="K82">
        <v>317</v>
      </c>
      <c r="L82">
        <v>940</v>
      </c>
      <c r="M82">
        <v>397</v>
      </c>
      <c r="N82">
        <v>192</v>
      </c>
      <c r="O82">
        <v>64</v>
      </c>
      <c r="P82">
        <v>436</v>
      </c>
      <c r="Q82">
        <v>588</v>
      </c>
      <c r="R82">
        <v>81</v>
      </c>
    </row>
    <row r="83" spans="1:18">
      <c r="A83" s="1" t="s">
        <v>82</v>
      </c>
      <c r="B83">
        <v>29</v>
      </c>
      <c r="C83">
        <v>14</v>
      </c>
      <c r="D83">
        <v>15</v>
      </c>
      <c r="E83">
        <v>-5.07</v>
      </c>
      <c r="F83">
        <v>2125</v>
      </c>
      <c r="G83">
        <v>755</v>
      </c>
      <c r="H83">
        <v>1615</v>
      </c>
      <c r="I83">
        <v>426</v>
      </c>
      <c r="J83">
        <v>660</v>
      </c>
      <c r="K83">
        <v>330</v>
      </c>
      <c r="L83">
        <v>994</v>
      </c>
      <c r="M83">
        <v>473</v>
      </c>
      <c r="N83">
        <v>213</v>
      </c>
      <c r="O83">
        <v>69</v>
      </c>
      <c r="P83">
        <v>462</v>
      </c>
      <c r="Q83">
        <v>590</v>
      </c>
      <c r="R83">
        <v>82</v>
      </c>
    </row>
    <row r="84" spans="1:18">
      <c r="A84" s="1" t="s">
        <v>83</v>
      </c>
      <c r="B84">
        <v>28</v>
      </c>
      <c r="C84">
        <v>13</v>
      </c>
      <c r="D84">
        <v>15</v>
      </c>
      <c r="E84">
        <v>-1.1399999999999999</v>
      </c>
      <c r="F84">
        <v>1986</v>
      </c>
      <c r="G84">
        <v>697</v>
      </c>
      <c r="H84">
        <v>1517</v>
      </c>
      <c r="I84">
        <v>461</v>
      </c>
      <c r="J84">
        <v>704</v>
      </c>
      <c r="K84">
        <v>331</v>
      </c>
      <c r="L84">
        <v>997</v>
      </c>
      <c r="M84">
        <v>372</v>
      </c>
      <c r="N84">
        <v>213</v>
      </c>
      <c r="O84">
        <v>83</v>
      </c>
      <c r="P84">
        <v>479</v>
      </c>
      <c r="Q84">
        <v>579</v>
      </c>
      <c r="R84">
        <v>83</v>
      </c>
    </row>
    <row r="85" spans="1:18">
      <c r="A85" s="1" t="s">
        <v>84</v>
      </c>
      <c r="B85">
        <v>30</v>
      </c>
      <c r="C85">
        <v>17</v>
      </c>
      <c r="D85">
        <v>13</v>
      </c>
      <c r="E85">
        <v>-0.34</v>
      </c>
      <c r="F85">
        <v>2102</v>
      </c>
      <c r="G85">
        <v>747</v>
      </c>
      <c r="H85">
        <v>1574</v>
      </c>
      <c r="I85">
        <v>429</v>
      </c>
      <c r="J85">
        <v>608</v>
      </c>
      <c r="K85">
        <v>279</v>
      </c>
      <c r="L85">
        <v>918</v>
      </c>
      <c r="M85">
        <v>480</v>
      </c>
      <c r="N85">
        <v>192</v>
      </c>
      <c r="O85">
        <v>49</v>
      </c>
      <c r="P85">
        <v>453</v>
      </c>
      <c r="Q85">
        <v>605</v>
      </c>
      <c r="R85">
        <v>84</v>
      </c>
    </row>
    <row r="86" spans="1:18">
      <c r="A86" s="1" t="s">
        <v>85</v>
      </c>
      <c r="B86">
        <v>30</v>
      </c>
      <c r="C86">
        <v>12</v>
      </c>
      <c r="D86">
        <v>18</v>
      </c>
      <c r="E86">
        <v>-2.95</v>
      </c>
      <c r="F86">
        <v>2067</v>
      </c>
      <c r="G86">
        <v>750</v>
      </c>
      <c r="H86">
        <v>1783</v>
      </c>
      <c r="I86">
        <v>355</v>
      </c>
      <c r="J86">
        <v>501</v>
      </c>
      <c r="K86">
        <v>414</v>
      </c>
      <c r="L86">
        <v>1086</v>
      </c>
      <c r="M86">
        <v>440</v>
      </c>
      <c r="N86">
        <v>267</v>
      </c>
      <c r="O86">
        <v>68</v>
      </c>
      <c r="P86">
        <v>512</v>
      </c>
      <c r="Q86">
        <v>579</v>
      </c>
      <c r="R86">
        <v>85</v>
      </c>
    </row>
    <row r="87" spans="1:18">
      <c r="A87" s="1" t="s">
        <v>86</v>
      </c>
      <c r="B87">
        <v>29</v>
      </c>
      <c r="C87">
        <v>7</v>
      </c>
      <c r="D87">
        <v>22</v>
      </c>
      <c r="E87">
        <v>3.25</v>
      </c>
      <c r="F87">
        <v>1962</v>
      </c>
      <c r="G87">
        <v>691</v>
      </c>
      <c r="H87">
        <v>1525</v>
      </c>
      <c r="I87">
        <v>372</v>
      </c>
      <c r="J87">
        <v>562</v>
      </c>
      <c r="K87">
        <v>251</v>
      </c>
      <c r="L87">
        <v>979</v>
      </c>
      <c r="M87">
        <v>434</v>
      </c>
      <c r="N87">
        <v>113</v>
      </c>
      <c r="O87">
        <v>83</v>
      </c>
      <c r="P87">
        <v>451</v>
      </c>
      <c r="Q87">
        <v>605</v>
      </c>
      <c r="R87">
        <v>86</v>
      </c>
    </row>
    <row r="88" spans="1:18">
      <c r="A88" s="1" t="s">
        <v>87</v>
      </c>
      <c r="B88">
        <v>30</v>
      </c>
      <c r="C88">
        <v>19</v>
      </c>
      <c r="D88">
        <v>11</v>
      </c>
      <c r="E88">
        <v>-2.38</v>
      </c>
      <c r="F88">
        <v>2028</v>
      </c>
      <c r="G88">
        <v>706</v>
      </c>
      <c r="H88">
        <v>1668</v>
      </c>
      <c r="I88">
        <v>457</v>
      </c>
      <c r="J88">
        <v>620</v>
      </c>
      <c r="K88">
        <v>374</v>
      </c>
      <c r="L88">
        <v>1072</v>
      </c>
      <c r="M88">
        <v>383</v>
      </c>
      <c r="N88">
        <v>214</v>
      </c>
      <c r="O88">
        <v>128</v>
      </c>
      <c r="P88">
        <v>426</v>
      </c>
      <c r="Q88">
        <v>542</v>
      </c>
      <c r="R88">
        <v>87</v>
      </c>
    </row>
    <row r="89" spans="1:18">
      <c r="A89" s="1" t="s">
        <v>88</v>
      </c>
      <c r="B89">
        <v>29</v>
      </c>
      <c r="C89">
        <v>17</v>
      </c>
      <c r="D89">
        <v>12</v>
      </c>
      <c r="E89">
        <v>-7.65</v>
      </c>
      <c r="F89">
        <v>2012</v>
      </c>
      <c r="G89">
        <v>739</v>
      </c>
      <c r="H89">
        <v>1722</v>
      </c>
      <c r="I89">
        <v>331</v>
      </c>
      <c r="J89">
        <v>479</v>
      </c>
      <c r="K89">
        <v>330</v>
      </c>
      <c r="L89">
        <v>955</v>
      </c>
      <c r="M89">
        <v>398</v>
      </c>
      <c r="N89">
        <v>211</v>
      </c>
      <c r="O89">
        <v>125</v>
      </c>
      <c r="P89">
        <v>350</v>
      </c>
      <c r="Q89">
        <v>575</v>
      </c>
      <c r="R89">
        <v>88</v>
      </c>
    </row>
    <row r="90" spans="1:18">
      <c r="A90" s="1" t="s">
        <v>89</v>
      </c>
      <c r="B90">
        <v>32</v>
      </c>
      <c r="C90">
        <v>15</v>
      </c>
      <c r="D90">
        <v>17</v>
      </c>
      <c r="E90">
        <v>-7.94</v>
      </c>
      <c r="F90">
        <v>2311</v>
      </c>
      <c r="G90">
        <v>747</v>
      </c>
      <c r="H90">
        <v>1802</v>
      </c>
      <c r="I90">
        <v>546</v>
      </c>
      <c r="J90">
        <v>771</v>
      </c>
      <c r="L90">
        <v>1089</v>
      </c>
      <c r="M90">
        <v>405</v>
      </c>
      <c r="N90">
        <v>271</v>
      </c>
      <c r="O90">
        <v>51</v>
      </c>
      <c r="P90">
        <v>537</v>
      </c>
      <c r="Q90">
        <v>693</v>
      </c>
      <c r="R90">
        <v>89</v>
      </c>
    </row>
    <row r="91" spans="1:18">
      <c r="A91" s="1" t="s">
        <v>90</v>
      </c>
      <c r="B91">
        <v>28</v>
      </c>
      <c r="C91">
        <v>9</v>
      </c>
      <c r="D91">
        <v>19</v>
      </c>
      <c r="E91">
        <v>-5.68</v>
      </c>
      <c r="F91">
        <v>2157</v>
      </c>
      <c r="G91">
        <v>800</v>
      </c>
      <c r="H91">
        <v>1834</v>
      </c>
      <c r="I91">
        <v>347</v>
      </c>
      <c r="J91">
        <v>526</v>
      </c>
      <c r="K91">
        <v>405</v>
      </c>
      <c r="L91">
        <v>1063</v>
      </c>
      <c r="M91">
        <v>423</v>
      </c>
      <c r="N91">
        <v>260</v>
      </c>
      <c r="O91">
        <v>101</v>
      </c>
      <c r="P91">
        <v>440</v>
      </c>
      <c r="Q91">
        <v>596</v>
      </c>
      <c r="R91">
        <v>90</v>
      </c>
    </row>
    <row r="92" spans="1:18">
      <c r="A92" s="1" t="s">
        <v>91</v>
      </c>
      <c r="B92">
        <v>27</v>
      </c>
      <c r="C92">
        <v>5</v>
      </c>
      <c r="D92">
        <v>22</v>
      </c>
      <c r="E92">
        <v>-1.54</v>
      </c>
      <c r="F92">
        <v>1515</v>
      </c>
      <c r="G92">
        <v>535</v>
      </c>
      <c r="H92">
        <v>1325</v>
      </c>
      <c r="I92">
        <v>331</v>
      </c>
      <c r="J92">
        <v>518</v>
      </c>
      <c r="K92">
        <v>294</v>
      </c>
      <c r="L92">
        <v>877</v>
      </c>
      <c r="M92">
        <v>243</v>
      </c>
      <c r="N92">
        <v>160</v>
      </c>
      <c r="O92">
        <v>76</v>
      </c>
      <c r="P92">
        <v>514</v>
      </c>
      <c r="Q92">
        <v>511</v>
      </c>
      <c r="R92">
        <v>91</v>
      </c>
    </row>
    <row r="93" spans="1:18">
      <c r="A93" s="1" t="s">
        <v>92</v>
      </c>
      <c r="B93">
        <v>33</v>
      </c>
      <c r="C93">
        <v>19</v>
      </c>
      <c r="D93">
        <v>14</v>
      </c>
      <c r="E93">
        <v>8.3000000000000007</v>
      </c>
      <c r="F93">
        <v>2359</v>
      </c>
      <c r="G93">
        <v>815</v>
      </c>
      <c r="H93">
        <v>1859</v>
      </c>
      <c r="I93">
        <v>433</v>
      </c>
      <c r="J93">
        <v>631</v>
      </c>
      <c r="K93">
        <v>387</v>
      </c>
      <c r="L93">
        <v>1192</v>
      </c>
      <c r="M93">
        <v>493</v>
      </c>
      <c r="N93">
        <v>291</v>
      </c>
      <c r="O93">
        <v>125</v>
      </c>
      <c r="P93">
        <v>519</v>
      </c>
      <c r="Q93">
        <v>627</v>
      </c>
      <c r="R93">
        <v>92</v>
      </c>
    </row>
    <row r="94" spans="1:18">
      <c r="A94" s="1" t="s">
        <v>347</v>
      </c>
      <c r="B94">
        <v>31</v>
      </c>
      <c r="C94">
        <v>20</v>
      </c>
      <c r="D94">
        <v>11</v>
      </c>
      <c r="E94">
        <v>9.19</v>
      </c>
      <c r="F94">
        <v>2369</v>
      </c>
      <c r="G94">
        <v>829</v>
      </c>
      <c r="H94">
        <v>1719</v>
      </c>
      <c r="I94">
        <v>462</v>
      </c>
      <c r="J94">
        <v>616</v>
      </c>
      <c r="K94">
        <v>306</v>
      </c>
      <c r="L94">
        <v>1081</v>
      </c>
      <c r="M94">
        <v>492</v>
      </c>
      <c r="N94">
        <v>200</v>
      </c>
      <c r="O94">
        <v>98</v>
      </c>
      <c r="P94">
        <v>454</v>
      </c>
      <c r="Q94">
        <v>586</v>
      </c>
      <c r="R94">
        <v>93</v>
      </c>
    </row>
    <row r="95" spans="1:18">
      <c r="A95" s="1" t="s">
        <v>93</v>
      </c>
      <c r="B95">
        <v>28</v>
      </c>
      <c r="C95">
        <v>6</v>
      </c>
      <c r="D95">
        <v>22</v>
      </c>
      <c r="E95">
        <v>3.89</v>
      </c>
      <c r="F95">
        <v>1735</v>
      </c>
      <c r="G95">
        <v>623</v>
      </c>
      <c r="H95">
        <v>1549</v>
      </c>
      <c r="I95">
        <v>280</v>
      </c>
      <c r="J95">
        <v>485</v>
      </c>
      <c r="K95">
        <v>306</v>
      </c>
      <c r="L95">
        <v>879</v>
      </c>
      <c r="M95">
        <v>353</v>
      </c>
      <c r="N95">
        <v>220</v>
      </c>
      <c r="O95">
        <v>72</v>
      </c>
      <c r="P95">
        <v>461</v>
      </c>
      <c r="Q95">
        <v>523</v>
      </c>
      <c r="R95">
        <v>94</v>
      </c>
    </row>
    <row r="96" spans="1:18">
      <c r="A96" s="1" t="s">
        <v>306</v>
      </c>
      <c r="B96">
        <v>29</v>
      </c>
      <c r="C96">
        <v>14</v>
      </c>
      <c r="D96">
        <v>15</v>
      </c>
      <c r="E96">
        <v>5.1100000000000003</v>
      </c>
      <c r="F96">
        <v>1822</v>
      </c>
      <c r="G96">
        <v>643</v>
      </c>
      <c r="H96">
        <v>1485</v>
      </c>
      <c r="I96">
        <v>350</v>
      </c>
      <c r="J96">
        <v>497</v>
      </c>
      <c r="K96">
        <v>328</v>
      </c>
      <c r="L96">
        <v>1027</v>
      </c>
      <c r="M96">
        <v>399</v>
      </c>
      <c r="N96">
        <v>149</v>
      </c>
      <c r="O96">
        <v>84</v>
      </c>
      <c r="P96">
        <v>398</v>
      </c>
      <c r="Q96">
        <v>458</v>
      </c>
      <c r="R96">
        <v>95</v>
      </c>
    </row>
    <row r="97" spans="1:18">
      <c r="A97" s="1" t="s">
        <v>94</v>
      </c>
      <c r="B97">
        <v>29</v>
      </c>
      <c r="C97">
        <v>17</v>
      </c>
      <c r="D97">
        <v>12</v>
      </c>
      <c r="E97">
        <v>-5.81</v>
      </c>
      <c r="F97">
        <v>2123</v>
      </c>
      <c r="G97">
        <v>747</v>
      </c>
      <c r="H97">
        <v>1658</v>
      </c>
      <c r="I97">
        <v>417</v>
      </c>
      <c r="J97">
        <v>596</v>
      </c>
      <c r="K97">
        <v>330</v>
      </c>
      <c r="L97">
        <v>1083</v>
      </c>
      <c r="M97">
        <v>454</v>
      </c>
      <c r="N97">
        <v>240</v>
      </c>
      <c r="O97">
        <v>99</v>
      </c>
      <c r="P97">
        <v>454</v>
      </c>
      <c r="Q97">
        <v>517</v>
      </c>
      <c r="R97">
        <v>96</v>
      </c>
    </row>
    <row r="98" spans="1:18">
      <c r="A98" s="1" t="s">
        <v>318</v>
      </c>
      <c r="B98">
        <v>29</v>
      </c>
      <c r="C98">
        <v>9</v>
      </c>
      <c r="D98">
        <v>20</v>
      </c>
      <c r="E98">
        <v>-4.05</v>
      </c>
      <c r="F98">
        <v>1964</v>
      </c>
      <c r="G98">
        <v>715</v>
      </c>
      <c r="H98">
        <v>1716</v>
      </c>
      <c r="I98">
        <v>302</v>
      </c>
      <c r="J98">
        <v>424</v>
      </c>
      <c r="K98">
        <v>354</v>
      </c>
      <c r="L98">
        <v>1061</v>
      </c>
      <c r="M98">
        <v>436</v>
      </c>
      <c r="N98">
        <v>190</v>
      </c>
      <c r="O98">
        <v>75</v>
      </c>
      <c r="P98">
        <v>483</v>
      </c>
      <c r="Q98">
        <v>513</v>
      </c>
      <c r="R98">
        <v>97</v>
      </c>
    </row>
    <row r="99" spans="1:18">
      <c r="A99" s="1" t="s">
        <v>95</v>
      </c>
      <c r="B99">
        <v>33</v>
      </c>
      <c r="C99">
        <v>23</v>
      </c>
      <c r="D99">
        <v>10</v>
      </c>
      <c r="E99">
        <v>0.37</v>
      </c>
      <c r="F99">
        <v>2364</v>
      </c>
      <c r="G99">
        <v>825</v>
      </c>
      <c r="H99">
        <v>1878</v>
      </c>
      <c r="I99">
        <v>503</v>
      </c>
      <c r="J99">
        <v>745</v>
      </c>
      <c r="K99">
        <v>385</v>
      </c>
      <c r="L99">
        <v>1168</v>
      </c>
      <c r="M99">
        <v>455</v>
      </c>
      <c r="N99">
        <v>281</v>
      </c>
      <c r="O99">
        <v>98</v>
      </c>
      <c r="P99">
        <v>513</v>
      </c>
      <c r="Q99">
        <v>593</v>
      </c>
      <c r="R99">
        <v>98</v>
      </c>
    </row>
    <row r="100" spans="1:18">
      <c r="A100" s="1" t="s">
        <v>96</v>
      </c>
      <c r="B100">
        <v>30</v>
      </c>
      <c r="C100">
        <v>18</v>
      </c>
      <c r="D100">
        <v>12</v>
      </c>
      <c r="E100">
        <v>4.12</v>
      </c>
      <c r="F100">
        <v>2251</v>
      </c>
      <c r="G100">
        <v>798</v>
      </c>
      <c r="H100">
        <v>1732</v>
      </c>
      <c r="I100">
        <v>477</v>
      </c>
      <c r="J100">
        <v>670</v>
      </c>
      <c r="K100">
        <v>400</v>
      </c>
      <c r="L100">
        <v>1090</v>
      </c>
      <c r="M100">
        <v>452</v>
      </c>
      <c r="N100">
        <v>257</v>
      </c>
      <c r="O100">
        <v>102</v>
      </c>
      <c r="P100">
        <v>469</v>
      </c>
      <c r="Q100">
        <v>573</v>
      </c>
      <c r="R100">
        <v>99</v>
      </c>
    </row>
    <row r="101" spans="1:18">
      <c r="A101" s="1" t="s">
        <v>97</v>
      </c>
      <c r="B101">
        <v>28</v>
      </c>
      <c r="C101">
        <v>13</v>
      </c>
      <c r="D101">
        <v>15</v>
      </c>
      <c r="E101">
        <v>3.3</v>
      </c>
      <c r="F101">
        <v>1883</v>
      </c>
      <c r="G101">
        <v>661</v>
      </c>
      <c r="H101">
        <v>1613</v>
      </c>
      <c r="I101">
        <v>409</v>
      </c>
      <c r="J101">
        <v>573</v>
      </c>
      <c r="K101">
        <v>355</v>
      </c>
      <c r="L101">
        <v>947</v>
      </c>
      <c r="M101">
        <v>370</v>
      </c>
      <c r="N101">
        <v>283</v>
      </c>
      <c r="O101">
        <v>99</v>
      </c>
      <c r="P101">
        <v>423</v>
      </c>
      <c r="Q101">
        <v>527</v>
      </c>
      <c r="R101">
        <v>100</v>
      </c>
    </row>
    <row r="102" spans="1:18">
      <c r="A102" s="1" t="s">
        <v>98</v>
      </c>
      <c r="B102">
        <v>29</v>
      </c>
      <c r="C102">
        <v>21</v>
      </c>
      <c r="D102">
        <v>8</v>
      </c>
      <c r="E102">
        <v>-6.93</v>
      </c>
      <c r="F102">
        <v>2337</v>
      </c>
      <c r="G102">
        <v>821</v>
      </c>
      <c r="H102">
        <v>1886</v>
      </c>
      <c r="I102">
        <v>477</v>
      </c>
      <c r="J102">
        <v>692</v>
      </c>
      <c r="K102">
        <v>424</v>
      </c>
      <c r="L102">
        <v>1140</v>
      </c>
      <c r="M102">
        <v>508</v>
      </c>
      <c r="N102">
        <v>327</v>
      </c>
      <c r="O102">
        <v>128</v>
      </c>
      <c r="P102">
        <v>471</v>
      </c>
      <c r="Q102">
        <v>642</v>
      </c>
      <c r="R102">
        <v>101</v>
      </c>
    </row>
    <row r="103" spans="1:18">
      <c r="A103" s="1" t="s">
        <v>99</v>
      </c>
      <c r="B103">
        <v>29</v>
      </c>
      <c r="C103">
        <v>20</v>
      </c>
      <c r="D103">
        <v>9</v>
      </c>
      <c r="E103">
        <v>-5</v>
      </c>
      <c r="F103">
        <v>2169</v>
      </c>
      <c r="G103">
        <v>776</v>
      </c>
      <c r="H103">
        <v>1656</v>
      </c>
      <c r="I103">
        <v>405</v>
      </c>
      <c r="J103">
        <v>557</v>
      </c>
      <c r="K103">
        <v>352</v>
      </c>
      <c r="L103">
        <v>1048</v>
      </c>
      <c r="M103">
        <v>463</v>
      </c>
      <c r="N103">
        <v>213</v>
      </c>
      <c r="O103">
        <v>104</v>
      </c>
      <c r="P103">
        <v>437</v>
      </c>
      <c r="Q103">
        <v>532</v>
      </c>
      <c r="R103">
        <v>102</v>
      </c>
    </row>
    <row r="104" spans="1:18">
      <c r="A104" s="1" t="s">
        <v>100</v>
      </c>
      <c r="B104">
        <v>38</v>
      </c>
      <c r="C104">
        <v>28</v>
      </c>
      <c r="D104">
        <v>10</v>
      </c>
      <c r="E104">
        <v>11.21</v>
      </c>
      <c r="F104">
        <v>2911</v>
      </c>
      <c r="G104">
        <v>1029</v>
      </c>
      <c r="H104">
        <v>2213</v>
      </c>
      <c r="I104">
        <v>586</v>
      </c>
      <c r="J104">
        <v>847</v>
      </c>
      <c r="K104">
        <v>429</v>
      </c>
      <c r="L104">
        <v>1422</v>
      </c>
      <c r="M104">
        <v>579</v>
      </c>
      <c r="N104">
        <v>338</v>
      </c>
      <c r="O104">
        <v>172</v>
      </c>
      <c r="P104">
        <v>578</v>
      </c>
      <c r="Q104">
        <v>795</v>
      </c>
      <c r="R104">
        <v>103</v>
      </c>
    </row>
    <row r="105" spans="1:18">
      <c r="A105" s="1" t="s">
        <v>101</v>
      </c>
      <c r="B105">
        <v>30</v>
      </c>
      <c r="C105">
        <v>16</v>
      </c>
      <c r="D105">
        <v>14</v>
      </c>
      <c r="E105">
        <v>8.17</v>
      </c>
      <c r="F105">
        <v>1995</v>
      </c>
      <c r="G105">
        <v>664</v>
      </c>
      <c r="H105">
        <v>1564</v>
      </c>
      <c r="I105">
        <v>488</v>
      </c>
      <c r="J105">
        <v>691</v>
      </c>
      <c r="K105">
        <v>389</v>
      </c>
      <c r="L105">
        <v>1033</v>
      </c>
      <c r="M105">
        <v>397</v>
      </c>
      <c r="N105">
        <v>242</v>
      </c>
      <c r="O105">
        <v>96</v>
      </c>
      <c r="P105">
        <v>456</v>
      </c>
      <c r="Q105">
        <v>584</v>
      </c>
      <c r="R105">
        <v>104</v>
      </c>
    </row>
    <row r="106" spans="1:18">
      <c r="A106" s="1" t="s">
        <v>374</v>
      </c>
      <c r="B106">
        <v>31</v>
      </c>
      <c r="C106">
        <v>28</v>
      </c>
      <c r="D106">
        <v>3</v>
      </c>
      <c r="E106">
        <v>3.32</v>
      </c>
      <c r="F106">
        <v>2536</v>
      </c>
      <c r="G106">
        <v>899</v>
      </c>
      <c r="H106">
        <v>1765</v>
      </c>
      <c r="I106">
        <v>543</v>
      </c>
      <c r="J106">
        <v>724</v>
      </c>
      <c r="K106">
        <v>348</v>
      </c>
      <c r="L106">
        <v>1230</v>
      </c>
      <c r="M106">
        <v>556</v>
      </c>
      <c r="N106">
        <v>192</v>
      </c>
      <c r="O106">
        <v>116</v>
      </c>
      <c r="P106">
        <v>418</v>
      </c>
      <c r="Q106">
        <v>500</v>
      </c>
      <c r="R106">
        <v>105</v>
      </c>
    </row>
    <row r="107" spans="1:18">
      <c r="A107" s="1" t="s">
        <v>102</v>
      </c>
      <c r="B107">
        <v>29</v>
      </c>
      <c r="C107">
        <v>11</v>
      </c>
      <c r="D107">
        <v>18</v>
      </c>
      <c r="E107">
        <v>-9.94</v>
      </c>
      <c r="F107">
        <v>2030</v>
      </c>
      <c r="G107">
        <v>733</v>
      </c>
      <c r="H107">
        <v>1688</v>
      </c>
      <c r="I107">
        <v>374</v>
      </c>
      <c r="J107">
        <v>605</v>
      </c>
      <c r="K107">
        <v>343</v>
      </c>
      <c r="L107">
        <v>1039</v>
      </c>
      <c r="M107">
        <v>468</v>
      </c>
      <c r="N107">
        <v>197</v>
      </c>
      <c r="O107">
        <v>73</v>
      </c>
      <c r="P107">
        <v>487</v>
      </c>
      <c r="Q107">
        <v>633</v>
      </c>
      <c r="R107">
        <v>106</v>
      </c>
    </row>
    <row r="108" spans="1:18">
      <c r="A108" s="1" t="s">
        <v>103</v>
      </c>
      <c r="B108">
        <v>28</v>
      </c>
      <c r="C108">
        <v>17</v>
      </c>
      <c r="D108">
        <v>11</v>
      </c>
      <c r="E108">
        <v>-0.96</v>
      </c>
      <c r="F108">
        <v>1835</v>
      </c>
      <c r="G108">
        <v>621</v>
      </c>
      <c r="H108">
        <v>1458</v>
      </c>
      <c r="I108">
        <v>416</v>
      </c>
      <c r="J108">
        <v>579</v>
      </c>
      <c r="K108">
        <v>274</v>
      </c>
      <c r="L108">
        <v>920</v>
      </c>
      <c r="M108">
        <v>357</v>
      </c>
      <c r="N108">
        <v>165</v>
      </c>
      <c r="O108">
        <v>69</v>
      </c>
      <c r="P108">
        <v>384</v>
      </c>
      <c r="Q108">
        <v>526</v>
      </c>
      <c r="R108">
        <v>107</v>
      </c>
    </row>
    <row r="109" spans="1:18">
      <c r="A109" s="1" t="s">
        <v>104</v>
      </c>
      <c r="B109">
        <v>30</v>
      </c>
      <c r="C109">
        <v>13</v>
      </c>
      <c r="D109">
        <v>17</v>
      </c>
      <c r="E109">
        <v>-8.7200000000000006</v>
      </c>
      <c r="F109">
        <v>2057</v>
      </c>
      <c r="G109">
        <v>715</v>
      </c>
      <c r="H109">
        <v>1644</v>
      </c>
      <c r="I109">
        <v>451</v>
      </c>
      <c r="J109">
        <v>670</v>
      </c>
      <c r="K109">
        <v>365</v>
      </c>
      <c r="L109">
        <v>1082</v>
      </c>
      <c r="M109">
        <v>342</v>
      </c>
      <c r="N109">
        <v>193</v>
      </c>
      <c r="O109">
        <v>90</v>
      </c>
      <c r="P109">
        <v>531</v>
      </c>
      <c r="Q109">
        <v>679</v>
      </c>
      <c r="R109">
        <v>108</v>
      </c>
    </row>
    <row r="110" spans="1:18">
      <c r="A110" s="1" t="s">
        <v>105</v>
      </c>
      <c r="B110">
        <v>29</v>
      </c>
      <c r="C110">
        <v>12</v>
      </c>
      <c r="D110">
        <v>17</v>
      </c>
      <c r="E110">
        <v>-6.15</v>
      </c>
      <c r="F110">
        <v>1815</v>
      </c>
      <c r="G110">
        <v>660</v>
      </c>
      <c r="H110">
        <v>1585</v>
      </c>
      <c r="I110">
        <v>329</v>
      </c>
      <c r="J110">
        <v>498</v>
      </c>
      <c r="K110">
        <v>348</v>
      </c>
      <c r="L110">
        <v>1008</v>
      </c>
      <c r="M110">
        <v>320</v>
      </c>
      <c r="N110">
        <v>219</v>
      </c>
      <c r="O110">
        <v>55</v>
      </c>
      <c r="P110">
        <v>461</v>
      </c>
      <c r="Q110">
        <v>589</v>
      </c>
      <c r="R110">
        <v>109</v>
      </c>
    </row>
    <row r="111" spans="1:18">
      <c r="A111" s="1" t="s">
        <v>106</v>
      </c>
      <c r="B111">
        <v>27</v>
      </c>
      <c r="C111">
        <v>4</v>
      </c>
      <c r="D111">
        <v>23</v>
      </c>
      <c r="E111">
        <v>-4.37</v>
      </c>
      <c r="F111">
        <v>1748</v>
      </c>
      <c r="G111">
        <v>601</v>
      </c>
      <c r="H111">
        <v>1525</v>
      </c>
      <c r="I111">
        <v>386</v>
      </c>
      <c r="J111">
        <v>545</v>
      </c>
      <c r="K111">
        <v>327</v>
      </c>
      <c r="L111">
        <v>936</v>
      </c>
      <c r="M111">
        <v>296</v>
      </c>
      <c r="N111">
        <v>212</v>
      </c>
      <c r="O111">
        <v>89</v>
      </c>
      <c r="P111">
        <v>515</v>
      </c>
      <c r="Q111">
        <v>571</v>
      </c>
      <c r="R111">
        <v>110</v>
      </c>
    </row>
    <row r="112" spans="1:18">
      <c r="A112" s="1" t="s">
        <v>107</v>
      </c>
      <c r="B112">
        <v>33</v>
      </c>
      <c r="C112">
        <v>21</v>
      </c>
      <c r="D112">
        <v>12</v>
      </c>
      <c r="E112">
        <v>4.2300000000000004</v>
      </c>
      <c r="F112">
        <v>2338</v>
      </c>
      <c r="G112">
        <v>870</v>
      </c>
      <c r="H112">
        <v>1873</v>
      </c>
      <c r="I112">
        <v>403</v>
      </c>
      <c r="J112">
        <v>562</v>
      </c>
      <c r="K112">
        <v>381</v>
      </c>
      <c r="L112">
        <v>1115</v>
      </c>
      <c r="M112">
        <v>550</v>
      </c>
      <c r="N112">
        <v>210</v>
      </c>
      <c r="O112">
        <v>105</v>
      </c>
      <c r="P112">
        <v>444</v>
      </c>
      <c r="Q112">
        <v>558</v>
      </c>
      <c r="R112">
        <v>111</v>
      </c>
    </row>
    <row r="113" spans="1:18">
      <c r="A113" s="1" t="s">
        <v>108</v>
      </c>
      <c r="B113">
        <v>30</v>
      </c>
      <c r="C113">
        <v>19</v>
      </c>
      <c r="D113">
        <v>11</v>
      </c>
      <c r="E113">
        <v>-8.6999999999999993</v>
      </c>
      <c r="F113">
        <v>2160</v>
      </c>
      <c r="G113">
        <v>802</v>
      </c>
      <c r="H113">
        <v>1755</v>
      </c>
      <c r="I113">
        <v>417</v>
      </c>
      <c r="J113">
        <v>672</v>
      </c>
      <c r="K113">
        <v>399</v>
      </c>
      <c r="L113">
        <v>1131</v>
      </c>
      <c r="M113">
        <v>415</v>
      </c>
      <c r="N113">
        <v>268</v>
      </c>
      <c r="O113">
        <v>75</v>
      </c>
      <c r="P113">
        <v>520</v>
      </c>
      <c r="Q113">
        <v>615</v>
      </c>
      <c r="R113">
        <v>112</v>
      </c>
    </row>
    <row r="114" spans="1:18">
      <c r="A114" s="1" t="s">
        <v>307</v>
      </c>
      <c r="B114">
        <v>29</v>
      </c>
      <c r="C114">
        <v>14</v>
      </c>
      <c r="D114">
        <v>15</v>
      </c>
      <c r="E114">
        <v>0.52</v>
      </c>
      <c r="F114">
        <v>2050</v>
      </c>
      <c r="G114">
        <v>747</v>
      </c>
      <c r="H114">
        <v>1727</v>
      </c>
      <c r="I114">
        <v>385</v>
      </c>
      <c r="J114">
        <v>597</v>
      </c>
      <c r="K114">
        <v>435</v>
      </c>
      <c r="L114">
        <v>1131</v>
      </c>
      <c r="M114">
        <v>380</v>
      </c>
      <c r="N114">
        <v>220</v>
      </c>
      <c r="O114">
        <v>110</v>
      </c>
      <c r="P114">
        <v>463</v>
      </c>
      <c r="Q114">
        <v>584</v>
      </c>
      <c r="R114">
        <v>113</v>
      </c>
    </row>
    <row r="115" spans="1:18">
      <c r="A115" s="1" t="s">
        <v>109</v>
      </c>
      <c r="B115">
        <v>28</v>
      </c>
      <c r="C115">
        <v>13</v>
      </c>
      <c r="D115">
        <v>15</v>
      </c>
      <c r="E115">
        <v>-6.69</v>
      </c>
      <c r="F115">
        <v>1767</v>
      </c>
      <c r="G115">
        <v>631</v>
      </c>
      <c r="H115">
        <v>1531</v>
      </c>
      <c r="I115">
        <v>356</v>
      </c>
      <c r="J115">
        <v>601</v>
      </c>
      <c r="K115">
        <v>384</v>
      </c>
      <c r="L115">
        <v>969</v>
      </c>
      <c r="M115">
        <v>399</v>
      </c>
      <c r="N115">
        <v>300</v>
      </c>
      <c r="O115">
        <v>126</v>
      </c>
      <c r="P115">
        <v>391</v>
      </c>
      <c r="Q115">
        <v>542</v>
      </c>
      <c r="R115">
        <v>114</v>
      </c>
    </row>
    <row r="116" spans="1:18">
      <c r="A116" s="1" t="s">
        <v>110</v>
      </c>
      <c r="B116">
        <v>27</v>
      </c>
      <c r="C116">
        <v>9</v>
      </c>
      <c r="D116">
        <v>18</v>
      </c>
      <c r="E116">
        <v>3.8</v>
      </c>
      <c r="F116">
        <v>1592</v>
      </c>
      <c r="G116">
        <v>570</v>
      </c>
      <c r="H116">
        <v>1453</v>
      </c>
      <c r="I116">
        <v>305</v>
      </c>
      <c r="J116">
        <v>482</v>
      </c>
      <c r="K116">
        <v>301</v>
      </c>
      <c r="L116">
        <v>943</v>
      </c>
      <c r="M116">
        <v>269</v>
      </c>
      <c r="N116">
        <v>163</v>
      </c>
      <c r="O116">
        <v>151</v>
      </c>
      <c r="P116">
        <v>378</v>
      </c>
      <c r="Q116">
        <v>540</v>
      </c>
      <c r="R116">
        <v>115</v>
      </c>
    </row>
    <row r="117" spans="1:18">
      <c r="A117" s="1" t="s">
        <v>111</v>
      </c>
      <c r="B117">
        <v>28</v>
      </c>
      <c r="C117">
        <v>6</v>
      </c>
      <c r="D117">
        <v>22</v>
      </c>
      <c r="E117">
        <v>-9.8699999999999992</v>
      </c>
      <c r="F117">
        <v>1683</v>
      </c>
      <c r="G117">
        <v>611</v>
      </c>
      <c r="H117">
        <v>1533</v>
      </c>
      <c r="I117">
        <v>315</v>
      </c>
      <c r="J117">
        <v>479</v>
      </c>
      <c r="K117">
        <v>315</v>
      </c>
      <c r="L117">
        <v>949</v>
      </c>
      <c r="M117">
        <v>285</v>
      </c>
      <c r="N117">
        <v>183</v>
      </c>
      <c r="O117">
        <v>66</v>
      </c>
      <c r="P117">
        <v>450</v>
      </c>
      <c r="Q117">
        <v>598</v>
      </c>
      <c r="R117">
        <v>116</v>
      </c>
    </row>
    <row r="118" spans="1:18">
      <c r="A118" s="1" t="s">
        <v>112</v>
      </c>
      <c r="B118">
        <v>31</v>
      </c>
      <c r="C118">
        <v>13</v>
      </c>
      <c r="D118">
        <v>18</v>
      </c>
      <c r="E118">
        <v>-1.66</v>
      </c>
      <c r="F118">
        <v>2277</v>
      </c>
      <c r="G118">
        <v>844</v>
      </c>
      <c r="H118">
        <v>1821</v>
      </c>
      <c r="I118">
        <v>394</v>
      </c>
      <c r="J118">
        <v>606</v>
      </c>
      <c r="K118">
        <v>245</v>
      </c>
      <c r="L118">
        <v>929</v>
      </c>
      <c r="M118">
        <v>494</v>
      </c>
      <c r="N118">
        <v>253</v>
      </c>
      <c r="O118">
        <v>123</v>
      </c>
      <c r="P118">
        <v>409</v>
      </c>
      <c r="Q118">
        <v>571</v>
      </c>
      <c r="R118">
        <v>117</v>
      </c>
    </row>
    <row r="119" spans="1:18">
      <c r="A119" s="1" t="s">
        <v>113</v>
      </c>
      <c r="B119">
        <v>30</v>
      </c>
      <c r="C119">
        <v>14</v>
      </c>
      <c r="D119">
        <v>16</v>
      </c>
      <c r="E119">
        <v>0.43</v>
      </c>
      <c r="F119">
        <v>1906</v>
      </c>
      <c r="G119">
        <v>657</v>
      </c>
      <c r="H119">
        <v>1623</v>
      </c>
      <c r="I119">
        <v>434</v>
      </c>
      <c r="J119">
        <v>599</v>
      </c>
      <c r="K119">
        <v>355</v>
      </c>
      <c r="L119">
        <v>986</v>
      </c>
      <c r="M119">
        <v>305</v>
      </c>
      <c r="N119">
        <v>195</v>
      </c>
      <c r="O119">
        <v>94</v>
      </c>
      <c r="P119">
        <v>384</v>
      </c>
      <c r="Q119">
        <v>587</v>
      </c>
      <c r="R119">
        <v>118</v>
      </c>
    </row>
    <row r="120" spans="1:18">
      <c r="A120" s="1" t="s">
        <v>114</v>
      </c>
      <c r="B120">
        <v>32</v>
      </c>
      <c r="C120">
        <v>24</v>
      </c>
      <c r="D120">
        <v>8</v>
      </c>
      <c r="E120">
        <v>-0.47</v>
      </c>
      <c r="F120">
        <v>2223</v>
      </c>
      <c r="G120">
        <v>810</v>
      </c>
      <c r="H120">
        <v>1797</v>
      </c>
      <c r="I120">
        <v>445</v>
      </c>
      <c r="J120">
        <v>700</v>
      </c>
      <c r="K120">
        <v>423</v>
      </c>
      <c r="L120">
        <v>1126</v>
      </c>
      <c r="M120">
        <v>468</v>
      </c>
      <c r="N120">
        <v>247</v>
      </c>
      <c r="O120">
        <v>85</v>
      </c>
      <c r="P120">
        <v>405</v>
      </c>
      <c r="Q120">
        <v>572</v>
      </c>
      <c r="R120">
        <v>119</v>
      </c>
    </row>
    <row r="121" spans="1:18">
      <c r="A121" s="1" t="s">
        <v>115</v>
      </c>
      <c r="B121">
        <v>29</v>
      </c>
      <c r="C121">
        <v>10</v>
      </c>
      <c r="D121">
        <v>19</v>
      </c>
      <c r="E121">
        <v>3.11</v>
      </c>
      <c r="F121">
        <v>1825</v>
      </c>
      <c r="G121">
        <v>652</v>
      </c>
      <c r="H121">
        <v>1466</v>
      </c>
      <c r="I121">
        <v>352</v>
      </c>
      <c r="J121">
        <v>513</v>
      </c>
      <c r="K121">
        <v>260</v>
      </c>
      <c r="L121">
        <v>886</v>
      </c>
      <c r="M121">
        <v>358</v>
      </c>
      <c r="N121">
        <v>203</v>
      </c>
      <c r="O121">
        <v>80</v>
      </c>
      <c r="P121">
        <v>424</v>
      </c>
      <c r="Q121">
        <v>567</v>
      </c>
      <c r="R121">
        <v>120</v>
      </c>
    </row>
    <row r="122" spans="1:18">
      <c r="A122" s="1" t="s">
        <v>348</v>
      </c>
      <c r="B122">
        <v>33</v>
      </c>
      <c r="C122">
        <v>26</v>
      </c>
      <c r="D122">
        <v>7</v>
      </c>
      <c r="E122">
        <v>7.08</v>
      </c>
      <c r="F122">
        <v>2402</v>
      </c>
      <c r="G122">
        <v>887</v>
      </c>
      <c r="H122">
        <v>1899</v>
      </c>
      <c r="I122">
        <v>397</v>
      </c>
      <c r="J122">
        <v>571</v>
      </c>
      <c r="K122">
        <v>381</v>
      </c>
      <c r="L122">
        <v>1151</v>
      </c>
      <c r="M122">
        <v>565</v>
      </c>
      <c r="N122">
        <v>224</v>
      </c>
      <c r="O122">
        <v>122</v>
      </c>
      <c r="P122">
        <v>401</v>
      </c>
      <c r="Q122">
        <v>618</v>
      </c>
      <c r="R122">
        <v>121</v>
      </c>
    </row>
    <row r="123" spans="1:18">
      <c r="A123" s="1" t="s">
        <v>308</v>
      </c>
      <c r="B123">
        <v>28</v>
      </c>
      <c r="C123">
        <v>9</v>
      </c>
      <c r="D123">
        <v>19</v>
      </c>
      <c r="E123">
        <v>2.02</v>
      </c>
      <c r="F123">
        <v>1623</v>
      </c>
      <c r="G123">
        <v>578</v>
      </c>
      <c r="H123">
        <v>1412</v>
      </c>
      <c r="I123">
        <v>289</v>
      </c>
      <c r="J123">
        <v>448</v>
      </c>
      <c r="K123">
        <v>265</v>
      </c>
      <c r="L123">
        <v>841</v>
      </c>
      <c r="M123">
        <v>303</v>
      </c>
      <c r="N123">
        <v>193</v>
      </c>
      <c r="O123">
        <v>65</v>
      </c>
      <c r="P123">
        <v>378</v>
      </c>
      <c r="Q123">
        <v>455</v>
      </c>
      <c r="R123">
        <v>122</v>
      </c>
    </row>
    <row r="124" spans="1:18">
      <c r="A124" s="1" t="s">
        <v>327</v>
      </c>
      <c r="B124">
        <v>29</v>
      </c>
      <c r="C124">
        <v>14</v>
      </c>
      <c r="D124">
        <v>15</v>
      </c>
      <c r="E124">
        <v>7.94</v>
      </c>
      <c r="F124">
        <v>1881</v>
      </c>
      <c r="G124">
        <v>646</v>
      </c>
      <c r="H124">
        <v>1628</v>
      </c>
      <c r="I124">
        <v>385</v>
      </c>
      <c r="J124">
        <v>532</v>
      </c>
      <c r="K124">
        <v>342</v>
      </c>
      <c r="L124">
        <v>1021</v>
      </c>
      <c r="M124">
        <v>346</v>
      </c>
      <c r="N124">
        <v>147</v>
      </c>
      <c r="O124">
        <v>102</v>
      </c>
      <c r="P124">
        <v>360</v>
      </c>
      <c r="Q124">
        <v>537</v>
      </c>
      <c r="R124">
        <v>123</v>
      </c>
    </row>
    <row r="125" spans="1:18">
      <c r="A125" s="1" t="s">
        <v>309</v>
      </c>
      <c r="B125">
        <v>29</v>
      </c>
      <c r="C125">
        <v>11</v>
      </c>
      <c r="D125">
        <v>18</v>
      </c>
      <c r="E125">
        <v>-1.88</v>
      </c>
      <c r="F125">
        <v>2078</v>
      </c>
      <c r="G125">
        <v>750</v>
      </c>
      <c r="H125">
        <v>1690</v>
      </c>
      <c r="I125">
        <v>422</v>
      </c>
      <c r="J125">
        <v>645</v>
      </c>
      <c r="K125">
        <v>360</v>
      </c>
      <c r="L125">
        <v>1109</v>
      </c>
      <c r="M125">
        <v>434</v>
      </c>
      <c r="N125">
        <v>223</v>
      </c>
      <c r="O125">
        <v>161</v>
      </c>
      <c r="P125">
        <v>457</v>
      </c>
      <c r="Q125">
        <v>586</v>
      </c>
      <c r="R125">
        <v>124</v>
      </c>
    </row>
    <row r="126" spans="1:18">
      <c r="A126" s="1" t="s">
        <v>310</v>
      </c>
      <c r="B126">
        <v>33</v>
      </c>
      <c r="C126">
        <v>20</v>
      </c>
      <c r="D126">
        <v>13</v>
      </c>
      <c r="E126">
        <v>8.06</v>
      </c>
      <c r="F126">
        <v>2461</v>
      </c>
      <c r="G126">
        <v>925</v>
      </c>
      <c r="H126">
        <v>1983</v>
      </c>
      <c r="I126">
        <v>457</v>
      </c>
      <c r="J126">
        <v>700</v>
      </c>
      <c r="K126">
        <v>429</v>
      </c>
      <c r="L126">
        <v>1241</v>
      </c>
      <c r="M126">
        <v>474</v>
      </c>
      <c r="N126">
        <v>264</v>
      </c>
      <c r="O126">
        <v>143</v>
      </c>
      <c r="P126">
        <v>487</v>
      </c>
      <c r="Q126">
        <v>565</v>
      </c>
      <c r="R126">
        <v>125</v>
      </c>
    </row>
    <row r="127" spans="1:18">
      <c r="A127" s="1" t="s">
        <v>116</v>
      </c>
      <c r="B127">
        <v>29</v>
      </c>
      <c r="C127">
        <v>16</v>
      </c>
      <c r="D127">
        <v>13</v>
      </c>
      <c r="E127">
        <v>6.18</v>
      </c>
      <c r="F127">
        <v>2071</v>
      </c>
      <c r="G127">
        <v>708</v>
      </c>
      <c r="H127">
        <v>1538</v>
      </c>
      <c r="I127">
        <v>491</v>
      </c>
      <c r="J127">
        <v>731</v>
      </c>
      <c r="K127">
        <v>313</v>
      </c>
      <c r="L127">
        <v>1099</v>
      </c>
      <c r="M127">
        <v>440</v>
      </c>
      <c r="N127">
        <v>208</v>
      </c>
      <c r="O127">
        <v>132</v>
      </c>
      <c r="P127">
        <v>472</v>
      </c>
      <c r="Q127">
        <v>541</v>
      </c>
      <c r="R127">
        <v>126</v>
      </c>
    </row>
    <row r="128" spans="1:18">
      <c r="A128" s="1" t="s">
        <v>319</v>
      </c>
      <c r="B128">
        <v>28</v>
      </c>
      <c r="C128">
        <v>3</v>
      </c>
      <c r="D128">
        <v>25</v>
      </c>
      <c r="E128">
        <v>1</v>
      </c>
      <c r="F128">
        <v>1736</v>
      </c>
      <c r="G128">
        <v>630</v>
      </c>
      <c r="H128">
        <v>1492</v>
      </c>
      <c r="I128">
        <v>325</v>
      </c>
      <c r="J128">
        <v>498</v>
      </c>
      <c r="K128">
        <v>294</v>
      </c>
      <c r="L128">
        <v>941</v>
      </c>
      <c r="M128">
        <v>360</v>
      </c>
      <c r="N128">
        <v>152</v>
      </c>
      <c r="O128">
        <v>89</v>
      </c>
      <c r="P128">
        <v>435</v>
      </c>
      <c r="Q128">
        <v>514</v>
      </c>
      <c r="R128">
        <v>127</v>
      </c>
    </row>
    <row r="129" spans="1:18">
      <c r="A129" s="1" t="s">
        <v>117</v>
      </c>
      <c r="B129">
        <v>32</v>
      </c>
      <c r="C129">
        <v>21</v>
      </c>
      <c r="D129">
        <v>11</v>
      </c>
      <c r="E129">
        <v>-2.4</v>
      </c>
      <c r="F129">
        <v>2504</v>
      </c>
      <c r="G129">
        <v>845</v>
      </c>
      <c r="H129">
        <v>1855</v>
      </c>
      <c r="I129">
        <v>572</v>
      </c>
      <c r="J129">
        <v>812</v>
      </c>
      <c r="K129">
        <v>421</v>
      </c>
      <c r="L129">
        <v>1196</v>
      </c>
      <c r="M129">
        <v>436</v>
      </c>
      <c r="N129">
        <v>202</v>
      </c>
      <c r="O129">
        <v>73</v>
      </c>
      <c r="P129">
        <v>412</v>
      </c>
      <c r="Q129">
        <v>586</v>
      </c>
      <c r="R129">
        <v>128</v>
      </c>
    </row>
    <row r="130" spans="1:18">
      <c r="A130" s="1" t="s">
        <v>278</v>
      </c>
      <c r="B130">
        <v>29</v>
      </c>
      <c r="C130">
        <v>12</v>
      </c>
      <c r="D130">
        <v>17</v>
      </c>
      <c r="E130">
        <v>-11.09</v>
      </c>
      <c r="F130">
        <v>1836</v>
      </c>
      <c r="G130">
        <v>612</v>
      </c>
      <c r="H130">
        <v>1581</v>
      </c>
      <c r="I130">
        <v>452</v>
      </c>
      <c r="J130">
        <v>671</v>
      </c>
      <c r="K130">
        <v>339</v>
      </c>
      <c r="L130">
        <v>1017</v>
      </c>
      <c r="M130">
        <v>339</v>
      </c>
      <c r="N130">
        <v>288</v>
      </c>
      <c r="O130">
        <v>108</v>
      </c>
      <c r="P130">
        <v>498</v>
      </c>
      <c r="Q130">
        <v>649</v>
      </c>
      <c r="R130">
        <v>129</v>
      </c>
    </row>
    <row r="131" spans="1:18">
      <c r="A131" s="1" t="s">
        <v>118</v>
      </c>
      <c r="B131">
        <v>28</v>
      </c>
      <c r="C131">
        <v>14</v>
      </c>
      <c r="D131">
        <v>14</v>
      </c>
      <c r="E131">
        <v>-7.7</v>
      </c>
      <c r="F131">
        <v>2092</v>
      </c>
      <c r="G131">
        <v>750</v>
      </c>
      <c r="H131">
        <v>1612</v>
      </c>
      <c r="I131">
        <v>391</v>
      </c>
      <c r="J131">
        <v>596</v>
      </c>
      <c r="K131">
        <v>324</v>
      </c>
      <c r="L131">
        <v>956</v>
      </c>
      <c r="M131">
        <v>410</v>
      </c>
      <c r="N131">
        <v>232</v>
      </c>
      <c r="O131">
        <v>72</v>
      </c>
      <c r="P131">
        <v>397</v>
      </c>
      <c r="Q131">
        <v>593</v>
      </c>
      <c r="R131">
        <v>130</v>
      </c>
    </row>
    <row r="132" spans="1:18">
      <c r="A132" s="1" t="s">
        <v>119</v>
      </c>
      <c r="B132">
        <v>28</v>
      </c>
      <c r="C132">
        <v>13</v>
      </c>
      <c r="D132">
        <v>15</v>
      </c>
      <c r="E132">
        <v>-6.62</v>
      </c>
      <c r="F132">
        <v>1988</v>
      </c>
      <c r="G132">
        <v>689</v>
      </c>
      <c r="H132">
        <v>1560</v>
      </c>
      <c r="I132">
        <v>418</v>
      </c>
      <c r="J132">
        <v>619</v>
      </c>
      <c r="K132">
        <v>351</v>
      </c>
      <c r="L132">
        <v>985</v>
      </c>
      <c r="M132">
        <v>384</v>
      </c>
      <c r="N132">
        <v>216</v>
      </c>
      <c r="O132">
        <v>169</v>
      </c>
      <c r="P132">
        <v>499</v>
      </c>
      <c r="Q132">
        <v>525</v>
      </c>
      <c r="R132">
        <v>131</v>
      </c>
    </row>
    <row r="133" spans="1:18">
      <c r="A133" s="1" t="s">
        <v>120</v>
      </c>
      <c r="B133">
        <v>28</v>
      </c>
      <c r="C133">
        <v>7</v>
      </c>
      <c r="D133">
        <v>21</v>
      </c>
      <c r="E133">
        <v>-1.28</v>
      </c>
      <c r="F133">
        <v>1816</v>
      </c>
      <c r="G133">
        <v>660</v>
      </c>
      <c r="H133">
        <v>1603</v>
      </c>
      <c r="I133">
        <v>322</v>
      </c>
      <c r="J133">
        <v>466</v>
      </c>
      <c r="K133">
        <v>316</v>
      </c>
      <c r="L133">
        <v>883</v>
      </c>
      <c r="M133">
        <v>337</v>
      </c>
      <c r="N133">
        <v>208</v>
      </c>
      <c r="O133">
        <v>71</v>
      </c>
      <c r="P133">
        <v>366</v>
      </c>
      <c r="Q133">
        <v>536</v>
      </c>
      <c r="R133">
        <v>132</v>
      </c>
    </row>
    <row r="134" spans="1:18">
      <c r="A134" s="1" t="s">
        <v>121</v>
      </c>
      <c r="B134">
        <v>28</v>
      </c>
      <c r="C134">
        <v>14</v>
      </c>
      <c r="D134">
        <v>14</v>
      </c>
      <c r="E134">
        <v>4.84</v>
      </c>
      <c r="F134">
        <v>1943</v>
      </c>
      <c r="G134">
        <v>708</v>
      </c>
      <c r="H134">
        <v>1590</v>
      </c>
      <c r="I134">
        <v>401</v>
      </c>
      <c r="J134">
        <v>589</v>
      </c>
      <c r="K134">
        <v>359</v>
      </c>
      <c r="L134">
        <v>1067</v>
      </c>
      <c r="M134">
        <v>427</v>
      </c>
      <c r="N134">
        <v>151</v>
      </c>
      <c r="O134">
        <v>76</v>
      </c>
      <c r="P134">
        <v>398</v>
      </c>
      <c r="Q134">
        <v>519</v>
      </c>
      <c r="R134">
        <v>133</v>
      </c>
    </row>
    <row r="135" spans="1:18">
      <c r="A135" s="1" t="s">
        <v>375</v>
      </c>
      <c r="B135">
        <v>33</v>
      </c>
      <c r="C135">
        <v>24</v>
      </c>
      <c r="D135">
        <v>9</v>
      </c>
      <c r="E135">
        <v>9.44</v>
      </c>
      <c r="F135">
        <v>2503</v>
      </c>
      <c r="G135">
        <v>895</v>
      </c>
      <c r="H135">
        <v>1923</v>
      </c>
      <c r="I135">
        <v>525</v>
      </c>
      <c r="J135">
        <v>743</v>
      </c>
      <c r="K135">
        <v>409</v>
      </c>
      <c r="L135">
        <v>1303</v>
      </c>
      <c r="M135">
        <v>572</v>
      </c>
      <c r="N135">
        <v>232</v>
      </c>
      <c r="O135">
        <v>165</v>
      </c>
      <c r="P135">
        <v>485</v>
      </c>
      <c r="Q135">
        <v>661</v>
      </c>
      <c r="R135">
        <v>134</v>
      </c>
    </row>
    <row r="136" spans="1:18">
      <c r="A136" s="1" t="s">
        <v>122</v>
      </c>
      <c r="B136">
        <v>31</v>
      </c>
      <c r="C136">
        <v>22</v>
      </c>
      <c r="D136">
        <v>9</v>
      </c>
      <c r="E136">
        <v>0.79</v>
      </c>
      <c r="F136">
        <v>2256</v>
      </c>
      <c r="G136">
        <v>789</v>
      </c>
      <c r="H136">
        <v>1792</v>
      </c>
      <c r="I136">
        <v>414</v>
      </c>
      <c r="J136">
        <v>579</v>
      </c>
      <c r="K136">
        <v>367</v>
      </c>
      <c r="L136">
        <v>1088</v>
      </c>
      <c r="M136">
        <v>512</v>
      </c>
      <c r="N136">
        <v>239</v>
      </c>
      <c r="O136">
        <v>109</v>
      </c>
      <c r="P136">
        <v>401</v>
      </c>
      <c r="Q136">
        <v>589</v>
      </c>
      <c r="R136">
        <v>135</v>
      </c>
    </row>
    <row r="137" spans="1:18">
      <c r="A137" s="1" t="s">
        <v>354</v>
      </c>
      <c r="B137">
        <v>32</v>
      </c>
      <c r="C137">
        <v>27</v>
      </c>
      <c r="D137">
        <v>5</v>
      </c>
      <c r="E137">
        <v>8.5500000000000007</v>
      </c>
      <c r="F137">
        <v>2365</v>
      </c>
      <c r="G137">
        <v>862</v>
      </c>
      <c r="H137">
        <v>1828</v>
      </c>
      <c r="I137">
        <v>437</v>
      </c>
      <c r="J137">
        <v>627</v>
      </c>
      <c r="K137">
        <v>371</v>
      </c>
      <c r="L137">
        <v>1160</v>
      </c>
      <c r="M137">
        <v>504</v>
      </c>
      <c r="N137">
        <v>249</v>
      </c>
      <c r="O137">
        <v>110</v>
      </c>
      <c r="P137">
        <v>468</v>
      </c>
      <c r="Q137">
        <v>584</v>
      </c>
      <c r="R137">
        <v>136</v>
      </c>
    </row>
    <row r="138" spans="1:18">
      <c r="A138" s="1" t="s">
        <v>123</v>
      </c>
      <c r="B138">
        <v>30</v>
      </c>
      <c r="C138">
        <v>10</v>
      </c>
      <c r="D138">
        <v>20</v>
      </c>
      <c r="E138">
        <v>2.9</v>
      </c>
      <c r="F138">
        <v>1953</v>
      </c>
      <c r="G138">
        <v>681</v>
      </c>
      <c r="H138">
        <v>1648</v>
      </c>
      <c r="I138">
        <v>420</v>
      </c>
      <c r="J138">
        <v>599</v>
      </c>
      <c r="K138">
        <v>349</v>
      </c>
      <c r="L138">
        <v>980</v>
      </c>
      <c r="M138">
        <v>328</v>
      </c>
      <c r="N138">
        <v>193</v>
      </c>
      <c r="O138">
        <v>59</v>
      </c>
      <c r="P138">
        <v>405</v>
      </c>
      <c r="Q138">
        <v>538</v>
      </c>
      <c r="R138">
        <v>137</v>
      </c>
    </row>
    <row r="139" spans="1:18">
      <c r="A139" s="1" t="s">
        <v>279</v>
      </c>
      <c r="B139">
        <v>28</v>
      </c>
      <c r="C139">
        <v>18</v>
      </c>
      <c r="D139">
        <v>10</v>
      </c>
      <c r="E139">
        <v>-6.37</v>
      </c>
      <c r="F139">
        <v>2118</v>
      </c>
      <c r="G139">
        <v>731</v>
      </c>
      <c r="H139">
        <v>1513</v>
      </c>
      <c r="I139">
        <v>435</v>
      </c>
      <c r="J139">
        <v>610</v>
      </c>
      <c r="K139">
        <v>249</v>
      </c>
      <c r="L139">
        <v>968</v>
      </c>
      <c r="M139">
        <v>429</v>
      </c>
      <c r="N139">
        <v>155</v>
      </c>
      <c r="O139">
        <v>144</v>
      </c>
      <c r="P139">
        <v>429</v>
      </c>
      <c r="Q139">
        <v>505</v>
      </c>
      <c r="R139">
        <v>138</v>
      </c>
    </row>
    <row r="140" spans="1:18">
      <c r="A140" s="1" t="s">
        <v>280</v>
      </c>
      <c r="B140">
        <v>29</v>
      </c>
      <c r="C140">
        <v>11</v>
      </c>
      <c r="D140">
        <v>18</v>
      </c>
      <c r="E140">
        <v>-6.18</v>
      </c>
      <c r="F140">
        <v>2294</v>
      </c>
      <c r="G140">
        <v>808</v>
      </c>
      <c r="H140">
        <v>1945</v>
      </c>
      <c r="I140">
        <v>480</v>
      </c>
      <c r="J140">
        <v>691</v>
      </c>
      <c r="K140">
        <v>438</v>
      </c>
      <c r="L140">
        <v>1137</v>
      </c>
      <c r="M140">
        <v>406</v>
      </c>
      <c r="N140">
        <v>269</v>
      </c>
      <c r="O140">
        <v>128</v>
      </c>
      <c r="P140">
        <v>438</v>
      </c>
      <c r="Q140">
        <v>547</v>
      </c>
      <c r="R140">
        <v>139</v>
      </c>
    </row>
    <row r="141" spans="1:18">
      <c r="A141" s="1" t="s">
        <v>124</v>
      </c>
      <c r="B141">
        <v>31</v>
      </c>
      <c r="C141">
        <v>20</v>
      </c>
      <c r="D141">
        <v>11</v>
      </c>
      <c r="E141">
        <v>-8.8800000000000008</v>
      </c>
      <c r="F141">
        <v>2082</v>
      </c>
      <c r="G141">
        <v>729</v>
      </c>
      <c r="H141">
        <v>1718</v>
      </c>
      <c r="I141">
        <v>426</v>
      </c>
      <c r="J141">
        <v>595</v>
      </c>
      <c r="K141">
        <v>357</v>
      </c>
      <c r="L141">
        <v>1132</v>
      </c>
      <c r="M141">
        <v>412</v>
      </c>
      <c r="N141">
        <v>229</v>
      </c>
      <c r="O141">
        <v>108</v>
      </c>
      <c r="P141">
        <v>450</v>
      </c>
      <c r="Q141">
        <v>577</v>
      </c>
      <c r="R141">
        <v>140</v>
      </c>
    </row>
    <row r="142" spans="1:18">
      <c r="A142" s="1" t="s">
        <v>125</v>
      </c>
      <c r="B142">
        <v>33</v>
      </c>
      <c r="C142">
        <v>18</v>
      </c>
      <c r="D142">
        <v>15</v>
      </c>
      <c r="E142">
        <v>-4.22</v>
      </c>
      <c r="F142">
        <v>2284</v>
      </c>
      <c r="G142">
        <v>819</v>
      </c>
      <c r="H142">
        <v>1913</v>
      </c>
      <c r="I142">
        <v>440</v>
      </c>
      <c r="J142">
        <v>651</v>
      </c>
      <c r="K142">
        <v>441</v>
      </c>
      <c r="L142">
        <v>1235</v>
      </c>
      <c r="M142">
        <v>461</v>
      </c>
      <c r="N142">
        <v>292</v>
      </c>
      <c r="O142">
        <v>104</v>
      </c>
      <c r="P142">
        <v>528</v>
      </c>
      <c r="Q142">
        <v>644</v>
      </c>
      <c r="R142">
        <v>141</v>
      </c>
    </row>
    <row r="143" spans="1:18">
      <c r="A143" s="1" t="s">
        <v>320</v>
      </c>
      <c r="B143">
        <v>28</v>
      </c>
      <c r="C143">
        <v>7</v>
      </c>
      <c r="D143">
        <v>21</v>
      </c>
      <c r="E143">
        <v>-4.5199999999999996</v>
      </c>
      <c r="F143">
        <v>1945</v>
      </c>
      <c r="G143">
        <v>683</v>
      </c>
      <c r="H143">
        <v>1528</v>
      </c>
      <c r="I143">
        <v>410</v>
      </c>
      <c r="J143">
        <v>635</v>
      </c>
      <c r="K143">
        <v>296</v>
      </c>
      <c r="L143">
        <v>932</v>
      </c>
      <c r="M143">
        <v>331</v>
      </c>
      <c r="N143">
        <v>182</v>
      </c>
      <c r="O143">
        <v>92</v>
      </c>
      <c r="P143">
        <v>448</v>
      </c>
      <c r="Q143">
        <v>538</v>
      </c>
      <c r="R143">
        <v>142</v>
      </c>
    </row>
    <row r="144" spans="1:18">
      <c r="A144" s="1" t="s">
        <v>126</v>
      </c>
      <c r="B144">
        <v>27</v>
      </c>
      <c r="C144">
        <v>6</v>
      </c>
      <c r="D144">
        <v>21</v>
      </c>
      <c r="E144">
        <v>-0.6</v>
      </c>
      <c r="F144">
        <v>1698</v>
      </c>
      <c r="G144">
        <v>606</v>
      </c>
      <c r="H144">
        <v>1461</v>
      </c>
      <c r="I144">
        <v>348</v>
      </c>
      <c r="J144">
        <v>532</v>
      </c>
      <c r="K144">
        <v>316</v>
      </c>
      <c r="L144">
        <v>874</v>
      </c>
      <c r="M144">
        <v>334</v>
      </c>
      <c r="N144">
        <v>131</v>
      </c>
      <c r="O144">
        <v>76</v>
      </c>
      <c r="P144">
        <v>424</v>
      </c>
      <c r="Q144">
        <v>514</v>
      </c>
      <c r="R144">
        <v>143</v>
      </c>
    </row>
    <row r="145" spans="1:18">
      <c r="A145" s="1" t="s">
        <v>127</v>
      </c>
      <c r="B145">
        <v>27</v>
      </c>
      <c r="C145">
        <v>8</v>
      </c>
      <c r="D145">
        <v>19</v>
      </c>
      <c r="E145">
        <v>-8.11</v>
      </c>
      <c r="F145">
        <v>1871</v>
      </c>
      <c r="G145">
        <v>653</v>
      </c>
      <c r="H145">
        <v>1531</v>
      </c>
      <c r="I145">
        <v>399</v>
      </c>
      <c r="J145">
        <v>608</v>
      </c>
      <c r="K145">
        <v>317</v>
      </c>
      <c r="L145">
        <v>1017</v>
      </c>
      <c r="M145">
        <v>353</v>
      </c>
      <c r="N145">
        <v>158</v>
      </c>
      <c r="O145">
        <v>90</v>
      </c>
      <c r="P145">
        <v>484</v>
      </c>
      <c r="Q145">
        <v>517</v>
      </c>
      <c r="R145">
        <v>144</v>
      </c>
    </row>
    <row r="146" spans="1:18">
      <c r="A146" s="1" t="s">
        <v>281</v>
      </c>
      <c r="B146">
        <v>29</v>
      </c>
      <c r="C146">
        <v>20</v>
      </c>
      <c r="D146">
        <v>9</v>
      </c>
      <c r="E146">
        <v>0.42</v>
      </c>
      <c r="F146">
        <v>2234</v>
      </c>
      <c r="G146">
        <v>797</v>
      </c>
      <c r="H146">
        <v>1715</v>
      </c>
      <c r="I146">
        <v>403</v>
      </c>
      <c r="J146">
        <v>585</v>
      </c>
      <c r="K146">
        <v>341</v>
      </c>
      <c r="L146">
        <v>988</v>
      </c>
      <c r="M146">
        <v>474</v>
      </c>
      <c r="N146">
        <v>260</v>
      </c>
      <c r="O146">
        <v>62</v>
      </c>
      <c r="P146">
        <v>419</v>
      </c>
      <c r="Q146">
        <v>538</v>
      </c>
      <c r="R146">
        <v>145</v>
      </c>
    </row>
    <row r="147" spans="1:18">
      <c r="A147" s="1" t="s">
        <v>128</v>
      </c>
      <c r="B147">
        <v>31</v>
      </c>
      <c r="C147">
        <v>12</v>
      </c>
      <c r="D147">
        <v>19</v>
      </c>
      <c r="E147">
        <v>-4.01</v>
      </c>
      <c r="F147">
        <v>2117</v>
      </c>
      <c r="G147">
        <v>761</v>
      </c>
      <c r="H147">
        <v>1840</v>
      </c>
      <c r="I147">
        <v>408</v>
      </c>
      <c r="J147">
        <v>630</v>
      </c>
      <c r="K147">
        <v>410</v>
      </c>
      <c r="L147">
        <v>1132</v>
      </c>
      <c r="M147">
        <v>388</v>
      </c>
      <c r="N147">
        <v>246</v>
      </c>
      <c r="O147">
        <v>102</v>
      </c>
      <c r="P147">
        <v>565</v>
      </c>
      <c r="Q147">
        <v>650</v>
      </c>
      <c r="R147">
        <v>146</v>
      </c>
    </row>
    <row r="148" spans="1:18">
      <c r="A148" s="1" t="s">
        <v>282</v>
      </c>
      <c r="B148">
        <v>29</v>
      </c>
      <c r="C148">
        <v>18</v>
      </c>
      <c r="D148">
        <v>11</v>
      </c>
      <c r="E148">
        <v>6.59</v>
      </c>
      <c r="F148">
        <v>1924</v>
      </c>
      <c r="G148">
        <v>656</v>
      </c>
      <c r="H148">
        <v>1487</v>
      </c>
      <c r="I148">
        <v>444</v>
      </c>
      <c r="J148">
        <v>678</v>
      </c>
      <c r="K148">
        <v>337</v>
      </c>
      <c r="L148">
        <v>1065</v>
      </c>
      <c r="M148">
        <v>346</v>
      </c>
      <c r="N148">
        <v>176</v>
      </c>
      <c r="O148">
        <v>122</v>
      </c>
      <c r="P148">
        <v>426</v>
      </c>
      <c r="Q148">
        <v>460</v>
      </c>
      <c r="R148">
        <v>147</v>
      </c>
    </row>
    <row r="149" spans="1:18">
      <c r="A149" s="1" t="s">
        <v>129</v>
      </c>
      <c r="B149">
        <v>30</v>
      </c>
      <c r="C149">
        <v>15</v>
      </c>
      <c r="D149">
        <v>15</v>
      </c>
      <c r="E149">
        <v>2.5499999999999998</v>
      </c>
      <c r="F149">
        <v>2011</v>
      </c>
      <c r="G149">
        <v>723</v>
      </c>
      <c r="H149">
        <v>1676</v>
      </c>
      <c r="I149">
        <v>423</v>
      </c>
      <c r="J149">
        <v>641</v>
      </c>
      <c r="K149">
        <v>413</v>
      </c>
      <c r="L149">
        <v>1180</v>
      </c>
      <c r="M149">
        <v>333</v>
      </c>
      <c r="N149">
        <v>173</v>
      </c>
      <c r="O149">
        <v>88</v>
      </c>
      <c r="P149">
        <v>495</v>
      </c>
      <c r="Q149">
        <v>513</v>
      </c>
      <c r="R149">
        <v>148</v>
      </c>
    </row>
    <row r="150" spans="1:18">
      <c r="A150" s="1" t="s">
        <v>283</v>
      </c>
      <c r="B150">
        <v>30</v>
      </c>
      <c r="C150">
        <v>20</v>
      </c>
      <c r="D150">
        <v>10</v>
      </c>
      <c r="E150">
        <v>6.97</v>
      </c>
      <c r="F150">
        <v>2195</v>
      </c>
      <c r="G150">
        <v>737</v>
      </c>
      <c r="H150">
        <v>1757</v>
      </c>
      <c r="I150">
        <v>480</v>
      </c>
      <c r="J150">
        <v>641</v>
      </c>
      <c r="K150">
        <v>351</v>
      </c>
      <c r="L150">
        <v>1126</v>
      </c>
      <c r="M150">
        <v>460</v>
      </c>
      <c r="N150">
        <v>249</v>
      </c>
      <c r="O150">
        <v>151</v>
      </c>
      <c r="P150">
        <v>413</v>
      </c>
      <c r="Q150">
        <v>616</v>
      </c>
      <c r="R150">
        <v>149</v>
      </c>
    </row>
    <row r="151" spans="1:18">
      <c r="A151" s="1" t="s">
        <v>130</v>
      </c>
      <c r="B151">
        <v>29</v>
      </c>
      <c r="C151">
        <v>9</v>
      </c>
      <c r="D151">
        <v>20</v>
      </c>
      <c r="E151">
        <v>1.17</v>
      </c>
      <c r="F151">
        <v>2033</v>
      </c>
      <c r="G151">
        <v>742</v>
      </c>
      <c r="H151">
        <v>1701</v>
      </c>
      <c r="I151">
        <v>413</v>
      </c>
      <c r="J151">
        <v>634</v>
      </c>
      <c r="K151">
        <v>364</v>
      </c>
      <c r="L151">
        <v>1051</v>
      </c>
      <c r="M151">
        <v>374</v>
      </c>
      <c r="N151">
        <v>225</v>
      </c>
      <c r="O151">
        <v>127</v>
      </c>
      <c r="P151">
        <v>456</v>
      </c>
      <c r="Q151">
        <v>562</v>
      </c>
      <c r="R151">
        <v>150</v>
      </c>
    </row>
    <row r="152" spans="1:18">
      <c r="A152" s="1" t="s">
        <v>131</v>
      </c>
      <c r="B152">
        <v>29</v>
      </c>
      <c r="C152">
        <v>15</v>
      </c>
      <c r="D152">
        <v>14</v>
      </c>
      <c r="E152">
        <v>0.04</v>
      </c>
      <c r="F152">
        <v>1962</v>
      </c>
      <c r="G152">
        <v>748</v>
      </c>
      <c r="H152">
        <v>1700</v>
      </c>
      <c r="I152">
        <v>350</v>
      </c>
      <c r="J152">
        <v>507</v>
      </c>
      <c r="K152">
        <v>341</v>
      </c>
      <c r="L152">
        <v>995</v>
      </c>
      <c r="M152">
        <v>422</v>
      </c>
      <c r="N152">
        <v>208</v>
      </c>
      <c r="O152">
        <v>118</v>
      </c>
      <c r="P152">
        <v>431</v>
      </c>
      <c r="Q152">
        <v>565</v>
      </c>
      <c r="R152">
        <v>151</v>
      </c>
    </row>
    <row r="153" spans="1:18">
      <c r="A153" s="1" t="s">
        <v>132</v>
      </c>
      <c r="B153">
        <v>28</v>
      </c>
      <c r="C153">
        <v>1</v>
      </c>
      <c r="D153">
        <v>27</v>
      </c>
      <c r="E153">
        <v>-4.12</v>
      </c>
      <c r="F153">
        <v>1678</v>
      </c>
      <c r="G153">
        <v>585</v>
      </c>
      <c r="H153">
        <v>1548</v>
      </c>
      <c r="I153">
        <v>320</v>
      </c>
      <c r="J153">
        <v>485</v>
      </c>
      <c r="K153">
        <v>306</v>
      </c>
      <c r="L153">
        <v>935</v>
      </c>
      <c r="M153">
        <v>332</v>
      </c>
      <c r="N153">
        <v>148</v>
      </c>
      <c r="O153">
        <v>76</v>
      </c>
      <c r="P153">
        <v>442</v>
      </c>
      <c r="Q153">
        <v>495</v>
      </c>
      <c r="R153">
        <v>152</v>
      </c>
    </row>
    <row r="154" spans="1:18">
      <c r="A154" s="1" t="s">
        <v>133</v>
      </c>
      <c r="B154">
        <v>30</v>
      </c>
      <c r="C154">
        <v>20</v>
      </c>
      <c r="D154">
        <v>10</v>
      </c>
      <c r="E154">
        <v>-8.39</v>
      </c>
      <c r="F154">
        <v>2056</v>
      </c>
      <c r="G154">
        <v>692</v>
      </c>
      <c r="H154">
        <v>1563</v>
      </c>
      <c r="I154">
        <v>458</v>
      </c>
      <c r="J154">
        <v>641</v>
      </c>
      <c r="K154">
        <v>279</v>
      </c>
      <c r="L154">
        <v>1088</v>
      </c>
      <c r="M154">
        <v>399</v>
      </c>
      <c r="N154">
        <v>212</v>
      </c>
      <c r="O154">
        <v>117</v>
      </c>
      <c r="P154">
        <v>452</v>
      </c>
      <c r="Q154">
        <v>505</v>
      </c>
      <c r="R154">
        <v>153</v>
      </c>
    </row>
    <row r="155" spans="1:18">
      <c r="A155" s="1" t="s">
        <v>134</v>
      </c>
      <c r="B155">
        <v>31</v>
      </c>
      <c r="C155">
        <v>25</v>
      </c>
      <c r="D155">
        <v>6</v>
      </c>
      <c r="E155">
        <v>-1.26</v>
      </c>
      <c r="F155">
        <v>2311</v>
      </c>
      <c r="G155">
        <v>762</v>
      </c>
      <c r="H155">
        <v>1724</v>
      </c>
      <c r="I155">
        <v>607</v>
      </c>
      <c r="J155">
        <v>798</v>
      </c>
      <c r="K155">
        <v>374</v>
      </c>
      <c r="L155">
        <v>1079</v>
      </c>
      <c r="M155">
        <v>338</v>
      </c>
      <c r="N155">
        <v>287</v>
      </c>
      <c r="O155">
        <v>128</v>
      </c>
      <c r="P155">
        <v>395</v>
      </c>
      <c r="Q155">
        <v>636</v>
      </c>
      <c r="R155">
        <v>154</v>
      </c>
    </row>
    <row r="156" spans="1:18">
      <c r="A156" s="1" t="s">
        <v>135</v>
      </c>
      <c r="B156">
        <v>28</v>
      </c>
      <c r="C156">
        <v>6</v>
      </c>
      <c r="D156">
        <v>22</v>
      </c>
      <c r="E156">
        <v>-2.69</v>
      </c>
      <c r="F156">
        <v>1722</v>
      </c>
      <c r="G156">
        <v>638</v>
      </c>
      <c r="H156">
        <v>1625</v>
      </c>
      <c r="I156">
        <v>283</v>
      </c>
      <c r="J156">
        <v>435</v>
      </c>
      <c r="K156">
        <v>332</v>
      </c>
      <c r="L156">
        <v>964</v>
      </c>
      <c r="M156">
        <v>382</v>
      </c>
      <c r="N156">
        <v>191</v>
      </c>
      <c r="O156">
        <v>80</v>
      </c>
      <c r="P156">
        <v>393</v>
      </c>
      <c r="Q156">
        <v>487</v>
      </c>
      <c r="R156">
        <v>155</v>
      </c>
    </row>
    <row r="157" spans="1:18">
      <c r="A157" s="1" t="s">
        <v>136</v>
      </c>
      <c r="B157">
        <v>31</v>
      </c>
      <c r="C157">
        <v>19</v>
      </c>
      <c r="D157">
        <v>12</v>
      </c>
      <c r="E157">
        <v>4.12</v>
      </c>
      <c r="F157">
        <v>2207</v>
      </c>
      <c r="G157">
        <v>733</v>
      </c>
      <c r="H157">
        <v>1714</v>
      </c>
      <c r="I157">
        <v>510</v>
      </c>
      <c r="J157">
        <v>683</v>
      </c>
      <c r="K157">
        <v>397</v>
      </c>
      <c r="L157">
        <v>1109</v>
      </c>
      <c r="M157">
        <v>397</v>
      </c>
      <c r="N157">
        <v>178</v>
      </c>
      <c r="O157">
        <v>76</v>
      </c>
      <c r="P157">
        <v>448</v>
      </c>
      <c r="Q157">
        <v>603</v>
      </c>
      <c r="R157">
        <v>156</v>
      </c>
    </row>
    <row r="158" spans="1:18">
      <c r="A158" s="1" t="s">
        <v>137</v>
      </c>
      <c r="B158">
        <v>29</v>
      </c>
      <c r="C158">
        <v>12</v>
      </c>
      <c r="D158">
        <v>17</v>
      </c>
      <c r="E158">
        <v>2.23</v>
      </c>
      <c r="F158">
        <v>2022</v>
      </c>
      <c r="G158">
        <v>680</v>
      </c>
      <c r="H158">
        <v>1590</v>
      </c>
      <c r="I158">
        <v>486</v>
      </c>
      <c r="J158">
        <v>700</v>
      </c>
      <c r="K158">
        <v>364</v>
      </c>
      <c r="L158">
        <v>1062</v>
      </c>
      <c r="M158">
        <v>370</v>
      </c>
      <c r="N158">
        <v>172</v>
      </c>
      <c r="O158">
        <v>83</v>
      </c>
      <c r="P158">
        <v>492</v>
      </c>
      <c r="Q158">
        <v>581</v>
      </c>
      <c r="R158">
        <v>157</v>
      </c>
    </row>
    <row r="159" spans="1:18">
      <c r="A159" s="1" t="s">
        <v>138</v>
      </c>
      <c r="B159">
        <v>28</v>
      </c>
      <c r="C159">
        <v>7</v>
      </c>
      <c r="D159">
        <v>21</v>
      </c>
      <c r="E159">
        <v>-6.61</v>
      </c>
      <c r="F159">
        <v>1684</v>
      </c>
      <c r="G159">
        <v>634</v>
      </c>
      <c r="H159">
        <v>1536</v>
      </c>
      <c r="I159">
        <v>303</v>
      </c>
      <c r="J159">
        <v>484</v>
      </c>
      <c r="K159">
        <v>346</v>
      </c>
      <c r="L159">
        <v>962</v>
      </c>
      <c r="M159">
        <v>364</v>
      </c>
      <c r="N159">
        <v>194</v>
      </c>
      <c r="O159">
        <v>99</v>
      </c>
      <c r="P159">
        <v>398</v>
      </c>
      <c r="Q159">
        <v>555</v>
      </c>
      <c r="R159">
        <v>158</v>
      </c>
    </row>
    <row r="160" spans="1:18">
      <c r="A160" s="1" t="s">
        <v>139</v>
      </c>
      <c r="B160">
        <v>29</v>
      </c>
      <c r="C160">
        <v>8</v>
      </c>
      <c r="D160">
        <v>21</v>
      </c>
      <c r="E160">
        <v>-10.1</v>
      </c>
      <c r="F160">
        <v>1704</v>
      </c>
      <c r="G160">
        <v>574</v>
      </c>
      <c r="H160">
        <v>1502</v>
      </c>
      <c r="I160">
        <v>386</v>
      </c>
      <c r="J160">
        <v>552</v>
      </c>
      <c r="K160">
        <v>307</v>
      </c>
      <c r="L160">
        <v>932</v>
      </c>
      <c r="M160">
        <v>232</v>
      </c>
      <c r="N160">
        <v>153</v>
      </c>
      <c r="O160">
        <v>65</v>
      </c>
      <c r="P160">
        <v>440</v>
      </c>
      <c r="Q160">
        <v>587</v>
      </c>
      <c r="R160">
        <v>159</v>
      </c>
    </row>
    <row r="161" spans="1:18">
      <c r="A161" s="1" t="s">
        <v>332</v>
      </c>
      <c r="B161">
        <v>32</v>
      </c>
      <c r="C161">
        <v>20</v>
      </c>
      <c r="D161">
        <v>12</v>
      </c>
      <c r="E161">
        <v>11.68</v>
      </c>
      <c r="F161">
        <v>2477</v>
      </c>
      <c r="G161">
        <v>891</v>
      </c>
      <c r="H161">
        <v>2021</v>
      </c>
      <c r="I161">
        <v>530</v>
      </c>
      <c r="J161">
        <v>840</v>
      </c>
      <c r="K161">
        <v>485</v>
      </c>
      <c r="L161">
        <v>1322</v>
      </c>
      <c r="M161">
        <v>451</v>
      </c>
      <c r="N161">
        <v>274</v>
      </c>
      <c r="O161">
        <v>215</v>
      </c>
      <c r="P161">
        <v>485</v>
      </c>
      <c r="Q161">
        <v>631</v>
      </c>
      <c r="R161">
        <v>160</v>
      </c>
    </row>
    <row r="162" spans="1:18">
      <c r="A162" s="1" t="s">
        <v>140</v>
      </c>
      <c r="B162">
        <v>29</v>
      </c>
      <c r="C162">
        <v>10</v>
      </c>
      <c r="D162">
        <v>19</v>
      </c>
      <c r="E162">
        <v>2.59</v>
      </c>
      <c r="F162">
        <v>1975</v>
      </c>
      <c r="G162">
        <v>722</v>
      </c>
      <c r="H162">
        <v>1655</v>
      </c>
      <c r="I162">
        <v>339</v>
      </c>
      <c r="J162">
        <v>536</v>
      </c>
      <c r="K162">
        <v>361</v>
      </c>
      <c r="L162">
        <v>1025</v>
      </c>
      <c r="M162">
        <v>446</v>
      </c>
      <c r="N162">
        <v>176</v>
      </c>
      <c r="O162">
        <v>155</v>
      </c>
      <c r="P162">
        <v>444</v>
      </c>
      <c r="Q162">
        <v>477</v>
      </c>
      <c r="R162">
        <v>161</v>
      </c>
    </row>
    <row r="163" spans="1:18">
      <c r="A163" s="1" t="s">
        <v>141</v>
      </c>
      <c r="B163">
        <v>27</v>
      </c>
      <c r="C163">
        <v>11</v>
      </c>
      <c r="D163">
        <v>16</v>
      </c>
      <c r="E163">
        <v>-4.66</v>
      </c>
      <c r="F163">
        <v>2000</v>
      </c>
      <c r="G163">
        <v>688</v>
      </c>
      <c r="H163">
        <v>1577</v>
      </c>
      <c r="I163">
        <v>472</v>
      </c>
      <c r="J163">
        <v>659</v>
      </c>
      <c r="K163">
        <v>366</v>
      </c>
      <c r="L163">
        <v>969</v>
      </c>
      <c r="M163">
        <v>338</v>
      </c>
      <c r="N163">
        <v>214</v>
      </c>
      <c r="O163">
        <v>108</v>
      </c>
      <c r="P163">
        <v>498</v>
      </c>
      <c r="Q163">
        <v>675</v>
      </c>
      <c r="R163">
        <v>162</v>
      </c>
    </row>
    <row r="164" spans="1:18">
      <c r="A164" s="1" t="s">
        <v>142</v>
      </c>
      <c r="B164">
        <v>30</v>
      </c>
      <c r="C164">
        <v>22</v>
      </c>
      <c r="D164">
        <v>8</v>
      </c>
      <c r="E164">
        <v>5.96</v>
      </c>
      <c r="F164">
        <v>2172</v>
      </c>
      <c r="G164">
        <v>736</v>
      </c>
      <c r="H164">
        <v>1751</v>
      </c>
      <c r="I164">
        <v>441</v>
      </c>
      <c r="J164">
        <v>671</v>
      </c>
      <c r="K164">
        <v>402</v>
      </c>
      <c r="L164">
        <v>1139</v>
      </c>
      <c r="M164">
        <v>425</v>
      </c>
      <c r="N164">
        <v>218</v>
      </c>
      <c r="O164">
        <v>150</v>
      </c>
      <c r="P164">
        <v>383</v>
      </c>
      <c r="Q164">
        <v>543</v>
      </c>
      <c r="R164">
        <v>163</v>
      </c>
    </row>
    <row r="165" spans="1:18">
      <c r="A165" s="1" t="s">
        <v>143</v>
      </c>
      <c r="B165">
        <v>30</v>
      </c>
      <c r="C165">
        <v>12</v>
      </c>
      <c r="D165">
        <v>18</v>
      </c>
      <c r="E165">
        <v>-3.11</v>
      </c>
      <c r="F165">
        <v>2153</v>
      </c>
      <c r="G165">
        <v>751</v>
      </c>
      <c r="H165">
        <v>1735</v>
      </c>
      <c r="I165">
        <v>424</v>
      </c>
      <c r="J165">
        <v>614</v>
      </c>
      <c r="K165">
        <v>400</v>
      </c>
      <c r="L165">
        <v>1105</v>
      </c>
      <c r="M165">
        <v>409</v>
      </c>
      <c r="N165">
        <v>177</v>
      </c>
      <c r="O165">
        <v>98</v>
      </c>
      <c r="P165">
        <v>510</v>
      </c>
      <c r="Q165">
        <v>529</v>
      </c>
      <c r="R165">
        <v>164</v>
      </c>
    </row>
    <row r="166" spans="1:18">
      <c r="A166" s="1" t="s">
        <v>284</v>
      </c>
      <c r="B166">
        <v>30</v>
      </c>
      <c r="C166">
        <v>14</v>
      </c>
      <c r="D166">
        <v>16</v>
      </c>
      <c r="E166">
        <v>3.27</v>
      </c>
      <c r="F166">
        <v>2148</v>
      </c>
      <c r="G166">
        <v>793</v>
      </c>
      <c r="H166">
        <v>1765</v>
      </c>
      <c r="I166">
        <v>385</v>
      </c>
      <c r="J166">
        <v>546</v>
      </c>
      <c r="K166">
        <v>387</v>
      </c>
      <c r="L166">
        <v>1060</v>
      </c>
      <c r="M166">
        <v>406</v>
      </c>
      <c r="N166">
        <v>256</v>
      </c>
      <c r="O166">
        <v>105</v>
      </c>
      <c r="P166">
        <v>462</v>
      </c>
      <c r="Q166">
        <v>572</v>
      </c>
      <c r="R166">
        <v>165</v>
      </c>
    </row>
    <row r="167" spans="1:18">
      <c r="A167" s="1" t="s">
        <v>144</v>
      </c>
      <c r="B167">
        <v>29</v>
      </c>
      <c r="C167">
        <v>18</v>
      </c>
      <c r="D167">
        <v>11</v>
      </c>
      <c r="E167">
        <v>1.6</v>
      </c>
      <c r="F167">
        <v>1823</v>
      </c>
      <c r="G167">
        <v>599</v>
      </c>
      <c r="H167">
        <v>1482</v>
      </c>
      <c r="I167">
        <v>438</v>
      </c>
      <c r="J167">
        <v>624</v>
      </c>
      <c r="K167">
        <v>335</v>
      </c>
      <c r="L167">
        <v>950</v>
      </c>
      <c r="M167">
        <v>353</v>
      </c>
      <c r="N167">
        <v>180</v>
      </c>
      <c r="O167">
        <v>48</v>
      </c>
      <c r="P167">
        <v>357</v>
      </c>
      <c r="Q167">
        <v>583</v>
      </c>
      <c r="R167">
        <v>166</v>
      </c>
    </row>
    <row r="168" spans="1:18">
      <c r="A168" s="1" t="s">
        <v>377</v>
      </c>
      <c r="B168">
        <v>30</v>
      </c>
      <c r="C168">
        <v>18</v>
      </c>
      <c r="D168">
        <v>12</v>
      </c>
      <c r="E168">
        <v>8.3800000000000008</v>
      </c>
      <c r="F168">
        <v>2138</v>
      </c>
      <c r="G168">
        <v>748</v>
      </c>
      <c r="H168">
        <v>1519</v>
      </c>
      <c r="I168">
        <v>452</v>
      </c>
      <c r="J168">
        <v>586</v>
      </c>
      <c r="K168">
        <v>270</v>
      </c>
      <c r="L168">
        <v>910</v>
      </c>
      <c r="M168">
        <v>441</v>
      </c>
      <c r="N168">
        <v>214</v>
      </c>
      <c r="O168">
        <v>54</v>
      </c>
      <c r="P168">
        <v>438</v>
      </c>
      <c r="Q168">
        <v>630</v>
      </c>
      <c r="R168">
        <v>167</v>
      </c>
    </row>
    <row r="169" spans="1:18">
      <c r="A169" s="1" t="s">
        <v>145</v>
      </c>
      <c r="B169">
        <v>34</v>
      </c>
      <c r="C169">
        <v>23</v>
      </c>
      <c r="D169">
        <v>11</v>
      </c>
      <c r="E169">
        <v>6.16</v>
      </c>
      <c r="F169">
        <v>2341</v>
      </c>
      <c r="G169">
        <v>823</v>
      </c>
      <c r="H169">
        <v>1831</v>
      </c>
      <c r="I169">
        <v>503</v>
      </c>
      <c r="J169">
        <v>723</v>
      </c>
      <c r="K169">
        <v>398</v>
      </c>
      <c r="L169">
        <v>1219</v>
      </c>
      <c r="M169">
        <v>445</v>
      </c>
      <c r="N169">
        <v>259</v>
      </c>
      <c r="O169">
        <v>158</v>
      </c>
      <c r="P169">
        <v>507</v>
      </c>
      <c r="Q169">
        <v>586</v>
      </c>
      <c r="R169">
        <v>168</v>
      </c>
    </row>
    <row r="170" spans="1:18">
      <c r="A170" s="1" t="s">
        <v>146</v>
      </c>
      <c r="B170">
        <v>29</v>
      </c>
      <c r="C170">
        <v>17</v>
      </c>
      <c r="D170">
        <v>12</v>
      </c>
      <c r="E170">
        <v>-1.71</v>
      </c>
      <c r="F170">
        <v>2034</v>
      </c>
      <c r="G170">
        <v>694</v>
      </c>
      <c r="H170">
        <v>1577</v>
      </c>
      <c r="I170">
        <v>464</v>
      </c>
      <c r="J170">
        <v>677</v>
      </c>
      <c r="K170">
        <v>322</v>
      </c>
      <c r="L170">
        <v>1014</v>
      </c>
      <c r="M170">
        <v>329</v>
      </c>
      <c r="N170">
        <v>185</v>
      </c>
      <c r="O170">
        <v>73</v>
      </c>
      <c r="P170">
        <v>401</v>
      </c>
      <c r="Q170">
        <v>601</v>
      </c>
      <c r="R170">
        <v>169</v>
      </c>
    </row>
    <row r="171" spans="1:18">
      <c r="A171" s="1" t="s">
        <v>147</v>
      </c>
      <c r="B171">
        <v>31</v>
      </c>
      <c r="C171">
        <v>20</v>
      </c>
      <c r="D171">
        <v>11</v>
      </c>
      <c r="E171">
        <v>1.26</v>
      </c>
      <c r="F171">
        <v>2395</v>
      </c>
      <c r="G171">
        <v>838</v>
      </c>
      <c r="H171">
        <v>1757</v>
      </c>
      <c r="I171">
        <v>505</v>
      </c>
      <c r="J171">
        <v>716</v>
      </c>
      <c r="K171">
        <v>381</v>
      </c>
      <c r="L171">
        <v>1107</v>
      </c>
      <c r="M171">
        <v>521</v>
      </c>
      <c r="N171">
        <v>197</v>
      </c>
      <c r="O171">
        <v>118</v>
      </c>
      <c r="P171">
        <v>481</v>
      </c>
      <c r="Q171">
        <v>649</v>
      </c>
      <c r="R171">
        <v>170</v>
      </c>
    </row>
    <row r="172" spans="1:18">
      <c r="A172" s="1" t="s">
        <v>148</v>
      </c>
      <c r="B172">
        <v>30</v>
      </c>
      <c r="C172">
        <v>12</v>
      </c>
      <c r="D172">
        <v>18</v>
      </c>
      <c r="E172">
        <v>5.36</v>
      </c>
      <c r="F172">
        <v>2102</v>
      </c>
      <c r="G172">
        <v>754</v>
      </c>
      <c r="H172">
        <v>1759</v>
      </c>
      <c r="I172">
        <v>425</v>
      </c>
      <c r="J172">
        <v>595</v>
      </c>
      <c r="K172">
        <v>402</v>
      </c>
      <c r="L172">
        <v>1088</v>
      </c>
      <c r="M172">
        <v>450</v>
      </c>
      <c r="N172">
        <v>206</v>
      </c>
      <c r="O172">
        <v>140</v>
      </c>
      <c r="P172">
        <v>413</v>
      </c>
      <c r="Q172">
        <v>555</v>
      </c>
      <c r="R172">
        <v>171</v>
      </c>
    </row>
    <row r="173" spans="1:18">
      <c r="A173" s="1" t="s">
        <v>149</v>
      </c>
      <c r="B173">
        <v>30</v>
      </c>
      <c r="C173">
        <v>26</v>
      </c>
      <c r="D173">
        <v>4</v>
      </c>
      <c r="E173">
        <v>6.08</v>
      </c>
      <c r="F173">
        <v>2318</v>
      </c>
      <c r="G173">
        <v>822</v>
      </c>
      <c r="H173">
        <v>1766</v>
      </c>
      <c r="I173">
        <v>476</v>
      </c>
      <c r="J173">
        <v>717</v>
      </c>
      <c r="K173">
        <v>444</v>
      </c>
      <c r="L173">
        <v>1231</v>
      </c>
      <c r="M173">
        <v>416</v>
      </c>
      <c r="N173">
        <v>280</v>
      </c>
      <c r="O173">
        <v>132</v>
      </c>
      <c r="P173">
        <v>458</v>
      </c>
      <c r="Q173">
        <v>489</v>
      </c>
      <c r="R173">
        <v>172</v>
      </c>
    </row>
    <row r="174" spans="1:18">
      <c r="A174" s="1" t="s">
        <v>150</v>
      </c>
      <c r="B174">
        <v>29</v>
      </c>
      <c r="C174">
        <v>22</v>
      </c>
      <c r="D174">
        <v>7</v>
      </c>
      <c r="E174">
        <v>-12.91</v>
      </c>
      <c r="F174">
        <v>1979</v>
      </c>
      <c r="G174">
        <v>709</v>
      </c>
      <c r="H174">
        <v>1809</v>
      </c>
      <c r="I174">
        <v>343</v>
      </c>
      <c r="J174">
        <v>536</v>
      </c>
      <c r="K174">
        <v>498</v>
      </c>
      <c r="L174">
        <v>1155</v>
      </c>
      <c r="M174">
        <v>362</v>
      </c>
      <c r="N174">
        <v>302</v>
      </c>
      <c r="O174">
        <v>97</v>
      </c>
      <c r="P174">
        <v>368</v>
      </c>
      <c r="Q174">
        <v>549</v>
      </c>
      <c r="R174">
        <v>173</v>
      </c>
    </row>
    <row r="175" spans="1:18">
      <c r="A175" s="1" t="s">
        <v>151</v>
      </c>
      <c r="B175">
        <v>28</v>
      </c>
      <c r="C175">
        <v>13</v>
      </c>
      <c r="D175">
        <v>15</v>
      </c>
      <c r="E175">
        <v>6.36</v>
      </c>
      <c r="F175">
        <v>1770</v>
      </c>
      <c r="G175">
        <v>642</v>
      </c>
      <c r="H175">
        <v>1476</v>
      </c>
      <c r="I175">
        <v>320</v>
      </c>
      <c r="J175">
        <v>492</v>
      </c>
      <c r="K175">
        <v>264</v>
      </c>
      <c r="L175">
        <v>849</v>
      </c>
      <c r="M175">
        <v>374</v>
      </c>
      <c r="N175">
        <v>194</v>
      </c>
      <c r="O175">
        <v>60</v>
      </c>
      <c r="P175">
        <v>368</v>
      </c>
      <c r="Q175">
        <v>603</v>
      </c>
      <c r="R175">
        <v>174</v>
      </c>
    </row>
    <row r="176" spans="1:18">
      <c r="A176" s="1" t="s">
        <v>152</v>
      </c>
      <c r="B176">
        <v>29</v>
      </c>
      <c r="C176">
        <v>15</v>
      </c>
      <c r="D176">
        <v>14</v>
      </c>
      <c r="E176">
        <v>-3.45</v>
      </c>
      <c r="F176">
        <v>2145</v>
      </c>
      <c r="G176">
        <v>721</v>
      </c>
      <c r="H176">
        <v>1689</v>
      </c>
      <c r="I176">
        <v>450</v>
      </c>
      <c r="J176">
        <v>650</v>
      </c>
      <c r="K176">
        <v>339</v>
      </c>
      <c r="L176">
        <v>984</v>
      </c>
      <c r="M176">
        <v>408</v>
      </c>
      <c r="N176">
        <v>242</v>
      </c>
      <c r="O176">
        <v>82</v>
      </c>
      <c r="P176">
        <v>360</v>
      </c>
      <c r="Q176">
        <v>568</v>
      </c>
      <c r="R176">
        <v>175</v>
      </c>
    </row>
    <row r="177" spans="1:18">
      <c r="A177" s="1" t="s">
        <v>153</v>
      </c>
      <c r="B177">
        <v>33</v>
      </c>
      <c r="C177">
        <v>19</v>
      </c>
      <c r="D177">
        <v>14</v>
      </c>
      <c r="E177">
        <v>2.0099999999999998</v>
      </c>
      <c r="F177">
        <v>2209</v>
      </c>
      <c r="G177">
        <v>743</v>
      </c>
      <c r="H177">
        <v>1696</v>
      </c>
      <c r="I177">
        <v>580</v>
      </c>
      <c r="J177">
        <v>844</v>
      </c>
      <c r="K177">
        <v>407</v>
      </c>
      <c r="L177">
        <v>1215</v>
      </c>
      <c r="M177">
        <v>383</v>
      </c>
      <c r="N177">
        <v>247</v>
      </c>
      <c r="O177">
        <v>83</v>
      </c>
      <c r="P177">
        <v>489</v>
      </c>
      <c r="Q177">
        <v>672</v>
      </c>
      <c r="R177">
        <v>176</v>
      </c>
    </row>
    <row r="178" spans="1:18">
      <c r="A178" s="1" t="s">
        <v>328</v>
      </c>
      <c r="B178">
        <v>30</v>
      </c>
      <c r="C178">
        <v>16</v>
      </c>
      <c r="D178">
        <v>14</v>
      </c>
      <c r="E178">
        <v>9.0399999999999991</v>
      </c>
      <c r="F178">
        <v>2226</v>
      </c>
      <c r="G178">
        <v>777</v>
      </c>
      <c r="H178">
        <v>1743</v>
      </c>
      <c r="I178">
        <v>464</v>
      </c>
      <c r="J178">
        <v>654</v>
      </c>
      <c r="K178">
        <v>412</v>
      </c>
      <c r="L178">
        <v>1135</v>
      </c>
      <c r="M178">
        <v>418</v>
      </c>
      <c r="N178">
        <v>169</v>
      </c>
      <c r="O178">
        <v>128</v>
      </c>
      <c r="P178">
        <v>432</v>
      </c>
      <c r="Q178">
        <v>575</v>
      </c>
      <c r="R178">
        <v>177</v>
      </c>
    </row>
    <row r="179" spans="1:18">
      <c r="A179" s="1" t="s">
        <v>154</v>
      </c>
      <c r="B179">
        <v>33</v>
      </c>
      <c r="C179">
        <v>21</v>
      </c>
      <c r="D179">
        <v>12</v>
      </c>
      <c r="E179">
        <v>-5.66</v>
      </c>
      <c r="F179">
        <v>2253</v>
      </c>
      <c r="G179">
        <v>752</v>
      </c>
      <c r="H179">
        <v>1802</v>
      </c>
      <c r="I179">
        <v>513</v>
      </c>
      <c r="J179">
        <v>693</v>
      </c>
      <c r="K179">
        <v>303</v>
      </c>
      <c r="L179">
        <v>1088</v>
      </c>
      <c r="M179">
        <v>454</v>
      </c>
      <c r="N179">
        <v>252</v>
      </c>
      <c r="O179">
        <v>84</v>
      </c>
      <c r="P179">
        <v>446</v>
      </c>
      <c r="Q179">
        <v>579</v>
      </c>
      <c r="R179">
        <v>178</v>
      </c>
    </row>
    <row r="180" spans="1:18">
      <c r="A180" s="1" t="s">
        <v>155</v>
      </c>
      <c r="B180">
        <v>27</v>
      </c>
      <c r="C180">
        <v>14</v>
      </c>
      <c r="D180">
        <v>13</v>
      </c>
      <c r="E180">
        <v>-3.59</v>
      </c>
      <c r="F180">
        <v>1852</v>
      </c>
      <c r="G180">
        <v>665</v>
      </c>
      <c r="H180">
        <v>1479</v>
      </c>
      <c r="I180">
        <v>352</v>
      </c>
      <c r="J180">
        <v>551</v>
      </c>
      <c r="K180">
        <v>253</v>
      </c>
      <c r="L180">
        <v>873</v>
      </c>
      <c r="M180">
        <v>391</v>
      </c>
      <c r="N180">
        <v>191</v>
      </c>
      <c r="O180">
        <v>73</v>
      </c>
      <c r="P180">
        <v>405</v>
      </c>
      <c r="Q180">
        <v>480</v>
      </c>
      <c r="R180">
        <v>179</v>
      </c>
    </row>
    <row r="181" spans="1:18">
      <c r="A181" s="1" t="s">
        <v>156</v>
      </c>
      <c r="B181">
        <v>28</v>
      </c>
      <c r="C181">
        <v>10</v>
      </c>
      <c r="D181">
        <v>18</v>
      </c>
      <c r="E181">
        <v>-0.91</v>
      </c>
      <c r="F181">
        <v>1955</v>
      </c>
      <c r="G181">
        <v>684</v>
      </c>
      <c r="H181">
        <v>1523</v>
      </c>
      <c r="I181">
        <v>413</v>
      </c>
      <c r="J181">
        <v>588</v>
      </c>
      <c r="K181">
        <v>291</v>
      </c>
      <c r="L181">
        <v>964</v>
      </c>
      <c r="M181">
        <v>343</v>
      </c>
      <c r="N181">
        <v>179</v>
      </c>
      <c r="O181">
        <v>97</v>
      </c>
      <c r="P181">
        <v>474</v>
      </c>
      <c r="Q181">
        <v>595</v>
      </c>
      <c r="R181">
        <v>180</v>
      </c>
    </row>
    <row r="182" spans="1:18">
      <c r="A182" s="1" t="s">
        <v>157</v>
      </c>
      <c r="B182">
        <v>29</v>
      </c>
      <c r="C182">
        <v>16</v>
      </c>
      <c r="D182">
        <v>13</v>
      </c>
      <c r="E182">
        <v>-2.9</v>
      </c>
      <c r="F182">
        <v>2181</v>
      </c>
      <c r="G182">
        <v>757</v>
      </c>
      <c r="H182">
        <v>1601</v>
      </c>
      <c r="I182">
        <v>489</v>
      </c>
      <c r="J182">
        <v>655</v>
      </c>
      <c r="K182">
        <v>300</v>
      </c>
      <c r="L182">
        <v>980</v>
      </c>
      <c r="M182">
        <v>431</v>
      </c>
      <c r="N182">
        <v>202</v>
      </c>
      <c r="O182">
        <v>52</v>
      </c>
      <c r="P182">
        <v>394</v>
      </c>
      <c r="Q182">
        <v>464</v>
      </c>
      <c r="R182">
        <v>181</v>
      </c>
    </row>
    <row r="183" spans="1:18">
      <c r="A183" s="1" t="s">
        <v>158</v>
      </c>
      <c r="B183">
        <v>27</v>
      </c>
      <c r="C183">
        <v>11</v>
      </c>
      <c r="D183">
        <v>16</v>
      </c>
      <c r="E183">
        <v>-10.15</v>
      </c>
      <c r="F183">
        <v>1854</v>
      </c>
      <c r="G183">
        <v>643</v>
      </c>
      <c r="H183">
        <v>1468</v>
      </c>
      <c r="I183">
        <v>397</v>
      </c>
      <c r="J183">
        <v>640</v>
      </c>
      <c r="K183">
        <v>290</v>
      </c>
      <c r="L183">
        <v>852</v>
      </c>
      <c r="M183">
        <v>333</v>
      </c>
      <c r="N183">
        <v>206</v>
      </c>
      <c r="O183">
        <v>47</v>
      </c>
      <c r="P183">
        <v>448</v>
      </c>
      <c r="Q183">
        <v>587</v>
      </c>
      <c r="R183">
        <v>182</v>
      </c>
    </row>
    <row r="184" spans="1:18">
      <c r="A184" s="1" t="s">
        <v>159</v>
      </c>
      <c r="B184">
        <v>29</v>
      </c>
      <c r="C184">
        <v>10</v>
      </c>
      <c r="D184">
        <v>19</v>
      </c>
      <c r="E184">
        <v>-6.91</v>
      </c>
      <c r="F184">
        <v>1958</v>
      </c>
      <c r="G184">
        <v>695</v>
      </c>
      <c r="H184">
        <v>1690</v>
      </c>
      <c r="I184">
        <v>370</v>
      </c>
      <c r="J184">
        <v>537</v>
      </c>
      <c r="K184">
        <v>354</v>
      </c>
      <c r="L184">
        <v>1029</v>
      </c>
      <c r="M184">
        <v>350</v>
      </c>
      <c r="N184">
        <v>200</v>
      </c>
      <c r="O184">
        <v>56</v>
      </c>
      <c r="P184">
        <v>412</v>
      </c>
      <c r="Q184">
        <v>603</v>
      </c>
      <c r="R184">
        <v>183</v>
      </c>
    </row>
    <row r="185" spans="1:18">
      <c r="A185" s="1" t="s">
        <v>160</v>
      </c>
      <c r="B185">
        <v>34</v>
      </c>
      <c r="C185">
        <v>28</v>
      </c>
      <c r="D185">
        <v>6</v>
      </c>
      <c r="E185">
        <v>-3.2</v>
      </c>
      <c r="F185">
        <v>2730</v>
      </c>
      <c r="G185">
        <v>994</v>
      </c>
      <c r="H185">
        <v>2009</v>
      </c>
      <c r="I185">
        <v>518</v>
      </c>
      <c r="J185">
        <v>730</v>
      </c>
      <c r="K185">
        <v>416</v>
      </c>
      <c r="L185">
        <v>1261</v>
      </c>
      <c r="M185">
        <v>636</v>
      </c>
      <c r="N185">
        <v>271</v>
      </c>
      <c r="O185">
        <v>146</v>
      </c>
      <c r="P185">
        <v>476</v>
      </c>
      <c r="Q185">
        <v>615</v>
      </c>
      <c r="R185">
        <v>184</v>
      </c>
    </row>
    <row r="186" spans="1:18">
      <c r="A186" s="1" t="s">
        <v>161</v>
      </c>
      <c r="B186">
        <v>28</v>
      </c>
      <c r="C186">
        <v>5</v>
      </c>
      <c r="D186">
        <v>23</v>
      </c>
      <c r="E186">
        <v>-5.04</v>
      </c>
      <c r="F186">
        <v>1575</v>
      </c>
      <c r="G186">
        <v>596</v>
      </c>
      <c r="H186">
        <v>1513</v>
      </c>
      <c r="I186">
        <v>265</v>
      </c>
      <c r="J186">
        <v>458</v>
      </c>
      <c r="K186">
        <v>377</v>
      </c>
      <c r="L186">
        <v>987</v>
      </c>
      <c r="M186">
        <v>355</v>
      </c>
      <c r="N186">
        <v>217</v>
      </c>
      <c r="O186">
        <v>79</v>
      </c>
      <c r="P186">
        <v>563</v>
      </c>
      <c r="Q186">
        <v>570</v>
      </c>
      <c r="R186">
        <v>185</v>
      </c>
    </row>
    <row r="187" spans="1:18">
      <c r="A187" s="1" t="s">
        <v>162</v>
      </c>
      <c r="B187">
        <v>31</v>
      </c>
      <c r="C187">
        <v>18</v>
      </c>
      <c r="D187">
        <v>13</v>
      </c>
      <c r="E187">
        <v>5.08</v>
      </c>
      <c r="F187">
        <v>2184</v>
      </c>
      <c r="G187">
        <v>765</v>
      </c>
      <c r="H187">
        <v>1641</v>
      </c>
      <c r="I187">
        <v>444</v>
      </c>
      <c r="J187">
        <v>618</v>
      </c>
      <c r="K187">
        <v>358</v>
      </c>
      <c r="L187">
        <v>1120</v>
      </c>
      <c r="M187">
        <v>435</v>
      </c>
      <c r="N187">
        <v>194</v>
      </c>
      <c r="O187">
        <v>120</v>
      </c>
      <c r="P187">
        <v>420</v>
      </c>
      <c r="Q187">
        <v>575</v>
      </c>
      <c r="R187">
        <v>186</v>
      </c>
    </row>
    <row r="188" spans="1:18">
      <c r="A188" s="1" t="s">
        <v>285</v>
      </c>
      <c r="B188">
        <v>31</v>
      </c>
      <c r="C188">
        <v>18</v>
      </c>
      <c r="D188">
        <v>13</v>
      </c>
      <c r="E188">
        <v>5.19</v>
      </c>
      <c r="F188">
        <v>2294</v>
      </c>
      <c r="G188">
        <v>801</v>
      </c>
      <c r="H188">
        <v>1690</v>
      </c>
      <c r="I188">
        <v>505</v>
      </c>
      <c r="J188">
        <v>717</v>
      </c>
      <c r="K188">
        <v>312</v>
      </c>
      <c r="L188">
        <v>1042</v>
      </c>
      <c r="M188">
        <v>451</v>
      </c>
      <c r="N188">
        <v>207</v>
      </c>
      <c r="O188">
        <v>108</v>
      </c>
      <c r="P188">
        <v>472</v>
      </c>
      <c r="Q188">
        <v>587</v>
      </c>
      <c r="R188">
        <v>187</v>
      </c>
    </row>
    <row r="189" spans="1:18">
      <c r="A189" s="1" t="s">
        <v>163</v>
      </c>
      <c r="B189">
        <v>34</v>
      </c>
      <c r="C189">
        <v>25</v>
      </c>
      <c r="D189">
        <v>9</v>
      </c>
      <c r="E189">
        <v>5.82</v>
      </c>
      <c r="F189">
        <v>2579</v>
      </c>
      <c r="G189">
        <v>901</v>
      </c>
      <c r="H189">
        <v>1991</v>
      </c>
      <c r="I189">
        <v>605</v>
      </c>
      <c r="J189">
        <v>830</v>
      </c>
      <c r="K189">
        <v>449</v>
      </c>
      <c r="L189">
        <v>1322</v>
      </c>
      <c r="M189">
        <v>478</v>
      </c>
      <c r="N189">
        <v>218</v>
      </c>
      <c r="O189">
        <v>154</v>
      </c>
      <c r="P189">
        <v>445</v>
      </c>
      <c r="Q189">
        <v>624</v>
      </c>
      <c r="R189">
        <v>188</v>
      </c>
    </row>
    <row r="190" spans="1:18">
      <c r="A190" s="1" t="s">
        <v>164</v>
      </c>
      <c r="B190">
        <v>30</v>
      </c>
      <c r="C190">
        <v>10</v>
      </c>
      <c r="D190">
        <v>20</v>
      </c>
      <c r="E190">
        <v>-6.79</v>
      </c>
      <c r="F190">
        <v>1811</v>
      </c>
      <c r="G190">
        <v>642</v>
      </c>
      <c r="H190">
        <v>1553</v>
      </c>
      <c r="I190">
        <v>348</v>
      </c>
      <c r="J190">
        <v>528</v>
      </c>
      <c r="K190">
        <v>332</v>
      </c>
      <c r="L190">
        <v>1038</v>
      </c>
      <c r="M190">
        <v>355</v>
      </c>
      <c r="N190">
        <v>205</v>
      </c>
      <c r="O190">
        <v>77</v>
      </c>
      <c r="P190">
        <v>494</v>
      </c>
      <c r="Q190">
        <v>483</v>
      </c>
      <c r="R190">
        <v>189</v>
      </c>
    </row>
    <row r="191" spans="1:18">
      <c r="A191" s="1" t="s">
        <v>165</v>
      </c>
      <c r="B191">
        <v>27</v>
      </c>
      <c r="C191">
        <v>13</v>
      </c>
      <c r="D191">
        <v>14</v>
      </c>
      <c r="E191">
        <v>-1.58</v>
      </c>
      <c r="F191">
        <v>1784</v>
      </c>
      <c r="G191">
        <v>625</v>
      </c>
      <c r="H191">
        <v>1489</v>
      </c>
      <c r="I191">
        <v>368</v>
      </c>
      <c r="J191">
        <v>524</v>
      </c>
      <c r="K191">
        <v>345</v>
      </c>
      <c r="L191">
        <v>958</v>
      </c>
      <c r="M191">
        <v>323</v>
      </c>
      <c r="N191">
        <v>159</v>
      </c>
      <c r="O191">
        <v>115</v>
      </c>
      <c r="P191">
        <v>400</v>
      </c>
      <c r="Q191">
        <v>461</v>
      </c>
      <c r="R191">
        <v>190</v>
      </c>
    </row>
    <row r="192" spans="1:18">
      <c r="A192" s="1" t="s">
        <v>166</v>
      </c>
      <c r="B192">
        <v>28</v>
      </c>
      <c r="C192">
        <v>14</v>
      </c>
      <c r="D192">
        <v>14</v>
      </c>
      <c r="E192">
        <v>3.76</v>
      </c>
      <c r="F192">
        <v>1948</v>
      </c>
      <c r="G192">
        <v>640</v>
      </c>
      <c r="H192">
        <v>1428</v>
      </c>
      <c r="I192">
        <v>431</v>
      </c>
      <c r="J192">
        <v>597</v>
      </c>
      <c r="K192">
        <v>273</v>
      </c>
      <c r="L192">
        <v>917</v>
      </c>
      <c r="M192">
        <v>393</v>
      </c>
      <c r="N192">
        <v>160</v>
      </c>
      <c r="O192">
        <v>86</v>
      </c>
      <c r="P192">
        <v>367</v>
      </c>
      <c r="Q192">
        <v>501</v>
      </c>
      <c r="R192">
        <v>191</v>
      </c>
    </row>
    <row r="193" spans="1:18">
      <c r="A193" s="1" t="s">
        <v>167</v>
      </c>
      <c r="B193">
        <v>31</v>
      </c>
      <c r="C193">
        <v>17</v>
      </c>
      <c r="D193">
        <v>14</v>
      </c>
      <c r="E193">
        <v>-0.53</v>
      </c>
      <c r="F193">
        <v>2160</v>
      </c>
      <c r="G193">
        <v>760</v>
      </c>
      <c r="H193">
        <v>1825</v>
      </c>
      <c r="I193">
        <v>455</v>
      </c>
      <c r="J193">
        <v>709</v>
      </c>
      <c r="K193">
        <v>412</v>
      </c>
      <c r="L193">
        <v>1158</v>
      </c>
      <c r="M193">
        <v>363</v>
      </c>
      <c r="N193">
        <v>202</v>
      </c>
      <c r="O193">
        <v>112</v>
      </c>
      <c r="P193">
        <v>404</v>
      </c>
      <c r="Q193">
        <v>579</v>
      </c>
      <c r="R193">
        <v>192</v>
      </c>
    </row>
    <row r="194" spans="1:18">
      <c r="A194" s="1" t="s">
        <v>168</v>
      </c>
      <c r="B194">
        <v>32</v>
      </c>
      <c r="C194">
        <v>22</v>
      </c>
      <c r="D194">
        <v>10</v>
      </c>
      <c r="E194">
        <v>-3.14</v>
      </c>
      <c r="F194">
        <v>2611</v>
      </c>
      <c r="G194">
        <v>863</v>
      </c>
      <c r="H194">
        <v>1934</v>
      </c>
      <c r="I194">
        <v>669</v>
      </c>
      <c r="J194">
        <v>902</v>
      </c>
      <c r="K194">
        <v>463</v>
      </c>
      <c r="L194">
        <v>1282</v>
      </c>
      <c r="M194">
        <v>493</v>
      </c>
      <c r="N194">
        <v>227</v>
      </c>
      <c r="O194">
        <v>155</v>
      </c>
      <c r="P194">
        <v>460</v>
      </c>
      <c r="Q194">
        <v>632</v>
      </c>
      <c r="R194">
        <v>193</v>
      </c>
    </row>
    <row r="195" spans="1:18">
      <c r="A195" s="1" t="s">
        <v>169</v>
      </c>
      <c r="B195">
        <v>27</v>
      </c>
      <c r="C195">
        <v>6</v>
      </c>
      <c r="D195">
        <v>21</v>
      </c>
      <c r="E195">
        <v>-6.25</v>
      </c>
      <c r="F195">
        <v>1774</v>
      </c>
      <c r="G195">
        <v>603</v>
      </c>
      <c r="H195">
        <v>1529</v>
      </c>
      <c r="I195">
        <v>387</v>
      </c>
      <c r="J195">
        <v>562</v>
      </c>
      <c r="K195">
        <v>341</v>
      </c>
      <c r="L195">
        <v>941</v>
      </c>
      <c r="M195">
        <v>302</v>
      </c>
      <c r="N195">
        <v>169</v>
      </c>
      <c r="O195">
        <v>43</v>
      </c>
      <c r="P195">
        <v>470</v>
      </c>
      <c r="Q195">
        <v>533</v>
      </c>
      <c r="R195">
        <v>194</v>
      </c>
    </row>
    <row r="196" spans="1:18">
      <c r="A196" s="1" t="s">
        <v>170</v>
      </c>
      <c r="B196">
        <v>29</v>
      </c>
      <c r="C196">
        <v>12</v>
      </c>
      <c r="D196">
        <v>17</v>
      </c>
      <c r="E196">
        <v>-11.66</v>
      </c>
      <c r="F196">
        <v>1794</v>
      </c>
      <c r="G196">
        <v>586</v>
      </c>
      <c r="H196">
        <v>1493</v>
      </c>
      <c r="I196">
        <v>467</v>
      </c>
      <c r="J196">
        <v>649</v>
      </c>
      <c r="K196">
        <v>338</v>
      </c>
      <c r="L196">
        <v>962</v>
      </c>
      <c r="M196">
        <v>268</v>
      </c>
      <c r="N196">
        <v>213</v>
      </c>
      <c r="O196">
        <v>73</v>
      </c>
      <c r="P196">
        <v>470</v>
      </c>
      <c r="Q196">
        <v>586</v>
      </c>
      <c r="R196">
        <v>195</v>
      </c>
    </row>
    <row r="197" spans="1:18">
      <c r="A197" s="1" t="s">
        <v>171</v>
      </c>
      <c r="B197">
        <v>29</v>
      </c>
      <c r="C197">
        <v>9</v>
      </c>
      <c r="D197">
        <v>20</v>
      </c>
      <c r="E197">
        <v>-4</v>
      </c>
      <c r="F197">
        <v>1827</v>
      </c>
      <c r="G197">
        <v>667</v>
      </c>
      <c r="H197">
        <v>1652</v>
      </c>
      <c r="I197">
        <v>301</v>
      </c>
      <c r="J197">
        <v>440</v>
      </c>
      <c r="K197">
        <v>329</v>
      </c>
      <c r="L197">
        <v>966</v>
      </c>
      <c r="M197">
        <v>399</v>
      </c>
      <c r="N197">
        <v>220</v>
      </c>
      <c r="O197">
        <v>138</v>
      </c>
      <c r="P197">
        <v>448</v>
      </c>
      <c r="Q197">
        <v>481</v>
      </c>
      <c r="R197">
        <v>196</v>
      </c>
    </row>
    <row r="198" spans="1:18">
      <c r="A198" s="1" t="s">
        <v>172</v>
      </c>
      <c r="B198">
        <v>28</v>
      </c>
      <c r="C198">
        <v>3</v>
      </c>
      <c r="D198">
        <v>25</v>
      </c>
      <c r="E198">
        <v>-7.84</v>
      </c>
      <c r="F198">
        <v>1617</v>
      </c>
      <c r="G198">
        <v>576</v>
      </c>
      <c r="H198">
        <v>1597</v>
      </c>
      <c r="I198">
        <v>334</v>
      </c>
      <c r="J198">
        <v>593</v>
      </c>
      <c r="K198">
        <v>372</v>
      </c>
      <c r="L198">
        <v>933</v>
      </c>
      <c r="M198">
        <v>261</v>
      </c>
      <c r="N198">
        <v>246</v>
      </c>
      <c r="O198">
        <v>98</v>
      </c>
      <c r="P198">
        <v>623</v>
      </c>
      <c r="Q198">
        <v>671</v>
      </c>
      <c r="R198">
        <v>197</v>
      </c>
    </row>
    <row r="199" spans="1:18">
      <c r="A199" s="1" t="s">
        <v>173</v>
      </c>
      <c r="B199">
        <v>28</v>
      </c>
      <c r="C199">
        <v>11</v>
      </c>
      <c r="D199">
        <v>17</v>
      </c>
      <c r="E199">
        <v>-4.0999999999999996</v>
      </c>
      <c r="F199">
        <v>2043</v>
      </c>
      <c r="G199">
        <v>757</v>
      </c>
      <c r="H199">
        <v>1650</v>
      </c>
      <c r="I199">
        <v>369</v>
      </c>
      <c r="J199">
        <v>507</v>
      </c>
      <c r="K199">
        <v>327</v>
      </c>
      <c r="L199">
        <v>973</v>
      </c>
      <c r="M199">
        <v>377</v>
      </c>
      <c r="N199">
        <v>236</v>
      </c>
      <c r="O199">
        <v>120</v>
      </c>
      <c r="P199">
        <v>473</v>
      </c>
      <c r="Q199">
        <v>525</v>
      </c>
      <c r="R199">
        <v>198</v>
      </c>
    </row>
    <row r="200" spans="1:18">
      <c r="A200" s="1" t="s">
        <v>174</v>
      </c>
      <c r="B200">
        <v>31</v>
      </c>
      <c r="C200">
        <v>21</v>
      </c>
      <c r="D200">
        <v>10</v>
      </c>
      <c r="E200">
        <v>10.61</v>
      </c>
      <c r="F200">
        <v>2261</v>
      </c>
      <c r="G200">
        <v>760</v>
      </c>
      <c r="H200">
        <v>1688</v>
      </c>
      <c r="I200">
        <v>481</v>
      </c>
      <c r="J200">
        <v>602</v>
      </c>
      <c r="K200">
        <v>317</v>
      </c>
      <c r="L200">
        <v>1046</v>
      </c>
      <c r="M200">
        <v>454</v>
      </c>
      <c r="N200">
        <v>208</v>
      </c>
      <c r="O200">
        <v>69</v>
      </c>
      <c r="P200">
        <v>420</v>
      </c>
      <c r="Q200">
        <v>576</v>
      </c>
      <c r="R200">
        <v>199</v>
      </c>
    </row>
    <row r="201" spans="1:18">
      <c r="A201" s="1" t="s">
        <v>286</v>
      </c>
      <c r="B201">
        <v>30</v>
      </c>
      <c r="C201">
        <v>15</v>
      </c>
      <c r="D201">
        <v>15</v>
      </c>
      <c r="E201">
        <v>-0.46</v>
      </c>
      <c r="F201">
        <v>1844</v>
      </c>
      <c r="G201">
        <v>647</v>
      </c>
      <c r="H201">
        <v>1584</v>
      </c>
      <c r="I201">
        <v>363</v>
      </c>
      <c r="J201">
        <v>537</v>
      </c>
      <c r="K201">
        <v>326</v>
      </c>
      <c r="L201">
        <v>976</v>
      </c>
      <c r="M201">
        <v>360</v>
      </c>
      <c r="N201">
        <v>238</v>
      </c>
      <c r="O201">
        <v>38</v>
      </c>
      <c r="P201">
        <v>405</v>
      </c>
      <c r="Q201">
        <v>578</v>
      </c>
      <c r="R201">
        <v>200</v>
      </c>
    </row>
    <row r="202" spans="1:18">
      <c r="A202" s="1" t="s">
        <v>312</v>
      </c>
      <c r="B202">
        <v>30</v>
      </c>
      <c r="C202">
        <v>19</v>
      </c>
      <c r="D202">
        <v>11</v>
      </c>
      <c r="E202">
        <v>12.04</v>
      </c>
      <c r="F202">
        <v>2464</v>
      </c>
      <c r="G202">
        <v>877</v>
      </c>
      <c r="H202">
        <v>1912</v>
      </c>
      <c r="I202">
        <v>515</v>
      </c>
      <c r="J202">
        <v>749</v>
      </c>
      <c r="K202">
        <v>460</v>
      </c>
      <c r="L202">
        <v>1189</v>
      </c>
      <c r="M202">
        <v>538</v>
      </c>
      <c r="N202">
        <v>287</v>
      </c>
      <c r="O202">
        <v>120</v>
      </c>
      <c r="P202">
        <v>462</v>
      </c>
      <c r="Q202">
        <v>556</v>
      </c>
      <c r="R202">
        <v>201</v>
      </c>
    </row>
    <row r="203" spans="1:18">
      <c r="A203" s="1" t="s">
        <v>175</v>
      </c>
      <c r="B203">
        <v>28</v>
      </c>
      <c r="C203">
        <v>13</v>
      </c>
      <c r="D203">
        <v>15</v>
      </c>
      <c r="E203">
        <v>-2.92</v>
      </c>
      <c r="F203">
        <v>2029</v>
      </c>
      <c r="G203">
        <v>720</v>
      </c>
      <c r="H203">
        <v>1658</v>
      </c>
      <c r="I203">
        <v>414</v>
      </c>
      <c r="J203">
        <v>647</v>
      </c>
      <c r="K203">
        <v>403</v>
      </c>
      <c r="L203">
        <v>1135</v>
      </c>
      <c r="M203">
        <v>325</v>
      </c>
      <c r="N203">
        <v>180</v>
      </c>
      <c r="O203">
        <v>136</v>
      </c>
      <c r="P203">
        <v>465</v>
      </c>
      <c r="Q203">
        <v>579</v>
      </c>
      <c r="R203">
        <v>202</v>
      </c>
    </row>
    <row r="204" spans="1:18">
      <c r="A204" s="1" t="s">
        <v>176</v>
      </c>
      <c r="B204">
        <v>30</v>
      </c>
      <c r="C204">
        <v>19</v>
      </c>
      <c r="D204">
        <v>11</v>
      </c>
      <c r="E204">
        <v>-6.19</v>
      </c>
      <c r="F204">
        <v>2281</v>
      </c>
      <c r="G204">
        <v>772</v>
      </c>
      <c r="H204">
        <v>1847</v>
      </c>
      <c r="I204">
        <v>481</v>
      </c>
      <c r="J204">
        <v>742</v>
      </c>
      <c r="K204">
        <v>417</v>
      </c>
      <c r="L204">
        <v>1108</v>
      </c>
      <c r="M204">
        <v>401</v>
      </c>
      <c r="N204">
        <v>263</v>
      </c>
      <c r="O204">
        <v>114</v>
      </c>
      <c r="P204">
        <v>442</v>
      </c>
      <c r="Q204">
        <v>578</v>
      </c>
      <c r="R204">
        <v>203</v>
      </c>
    </row>
    <row r="205" spans="1:18">
      <c r="A205" s="1" t="s">
        <v>287</v>
      </c>
      <c r="B205">
        <v>29</v>
      </c>
      <c r="C205">
        <v>15</v>
      </c>
      <c r="D205">
        <v>14</v>
      </c>
      <c r="E205">
        <v>-3.12</v>
      </c>
      <c r="F205">
        <v>2202</v>
      </c>
      <c r="G205">
        <v>764</v>
      </c>
      <c r="H205">
        <v>1679</v>
      </c>
      <c r="I205">
        <v>431</v>
      </c>
      <c r="J205">
        <v>599</v>
      </c>
      <c r="K205">
        <v>293</v>
      </c>
      <c r="L205">
        <v>1049</v>
      </c>
      <c r="M205">
        <v>470</v>
      </c>
      <c r="N205">
        <v>160</v>
      </c>
      <c r="O205">
        <v>133</v>
      </c>
      <c r="P205">
        <v>473</v>
      </c>
      <c r="Q205">
        <v>560</v>
      </c>
      <c r="R205">
        <v>204</v>
      </c>
    </row>
    <row r="206" spans="1:18">
      <c r="A206" s="1" t="s">
        <v>177</v>
      </c>
      <c r="B206">
        <v>30</v>
      </c>
      <c r="C206">
        <v>10</v>
      </c>
      <c r="D206">
        <v>20</v>
      </c>
      <c r="E206">
        <v>0.08</v>
      </c>
      <c r="F206">
        <v>2030</v>
      </c>
      <c r="G206">
        <v>696</v>
      </c>
      <c r="H206">
        <v>1580</v>
      </c>
      <c r="I206">
        <v>428</v>
      </c>
      <c r="J206">
        <v>653</v>
      </c>
      <c r="K206">
        <v>350</v>
      </c>
      <c r="L206">
        <v>1068</v>
      </c>
      <c r="M206">
        <v>395</v>
      </c>
      <c r="N206">
        <v>166</v>
      </c>
      <c r="O206">
        <v>132</v>
      </c>
      <c r="P206">
        <v>486</v>
      </c>
      <c r="Q206">
        <v>615</v>
      </c>
      <c r="R206">
        <v>205</v>
      </c>
    </row>
    <row r="207" spans="1:18">
      <c r="A207" s="1" t="s">
        <v>178</v>
      </c>
      <c r="B207">
        <v>31</v>
      </c>
      <c r="C207">
        <v>21</v>
      </c>
      <c r="D207">
        <v>10</v>
      </c>
      <c r="E207">
        <v>3.2</v>
      </c>
      <c r="F207">
        <v>2147</v>
      </c>
      <c r="G207">
        <v>723</v>
      </c>
      <c r="H207">
        <v>1644</v>
      </c>
      <c r="I207">
        <v>478</v>
      </c>
      <c r="J207">
        <v>648</v>
      </c>
      <c r="K207">
        <v>268</v>
      </c>
      <c r="L207">
        <v>1068</v>
      </c>
      <c r="M207">
        <v>410</v>
      </c>
      <c r="N207">
        <v>165</v>
      </c>
      <c r="O207">
        <v>63</v>
      </c>
      <c r="P207">
        <v>388</v>
      </c>
      <c r="Q207">
        <v>517</v>
      </c>
      <c r="R207">
        <v>206</v>
      </c>
    </row>
    <row r="208" spans="1:18">
      <c r="A208" s="1" t="s">
        <v>179</v>
      </c>
      <c r="B208">
        <v>28</v>
      </c>
      <c r="C208">
        <v>11</v>
      </c>
      <c r="D208">
        <v>17</v>
      </c>
      <c r="E208">
        <v>-5.23</v>
      </c>
      <c r="F208">
        <v>2078</v>
      </c>
      <c r="G208">
        <v>739</v>
      </c>
      <c r="H208">
        <v>1742</v>
      </c>
      <c r="I208">
        <v>450</v>
      </c>
      <c r="J208">
        <v>670</v>
      </c>
      <c r="K208">
        <v>402</v>
      </c>
      <c r="L208">
        <v>1144</v>
      </c>
      <c r="M208">
        <v>425</v>
      </c>
      <c r="N208">
        <v>217</v>
      </c>
      <c r="O208">
        <v>122</v>
      </c>
      <c r="P208">
        <v>472</v>
      </c>
      <c r="Q208">
        <v>630</v>
      </c>
      <c r="R208">
        <v>207</v>
      </c>
    </row>
    <row r="209" spans="1:18">
      <c r="A209" s="1" t="s">
        <v>180</v>
      </c>
      <c r="B209">
        <v>29</v>
      </c>
      <c r="C209">
        <v>14</v>
      </c>
      <c r="D209">
        <v>15</v>
      </c>
      <c r="E209">
        <v>5.91</v>
      </c>
      <c r="F209">
        <v>1787</v>
      </c>
      <c r="G209">
        <v>633</v>
      </c>
      <c r="H209">
        <v>1448</v>
      </c>
      <c r="I209">
        <v>316</v>
      </c>
      <c r="J209">
        <v>473</v>
      </c>
      <c r="K209">
        <v>219</v>
      </c>
      <c r="L209">
        <v>766</v>
      </c>
      <c r="M209">
        <v>434</v>
      </c>
      <c r="N209">
        <v>238</v>
      </c>
      <c r="O209">
        <v>43</v>
      </c>
      <c r="P209">
        <v>328</v>
      </c>
      <c r="Q209">
        <v>452</v>
      </c>
      <c r="R209">
        <v>208</v>
      </c>
    </row>
    <row r="210" spans="1:18">
      <c r="A210" s="1" t="s">
        <v>181</v>
      </c>
      <c r="B210">
        <v>32</v>
      </c>
      <c r="C210">
        <v>19</v>
      </c>
      <c r="D210">
        <v>13</v>
      </c>
      <c r="E210">
        <v>7.38</v>
      </c>
      <c r="F210">
        <v>2257</v>
      </c>
      <c r="G210">
        <v>766</v>
      </c>
      <c r="H210">
        <v>1823</v>
      </c>
      <c r="I210">
        <v>460</v>
      </c>
      <c r="J210">
        <v>631</v>
      </c>
      <c r="K210">
        <v>363</v>
      </c>
      <c r="L210">
        <v>1122</v>
      </c>
      <c r="M210">
        <v>434</v>
      </c>
      <c r="N210">
        <v>187</v>
      </c>
      <c r="O210">
        <v>139</v>
      </c>
      <c r="P210">
        <v>329</v>
      </c>
      <c r="Q210">
        <v>475</v>
      </c>
      <c r="R210">
        <v>209</v>
      </c>
    </row>
    <row r="211" spans="1:18">
      <c r="A211" s="1" t="s">
        <v>182</v>
      </c>
      <c r="B211">
        <v>30</v>
      </c>
      <c r="C211">
        <v>13</v>
      </c>
      <c r="D211">
        <v>17</v>
      </c>
      <c r="E211">
        <v>-0.3</v>
      </c>
      <c r="F211">
        <v>2236</v>
      </c>
      <c r="G211">
        <v>796</v>
      </c>
      <c r="H211">
        <v>1843</v>
      </c>
      <c r="I211">
        <v>451</v>
      </c>
      <c r="J211">
        <v>694</v>
      </c>
      <c r="K211">
        <v>387</v>
      </c>
      <c r="L211">
        <v>1054</v>
      </c>
      <c r="M211">
        <v>430</v>
      </c>
      <c r="N211">
        <v>263</v>
      </c>
      <c r="O211">
        <v>100</v>
      </c>
      <c r="P211">
        <v>408</v>
      </c>
      <c r="Q211">
        <v>580</v>
      </c>
      <c r="R211">
        <v>210</v>
      </c>
    </row>
    <row r="212" spans="1:18">
      <c r="A212" s="1" t="s">
        <v>321</v>
      </c>
      <c r="B212">
        <v>30</v>
      </c>
      <c r="C212">
        <v>14</v>
      </c>
      <c r="D212">
        <v>16</v>
      </c>
      <c r="E212">
        <v>5.0199999999999996</v>
      </c>
      <c r="F212">
        <v>1950</v>
      </c>
      <c r="G212">
        <v>685</v>
      </c>
      <c r="H212">
        <v>1544</v>
      </c>
      <c r="I212">
        <v>433</v>
      </c>
      <c r="J212">
        <v>667</v>
      </c>
      <c r="K212">
        <v>369</v>
      </c>
      <c r="L212">
        <v>1009</v>
      </c>
      <c r="M212">
        <v>350</v>
      </c>
      <c r="N212">
        <v>197</v>
      </c>
      <c r="O212">
        <v>71</v>
      </c>
      <c r="P212">
        <v>437</v>
      </c>
      <c r="Q212">
        <v>589</v>
      </c>
      <c r="R212">
        <v>211</v>
      </c>
    </row>
    <row r="213" spans="1:18">
      <c r="A213" s="1" t="s">
        <v>183</v>
      </c>
      <c r="B213">
        <v>30</v>
      </c>
      <c r="C213">
        <v>10</v>
      </c>
      <c r="D213">
        <v>20</v>
      </c>
      <c r="E213">
        <v>-0.19</v>
      </c>
      <c r="F213">
        <v>2000</v>
      </c>
      <c r="G213">
        <v>643</v>
      </c>
      <c r="H213">
        <v>1602</v>
      </c>
      <c r="I213">
        <v>499</v>
      </c>
      <c r="J213">
        <v>692</v>
      </c>
      <c r="K213">
        <v>353</v>
      </c>
      <c r="L213">
        <v>1038</v>
      </c>
      <c r="M213">
        <v>339</v>
      </c>
      <c r="N213">
        <v>183</v>
      </c>
      <c r="O213">
        <v>64</v>
      </c>
      <c r="P213">
        <v>450</v>
      </c>
      <c r="Q213">
        <v>591</v>
      </c>
      <c r="R213">
        <v>212</v>
      </c>
    </row>
    <row r="214" spans="1:18">
      <c r="A214" s="1" t="s">
        <v>340</v>
      </c>
      <c r="B214">
        <v>35</v>
      </c>
      <c r="C214">
        <v>31</v>
      </c>
      <c r="D214">
        <v>4</v>
      </c>
      <c r="E214">
        <v>7.23</v>
      </c>
      <c r="F214">
        <v>2698</v>
      </c>
      <c r="G214">
        <v>1002</v>
      </c>
      <c r="H214">
        <v>1953</v>
      </c>
      <c r="I214">
        <v>528</v>
      </c>
      <c r="J214">
        <v>760</v>
      </c>
      <c r="K214">
        <v>393</v>
      </c>
      <c r="L214">
        <v>1253</v>
      </c>
      <c r="M214">
        <v>561</v>
      </c>
      <c r="N214">
        <v>271</v>
      </c>
      <c r="O214">
        <v>128</v>
      </c>
      <c r="P214">
        <v>468</v>
      </c>
      <c r="Q214">
        <v>655</v>
      </c>
      <c r="R214">
        <v>213</v>
      </c>
    </row>
    <row r="215" spans="1:18">
      <c r="A215" s="1" t="s">
        <v>329</v>
      </c>
      <c r="B215">
        <v>31</v>
      </c>
      <c r="C215">
        <v>20</v>
      </c>
      <c r="D215">
        <v>11</v>
      </c>
      <c r="E215">
        <v>6.27</v>
      </c>
      <c r="F215">
        <v>2057</v>
      </c>
      <c r="G215">
        <v>714</v>
      </c>
      <c r="H215">
        <v>1749</v>
      </c>
      <c r="I215">
        <v>423</v>
      </c>
      <c r="J215">
        <v>632</v>
      </c>
      <c r="K215">
        <v>404</v>
      </c>
      <c r="L215">
        <v>1050</v>
      </c>
      <c r="M215">
        <v>376</v>
      </c>
      <c r="N215">
        <v>264</v>
      </c>
      <c r="O215">
        <v>156</v>
      </c>
      <c r="P215">
        <v>405</v>
      </c>
      <c r="Q215">
        <v>623</v>
      </c>
      <c r="R215">
        <v>214</v>
      </c>
    </row>
    <row r="216" spans="1:18">
      <c r="A216" s="1" t="s">
        <v>184</v>
      </c>
      <c r="B216">
        <v>29</v>
      </c>
      <c r="C216">
        <v>17</v>
      </c>
      <c r="D216">
        <v>12</v>
      </c>
      <c r="E216">
        <v>0.45</v>
      </c>
      <c r="F216">
        <v>2136</v>
      </c>
      <c r="G216">
        <v>760</v>
      </c>
      <c r="H216">
        <v>1720</v>
      </c>
      <c r="I216">
        <v>421</v>
      </c>
      <c r="J216">
        <v>585</v>
      </c>
      <c r="K216">
        <v>370</v>
      </c>
      <c r="L216">
        <v>1113</v>
      </c>
      <c r="M216">
        <v>492</v>
      </c>
      <c r="N216">
        <v>228</v>
      </c>
      <c r="O216">
        <v>104</v>
      </c>
      <c r="P216">
        <v>451</v>
      </c>
      <c r="Q216">
        <v>554</v>
      </c>
      <c r="R216">
        <v>215</v>
      </c>
    </row>
    <row r="217" spans="1:18">
      <c r="A217" s="1" t="s">
        <v>185</v>
      </c>
      <c r="B217">
        <v>28</v>
      </c>
      <c r="C217">
        <v>17</v>
      </c>
      <c r="D217">
        <v>11</v>
      </c>
      <c r="E217">
        <v>-1.79</v>
      </c>
      <c r="F217">
        <v>2265</v>
      </c>
      <c r="G217">
        <v>776</v>
      </c>
      <c r="H217">
        <v>1630</v>
      </c>
      <c r="I217">
        <v>492</v>
      </c>
      <c r="J217">
        <v>647</v>
      </c>
      <c r="K217">
        <v>297</v>
      </c>
      <c r="L217">
        <v>977</v>
      </c>
      <c r="M217">
        <v>479</v>
      </c>
      <c r="N217">
        <v>183</v>
      </c>
      <c r="O217">
        <v>56</v>
      </c>
      <c r="P217">
        <v>414</v>
      </c>
      <c r="Q217">
        <v>536</v>
      </c>
      <c r="R217">
        <v>216</v>
      </c>
    </row>
    <row r="218" spans="1:18">
      <c r="A218" s="1" t="s">
        <v>186</v>
      </c>
      <c r="B218">
        <v>28</v>
      </c>
      <c r="C218">
        <v>12</v>
      </c>
      <c r="D218">
        <v>16</v>
      </c>
      <c r="E218">
        <v>4.5999999999999996</v>
      </c>
      <c r="F218">
        <v>2018</v>
      </c>
      <c r="G218">
        <v>728</v>
      </c>
      <c r="H218">
        <v>1738</v>
      </c>
      <c r="I218">
        <v>400</v>
      </c>
      <c r="J218">
        <v>575</v>
      </c>
      <c r="K218">
        <v>376</v>
      </c>
      <c r="L218">
        <v>1009</v>
      </c>
      <c r="M218">
        <v>399</v>
      </c>
      <c r="N218">
        <v>203</v>
      </c>
      <c r="O218">
        <v>64</v>
      </c>
      <c r="P218">
        <v>395</v>
      </c>
      <c r="Q218">
        <v>510</v>
      </c>
      <c r="R218">
        <v>217</v>
      </c>
    </row>
    <row r="219" spans="1:18">
      <c r="A219" s="1" t="s">
        <v>288</v>
      </c>
      <c r="B219">
        <v>31</v>
      </c>
      <c r="C219">
        <v>18</v>
      </c>
      <c r="D219">
        <v>13</v>
      </c>
      <c r="E219">
        <v>6.91</v>
      </c>
      <c r="F219">
        <v>2323</v>
      </c>
      <c r="G219">
        <v>787</v>
      </c>
      <c r="H219">
        <v>1721</v>
      </c>
      <c r="I219">
        <v>469</v>
      </c>
      <c r="J219">
        <v>648</v>
      </c>
      <c r="K219">
        <v>311</v>
      </c>
      <c r="L219">
        <v>1040</v>
      </c>
      <c r="M219">
        <v>501</v>
      </c>
      <c r="N219">
        <v>164</v>
      </c>
      <c r="O219">
        <v>61</v>
      </c>
      <c r="P219">
        <v>467</v>
      </c>
      <c r="Q219">
        <v>585</v>
      </c>
      <c r="R219">
        <v>218</v>
      </c>
    </row>
    <row r="220" spans="1:18">
      <c r="A220" s="1" t="s">
        <v>187</v>
      </c>
      <c r="B220">
        <v>33</v>
      </c>
      <c r="C220">
        <v>25</v>
      </c>
      <c r="D220">
        <v>8</v>
      </c>
      <c r="E220">
        <v>0.95</v>
      </c>
      <c r="F220">
        <v>2272</v>
      </c>
      <c r="G220">
        <v>764</v>
      </c>
      <c r="H220">
        <v>1633</v>
      </c>
      <c r="I220">
        <v>549</v>
      </c>
      <c r="J220">
        <v>746</v>
      </c>
      <c r="K220">
        <v>304</v>
      </c>
      <c r="L220">
        <v>1101</v>
      </c>
      <c r="M220">
        <v>478</v>
      </c>
      <c r="N220">
        <v>194</v>
      </c>
      <c r="O220">
        <v>103</v>
      </c>
      <c r="P220">
        <v>471</v>
      </c>
      <c r="Q220">
        <v>561</v>
      </c>
      <c r="R220">
        <v>219</v>
      </c>
    </row>
    <row r="221" spans="1:18">
      <c r="A221" s="1" t="s">
        <v>188</v>
      </c>
      <c r="B221">
        <v>28</v>
      </c>
      <c r="C221">
        <v>9</v>
      </c>
      <c r="D221">
        <v>19</v>
      </c>
      <c r="E221">
        <v>5.67</v>
      </c>
      <c r="F221">
        <v>1632</v>
      </c>
      <c r="G221">
        <v>586</v>
      </c>
      <c r="H221">
        <v>1470</v>
      </c>
      <c r="I221">
        <v>319</v>
      </c>
      <c r="J221">
        <v>482</v>
      </c>
      <c r="K221">
        <v>348</v>
      </c>
      <c r="L221">
        <v>980</v>
      </c>
      <c r="M221">
        <v>339</v>
      </c>
      <c r="N221">
        <v>141</v>
      </c>
      <c r="O221">
        <v>70</v>
      </c>
      <c r="P221">
        <v>443</v>
      </c>
      <c r="Q221">
        <v>439</v>
      </c>
      <c r="R221">
        <v>220</v>
      </c>
    </row>
    <row r="222" spans="1:18">
      <c r="A222" s="1" t="s">
        <v>289</v>
      </c>
      <c r="B222">
        <v>27</v>
      </c>
      <c r="C222">
        <v>17</v>
      </c>
      <c r="D222">
        <v>10</v>
      </c>
      <c r="E222">
        <v>-2.09</v>
      </c>
      <c r="F222">
        <v>1929</v>
      </c>
      <c r="G222">
        <v>669</v>
      </c>
      <c r="H222">
        <v>1478</v>
      </c>
      <c r="I222">
        <v>355</v>
      </c>
      <c r="J222">
        <v>516</v>
      </c>
      <c r="K222">
        <v>293</v>
      </c>
      <c r="L222">
        <v>941</v>
      </c>
      <c r="M222">
        <v>432</v>
      </c>
      <c r="N222">
        <v>172</v>
      </c>
      <c r="O222">
        <v>72</v>
      </c>
      <c r="P222">
        <v>368</v>
      </c>
      <c r="Q222">
        <v>482</v>
      </c>
      <c r="R222">
        <v>221</v>
      </c>
    </row>
    <row r="223" spans="1:18">
      <c r="A223" s="1" t="s">
        <v>290</v>
      </c>
      <c r="B223">
        <v>31</v>
      </c>
      <c r="C223">
        <v>15</v>
      </c>
      <c r="D223">
        <v>16</v>
      </c>
      <c r="E223">
        <v>2.11</v>
      </c>
      <c r="F223">
        <v>2446</v>
      </c>
      <c r="G223">
        <v>863</v>
      </c>
      <c r="H223">
        <v>1891</v>
      </c>
      <c r="I223">
        <v>498</v>
      </c>
      <c r="J223">
        <v>696</v>
      </c>
      <c r="K223">
        <v>378</v>
      </c>
      <c r="L223">
        <v>1059</v>
      </c>
      <c r="M223">
        <v>439</v>
      </c>
      <c r="N223">
        <v>218</v>
      </c>
      <c r="O223">
        <v>77</v>
      </c>
      <c r="P223">
        <v>388</v>
      </c>
      <c r="Q223">
        <v>604</v>
      </c>
      <c r="R223">
        <v>222</v>
      </c>
    </row>
    <row r="224" spans="1:18">
      <c r="A224" s="1" t="s">
        <v>189</v>
      </c>
      <c r="B224">
        <v>36</v>
      </c>
      <c r="C224">
        <v>31</v>
      </c>
      <c r="D224">
        <v>5</v>
      </c>
      <c r="E224">
        <v>6.49</v>
      </c>
      <c r="F224">
        <v>2446</v>
      </c>
      <c r="G224">
        <v>904</v>
      </c>
      <c r="H224">
        <v>1921</v>
      </c>
      <c r="I224">
        <v>488</v>
      </c>
      <c r="J224">
        <v>748</v>
      </c>
      <c r="K224">
        <v>466</v>
      </c>
      <c r="L224">
        <v>1320</v>
      </c>
      <c r="M224">
        <v>523</v>
      </c>
      <c r="N224">
        <v>215</v>
      </c>
      <c r="O224">
        <v>169</v>
      </c>
      <c r="P224">
        <v>455</v>
      </c>
      <c r="Q224">
        <v>532</v>
      </c>
      <c r="R224">
        <v>223</v>
      </c>
    </row>
    <row r="225" spans="1:18">
      <c r="A225" s="1" t="s">
        <v>190</v>
      </c>
      <c r="B225">
        <v>27</v>
      </c>
      <c r="C225">
        <v>11</v>
      </c>
      <c r="D225">
        <v>16</v>
      </c>
      <c r="E225">
        <v>-3.12</v>
      </c>
      <c r="F225">
        <v>1810</v>
      </c>
      <c r="G225">
        <v>644</v>
      </c>
      <c r="H225">
        <v>1433</v>
      </c>
      <c r="I225">
        <v>407</v>
      </c>
      <c r="J225">
        <v>615</v>
      </c>
      <c r="K225">
        <v>302</v>
      </c>
      <c r="L225">
        <v>984</v>
      </c>
      <c r="M225">
        <v>318</v>
      </c>
      <c r="N225">
        <v>167</v>
      </c>
      <c r="O225">
        <v>96</v>
      </c>
      <c r="P225">
        <v>458</v>
      </c>
      <c r="Q225">
        <v>574</v>
      </c>
      <c r="R225">
        <v>224</v>
      </c>
    </row>
    <row r="226" spans="1:18">
      <c r="A226" s="1" t="s">
        <v>191</v>
      </c>
      <c r="B226">
        <v>28</v>
      </c>
      <c r="C226">
        <v>11</v>
      </c>
      <c r="D226">
        <v>17</v>
      </c>
      <c r="E226">
        <v>2.83</v>
      </c>
      <c r="F226">
        <v>1953</v>
      </c>
      <c r="G226">
        <v>674</v>
      </c>
      <c r="H226">
        <v>1581</v>
      </c>
      <c r="I226">
        <v>398</v>
      </c>
      <c r="J226">
        <v>553</v>
      </c>
      <c r="K226">
        <v>258</v>
      </c>
      <c r="L226">
        <v>840</v>
      </c>
      <c r="M226">
        <v>400</v>
      </c>
      <c r="N226">
        <v>179</v>
      </c>
      <c r="O226">
        <v>89</v>
      </c>
      <c r="P226">
        <v>359</v>
      </c>
      <c r="Q226">
        <v>589</v>
      </c>
      <c r="R226">
        <v>225</v>
      </c>
    </row>
    <row r="227" spans="1:18">
      <c r="A227" s="1" t="s">
        <v>192</v>
      </c>
      <c r="B227">
        <v>27</v>
      </c>
      <c r="C227">
        <v>7</v>
      </c>
      <c r="D227">
        <v>20</v>
      </c>
      <c r="E227">
        <v>-9.5500000000000007</v>
      </c>
      <c r="F227">
        <v>1673</v>
      </c>
      <c r="G227">
        <v>579</v>
      </c>
      <c r="H227">
        <v>1472</v>
      </c>
      <c r="I227">
        <v>417</v>
      </c>
      <c r="J227">
        <v>667</v>
      </c>
      <c r="K227">
        <v>354</v>
      </c>
      <c r="L227">
        <v>966</v>
      </c>
      <c r="M227">
        <v>267</v>
      </c>
      <c r="N227">
        <v>147</v>
      </c>
      <c r="O227">
        <v>65</v>
      </c>
      <c r="P227">
        <v>444</v>
      </c>
      <c r="Q227">
        <v>542</v>
      </c>
      <c r="R227">
        <v>226</v>
      </c>
    </row>
    <row r="228" spans="1:18">
      <c r="A228" s="1" t="s">
        <v>193</v>
      </c>
      <c r="B228">
        <v>28</v>
      </c>
      <c r="C228">
        <v>20</v>
      </c>
      <c r="D228">
        <v>8</v>
      </c>
      <c r="E228">
        <v>-3.32</v>
      </c>
      <c r="F228">
        <v>1760</v>
      </c>
      <c r="G228">
        <v>634</v>
      </c>
      <c r="H228">
        <v>1319</v>
      </c>
      <c r="I228">
        <v>323</v>
      </c>
      <c r="J228">
        <v>454</v>
      </c>
      <c r="K228">
        <v>241</v>
      </c>
      <c r="L228">
        <v>856</v>
      </c>
      <c r="M228">
        <v>376</v>
      </c>
      <c r="N228">
        <v>192</v>
      </c>
      <c r="O228">
        <v>90</v>
      </c>
      <c r="P228">
        <v>372</v>
      </c>
      <c r="Q228">
        <v>507</v>
      </c>
      <c r="R228">
        <v>227</v>
      </c>
    </row>
    <row r="229" spans="1:18">
      <c r="A229" s="1" t="s">
        <v>194</v>
      </c>
      <c r="B229">
        <v>29</v>
      </c>
      <c r="C229">
        <v>20</v>
      </c>
      <c r="D229">
        <v>9</v>
      </c>
      <c r="E229">
        <v>8.2100000000000009</v>
      </c>
      <c r="F229">
        <v>2060</v>
      </c>
      <c r="G229">
        <v>717</v>
      </c>
      <c r="H229">
        <v>1592</v>
      </c>
      <c r="I229">
        <v>398</v>
      </c>
      <c r="J229">
        <v>553</v>
      </c>
      <c r="K229">
        <v>342</v>
      </c>
      <c r="L229">
        <v>976</v>
      </c>
      <c r="M229">
        <v>455</v>
      </c>
      <c r="N229">
        <v>264</v>
      </c>
      <c r="O229">
        <v>143</v>
      </c>
      <c r="P229">
        <v>433</v>
      </c>
      <c r="Q229">
        <v>469</v>
      </c>
      <c r="R229">
        <v>228</v>
      </c>
    </row>
    <row r="230" spans="1:18">
      <c r="A230" s="1" t="s">
        <v>291</v>
      </c>
      <c r="B230">
        <v>31</v>
      </c>
      <c r="C230">
        <v>17</v>
      </c>
      <c r="D230">
        <v>14</v>
      </c>
      <c r="E230">
        <v>5.46</v>
      </c>
      <c r="F230">
        <v>2012</v>
      </c>
      <c r="G230">
        <v>700</v>
      </c>
      <c r="H230">
        <v>1643</v>
      </c>
      <c r="I230">
        <v>458</v>
      </c>
      <c r="J230">
        <v>622</v>
      </c>
      <c r="K230">
        <v>348</v>
      </c>
      <c r="L230">
        <v>1049</v>
      </c>
      <c r="M230">
        <v>431</v>
      </c>
      <c r="N230">
        <v>176</v>
      </c>
      <c r="O230">
        <v>104</v>
      </c>
      <c r="P230">
        <v>413</v>
      </c>
      <c r="Q230">
        <v>568</v>
      </c>
      <c r="R230">
        <v>229</v>
      </c>
    </row>
    <row r="231" spans="1:18">
      <c r="A231" s="1" t="s">
        <v>195</v>
      </c>
      <c r="B231">
        <v>29</v>
      </c>
      <c r="C231">
        <v>9</v>
      </c>
      <c r="D231">
        <v>20</v>
      </c>
      <c r="E231">
        <v>-7.4</v>
      </c>
      <c r="F231">
        <v>2119</v>
      </c>
      <c r="G231">
        <v>759</v>
      </c>
      <c r="H231">
        <v>1780</v>
      </c>
      <c r="I231">
        <v>375</v>
      </c>
      <c r="J231">
        <v>534</v>
      </c>
      <c r="K231">
        <v>333</v>
      </c>
      <c r="L231">
        <v>1045</v>
      </c>
      <c r="M231">
        <v>472</v>
      </c>
      <c r="N231">
        <v>178</v>
      </c>
      <c r="O231">
        <v>52</v>
      </c>
      <c r="P231">
        <v>422</v>
      </c>
      <c r="Q231">
        <v>641</v>
      </c>
      <c r="R231">
        <v>230</v>
      </c>
    </row>
    <row r="232" spans="1:18">
      <c r="A232" s="1" t="s">
        <v>196</v>
      </c>
      <c r="B232">
        <v>28</v>
      </c>
      <c r="C232">
        <v>12</v>
      </c>
      <c r="D232">
        <v>16</v>
      </c>
      <c r="E232">
        <v>-7.78</v>
      </c>
      <c r="F232">
        <v>1911</v>
      </c>
      <c r="G232">
        <v>674</v>
      </c>
      <c r="H232">
        <v>1612</v>
      </c>
      <c r="I232">
        <v>379</v>
      </c>
      <c r="J232">
        <v>616</v>
      </c>
      <c r="K232">
        <v>320</v>
      </c>
      <c r="L232">
        <v>969</v>
      </c>
      <c r="M232">
        <v>316</v>
      </c>
      <c r="N232">
        <v>231</v>
      </c>
      <c r="O232">
        <v>83</v>
      </c>
      <c r="P232">
        <v>388</v>
      </c>
      <c r="Q232">
        <v>544</v>
      </c>
      <c r="R232">
        <v>231</v>
      </c>
    </row>
    <row r="233" spans="1:18">
      <c r="A233" s="1" t="s">
        <v>197</v>
      </c>
      <c r="B233">
        <v>34</v>
      </c>
      <c r="C233">
        <v>20</v>
      </c>
      <c r="D233">
        <v>14</v>
      </c>
      <c r="E233">
        <v>2.8</v>
      </c>
      <c r="F233">
        <v>2342</v>
      </c>
      <c r="G233">
        <v>847</v>
      </c>
      <c r="H233">
        <v>2005</v>
      </c>
      <c r="I233">
        <v>471</v>
      </c>
      <c r="J233">
        <v>696</v>
      </c>
      <c r="K233">
        <v>544</v>
      </c>
      <c r="L233">
        <v>1381</v>
      </c>
      <c r="M233">
        <v>425</v>
      </c>
      <c r="N233">
        <v>239</v>
      </c>
      <c r="O233">
        <v>107</v>
      </c>
      <c r="P233">
        <v>486</v>
      </c>
      <c r="Q233">
        <v>621</v>
      </c>
      <c r="R233">
        <v>232</v>
      </c>
    </row>
    <row r="234" spans="1:18">
      <c r="A234" s="1" t="s">
        <v>198</v>
      </c>
      <c r="B234">
        <v>33</v>
      </c>
      <c r="C234">
        <v>22</v>
      </c>
      <c r="D234">
        <v>11</v>
      </c>
      <c r="E234">
        <v>3.99</v>
      </c>
      <c r="F234">
        <v>2446</v>
      </c>
      <c r="G234">
        <v>867</v>
      </c>
      <c r="H234">
        <v>1828</v>
      </c>
      <c r="I234">
        <v>541</v>
      </c>
      <c r="J234">
        <v>762</v>
      </c>
      <c r="K234">
        <v>361</v>
      </c>
      <c r="L234">
        <v>1128</v>
      </c>
      <c r="M234">
        <v>492</v>
      </c>
      <c r="N234">
        <v>275</v>
      </c>
      <c r="O234">
        <v>114</v>
      </c>
      <c r="P234">
        <v>528</v>
      </c>
      <c r="Q234">
        <v>611</v>
      </c>
      <c r="R234">
        <v>233</v>
      </c>
    </row>
    <row r="235" spans="1:18">
      <c r="A235" s="1" t="s">
        <v>199</v>
      </c>
      <c r="B235">
        <v>33</v>
      </c>
      <c r="C235">
        <v>20</v>
      </c>
      <c r="D235">
        <v>13</v>
      </c>
      <c r="E235">
        <v>5.07</v>
      </c>
      <c r="F235">
        <v>2129</v>
      </c>
      <c r="G235">
        <v>737</v>
      </c>
      <c r="H235">
        <v>1793</v>
      </c>
      <c r="I235">
        <v>467</v>
      </c>
      <c r="J235">
        <v>648</v>
      </c>
      <c r="K235">
        <v>403</v>
      </c>
      <c r="L235">
        <v>1164</v>
      </c>
      <c r="M235">
        <v>406</v>
      </c>
      <c r="N235">
        <v>235</v>
      </c>
      <c r="O235">
        <v>143</v>
      </c>
      <c r="P235">
        <v>432</v>
      </c>
      <c r="Q235">
        <v>617</v>
      </c>
      <c r="R235">
        <v>234</v>
      </c>
    </row>
    <row r="236" spans="1:18">
      <c r="A236" s="1" t="s">
        <v>200</v>
      </c>
      <c r="B236">
        <v>31</v>
      </c>
      <c r="C236">
        <v>17</v>
      </c>
      <c r="D236">
        <v>14</v>
      </c>
      <c r="E236">
        <v>-4.95</v>
      </c>
      <c r="F236">
        <v>2112</v>
      </c>
      <c r="G236">
        <v>744</v>
      </c>
      <c r="H236">
        <v>1783</v>
      </c>
      <c r="I236">
        <v>398</v>
      </c>
      <c r="J236">
        <v>567</v>
      </c>
      <c r="K236">
        <v>364</v>
      </c>
      <c r="L236">
        <v>1128</v>
      </c>
      <c r="M236">
        <v>416</v>
      </c>
      <c r="N236">
        <v>215</v>
      </c>
      <c r="O236">
        <v>83</v>
      </c>
      <c r="P236">
        <v>414</v>
      </c>
      <c r="Q236">
        <v>539</v>
      </c>
      <c r="R236">
        <v>235</v>
      </c>
    </row>
    <row r="237" spans="1:18">
      <c r="A237" s="1" t="s">
        <v>201</v>
      </c>
      <c r="B237">
        <v>29</v>
      </c>
      <c r="C237">
        <v>14</v>
      </c>
      <c r="D237">
        <v>15</v>
      </c>
      <c r="E237">
        <v>-7.52</v>
      </c>
      <c r="F237">
        <v>1989</v>
      </c>
      <c r="G237">
        <v>696</v>
      </c>
      <c r="H237">
        <v>1524</v>
      </c>
      <c r="I237">
        <v>384</v>
      </c>
      <c r="J237">
        <v>509</v>
      </c>
      <c r="K237">
        <v>243</v>
      </c>
      <c r="L237">
        <v>925</v>
      </c>
      <c r="M237">
        <v>344</v>
      </c>
      <c r="N237">
        <v>144</v>
      </c>
      <c r="O237">
        <v>58</v>
      </c>
      <c r="P237">
        <v>392</v>
      </c>
      <c r="Q237">
        <v>511</v>
      </c>
      <c r="R237">
        <v>236</v>
      </c>
    </row>
    <row r="238" spans="1:18">
      <c r="A238" s="1" t="s">
        <v>202</v>
      </c>
      <c r="B238">
        <v>33</v>
      </c>
      <c r="C238">
        <v>20</v>
      </c>
      <c r="D238">
        <v>13</v>
      </c>
      <c r="E238">
        <v>6.87</v>
      </c>
      <c r="F238">
        <v>2266</v>
      </c>
      <c r="G238">
        <v>768</v>
      </c>
      <c r="H238">
        <v>1846</v>
      </c>
      <c r="I238">
        <v>491</v>
      </c>
      <c r="J238">
        <v>697</v>
      </c>
      <c r="K238">
        <v>405</v>
      </c>
      <c r="L238">
        <v>1225</v>
      </c>
      <c r="M238">
        <v>432</v>
      </c>
      <c r="N238">
        <v>209</v>
      </c>
      <c r="O238">
        <v>196</v>
      </c>
      <c r="P238">
        <v>472</v>
      </c>
      <c r="Q238">
        <v>610</v>
      </c>
      <c r="R238">
        <v>237</v>
      </c>
    </row>
    <row r="239" spans="1:18">
      <c r="A239" s="1" t="s">
        <v>203</v>
      </c>
      <c r="B239">
        <v>28</v>
      </c>
      <c r="C239">
        <v>13</v>
      </c>
      <c r="D239">
        <v>15</v>
      </c>
      <c r="E239">
        <v>-2.39</v>
      </c>
      <c r="F239">
        <v>1989</v>
      </c>
      <c r="G239">
        <v>672</v>
      </c>
      <c r="H239">
        <v>1661</v>
      </c>
      <c r="I239">
        <v>420</v>
      </c>
      <c r="J239">
        <v>627</v>
      </c>
      <c r="K239">
        <v>359</v>
      </c>
      <c r="L239">
        <v>1015</v>
      </c>
      <c r="M239">
        <v>378</v>
      </c>
      <c r="N239">
        <v>240</v>
      </c>
      <c r="O239">
        <v>83</v>
      </c>
      <c r="P239">
        <v>416</v>
      </c>
      <c r="Q239">
        <v>621</v>
      </c>
      <c r="R239">
        <v>238</v>
      </c>
    </row>
    <row r="240" spans="1:18">
      <c r="A240" s="1" t="s">
        <v>204</v>
      </c>
      <c r="B240">
        <v>27</v>
      </c>
      <c r="C240">
        <v>12</v>
      </c>
      <c r="D240">
        <v>15</v>
      </c>
      <c r="E240">
        <v>-7.66</v>
      </c>
      <c r="F240">
        <v>1986</v>
      </c>
      <c r="G240">
        <v>744</v>
      </c>
      <c r="H240">
        <v>1692</v>
      </c>
      <c r="I240">
        <v>354</v>
      </c>
      <c r="J240">
        <v>527</v>
      </c>
      <c r="K240">
        <v>355</v>
      </c>
      <c r="L240">
        <v>997</v>
      </c>
      <c r="M240">
        <v>391</v>
      </c>
      <c r="N240">
        <v>210</v>
      </c>
      <c r="O240">
        <v>110</v>
      </c>
      <c r="P240">
        <v>436</v>
      </c>
      <c r="Q240">
        <v>542</v>
      </c>
      <c r="R240">
        <v>239</v>
      </c>
    </row>
    <row r="241" spans="1:18">
      <c r="A241" s="1" t="s">
        <v>205</v>
      </c>
      <c r="B241">
        <v>28</v>
      </c>
      <c r="C241">
        <v>13</v>
      </c>
      <c r="D241">
        <v>15</v>
      </c>
      <c r="E241">
        <v>-7.7</v>
      </c>
      <c r="F241">
        <v>1873</v>
      </c>
      <c r="G241">
        <v>654</v>
      </c>
      <c r="H241">
        <v>1490</v>
      </c>
      <c r="I241">
        <v>420</v>
      </c>
      <c r="J241">
        <v>574</v>
      </c>
      <c r="K241">
        <v>312</v>
      </c>
      <c r="L241">
        <v>879</v>
      </c>
      <c r="M241">
        <v>326</v>
      </c>
      <c r="N241">
        <v>182</v>
      </c>
      <c r="O241">
        <v>57</v>
      </c>
      <c r="P241">
        <v>385</v>
      </c>
      <c r="Q241">
        <v>443</v>
      </c>
      <c r="R241">
        <v>240</v>
      </c>
    </row>
    <row r="242" spans="1:18">
      <c r="A242" s="1" t="s">
        <v>206</v>
      </c>
      <c r="B242">
        <v>32</v>
      </c>
      <c r="C242">
        <v>30</v>
      </c>
      <c r="D242">
        <v>2</v>
      </c>
      <c r="E242">
        <v>4.97</v>
      </c>
      <c r="F242">
        <v>2476</v>
      </c>
      <c r="G242">
        <v>866</v>
      </c>
      <c r="H242">
        <v>1822</v>
      </c>
      <c r="I242">
        <v>431</v>
      </c>
      <c r="J242">
        <v>614</v>
      </c>
      <c r="K242">
        <v>308</v>
      </c>
      <c r="L242">
        <v>1043</v>
      </c>
      <c r="M242">
        <v>520</v>
      </c>
      <c r="N242">
        <v>285</v>
      </c>
      <c r="O242">
        <v>111</v>
      </c>
      <c r="P242">
        <v>370</v>
      </c>
      <c r="Q242">
        <v>546</v>
      </c>
      <c r="R242">
        <v>241</v>
      </c>
    </row>
    <row r="243" spans="1:18">
      <c r="A243" s="1" t="s">
        <v>292</v>
      </c>
      <c r="B243">
        <v>32</v>
      </c>
      <c r="C243">
        <v>19</v>
      </c>
      <c r="D243">
        <v>13</v>
      </c>
      <c r="E243">
        <v>5.03</v>
      </c>
      <c r="F243">
        <v>2005</v>
      </c>
      <c r="G243">
        <v>692</v>
      </c>
      <c r="H243">
        <v>1615</v>
      </c>
      <c r="I243">
        <v>429</v>
      </c>
      <c r="J243">
        <v>610</v>
      </c>
      <c r="K243">
        <v>264</v>
      </c>
      <c r="L243">
        <v>994</v>
      </c>
      <c r="M243">
        <v>427</v>
      </c>
      <c r="N243">
        <v>227</v>
      </c>
      <c r="O243">
        <v>49</v>
      </c>
      <c r="P243">
        <v>404</v>
      </c>
      <c r="Q243">
        <v>556</v>
      </c>
      <c r="R243">
        <v>242</v>
      </c>
    </row>
    <row r="244" spans="1:18">
      <c r="A244" s="1" t="s">
        <v>207</v>
      </c>
      <c r="B244">
        <v>31</v>
      </c>
      <c r="C244">
        <v>19</v>
      </c>
      <c r="D244">
        <v>12</v>
      </c>
      <c r="E244">
        <v>1.79</v>
      </c>
      <c r="F244">
        <v>2377</v>
      </c>
      <c r="G244">
        <v>807</v>
      </c>
      <c r="H244">
        <v>1733</v>
      </c>
      <c r="I244">
        <v>541</v>
      </c>
      <c r="J244">
        <v>750</v>
      </c>
      <c r="K244">
        <v>397</v>
      </c>
      <c r="L244">
        <v>1184</v>
      </c>
      <c r="M244">
        <v>394</v>
      </c>
      <c r="N244">
        <v>204</v>
      </c>
      <c r="O244">
        <v>99</v>
      </c>
      <c r="P244">
        <v>507</v>
      </c>
      <c r="Q244">
        <v>594</v>
      </c>
      <c r="R244">
        <v>243</v>
      </c>
    </row>
    <row r="245" spans="1:18">
      <c r="A245" s="1" t="s">
        <v>208</v>
      </c>
      <c r="B245">
        <v>29</v>
      </c>
      <c r="C245">
        <v>17</v>
      </c>
      <c r="D245">
        <v>12</v>
      </c>
      <c r="E245">
        <v>-2.81</v>
      </c>
      <c r="F245">
        <v>2196</v>
      </c>
      <c r="G245">
        <v>730</v>
      </c>
      <c r="H245">
        <v>1764</v>
      </c>
      <c r="I245">
        <v>477</v>
      </c>
      <c r="J245">
        <v>680</v>
      </c>
      <c r="K245">
        <v>381</v>
      </c>
      <c r="L245">
        <v>1025</v>
      </c>
      <c r="M245">
        <v>370</v>
      </c>
      <c r="N245">
        <v>203</v>
      </c>
      <c r="O245">
        <v>100</v>
      </c>
      <c r="P245">
        <v>377</v>
      </c>
      <c r="Q245">
        <v>604</v>
      </c>
      <c r="R245">
        <v>244</v>
      </c>
    </row>
    <row r="246" spans="1:18">
      <c r="A246" s="1" t="s">
        <v>209</v>
      </c>
      <c r="B246">
        <v>28</v>
      </c>
      <c r="C246">
        <v>13</v>
      </c>
      <c r="D246">
        <v>15</v>
      </c>
      <c r="E246">
        <v>-6.81</v>
      </c>
      <c r="F246">
        <v>2100</v>
      </c>
      <c r="G246">
        <v>737</v>
      </c>
      <c r="H246">
        <v>1650</v>
      </c>
      <c r="I246">
        <v>471</v>
      </c>
      <c r="J246">
        <v>676</v>
      </c>
      <c r="K246">
        <v>347</v>
      </c>
      <c r="L246">
        <v>1030</v>
      </c>
      <c r="M246">
        <v>530</v>
      </c>
      <c r="N246">
        <v>239</v>
      </c>
      <c r="O246">
        <v>119</v>
      </c>
      <c r="P246">
        <v>493</v>
      </c>
      <c r="Q246">
        <v>563</v>
      </c>
      <c r="R246">
        <v>245</v>
      </c>
    </row>
    <row r="247" spans="1:18">
      <c r="A247" s="1" t="s">
        <v>293</v>
      </c>
      <c r="B247">
        <v>28</v>
      </c>
      <c r="C247">
        <v>12</v>
      </c>
      <c r="D247">
        <v>16</v>
      </c>
      <c r="E247">
        <v>-2.5499999999999998</v>
      </c>
      <c r="F247">
        <v>1838</v>
      </c>
      <c r="G247">
        <v>644</v>
      </c>
      <c r="H247">
        <v>1318</v>
      </c>
      <c r="I247">
        <v>286</v>
      </c>
      <c r="J247">
        <v>399</v>
      </c>
      <c r="K247">
        <v>159</v>
      </c>
      <c r="L247">
        <v>792</v>
      </c>
      <c r="M247">
        <v>459</v>
      </c>
      <c r="N247">
        <v>157</v>
      </c>
      <c r="O247">
        <v>56</v>
      </c>
      <c r="P247">
        <v>410</v>
      </c>
      <c r="Q247">
        <v>443</v>
      </c>
      <c r="R247">
        <v>246</v>
      </c>
    </row>
    <row r="248" spans="1:18">
      <c r="A248" s="1" t="s">
        <v>210</v>
      </c>
      <c r="B248">
        <v>30</v>
      </c>
      <c r="C248">
        <v>14</v>
      </c>
      <c r="D248">
        <v>16</v>
      </c>
      <c r="E248">
        <v>5.81</v>
      </c>
      <c r="F248">
        <v>2125</v>
      </c>
      <c r="G248">
        <v>786</v>
      </c>
      <c r="H248">
        <v>1841</v>
      </c>
      <c r="I248">
        <v>372</v>
      </c>
      <c r="J248">
        <v>533</v>
      </c>
      <c r="K248">
        <v>407</v>
      </c>
      <c r="L248">
        <v>1077</v>
      </c>
      <c r="M248">
        <v>423</v>
      </c>
      <c r="N248">
        <v>246</v>
      </c>
      <c r="O248">
        <v>82</v>
      </c>
      <c r="P248">
        <v>399</v>
      </c>
      <c r="Q248">
        <v>559</v>
      </c>
      <c r="R248">
        <v>247</v>
      </c>
    </row>
    <row r="249" spans="1:18">
      <c r="A249" s="1" t="s">
        <v>211</v>
      </c>
      <c r="B249">
        <v>30</v>
      </c>
      <c r="C249">
        <v>4</v>
      </c>
      <c r="D249">
        <v>26</v>
      </c>
      <c r="E249">
        <v>2.5099999999999998</v>
      </c>
      <c r="F249">
        <v>2042</v>
      </c>
      <c r="G249">
        <v>724</v>
      </c>
      <c r="H249">
        <v>1600</v>
      </c>
      <c r="I249">
        <v>385</v>
      </c>
      <c r="J249">
        <v>571</v>
      </c>
      <c r="K249">
        <v>265</v>
      </c>
      <c r="L249">
        <v>971</v>
      </c>
      <c r="M249">
        <v>474</v>
      </c>
      <c r="N249">
        <v>186</v>
      </c>
      <c r="O249">
        <v>42</v>
      </c>
      <c r="P249">
        <v>553</v>
      </c>
      <c r="Q249">
        <v>532</v>
      </c>
      <c r="R249">
        <v>248</v>
      </c>
    </row>
    <row r="250" spans="1:18">
      <c r="A250" s="1" t="s">
        <v>212</v>
      </c>
      <c r="B250">
        <v>31</v>
      </c>
      <c r="C250">
        <v>17</v>
      </c>
      <c r="D250">
        <v>14</v>
      </c>
      <c r="E250">
        <v>1.85</v>
      </c>
      <c r="F250">
        <v>2016</v>
      </c>
      <c r="G250">
        <v>745</v>
      </c>
      <c r="H250">
        <v>1712</v>
      </c>
      <c r="I250">
        <v>370</v>
      </c>
      <c r="J250">
        <v>569</v>
      </c>
      <c r="K250">
        <v>375</v>
      </c>
      <c r="L250">
        <v>1038</v>
      </c>
      <c r="M250">
        <v>417</v>
      </c>
      <c r="N250">
        <v>235</v>
      </c>
      <c r="O250">
        <v>73</v>
      </c>
      <c r="P250">
        <v>491</v>
      </c>
      <c r="Q250">
        <v>622</v>
      </c>
      <c r="R250">
        <v>249</v>
      </c>
    </row>
    <row r="251" spans="1:18">
      <c r="A251" s="1" t="s">
        <v>213</v>
      </c>
      <c r="B251">
        <v>29</v>
      </c>
      <c r="C251">
        <v>6</v>
      </c>
      <c r="D251">
        <v>23</v>
      </c>
      <c r="E251">
        <v>3.59</v>
      </c>
      <c r="F251">
        <v>1779</v>
      </c>
      <c r="G251">
        <v>652</v>
      </c>
      <c r="H251">
        <v>1527</v>
      </c>
      <c r="I251">
        <v>305</v>
      </c>
      <c r="J251">
        <v>462</v>
      </c>
      <c r="K251">
        <v>268</v>
      </c>
      <c r="L251">
        <v>856</v>
      </c>
      <c r="M251">
        <v>361</v>
      </c>
      <c r="N251">
        <v>170</v>
      </c>
      <c r="O251">
        <v>47</v>
      </c>
      <c r="P251">
        <v>385</v>
      </c>
      <c r="Q251">
        <v>585</v>
      </c>
      <c r="R251">
        <v>250</v>
      </c>
    </row>
    <row r="252" spans="1:18">
      <c r="A252" s="1" t="s">
        <v>214</v>
      </c>
      <c r="B252">
        <v>32</v>
      </c>
      <c r="C252">
        <v>16</v>
      </c>
      <c r="D252">
        <v>16</v>
      </c>
      <c r="E252">
        <v>2.61</v>
      </c>
      <c r="F252">
        <v>2103</v>
      </c>
      <c r="G252">
        <v>729</v>
      </c>
      <c r="H252">
        <v>1755</v>
      </c>
      <c r="I252">
        <v>421</v>
      </c>
      <c r="J252">
        <v>611</v>
      </c>
      <c r="K252">
        <v>371</v>
      </c>
      <c r="L252">
        <v>1100</v>
      </c>
      <c r="M252">
        <v>398</v>
      </c>
      <c r="N252">
        <v>216</v>
      </c>
      <c r="O252">
        <v>89</v>
      </c>
      <c r="P252">
        <v>445</v>
      </c>
      <c r="Q252">
        <v>596</v>
      </c>
      <c r="R252">
        <v>251</v>
      </c>
    </row>
    <row r="253" spans="1:18">
      <c r="A253" s="1" t="s">
        <v>322</v>
      </c>
      <c r="B253">
        <v>28</v>
      </c>
      <c r="C253">
        <v>4</v>
      </c>
      <c r="D253">
        <v>24</v>
      </c>
      <c r="E253">
        <v>-3.52</v>
      </c>
      <c r="F253">
        <v>1691</v>
      </c>
      <c r="G253">
        <v>643</v>
      </c>
      <c r="H253">
        <v>1744</v>
      </c>
      <c r="I253">
        <v>276</v>
      </c>
      <c r="J253">
        <v>482</v>
      </c>
      <c r="K253">
        <v>432</v>
      </c>
      <c r="L253">
        <v>1057</v>
      </c>
      <c r="M253">
        <v>272</v>
      </c>
      <c r="N253">
        <v>193</v>
      </c>
      <c r="O253">
        <v>107</v>
      </c>
      <c r="P253">
        <v>494</v>
      </c>
      <c r="Q253">
        <v>663</v>
      </c>
      <c r="R253">
        <v>252</v>
      </c>
    </row>
    <row r="254" spans="1:18">
      <c r="A254" s="1" t="s">
        <v>294</v>
      </c>
      <c r="B254">
        <v>31</v>
      </c>
      <c r="C254">
        <v>21</v>
      </c>
      <c r="D254">
        <v>10</v>
      </c>
      <c r="E254">
        <v>7.78</v>
      </c>
      <c r="F254">
        <v>2228</v>
      </c>
      <c r="G254">
        <v>806</v>
      </c>
      <c r="H254">
        <v>1759</v>
      </c>
      <c r="I254">
        <v>435</v>
      </c>
      <c r="J254">
        <v>609</v>
      </c>
      <c r="K254">
        <v>359</v>
      </c>
      <c r="L254">
        <v>1134</v>
      </c>
      <c r="M254">
        <v>406</v>
      </c>
      <c r="N254">
        <v>207</v>
      </c>
      <c r="O254">
        <v>95</v>
      </c>
      <c r="P254">
        <v>403</v>
      </c>
      <c r="Q254">
        <v>573</v>
      </c>
      <c r="R254">
        <v>253</v>
      </c>
    </row>
    <row r="255" spans="1:18">
      <c r="A255" s="1" t="s">
        <v>215</v>
      </c>
      <c r="B255">
        <v>30</v>
      </c>
      <c r="C255">
        <v>14</v>
      </c>
      <c r="D255">
        <v>16</v>
      </c>
      <c r="E255">
        <v>-2.3199999999999998</v>
      </c>
      <c r="F255">
        <v>2071</v>
      </c>
      <c r="G255">
        <v>741</v>
      </c>
      <c r="H255">
        <v>1828</v>
      </c>
      <c r="I255">
        <v>437</v>
      </c>
      <c r="J255">
        <v>643</v>
      </c>
      <c r="K255">
        <v>476</v>
      </c>
      <c r="L255">
        <v>1228</v>
      </c>
      <c r="M255">
        <v>436</v>
      </c>
      <c r="N255">
        <v>202</v>
      </c>
      <c r="O255">
        <v>96</v>
      </c>
      <c r="P255">
        <v>448</v>
      </c>
      <c r="Q255">
        <v>624</v>
      </c>
      <c r="R255">
        <v>254</v>
      </c>
    </row>
    <row r="256" spans="1:18">
      <c r="A256" s="1" t="s">
        <v>216</v>
      </c>
      <c r="B256">
        <v>28</v>
      </c>
      <c r="C256">
        <v>12</v>
      </c>
      <c r="D256">
        <v>16</v>
      </c>
      <c r="E256">
        <v>-1.21</v>
      </c>
      <c r="F256">
        <v>1845</v>
      </c>
      <c r="G256">
        <v>666</v>
      </c>
      <c r="H256">
        <v>1592</v>
      </c>
      <c r="I256">
        <v>297</v>
      </c>
      <c r="J256">
        <v>456</v>
      </c>
      <c r="K256">
        <v>342</v>
      </c>
      <c r="L256">
        <v>900</v>
      </c>
      <c r="M256">
        <v>313</v>
      </c>
      <c r="N256">
        <v>204</v>
      </c>
      <c r="O256">
        <v>53</v>
      </c>
      <c r="P256">
        <v>385</v>
      </c>
      <c r="Q256">
        <v>560</v>
      </c>
      <c r="R256">
        <v>255</v>
      </c>
    </row>
    <row r="257" spans="1:18">
      <c r="A257" s="1" t="s">
        <v>295</v>
      </c>
      <c r="B257">
        <v>29</v>
      </c>
      <c r="C257">
        <v>18</v>
      </c>
      <c r="D257">
        <v>11</v>
      </c>
      <c r="E257">
        <v>-10.14</v>
      </c>
      <c r="F257">
        <v>2003</v>
      </c>
      <c r="G257">
        <v>690</v>
      </c>
      <c r="H257">
        <v>1533</v>
      </c>
      <c r="I257">
        <v>477</v>
      </c>
      <c r="J257">
        <v>659</v>
      </c>
      <c r="K257">
        <v>348</v>
      </c>
      <c r="L257">
        <v>985</v>
      </c>
      <c r="M257">
        <v>327</v>
      </c>
      <c r="N257">
        <v>247</v>
      </c>
      <c r="O257">
        <v>56</v>
      </c>
      <c r="P257">
        <v>469</v>
      </c>
      <c r="Q257">
        <v>569</v>
      </c>
      <c r="R257">
        <v>256</v>
      </c>
    </row>
    <row r="258" spans="1:18">
      <c r="A258" s="1" t="s">
        <v>217</v>
      </c>
      <c r="B258">
        <v>34</v>
      </c>
      <c r="C258">
        <v>23</v>
      </c>
      <c r="D258">
        <v>11</v>
      </c>
      <c r="E258">
        <v>5.33</v>
      </c>
      <c r="F258">
        <v>2383</v>
      </c>
      <c r="G258">
        <v>846</v>
      </c>
      <c r="H258">
        <v>1948</v>
      </c>
      <c r="I258">
        <v>465</v>
      </c>
      <c r="J258">
        <v>690</v>
      </c>
      <c r="K258">
        <v>423</v>
      </c>
      <c r="L258">
        <v>1224</v>
      </c>
      <c r="M258">
        <v>499</v>
      </c>
      <c r="N258">
        <v>300</v>
      </c>
      <c r="O258">
        <v>178</v>
      </c>
      <c r="P258">
        <v>448</v>
      </c>
      <c r="Q258">
        <v>609</v>
      </c>
      <c r="R258">
        <v>257</v>
      </c>
    </row>
    <row r="259" spans="1:18">
      <c r="A259" s="1" t="s">
        <v>218</v>
      </c>
      <c r="B259">
        <v>27</v>
      </c>
      <c r="C259">
        <v>7</v>
      </c>
      <c r="D259">
        <v>20</v>
      </c>
      <c r="E259">
        <v>4.92</v>
      </c>
      <c r="F259">
        <v>1654</v>
      </c>
      <c r="G259">
        <v>591</v>
      </c>
      <c r="H259">
        <v>1379</v>
      </c>
      <c r="I259">
        <v>349</v>
      </c>
      <c r="J259">
        <v>534</v>
      </c>
      <c r="K259">
        <v>279</v>
      </c>
      <c r="L259">
        <v>921</v>
      </c>
      <c r="M259">
        <v>350</v>
      </c>
      <c r="N259">
        <v>142</v>
      </c>
      <c r="O259">
        <v>143</v>
      </c>
      <c r="P259">
        <v>414</v>
      </c>
      <c r="Q259">
        <v>486</v>
      </c>
      <c r="R259">
        <v>258</v>
      </c>
    </row>
    <row r="260" spans="1:18">
      <c r="A260" s="1" t="s">
        <v>296</v>
      </c>
      <c r="B260">
        <v>27</v>
      </c>
      <c r="C260">
        <v>11</v>
      </c>
      <c r="D260">
        <v>16</v>
      </c>
      <c r="E260">
        <v>-3.25</v>
      </c>
      <c r="F260">
        <v>1918</v>
      </c>
      <c r="G260">
        <v>687</v>
      </c>
      <c r="H260">
        <v>1525</v>
      </c>
      <c r="I260">
        <v>343</v>
      </c>
      <c r="J260">
        <v>482</v>
      </c>
      <c r="K260">
        <v>280</v>
      </c>
      <c r="L260">
        <v>861</v>
      </c>
      <c r="M260">
        <v>367</v>
      </c>
      <c r="N260">
        <v>181</v>
      </c>
      <c r="O260">
        <v>59</v>
      </c>
      <c r="P260">
        <v>329</v>
      </c>
      <c r="Q260">
        <v>456</v>
      </c>
      <c r="R260">
        <v>259</v>
      </c>
    </row>
    <row r="261" spans="1:18">
      <c r="A261" s="1" t="s">
        <v>219</v>
      </c>
      <c r="B261">
        <v>29</v>
      </c>
      <c r="C261">
        <v>20</v>
      </c>
      <c r="D261">
        <v>9</v>
      </c>
      <c r="E261">
        <v>-7.95</v>
      </c>
      <c r="F261">
        <v>2132</v>
      </c>
      <c r="G261">
        <v>743</v>
      </c>
      <c r="H261">
        <v>1637</v>
      </c>
      <c r="I261">
        <v>479</v>
      </c>
      <c r="J261">
        <v>703</v>
      </c>
      <c r="K261">
        <v>337</v>
      </c>
      <c r="L261">
        <v>1026</v>
      </c>
      <c r="M261">
        <v>403</v>
      </c>
      <c r="N261">
        <v>208</v>
      </c>
      <c r="O261">
        <v>93</v>
      </c>
      <c r="P261">
        <v>405</v>
      </c>
      <c r="Q261">
        <v>546</v>
      </c>
      <c r="R261">
        <v>260</v>
      </c>
    </row>
    <row r="262" spans="1:18">
      <c r="A262" s="1" t="s">
        <v>220</v>
      </c>
      <c r="B262">
        <v>28</v>
      </c>
      <c r="C262">
        <v>13</v>
      </c>
      <c r="D262">
        <v>15</v>
      </c>
      <c r="E262">
        <v>6.52</v>
      </c>
      <c r="F262">
        <v>2111</v>
      </c>
      <c r="G262">
        <v>746</v>
      </c>
      <c r="H262">
        <v>1727</v>
      </c>
      <c r="I262">
        <v>428</v>
      </c>
      <c r="J262">
        <v>646</v>
      </c>
      <c r="K262">
        <v>358</v>
      </c>
      <c r="L262">
        <v>1020</v>
      </c>
      <c r="M262">
        <v>383</v>
      </c>
      <c r="N262">
        <v>249</v>
      </c>
      <c r="O262">
        <v>93</v>
      </c>
      <c r="P262">
        <v>428</v>
      </c>
      <c r="Q262">
        <v>577</v>
      </c>
      <c r="R262">
        <v>261</v>
      </c>
    </row>
    <row r="263" spans="1:18">
      <c r="A263" s="1" t="s">
        <v>221</v>
      </c>
      <c r="B263">
        <v>30</v>
      </c>
      <c r="C263">
        <v>25</v>
      </c>
      <c r="D263">
        <v>5</v>
      </c>
      <c r="E263">
        <v>2.64</v>
      </c>
      <c r="F263">
        <v>2131</v>
      </c>
      <c r="G263">
        <v>787</v>
      </c>
      <c r="H263">
        <v>1775</v>
      </c>
      <c r="I263">
        <v>372</v>
      </c>
      <c r="J263">
        <v>540</v>
      </c>
      <c r="K263">
        <v>393</v>
      </c>
      <c r="L263">
        <v>1057</v>
      </c>
      <c r="M263">
        <v>424</v>
      </c>
      <c r="N263">
        <v>302</v>
      </c>
      <c r="O263">
        <v>91</v>
      </c>
      <c r="P263">
        <v>360</v>
      </c>
      <c r="Q263">
        <v>576</v>
      </c>
      <c r="R263">
        <v>262</v>
      </c>
    </row>
    <row r="264" spans="1:18">
      <c r="A264" s="1" t="s">
        <v>222</v>
      </c>
      <c r="B264">
        <v>30</v>
      </c>
      <c r="C264">
        <v>12</v>
      </c>
      <c r="D264">
        <v>18</v>
      </c>
      <c r="E264">
        <v>4.79</v>
      </c>
      <c r="F264">
        <v>1937</v>
      </c>
      <c r="G264">
        <v>693</v>
      </c>
      <c r="H264">
        <v>1607</v>
      </c>
      <c r="I264">
        <v>364</v>
      </c>
      <c r="J264">
        <v>542</v>
      </c>
      <c r="K264">
        <v>319</v>
      </c>
      <c r="L264">
        <v>949</v>
      </c>
      <c r="M264">
        <v>374</v>
      </c>
      <c r="N264">
        <v>225</v>
      </c>
      <c r="O264">
        <v>88</v>
      </c>
      <c r="P264">
        <v>438</v>
      </c>
      <c r="Q264">
        <v>476</v>
      </c>
      <c r="R264">
        <v>263</v>
      </c>
    </row>
    <row r="265" spans="1:18">
      <c r="A265" s="1" t="s">
        <v>223</v>
      </c>
      <c r="B265">
        <v>28</v>
      </c>
      <c r="C265">
        <v>13</v>
      </c>
      <c r="D265">
        <v>15</v>
      </c>
      <c r="E265">
        <v>3</v>
      </c>
      <c r="F265">
        <v>1817</v>
      </c>
      <c r="G265">
        <v>652</v>
      </c>
      <c r="H265">
        <v>1546</v>
      </c>
      <c r="I265">
        <v>392</v>
      </c>
      <c r="J265">
        <v>589</v>
      </c>
      <c r="K265">
        <v>337</v>
      </c>
      <c r="L265">
        <v>1016</v>
      </c>
      <c r="M265">
        <v>345</v>
      </c>
      <c r="N265">
        <v>195</v>
      </c>
      <c r="O265">
        <v>73</v>
      </c>
      <c r="P265">
        <v>413</v>
      </c>
      <c r="Q265">
        <v>513</v>
      </c>
      <c r="R265">
        <v>264</v>
      </c>
    </row>
    <row r="266" spans="1:18">
      <c r="A266" s="1" t="s">
        <v>224</v>
      </c>
      <c r="B266">
        <v>28</v>
      </c>
      <c r="C266">
        <v>10</v>
      </c>
      <c r="D266">
        <v>18</v>
      </c>
      <c r="E266">
        <v>-0.61</v>
      </c>
      <c r="F266">
        <v>1804</v>
      </c>
      <c r="G266">
        <v>636</v>
      </c>
      <c r="H266">
        <v>1324</v>
      </c>
      <c r="I266">
        <v>354</v>
      </c>
      <c r="J266">
        <v>528</v>
      </c>
      <c r="K266">
        <v>211</v>
      </c>
      <c r="L266">
        <v>789</v>
      </c>
      <c r="M266">
        <v>331</v>
      </c>
      <c r="N266">
        <v>219</v>
      </c>
      <c r="O266">
        <v>65</v>
      </c>
      <c r="P266">
        <v>427</v>
      </c>
      <c r="Q266">
        <v>502</v>
      </c>
      <c r="R266">
        <v>265</v>
      </c>
    </row>
    <row r="267" spans="1:18">
      <c r="A267" s="1" t="s">
        <v>225</v>
      </c>
      <c r="B267">
        <v>28</v>
      </c>
      <c r="C267">
        <v>12</v>
      </c>
      <c r="D267">
        <v>16</v>
      </c>
      <c r="E267">
        <v>-12.78</v>
      </c>
      <c r="F267">
        <v>1947</v>
      </c>
      <c r="G267">
        <v>718</v>
      </c>
      <c r="H267">
        <v>1636</v>
      </c>
      <c r="I267">
        <v>381</v>
      </c>
      <c r="J267">
        <v>609</v>
      </c>
      <c r="K267">
        <v>374</v>
      </c>
      <c r="L267">
        <v>965</v>
      </c>
      <c r="M267">
        <v>330</v>
      </c>
      <c r="N267">
        <v>257</v>
      </c>
      <c r="O267">
        <v>104</v>
      </c>
      <c r="P267">
        <v>458</v>
      </c>
      <c r="Q267">
        <v>572</v>
      </c>
      <c r="R267">
        <v>266</v>
      </c>
    </row>
    <row r="268" spans="1:18">
      <c r="A268" s="1" t="s">
        <v>297</v>
      </c>
      <c r="B268">
        <v>28</v>
      </c>
      <c r="C268">
        <v>7</v>
      </c>
      <c r="D268">
        <v>21</v>
      </c>
      <c r="E268">
        <v>4.1900000000000004</v>
      </c>
      <c r="F268">
        <v>1904</v>
      </c>
      <c r="G268">
        <v>683</v>
      </c>
      <c r="H268">
        <v>1739</v>
      </c>
      <c r="I268">
        <v>316</v>
      </c>
      <c r="J268">
        <v>442</v>
      </c>
      <c r="K268">
        <v>346</v>
      </c>
      <c r="L268">
        <v>919</v>
      </c>
      <c r="M268">
        <v>353</v>
      </c>
      <c r="N268">
        <v>212</v>
      </c>
      <c r="O268">
        <v>54</v>
      </c>
      <c r="P268">
        <v>369</v>
      </c>
      <c r="Q268">
        <v>542</v>
      </c>
      <c r="R268">
        <v>267</v>
      </c>
    </row>
    <row r="269" spans="1:18">
      <c r="A269" s="1" t="s">
        <v>226</v>
      </c>
      <c r="B269">
        <v>28</v>
      </c>
      <c r="C269">
        <v>15</v>
      </c>
      <c r="D269">
        <v>13</v>
      </c>
      <c r="E269">
        <v>-8.76</v>
      </c>
      <c r="F269">
        <v>1997</v>
      </c>
      <c r="G269">
        <v>702</v>
      </c>
      <c r="H269">
        <v>1644</v>
      </c>
      <c r="I269">
        <v>335</v>
      </c>
      <c r="J269">
        <v>504</v>
      </c>
      <c r="K269">
        <v>307</v>
      </c>
      <c r="L269">
        <v>981</v>
      </c>
      <c r="M269">
        <v>377</v>
      </c>
      <c r="N269">
        <v>241</v>
      </c>
      <c r="O269">
        <v>115</v>
      </c>
      <c r="P269">
        <v>428</v>
      </c>
      <c r="Q269">
        <v>597</v>
      </c>
      <c r="R269">
        <v>268</v>
      </c>
    </row>
    <row r="270" spans="1:18">
      <c r="A270" s="1" t="s">
        <v>298</v>
      </c>
      <c r="B270">
        <v>27</v>
      </c>
      <c r="C270">
        <v>6</v>
      </c>
      <c r="D270">
        <v>21</v>
      </c>
      <c r="E270">
        <v>7.85</v>
      </c>
      <c r="F270">
        <v>1673</v>
      </c>
      <c r="G270">
        <v>638</v>
      </c>
      <c r="H270">
        <v>1608</v>
      </c>
      <c r="I270">
        <v>277</v>
      </c>
      <c r="J270">
        <v>432</v>
      </c>
      <c r="K270">
        <v>401</v>
      </c>
      <c r="L270">
        <v>995</v>
      </c>
      <c r="M270">
        <v>290</v>
      </c>
      <c r="N270">
        <v>217</v>
      </c>
      <c r="O270">
        <v>117</v>
      </c>
      <c r="P270">
        <v>414</v>
      </c>
      <c r="Q270">
        <v>484</v>
      </c>
      <c r="R270">
        <v>269</v>
      </c>
    </row>
    <row r="271" spans="1:18">
      <c r="A271" s="1" t="s">
        <v>342</v>
      </c>
      <c r="B271">
        <v>32</v>
      </c>
      <c r="C271">
        <v>30</v>
      </c>
      <c r="D271">
        <v>2</v>
      </c>
      <c r="E271">
        <v>4.34</v>
      </c>
      <c r="F271">
        <v>2356</v>
      </c>
      <c r="G271">
        <v>849</v>
      </c>
      <c r="H271">
        <v>1771</v>
      </c>
      <c r="I271">
        <v>489</v>
      </c>
      <c r="J271">
        <v>651</v>
      </c>
      <c r="K271">
        <v>366</v>
      </c>
      <c r="L271">
        <v>1178</v>
      </c>
      <c r="M271">
        <v>513</v>
      </c>
      <c r="N271">
        <v>206</v>
      </c>
      <c r="O271">
        <v>140</v>
      </c>
      <c r="P271">
        <v>453</v>
      </c>
      <c r="Q271">
        <v>573</v>
      </c>
      <c r="R271">
        <v>270</v>
      </c>
    </row>
    <row r="272" spans="1:18">
      <c r="A272" s="1" t="s">
        <v>227</v>
      </c>
      <c r="B272">
        <v>30</v>
      </c>
      <c r="C272">
        <v>21</v>
      </c>
      <c r="D272">
        <v>9</v>
      </c>
      <c r="E272">
        <v>-9.33</v>
      </c>
      <c r="F272">
        <v>2138</v>
      </c>
      <c r="G272">
        <v>786</v>
      </c>
      <c r="H272">
        <v>1715</v>
      </c>
      <c r="I272">
        <v>387</v>
      </c>
      <c r="J272">
        <v>548</v>
      </c>
      <c r="K272">
        <v>350</v>
      </c>
      <c r="L272">
        <v>1002</v>
      </c>
      <c r="M272">
        <v>381</v>
      </c>
      <c r="N272">
        <v>266</v>
      </c>
      <c r="O272">
        <v>45</v>
      </c>
      <c r="P272">
        <v>417</v>
      </c>
      <c r="Q272">
        <v>616</v>
      </c>
      <c r="R272">
        <v>271</v>
      </c>
    </row>
    <row r="273" spans="1:18">
      <c r="A273" s="1" t="s">
        <v>228</v>
      </c>
      <c r="B273">
        <v>27</v>
      </c>
      <c r="C273">
        <v>12</v>
      </c>
      <c r="D273">
        <v>15</v>
      </c>
      <c r="E273">
        <v>-3.87</v>
      </c>
      <c r="F273">
        <v>1835</v>
      </c>
      <c r="G273">
        <v>650</v>
      </c>
      <c r="H273">
        <v>1592</v>
      </c>
      <c r="I273">
        <v>415</v>
      </c>
      <c r="J273">
        <v>595</v>
      </c>
      <c r="K273">
        <v>385</v>
      </c>
      <c r="L273">
        <v>980</v>
      </c>
      <c r="M273">
        <v>300</v>
      </c>
      <c r="N273">
        <v>262</v>
      </c>
      <c r="O273">
        <v>59</v>
      </c>
      <c r="P273">
        <v>410</v>
      </c>
      <c r="Q273">
        <v>498</v>
      </c>
      <c r="R273">
        <v>272</v>
      </c>
    </row>
    <row r="274" spans="1:18">
      <c r="A274" s="1" t="s">
        <v>229</v>
      </c>
      <c r="B274">
        <v>30</v>
      </c>
      <c r="C274">
        <v>10</v>
      </c>
      <c r="D274">
        <v>20</v>
      </c>
      <c r="E274">
        <v>-6.48</v>
      </c>
      <c r="F274">
        <v>1877</v>
      </c>
      <c r="G274">
        <v>664</v>
      </c>
      <c r="H274">
        <v>1568</v>
      </c>
      <c r="I274">
        <v>416</v>
      </c>
      <c r="J274">
        <v>604</v>
      </c>
      <c r="K274">
        <v>328</v>
      </c>
      <c r="L274">
        <v>980</v>
      </c>
      <c r="M274">
        <v>320</v>
      </c>
      <c r="N274">
        <v>219</v>
      </c>
      <c r="O274">
        <v>76</v>
      </c>
      <c r="P274">
        <v>456</v>
      </c>
      <c r="Q274">
        <v>551</v>
      </c>
      <c r="R274">
        <v>273</v>
      </c>
    </row>
    <row r="275" spans="1:18">
      <c r="A275" s="1" t="s">
        <v>313</v>
      </c>
      <c r="B275">
        <v>31</v>
      </c>
      <c r="C275">
        <v>23</v>
      </c>
      <c r="D275">
        <v>8</v>
      </c>
      <c r="E275">
        <v>7.61</v>
      </c>
      <c r="F275">
        <v>2265</v>
      </c>
      <c r="G275">
        <v>847</v>
      </c>
      <c r="H275">
        <v>1827</v>
      </c>
      <c r="I275">
        <v>430</v>
      </c>
      <c r="J275">
        <v>669</v>
      </c>
      <c r="K275">
        <v>423</v>
      </c>
      <c r="L275">
        <v>1180</v>
      </c>
      <c r="M275">
        <v>465</v>
      </c>
      <c r="N275">
        <v>235</v>
      </c>
      <c r="O275">
        <v>205</v>
      </c>
      <c r="P275">
        <v>396</v>
      </c>
      <c r="Q275">
        <v>554</v>
      </c>
      <c r="R275">
        <v>274</v>
      </c>
    </row>
    <row r="276" spans="1:18">
      <c r="A276" s="1" t="s">
        <v>314</v>
      </c>
      <c r="B276">
        <v>29</v>
      </c>
      <c r="C276">
        <v>15</v>
      </c>
      <c r="D276">
        <v>14</v>
      </c>
      <c r="E276">
        <v>5.16</v>
      </c>
      <c r="F276">
        <v>1889</v>
      </c>
      <c r="G276">
        <v>657</v>
      </c>
      <c r="H276">
        <v>1717</v>
      </c>
      <c r="I276">
        <v>373</v>
      </c>
      <c r="J276">
        <v>572</v>
      </c>
      <c r="K276">
        <v>417</v>
      </c>
      <c r="L276">
        <v>1054</v>
      </c>
      <c r="M276">
        <v>252</v>
      </c>
      <c r="N276">
        <v>243</v>
      </c>
      <c r="O276">
        <v>83</v>
      </c>
      <c r="P276">
        <v>260</v>
      </c>
      <c r="Q276">
        <v>477</v>
      </c>
      <c r="R276">
        <v>275</v>
      </c>
    </row>
    <row r="277" spans="1:18">
      <c r="A277" s="1" t="s">
        <v>230</v>
      </c>
      <c r="B277">
        <v>28</v>
      </c>
      <c r="C277">
        <v>10</v>
      </c>
      <c r="D277">
        <v>18</v>
      </c>
      <c r="E277">
        <v>-2.72</v>
      </c>
      <c r="F277">
        <v>2037</v>
      </c>
      <c r="G277">
        <v>737</v>
      </c>
      <c r="H277">
        <v>1683</v>
      </c>
      <c r="I277">
        <v>384</v>
      </c>
      <c r="J277">
        <v>570</v>
      </c>
      <c r="K277">
        <v>360</v>
      </c>
      <c r="L277">
        <v>1031</v>
      </c>
      <c r="M277">
        <v>439</v>
      </c>
      <c r="N277">
        <v>229</v>
      </c>
      <c r="O277">
        <v>75</v>
      </c>
      <c r="P277">
        <v>441</v>
      </c>
      <c r="Q277">
        <v>539</v>
      </c>
      <c r="R277">
        <v>276</v>
      </c>
    </row>
    <row r="278" spans="1:18">
      <c r="A278" s="1" t="s">
        <v>231</v>
      </c>
      <c r="B278">
        <v>28</v>
      </c>
      <c r="C278">
        <v>7</v>
      </c>
      <c r="D278">
        <v>21</v>
      </c>
      <c r="E278">
        <v>-1.91</v>
      </c>
      <c r="F278">
        <v>1932</v>
      </c>
      <c r="G278">
        <v>703</v>
      </c>
      <c r="H278">
        <v>1693</v>
      </c>
      <c r="I278">
        <v>299</v>
      </c>
      <c r="J278">
        <v>444</v>
      </c>
      <c r="K278">
        <v>324</v>
      </c>
      <c r="L278">
        <v>860</v>
      </c>
      <c r="M278">
        <v>396</v>
      </c>
      <c r="N278">
        <v>199</v>
      </c>
      <c r="O278">
        <v>47</v>
      </c>
      <c r="P278">
        <v>335</v>
      </c>
      <c r="Q278">
        <v>580</v>
      </c>
      <c r="R278">
        <v>277</v>
      </c>
    </row>
    <row r="279" spans="1:18">
      <c r="A279" s="1" t="s">
        <v>232</v>
      </c>
      <c r="B279">
        <v>28</v>
      </c>
      <c r="C279">
        <v>13</v>
      </c>
      <c r="D279">
        <v>15</v>
      </c>
      <c r="E279">
        <v>-2.75</v>
      </c>
      <c r="F279">
        <v>2150</v>
      </c>
      <c r="G279">
        <v>778</v>
      </c>
      <c r="H279">
        <v>1714</v>
      </c>
      <c r="I279">
        <v>363</v>
      </c>
      <c r="J279">
        <v>507</v>
      </c>
      <c r="K279">
        <v>352</v>
      </c>
      <c r="L279">
        <v>1024</v>
      </c>
      <c r="M279">
        <v>432</v>
      </c>
      <c r="N279">
        <v>191</v>
      </c>
      <c r="O279">
        <v>60</v>
      </c>
      <c r="P279">
        <v>409</v>
      </c>
      <c r="Q279">
        <v>552</v>
      </c>
      <c r="R279">
        <v>278</v>
      </c>
    </row>
    <row r="280" spans="1:18">
      <c r="A280" s="1" t="s">
        <v>315</v>
      </c>
      <c r="B280">
        <v>29</v>
      </c>
      <c r="C280">
        <v>15</v>
      </c>
      <c r="D280">
        <v>14</v>
      </c>
      <c r="E280">
        <v>7.18</v>
      </c>
      <c r="F280">
        <v>2063</v>
      </c>
      <c r="G280">
        <v>702</v>
      </c>
      <c r="H280">
        <v>1592</v>
      </c>
      <c r="I280">
        <v>499</v>
      </c>
      <c r="J280">
        <v>688</v>
      </c>
      <c r="K280">
        <v>365</v>
      </c>
      <c r="L280">
        <v>1067</v>
      </c>
      <c r="M280">
        <v>434</v>
      </c>
      <c r="N280">
        <v>173</v>
      </c>
      <c r="O280">
        <v>96</v>
      </c>
      <c r="P280">
        <v>435</v>
      </c>
      <c r="Q280">
        <v>533</v>
      </c>
      <c r="R280">
        <v>279</v>
      </c>
    </row>
    <row r="281" spans="1:18">
      <c r="A281" s="1" t="s">
        <v>323</v>
      </c>
      <c r="B281">
        <v>26</v>
      </c>
      <c r="C281">
        <v>15</v>
      </c>
      <c r="D281">
        <v>11</v>
      </c>
      <c r="E281">
        <v>-4.6399999999999997</v>
      </c>
      <c r="F281">
        <v>1901</v>
      </c>
      <c r="G281">
        <v>689</v>
      </c>
      <c r="H281">
        <v>1482</v>
      </c>
      <c r="I281">
        <v>404</v>
      </c>
      <c r="J281">
        <v>568</v>
      </c>
      <c r="K281">
        <v>355</v>
      </c>
      <c r="L281">
        <v>969</v>
      </c>
      <c r="M281">
        <v>411</v>
      </c>
      <c r="N281">
        <v>189</v>
      </c>
      <c r="O281">
        <v>43</v>
      </c>
      <c r="P281">
        <v>448</v>
      </c>
      <c r="Q281">
        <v>464</v>
      </c>
      <c r="R281">
        <v>280</v>
      </c>
    </row>
    <row r="282" spans="1:18">
      <c r="A282" s="1" t="s">
        <v>233</v>
      </c>
      <c r="B282">
        <v>28</v>
      </c>
      <c r="C282">
        <v>7</v>
      </c>
      <c r="D282">
        <v>21</v>
      </c>
      <c r="E282">
        <v>3.03</v>
      </c>
      <c r="F282">
        <v>2013</v>
      </c>
      <c r="G282">
        <v>703</v>
      </c>
      <c r="H282">
        <v>1690</v>
      </c>
      <c r="I282">
        <v>436</v>
      </c>
      <c r="J282">
        <v>637</v>
      </c>
      <c r="K282">
        <v>441</v>
      </c>
      <c r="L282">
        <v>1065</v>
      </c>
      <c r="M282">
        <v>415</v>
      </c>
      <c r="N282">
        <v>172</v>
      </c>
      <c r="O282">
        <v>35</v>
      </c>
      <c r="P282">
        <v>417</v>
      </c>
      <c r="Q282">
        <v>593</v>
      </c>
      <c r="R282">
        <v>281</v>
      </c>
    </row>
    <row r="283" spans="1:18">
      <c r="A283" s="1" t="s">
        <v>234</v>
      </c>
      <c r="B283">
        <v>29</v>
      </c>
      <c r="C283">
        <v>17</v>
      </c>
      <c r="D283">
        <v>12</v>
      </c>
      <c r="E283">
        <v>-6.47</v>
      </c>
      <c r="F283">
        <v>2097</v>
      </c>
      <c r="G283">
        <v>704</v>
      </c>
      <c r="H283">
        <v>1518</v>
      </c>
      <c r="I283">
        <v>555</v>
      </c>
      <c r="J283">
        <v>745</v>
      </c>
      <c r="K283">
        <v>324</v>
      </c>
      <c r="L283">
        <v>1007</v>
      </c>
      <c r="M283">
        <v>355</v>
      </c>
      <c r="N283">
        <v>193</v>
      </c>
      <c r="O283">
        <v>85</v>
      </c>
      <c r="P283">
        <v>481</v>
      </c>
      <c r="Q283">
        <v>511</v>
      </c>
      <c r="R283">
        <v>282</v>
      </c>
    </row>
    <row r="284" spans="1:18">
      <c r="A284" s="1" t="s">
        <v>235</v>
      </c>
      <c r="B284">
        <v>29</v>
      </c>
      <c r="C284">
        <v>12</v>
      </c>
      <c r="D284">
        <v>17</v>
      </c>
      <c r="E284">
        <v>4.9800000000000004</v>
      </c>
      <c r="F284">
        <v>1941</v>
      </c>
      <c r="G284">
        <v>660</v>
      </c>
      <c r="H284">
        <v>1593</v>
      </c>
      <c r="I284">
        <v>436</v>
      </c>
      <c r="J284">
        <v>645</v>
      </c>
      <c r="K284">
        <v>333</v>
      </c>
      <c r="L284">
        <v>1013</v>
      </c>
      <c r="M284">
        <v>366</v>
      </c>
      <c r="N284">
        <v>177</v>
      </c>
      <c r="O284">
        <v>70</v>
      </c>
      <c r="P284">
        <v>428</v>
      </c>
      <c r="Q284">
        <v>562</v>
      </c>
      <c r="R284">
        <v>283</v>
      </c>
    </row>
    <row r="285" spans="1:18">
      <c r="A285" s="1" t="s">
        <v>236</v>
      </c>
      <c r="B285">
        <v>32</v>
      </c>
      <c r="C285">
        <v>24</v>
      </c>
      <c r="D285">
        <v>8</v>
      </c>
      <c r="E285">
        <v>3.55</v>
      </c>
      <c r="F285">
        <v>2479</v>
      </c>
      <c r="G285">
        <v>834</v>
      </c>
      <c r="H285">
        <v>1748</v>
      </c>
      <c r="I285">
        <v>614</v>
      </c>
      <c r="J285">
        <v>817</v>
      </c>
      <c r="K285">
        <v>328</v>
      </c>
      <c r="L285">
        <v>1106</v>
      </c>
      <c r="M285">
        <v>523</v>
      </c>
      <c r="N285">
        <v>228</v>
      </c>
      <c r="O285">
        <v>86</v>
      </c>
      <c r="P285">
        <v>445</v>
      </c>
      <c r="Q285">
        <v>572</v>
      </c>
      <c r="R285">
        <v>284</v>
      </c>
    </row>
    <row r="286" spans="1:18">
      <c r="A286" s="1" t="s">
        <v>237</v>
      </c>
      <c r="B286">
        <v>28</v>
      </c>
      <c r="C286">
        <v>14</v>
      </c>
      <c r="D286">
        <v>14</v>
      </c>
      <c r="E286">
        <v>-3</v>
      </c>
      <c r="F286">
        <v>2005</v>
      </c>
      <c r="G286">
        <v>661</v>
      </c>
      <c r="H286">
        <v>1649</v>
      </c>
      <c r="I286">
        <v>465</v>
      </c>
      <c r="J286">
        <v>663</v>
      </c>
      <c r="K286">
        <v>390</v>
      </c>
      <c r="L286">
        <v>1101</v>
      </c>
      <c r="M286">
        <v>380</v>
      </c>
      <c r="N286">
        <v>224</v>
      </c>
      <c r="O286">
        <v>85</v>
      </c>
      <c r="P286">
        <v>456</v>
      </c>
      <c r="Q286">
        <v>583</v>
      </c>
      <c r="R286">
        <v>285</v>
      </c>
    </row>
    <row r="287" spans="1:18">
      <c r="A287" s="1" t="s">
        <v>238</v>
      </c>
      <c r="B287">
        <v>33</v>
      </c>
      <c r="C287">
        <v>19</v>
      </c>
      <c r="D287">
        <v>14</v>
      </c>
      <c r="E287">
        <v>-6.11</v>
      </c>
      <c r="F287">
        <v>2400</v>
      </c>
      <c r="G287">
        <v>813</v>
      </c>
      <c r="H287">
        <v>1896</v>
      </c>
      <c r="I287">
        <v>540</v>
      </c>
      <c r="J287">
        <v>775</v>
      </c>
      <c r="K287">
        <v>415</v>
      </c>
      <c r="L287">
        <v>1242</v>
      </c>
      <c r="M287">
        <v>421</v>
      </c>
      <c r="N287">
        <v>251</v>
      </c>
      <c r="O287">
        <v>99</v>
      </c>
      <c r="P287">
        <v>564</v>
      </c>
      <c r="Q287">
        <v>635</v>
      </c>
      <c r="R287">
        <v>286</v>
      </c>
    </row>
    <row r="288" spans="1:18">
      <c r="A288" s="1" t="s">
        <v>239</v>
      </c>
      <c r="B288">
        <v>29</v>
      </c>
      <c r="C288">
        <v>14</v>
      </c>
      <c r="D288">
        <v>15</v>
      </c>
      <c r="E288">
        <v>-12.98</v>
      </c>
      <c r="F288">
        <v>1918</v>
      </c>
      <c r="G288">
        <v>636</v>
      </c>
      <c r="H288">
        <v>1545</v>
      </c>
      <c r="I288">
        <v>538</v>
      </c>
      <c r="J288">
        <v>822</v>
      </c>
      <c r="K288">
        <v>363</v>
      </c>
      <c r="L288">
        <v>1082</v>
      </c>
      <c r="M288">
        <v>301</v>
      </c>
      <c r="N288">
        <v>204</v>
      </c>
      <c r="O288">
        <v>75</v>
      </c>
      <c r="P288">
        <v>545</v>
      </c>
      <c r="Q288">
        <v>563</v>
      </c>
      <c r="R288">
        <v>287</v>
      </c>
    </row>
    <row r="289" spans="1:18">
      <c r="A289" s="1" t="s">
        <v>240</v>
      </c>
      <c r="B289">
        <v>28</v>
      </c>
      <c r="C289">
        <v>13</v>
      </c>
      <c r="D289">
        <v>15</v>
      </c>
      <c r="E289">
        <v>-7.01</v>
      </c>
      <c r="F289">
        <v>1933</v>
      </c>
      <c r="G289">
        <v>669</v>
      </c>
      <c r="H289">
        <v>1532</v>
      </c>
      <c r="I289">
        <v>385</v>
      </c>
      <c r="J289">
        <v>526</v>
      </c>
      <c r="K289">
        <v>326</v>
      </c>
      <c r="L289">
        <v>941</v>
      </c>
      <c r="M289">
        <v>405</v>
      </c>
      <c r="N289">
        <v>195</v>
      </c>
      <c r="O289">
        <v>56</v>
      </c>
      <c r="P289">
        <v>417</v>
      </c>
      <c r="Q289">
        <v>600</v>
      </c>
      <c r="R289">
        <v>288</v>
      </c>
    </row>
    <row r="290" spans="1:18">
      <c r="A290" s="1" t="s">
        <v>241</v>
      </c>
      <c r="B290">
        <v>34</v>
      </c>
      <c r="C290">
        <v>23</v>
      </c>
      <c r="D290">
        <v>11</v>
      </c>
      <c r="E290">
        <v>8.2100000000000009</v>
      </c>
      <c r="F290">
        <v>2490</v>
      </c>
      <c r="G290">
        <v>922</v>
      </c>
      <c r="H290">
        <v>1985</v>
      </c>
      <c r="I290">
        <v>521</v>
      </c>
      <c r="J290">
        <v>703</v>
      </c>
      <c r="K290">
        <v>385</v>
      </c>
      <c r="L290">
        <v>1153</v>
      </c>
      <c r="M290">
        <v>505</v>
      </c>
      <c r="N290">
        <v>278</v>
      </c>
      <c r="O290">
        <v>117</v>
      </c>
      <c r="P290">
        <v>424</v>
      </c>
      <c r="Q290">
        <v>562</v>
      </c>
      <c r="R290">
        <v>289</v>
      </c>
    </row>
    <row r="291" spans="1:18">
      <c r="A291" s="1" t="s">
        <v>362</v>
      </c>
      <c r="B291">
        <v>33</v>
      </c>
      <c r="C291">
        <v>25</v>
      </c>
      <c r="D291">
        <v>8</v>
      </c>
      <c r="E291">
        <v>8.4</v>
      </c>
      <c r="F291">
        <v>2529</v>
      </c>
      <c r="G291">
        <v>904</v>
      </c>
      <c r="H291">
        <v>2046</v>
      </c>
      <c r="I291">
        <v>494</v>
      </c>
      <c r="J291">
        <v>726</v>
      </c>
      <c r="K291">
        <v>517</v>
      </c>
      <c r="L291">
        <v>1355</v>
      </c>
      <c r="M291">
        <v>447</v>
      </c>
      <c r="N291">
        <v>219</v>
      </c>
      <c r="O291">
        <v>125</v>
      </c>
      <c r="P291">
        <v>388</v>
      </c>
      <c r="Q291">
        <v>645</v>
      </c>
      <c r="R291">
        <v>290</v>
      </c>
    </row>
    <row r="292" spans="1:18">
      <c r="A292" s="1" t="s">
        <v>242</v>
      </c>
      <c r="B292">
        <v>31</v>
      </c>
      <c r="C292">
        <v>20</v>
      </c>
      <c r="D292">
        <v>11</v>
      </c>
      <c r="E292">
        <v>0.97</v>
      </c>
      <c r="F292">
        <v>2379</v>
      </c>
      <c r="G292">
        <v>836</v>
      </c>
      <c r="H292">
        <v>1794</v>
      </c>
      <c r="I292">
        <v>482</v>
      </c>
      <c r="J292">
        <v>671</v>
      </c>
      <c r="K292">
        <v>342</v>
      </c>
      <c r="L292">
        <v>1045</v>
      </c>
      <c r="M292">
        <v>458</v>
      </c>
      <c r="N292">
        <v>240</v>
      </c>
      <c r="O292">
        <v>76</v>
      </c>
      <c r="P292">
        <v>460</v>
      </c>
      <c r="Q292">
        <v>680</v>
      </c>
      <c r="R292">
        <v>291</v>
      </c>
    </row>
    <row r="293" spans="1:18">
      <c r="A293" s="1" t="s">
        <v>243</v>
      </c>
      <c r="B293">
        <v>29</v>
      </c>
      <c r="C293">
        <v>8</v>
      </c>
      <c r="D293">
        <v>21</v>
      </c>
      <c r="E293">
        <v>-1.71</v>
      </c>
      <c r="F293">
        <v>1772</v>
      </c>
      <c r="G293">
        <v>618</v>
      </c>
      <c r="H293">
        <v>1568</v>
      </c>
      <c r="I293">
        <v>379</v>
      </c>
      <c r="J293">
        <v>572</v>
      </c>
      <c r="K293">
        <v>342</v>
      </c>
      <c r="L293">
        <v>977</v>
      </c>
      <c r="M293">
        <v>386</v>
      </c>
      <c r="N293">
        <v>193</v>
      </c>
      <c r="O293">
        <v>117</v>
      </c>
      <c r="P293">
        <v>448</v>
      </c>
      <c r="Q293">
        <v>552</v>
      </c>
      <c r="R293">
        <v>292</v>
      </c>
    </row>
    <row r="294" spans="1:18">
      <c r="A294" s="1" t="s">
        <v>244</v>
      </c>
      <c r="B294">
        <v>31</v>
      </c>
      <c r="C294">
        <v>24</v>
      </c>
      <c r="D294">
        <v>7</v>
      </c>
      <c r="E294">
        <v>-5.7</v>
      </c>
      <c r="F294">
        <v>2624</v>
      </c>
      <c r="G294">
        <v>934</v>
      </c>
      <c r="H294">
        <v>2104</v>
      </c>
      <c r="I294">
        <v>392</v>
      </c>
      <c r="J294">
        <v>545</v>
      </c>
      <c r="K294">
        <v>450</v>
      </c>
      <c r="L294">
        <v>1173</v>
      </c>
      <c r="M294">
        <v>547</v>
      </c>
      <c r="N294">
        <v>354</v>
      </c>
      <c r="O294">
        <v>119</v>
      </c>
      <c r="P294">
        <v>349</v>
      </c>
      <c r="Q294">
        <v>446</v>
      </c>
      <c r="R294">
        <v>293</v>
      </c>
    </row>
    <row r="295" spans="1:18">
      <c r="A295" s="1" t="s">
        <v>245</v>
      </c>
      <c r="B295">
        <v>28</v>
      </c>
      <c r="C295">
        <v>11</v>
      </c>
      <c r="D295">
        <v>17</v>
      </c>
      <c r="E295">
        <v>1.92</v>
      </c>
      <c r="F295">
        <v>1830</v>
      </c>
      <c r="G295">
        <v>652</v>
      </c>
      <c r="H295">
        <v>1594</v>
      </c>
      <c r="I295">
        <v>366</v>
      </c>
      <c r="J295">
        <v>568</v>
      </c>
      <c r="K295">
        <v>378</v>
      </c>
      <c r="L295">
        <v>1109</v>
      </c>
      <c r="M295">
        <v>400</v>
      </c>
      <c r="N295">
        <v>174</v>
      </c>
      <c r="O295">
        <v>121</v>
      </c>
      <c r="P295">
        <v>464</v>
      </c>
      <c r="Q295">
        <v>528</v>
      </c>
      <c r="R295">
        <v>294</v>
      </c>
    </row>
    <row r="296" spans="1:18">
      <c r="A296" s="1" t="s">
        <v>299</v>
      </c>
      <c r="B296">
        <v>29</v>
      </c>
      <c r="C296">
        <v>9</v>
      </c>
      <c r="D296">
        <v>20</v>
      </c>
      <c r="E296">
        <v>4.62</v>
      </c>
      <c r="F296">
        <v>1982</v>
      </c>
      <c r="G296">
        <v>724</v>
      </c>
      <c r="H296">
        <v>1653</v>
      </c>
      <c r="I296">
        <v>362</v>
      </c>
      <c r="J296">
        <v>544</v>
      </c>
      <c r="K296">
        <v>271</v>
      </c>
      <c r="L296">
        <v>975</v>
      </c>
      <c r="M296">
        <v>336</v>
      </c>
      <c r="N296">
        <v>216</v>
      </c>
      <c r="O296">
        <v>110</v>
      </c>
      <c r="P296">
        <v>392</v>
      </c>
      <c r="Q296">
        <v>549</v>
      </c>
      <c r="R296">
        <v>295</v>
      </c>
    </row>
    <row r="297" spans="1:18">
      <c r="A297" s="1" t="s">
        <v>324</v>
      </c>
      <c r="B297">
        <v>28</v>
      </c>
      <c r="C297">
        <v>11</v>
      </c>
      <c r="D297">
        <v>17</v>
      </c>
      <c r="E297">
        <v>6.82</v>
      </c>
      <c r="F297">
        <v>1863</v>
      </c>
      <c r="G297">
        <v>698</v>
      </c>
      <c r="H297">
        <v>1510</v>
      </c>
      <c r="I297">
        <v>340</v>
      </c>
      <c r="J297">
        <v>530</v>
      </c>
      <c r="K297">
        <v>312</v>
      </c>
      <c r="L297">
        <v>965</v>
      </c>
      <c r="M297">
        <v>404</v>
      </c>
      <c r="N297">
        <v>127</v>
      </c>
      <c r="O297">
        <v>73</v>
      </c>
      <c r="P297">
        <v>442</v>
      </c>
      <c r="Q297">
        <v>516</v>
      </c>
      <c r="R297">
        <v>296</v>
      </c>
    </row>
    <row r="298" spans="1:18">
      <c r="A298" s="1" t="s">
        <v>316</v>
      </c>
      <c r="B298">
        <v>29</v>
      </c>
      <c r="C298">
        <v>25</v>
      </c>
      <c r="D298">
        <v>4</v>
      </c>
      <c r="E298">
        <v>-1.43</v>
      </c>
      <c r="F298">
        <v>2009</v>
      </c>
      <c r="G298">
        <v>711</v>
      </c>
      <c r="H298">
        <v>1397</v>
      </c>
      <c r="I298">
        <v>419</v>
      </c>
      <c r="J298">
        <v>582</v>
      </c>
      <c r="K298">
        <v>307</v>
      </c>
      <c r="L298">
        <v>952</v>
      </c>
      <c r="M298">
        <v>446</v>
      </c>
      <c r="N298">
        <v>153</v>
      </c>
      <c r="O298">
        <v>85</v>
      </c>
      <c r="P298">
        <v>370</v>
      </c>
      <c r="Q298">
        <v>416</v>
      </c>
      <c r="R298">
        <v>297</v>
      </c>
    </row>
    <row r="299" spans="1:18">
      <c r="A299" s="1" t="s">
        <v>300</v>
      </c>
      <c r="B299">
        <v>33</v>
      </c>
      <c r="C299">
        <v>24</v>
      </c>
      <c r="D299">
        <v>9</v>
      </c>
      <c r="E299">
        <v>4.53</v>
      </c>
      <c r="F299">
        <v>2134</v>
      </c>
      <c r="G299">
        <v>768</v>
      </c>
      <c r="H299">
        <v>1630</v>
      </c>
      <c r="I299">
        <v>402</v>
      </c>
      <c r="J299">
        <v>556</v>
      </c>
      <c r="K299">
        <v>355</v>
      </c>
      <c r="L299">
        <v>1140</v>
      </c>
      <c r="M299">
        <v>426</v>
      </c>
      <c r="N299">
        <v>146</v>
      </c>
      <c r="O299">
        <v>111</v>
      </c>
      <c r="P299">
        <v>463</v>
      </c>
      <c r="Q299">
        <v>566</v>
      </c>
      <c r="R299">
        <v>298</v>
      </c>
    </row>
    <row r="300" spans="1:18">
      <c r="A300" s="1" t="s">
        <v>301</v>
      </c>
      <c r="B300">
        <v>31</v>
      </c>
      <c r="C300">
        <v>18</v>
      </c>
      <c r="D300">
        <v>13</v>
      </c>
      <c r="E300">
        <v>0.01</v>
      </c>
      <c r="F300">
        <v>2217</v>
      </c>
      <c r="G300">
        <v>765</v>
      </c>
      <c r="H300">
        <v>1740</v>
      </c>
      <c r="I300">
        <v>522</v>
      </c>
      <c r="J300">
        <v>740</v>
      </c>
      <c r="K300">
        <v>368</v>
      </c>
      <c r="L300">
        <v>1183</v>
      </c>
      <c r="M300">
        <v>474</v>
      </c>
      <c r="N300">
        <v>210</v>
      </c>
      <c r="O300">
        <v>97</v>
      </c>
      <c r="P300">
        <v>500</v>
      </c>
      <c r="Q300">
        <v>692</v>
      </c>
      <c r="R300">
        <v>299</v>
      </c>
    </row>
    <row r="301" spans="1:18">
      <c r="A301" s="1" t="s">
        <v>246</v>
      </c>
      <c r="B301">
        <v>33</v>
      </c>
      <c r="C301">
        <v>23</v>
      </c>
      <c r="D301">
        <v>10</v>
      </c>
      <c r="E301">
        <v>7.58</v>
      </c>
      <c r="F301">
        <v>2414</v>
      </c>
      <c r="G301">
        <v>841</v>
      </c>
      <c r="H301">
        <v>1873</v>
      </c>
      <c r="I301">
        <v>469</v>
      </c>
      <c r="J301">
        <v>660</v>
      </c>
      <c r="K301">
        <v>367</v>
      </c>
      <c r="L301">
        <v>1150</v>
      </c>
      <c r="M301">
        <v>541</v>
      </c>
      <c r="N301">
        <v>248</v>
      </c>
      <c r="O301">
        <v>112</v>
      </c>
      <c r="P301">
        <v>419</v>
      </c>
      <c r="Q301">
        <v>576</v>
      </c>
      <c r="R301">
        <v>300</v>
      </c>
    </row>
    <row r="302" spans="1:18">
      <c r="A302" s="1" t="s">
        <v>247</v>
      </c>
      <c r="B302">
        <v>31</v>
      </c>
      <c r="C302">
        <v>22</v>
      </c>
      <c r="D302">
        <v>9</v>
      </c>
      <c r="E302">
        <v>-6.36</v>
      </c>
      <c r="F302">
        <v>2045</v>
      </c>
      <c r="G302">
        <v>734</v>
      </c>
      <c r="H302">
        <v>1739</v>
      </c>
      <c r="I302">
        <v>374</v>
      </c>
      <c r="J302">
        <v>551</v>
      </c>
      <c r="K302">
        <v>360</v>
      </c>
      <c r="L302">
        <v>1126</v>
      </c>
      <c r="M302">
        <v>447</v>
      </c>
      <c r="N302">
        <v>218</v>
      </c>
      <c r="O302">
        <v>87</v>
      </c>
      <c r="P302">
        <v>387</v>
      </c>
      <c r="Q302">
        <v>475</v>
      </c>
      <c r="R302">
        <v>301</v>
      </c>
    </row>
    <row r="303" spans="1:18">
      <c r="A303" s="1" t="s">
        <v>248</v>
      </c>
      <c r="B303">
        <v>35</v>
      </c>
      <c r="C303">
        <v>18</v>
      </c>
      <c r="D303">
        <v>17</v>
      </c>
      <c r="E303">
        <v>8.25</v>
      </c>
      <c r="F303">
        <v>2471</v>
      </c>
      <c r="G303">
        <v>852</v>
      </c>
      <c r="H303">
        <v>1890</v>
      </c>
      <c r="I303">
        <v>528</v>
      </c>
      <c r="J303">
        <v>724</v>
      </c>
      <c r="K303">
        <v>421</v>
      </c>
      <c r="L303">
        <v>1274</v>
      </c>
      <c r="M303">
        <v>492</v>
      </c>
      <c r="N303">
        <v>209</v>
      </c>
      <c r="O303">
        <v>146</v>
      </c>
      <c r="P303">
        <v>569</v>
      </c>
      <c r="Q303">
        <v>671</v>
      </c>
      <c r="R303">
        <v>302</v>
      </c>
    </row>
    <row r="304" spans="1:18">
      <c r="A304" s="1" t="s">
        <v>249</v>
      </c>
      <c r="B304">
        <v>31</v>
      </c>
      <c r="C304">
        <v>23</v>
      </c>
      <c r="D304">
        <v>8</v>
      </c>
      <c r="E304">
        <v>-0.17</v>
      </c>
      <c r="F304">
        <v>2202</v>
      </c>
      <c r="G304">
        <v>811</v>
      </c>
      <c r="H304">
        <v>1707</v>
      </c>
      <c r="I304">
        <v>372</v>
      </c>
      <c r="J304">
        <v>614</v>
      </c>
      <c r="K304">
        <v>377</v>
      </c>
      <c r="L304">
        <v>1159</v>
      </c>
      <c r="M304">
        <v>407</v>
      </c>
      <c r="N304">
        <v>209</v>
      </c>
      <c r="O304">
        <v>120</v>
      </c>
      <c r="P304">
        <v>510</v>
      </c>
      <c r="Q304">
        <v>549</v>
      </c>
      <c r="R304">
        <v>303</v>
      </c>
    </row>
    <row r="305" spans="1:18">
      <c r="A305" s="1" t="s">
        <v>250</v>
      </c>
      <c r="B305">
        <v>28</v>
      </c>
      <c r="C305">
        <v>6</v>
      </c>
      <c r="D305">
        <v>22</v>
      </c>
      <c r="E305">
        <v>-5.57</v>
      </c>
      <c r="F305">
        <v>1608</v>
      </c>
      <c r="G305">
        <v>593</v>
      </c>
      <c r="H305">
        <v>1471</v>
      </c>
      <c r="I305">
        <v>299</v>
      </c>
      <c r="J305">
        <v>472</v>
      </c>
      <c r="K305">
        <v>288</v>
      </c>
      <c r="L305">
        <v>909</v>
      </c>
      <c r="M305">
        <v>350</v>
      </c>
      <c r="N305">
        <v>206</v>
      </c>
      <c r="O305">
        <v>77</v>
      </c>
      <c r="P305">
        <v>507</v>
      </c>
      <c r="Q305">
        <v>484</v>
      </c>
      <c r="R305">
        <v>304</v>
      </c>
    </row>
    <row r="306" spans="1:18">
      <c r="A306" s="1" t="s">
        <v>251</v>
      </c>
      <c r="B306">
        <v>29</v>
      </c>
      <c r="C306">
        <v>15</v>
      </c>
      <c r="D306">
        <v>14</v>
      </c>
      <c r="E306">
        <v>4.3600000000000003</v>
      </c>
      <c r="F306">
        <v>1931</v>
      </c>
      <c r="G306">
        <v>700</v>
      </c>
      <c r="H306">
        <v>1702</v>
      </c>
      <c r="I306">
        <v>391</v>
      </c>
      <c r="J306">
        <v>653</v>
      </c>
      <c r="K306">
        <v>415</v>
      </c>
      <c r="L306">
        <v>1007</v>
      </c>
      <c r="M306">
        <v>384</v>
      </c>
      <c r="N306">
        <v>298</v>
      </c>
      <c r="O306">
        <v>99</v>
      </c>
      <c r="P306">
        <v>387</v>
      </c>
      <c r="Q306">
        <v>544</v>
      </c>
      <c r="R306">
        <v>305</v>
      </c>
    </row>
    <row r="307" spans="1:18">
      <c r="A307" s="1" t="s">
        <v>252</v>
      </c>
      <c r="B307">
        <v>31</v>
      </c>
      <c r="C307">
        <v>18</v>
      </c>
      <c r="D307">
        <v>13</v>
      </c>
      <c r="E307">
        <v>9.65</v>
      </c>
      <c r="F307">
        <v>2305</v>
      </c>
      <c r="G307">
        <v>807</v>
      </c>
      <c r="H307">
        <v>1811</v>
      </c>
      <c r="I307">
        <v>499</v>
      </c>
      <c r="J307">
        <v>732</v>
      </c>
      <c r="K307">
        <v>357</v>
      </c>
      <c r="L307">
        <v>1070</v>
      </c>
      <c r="M307">
        <v>451</v>
      </c>
      <c r="N307">
        <v>215</v>
      </c>
      <c r="O307">
        <v>132</v>
      </c>
      <c r="P307">
        <v>438</v>
      </c>
      <c r="Q307">
        <v>623</v>
      </c>
      <c r="R307">
        <v>306</v>
      </c>
    </row>
    <row r="308" spans="1:18">
      <c r="A308" s="1" t="s">
        <v>253</v>
      </c>
      <c r="B308">
        <v>29</v>
      </c>
      <c r="C308">
        <v>13</v>
      </c>
      <c r="D308">
        <v>16</v>
      </c>
      <c r="E308">
        <v>-7.13</v>
      </c>
      <c r="F308">
        <v>1932</v>
      </c>
      <c r="G308">
        <v>666</v>
      </c>
      <c r="H308">
        <v>1612</v>
      </c>
      <c r="I308">
        <v>429</v>
      </c>
      <c r="J308">
        <v>653</v>
      </c>
      <c r="K308">
        <v>394</v>
      </c>
      <c r="L308">
        <v>1189</v>
      </c>
      <c r="M308">
        <v>338</v>
      </c>
      <c r="N308">
        <v>139</v>
      </c>
      <c r="O308">
        <v>96</v>
      </c>
      <c r="P308">
        <v>464</v>
      </c>
      <c r="Q308">
        <v>473</v>
      </c>
      <c r="R308">
        <v>307</v>
      </c>
    </row>
    <row r="309" spans="1:18">
      <c r="A309" s="1" t="s">
        <v>254</v>
      </c>
      <c r="B309">
        <v>31</v>
      </c>
      <c r="C309">
        <v>21</v>
      </c>
      <c r="D309">
        <v>10</v>
      </c>
      <c r="E309">
        <v>11.03</v>
      </c>
      <c r="F309">
        <v>2590</v>
      </c>
      <c r="G309">
        <v>882</v>
      </c>
      <c r="H309">
        <v>1854</v>
      </c>
      <c r="I309">
        <v>590</v>
      </c>
      <c r="J309">
        <v>829</v>
      </c>
      <c r="K309">
        <v>417</v>
      </c>
      <c r="L309">
        <v>1148</v>
      </c>
      <c r="M309">
        <v>487</v>
      </c>
      <c r="N309">
        <v>277</v>
      </c>
      <c r="O309">
        <v>95</v>
      </c>
      <c r="P309">
        <v>457</v>
      </c>
      <c r="Q309">
        <v>641</v>
      </c>
      <c r="R309">
        <v>308</v>
      </c>
    </row>
    <row r="310" spans="1:18">
      <c r="A310" s="1" t="s">
        <v>255</v>
      </c>
      <c r="B310">
        <v>29</v>
      </c>
      <c r="C310">
        <v>13</v>
      </c>
      <c r="D310">
        <v>16</v>
      </c>
      <c r="E310">
        <v>5.05</v>
      </c>
      <c r="F310">
        <v>1678</v>
      </c>
      <c r="G310">
        <v>586</v>
      </c>
      <c r="H310">
        <v>1466</v>
      </c>
      <c r="I310">
        <v>325</v>
      </c>
      <c r="J310">
        <v>434</v>
      </c>
      <c r="K310">
        <v>280</v>
      </c>
      <c r="L310">
        <v>844</v>
      </c>
      <c r="M310">
        <v>328</v>
      </c>
      <c r="N310">
        <v>176</v>
      </c>
      <c r="O310">
        <v>51</v>
      </c>
      <c r="P310">
        <v>352</v>
      </c>
      <c r="Q310">
        <v>504</v>
      </c>
      <c r="R310">
        <v>309</v>
      </c>
    </row>
    <row r="311" spans="1:18">
      <c r="A311" s="1" t="s">
        <v>256</v>
      </c>
      <c r="B311">
        <v>31</v>
      </c>
      <c r="C311">
        <v>19</v>
      </c>
      <c r="D311">
        <v>12</v>
      </c>
      <c r="E311">
        <v>6.43</v>
      </c>
      <c r="F311">
        <v>2543</v>
      </c>
      <c r="G311">
        <v>890</v>
      </c>
      <c r="H311">
        <v>1911</v>
      </c>
      <c r="I311">
        <v>562</v>
      </c>
      <c r="J311">
        <v>788</v>
      </c>
      <c r="K311">
        <v>382</v>
      </c>
      <c r="L311">
        <v>1103</v>
      </c>
      <c r="M311">
        <v>501</v>
      </c>
      <c r="N311">
        <v>226</v>
      </c>
      <c r="O311">
        <v>91</v>
      </c>
      <c r="P311">
        <v>472</v>
      </c>
      <c r="Q311">
        <v>667</v>
      </c>
      <c r="R311">
        <v>310</v>
      </c>
    </row>
    <row r="312" spans="1:18">
      <c r="A312" s="1" t="s">
        <v>257</v>
      </c>
      <c r="B312">
        <v>29</v>
      </c>
      <c r="C312">
        <v>15</v>
      </c>
      <c r="D312">
        <v>14</v>
      </c>
      <c r="E312">
        <v>-2.15</v>
      </c>
      <c r="F312">
        <v>1980</v>
      </c>
      <c r="G312">
        <v>669</v>
      </c>
      <c r="H312">
        <v>1489</v>
      </c>
      <c r="I312">
        <v>466</v>
      </c>
      <c r="J312">
        <v>658</v>
      </c>
      <c r="K312">
        <v>299</v>
      </c>
      <c r="L312">
        <v>952</v>
      </c>
      <c r="M312">
        <v>340</v>
      </c>
      <c r="N312">
        <v>141</v>
      </c>
      <c r="O312">
        <v>24</v>
      </c>
      <c r="P312">
        <v>389</v>
      </c>
      <c r="Q312">
        <v>522</v>
      </c>
      <c r="R312">
        <v>311</v>
      </c>
    </row>
    <row r="313" spans="1:18">
      <c r="A313" s="1" t="s">
        <v>258</v>
      </c>
      <c r="B313">
        <v>31</v>
      </c>
      <c r="C313">
        <v>17</v>
      </c>
      <c r="D313">
        <v>14</v>
      </c>
      <c r="E313">
        <v>6.28</v>
      </c>
      <c r="F313">
        <v>2035</v>
      </c>
      <c r="G313">
        <v>706</v>
      </c>
      <c r="H313">
        <v>1631</v>
      </c>
      <c r="I313">
        <v>387</v>
      </c>
      <c r="J313">
        <v>557</v>
      </c>
      <c r="K313">
        <v>287</v>
      </c>
      <c r="L313">
        <v>968</v>
      </c>
      <c r="M313">
        <v>449</v>
      </c>
      <c r="N313">
        <v>229</v>
      </c>
      <c r="O313">
        <v>176</v>
      </c>
      <c r="P313">
        <v>402</v>
      </c>
      <c r="Q313">
        <v>473</v>
      </c>
      <c r="R313">
        <v>312</v>
      </c>
    </row>
    <row r="314" spans="1:18">
      <c r="A314" s="1" t="s">
        <v>259</v>
      </c>
      <c r="B314">
        <v>28</v>
      </c>
      <c r="C314">
        <v>13</v>
      </c>
      <c r="D314">
        <v>15</v>
      </c>
      <c r="E314">
        <v>-3.84</v>
      </c>
      <c r="F314">
        <v>2092</v>
      </c>
      <c r="G314">
        <v>710</v>
      </c>
      <c r="H314">
        <v>1527</v>
      </c>
      <c r="I314">
        <v>522</v>
      </c>
      <c r="J314">
        <v>715</v>
      </c>
      <c r="K314">
        <v>302</v>
      </c>
      <c r="L314">
        <v>978</v>
      </c>
      <c r="M314">
        <v>391</v>
      </c>
      <c r="N314">
        <v>246</v>
      </c>
      <c r="O314">
        <v>54</v>
      </c>
      <c r="P314">
        <v>512</v>
      </c>
      <c r="Q314">
        <v>534</v>
      </c>
      <c r="R314">
        <v>313</v>
      </c>
    </row>
    <row r="315" spans="1:18">
      <c r="A315" s="1" t="s">
        <v>260</v>
      </c>
      <c r="B315">
        <v>28</v>
      </c>
      <c r="C315">
        <v>3</v>
      </c>
      <c r="D315">
        <v>25</v>
      </c>
      <c r="E315">
        <v>-1.1499999999999999</v>
      </c>
      <c r="F315">
        <v>1844</v>
      </c>
      <c r="G315">
        <v>613</v>
      </c>
      <c r="H315">
        <v>1430</v>
      </c>
      <c r="I315">
        <v>435</v>
      </c>
      <c r="J315">
        <v>622</v>
      </c>
      <c r="K315">
        <v>235</v>
      </c>
      <c r="L315">
        <v>829</v>
      </c>
      <c r="M315">
        <v>378</v>
      </c>
      <c r="N315">
        <v>173</v>
      </c>
      <c r="O315">
        <v>37</v>
      </c>
      <c r="P315">
        <v>493</v>
      </c>
      <c r="Q315">
        <v>501</v>
      </c>
      <c r="R315">
        <v>314</v>
      </c>
    </row>
    <row r="316" spans="1:18">
      <c r="A316" s="1" t="s">
        <v>261</v>
      </c>
      <c r="B316">
        <v>28</v>
      </c>
      <c r="C316">
        <v>15</v>
      </c>
      <c r="D316">
        <v>13</v>
      </c>
      <c r="E316">
        <v>-0.1</v>
      </c>
      <c r="F316">
        <v>2137</v>
      </c>
      <c r="G316">
        <v>762</v>
      </c>
      <c r="H316">
        <v>1621</v>
      </c>
      <c r="I316">
        <v>415</v>
      </c>
      <c r="J316">
        <v>668</v>
      </c>
      <c r="K316">
        <v>407</v>
      </c>
      <c r="L316">
        <v>1085</v>
      </c>
      <c r="M316">
        <v>405</v>
      </c>
      <c r="N316">
        <v>180</v>
      </c>
      <c r="O316">
        <v>64</v>
      </c>
      <c r="P316">
        <v>428</v>
      </c>
      <c r="Q316">
        <v>575</v>
      </c>
      <c r="R316">
        <v>315</v>
      </c>
    </row>
    <row r="317" spans="1:18">
      <c r="A317" s="1" t="s">
        <v>262</v>
      </c>
      <c r="B317">
        <v>31</v>
      </c>
      <c r="C317">
        <v>26</v>
      </c>
      <c r="D317">
        <v>5</v>
      </c>
      <c r="E317">
        <v>-0.11</v>
      </c>
      <c r="F317">
        <v>2434</v>
      </c>
      <c r="G317">
        <v>845</v>
      </c>
      <c r="H317">
        <v>1840</v>
      </c>
      <c r="I317">
        <v>527</v>
      </c>
      <c r="J317">
        <v>731</v>
      </c>
      <c r="K317">
        <v>449</v>
      </c>
      <c r="L317">
        <v>1177</v>
      </c>
      <c r="M317">
        <v>474</v>
      </c>
      <c r="N317">
        <v>276</v>
      </c>
      <c r="O317">
        <v>83</v>
      </c>
      <c r="P317">
        <v>411</v>
      </c>
      <c r="Q317">
        <v>600</v>
      </c>
      <c r="R317">
        <v>316</v>
      </c>
    </row>
    <row r="318" spans="1:18">
      <c r="A318" s="1" t="s">
        <v>263</v>
      </c>
      <c r="B318">
        <v>32</v>
      </c>
      <c r="C318">
        <v>21</v>
      </c>
      <c r="D318">
        <v>11</v>
      </c>
      <c r="E318">
        <v>2.61</v>
      </c>
      <c r="F318">
        <v>2297</v>
      </c>
      <c r="G318">
        <v>791</v>
      </c>
      <c r="H318">
        <v>1709</v>
      </c>
      <c r="I318">
        <v>499</v>
      </c>
      <c r="J318">
        <v>674</v>
      </c>
      <c r="K318">
        <v>336</v>
      </c>
      <c r="L318">
        <v>1207</v>
      </c>
      <c r="M318">
        <v>529</v>
      </c>
      <c r="N318">
        <v>179</v>
      </c>
      <c r="O318">
        <v>77</v>
      </c>
      <c r="P318">
        <v>481</v>
      </c>
      <c r="Q318">
        <v>615</v>
      </c>
      <c r="R318">
        <v>317</v>
      </c>
    </row>
    <row r="319" spans="1:18">
      <c r="A319" s="1" t="s">
        <v>264</v>
      </c>
      <c r="B319">
        <v>28</v>
      </c>
      <c r="C319">
        <v>7</v>
      </c>
      <c r="D319">
        <v>21</v>
      </c>
      <c r="E319">
        <v>-0.76</v>
      </c>
      <c r="F319">
        <v>2007</v>
      </c>
      <c r="G319">
        <v>695</v>
      </c>
      <c r="H319">
        <v>1605</v>
      </c>
      <c r="I319">
        <v>442</v>
      </c>
      <c r="J319">
        <v>634</v>
      </c>
      <c r="K319">
        <v>359</v>
      </c>
      <c r="L319">
        <v>1033</v>
      </c>
      <c r="M319">
        <v>442</v>
      </c>
      <c r="N319">
        <v>173</v>
      </c>
      <c r="O319">
        <v>57</v>
      </c>
      <c r="P319">
        <v>439</v>
      </c>
      <c r="Q319">
        <v>547</v>
      </c>
      <c r="R319">
        <v>318</v>
      </c>
    </row>
    <row r="320" spans="1:18">
      <c r="A320" s="1" t="s">
        <v>325</v>
      </c>
      <c r="B320">
        <v>28</v>
      </c>
      <c r="C320">
        <v>16</v>
      </c>
      <c r="D320">
        <v>12</v>
      </c>
      <c r="E320">
        <v>-6.62</v>
      </c>
      <c r="F320">
        <v>1856</v>
      </c>
      <c r="G320">
        <v>655</v>
      </c>
      <c r="H320">
        <v>1512</v>
      </c>
      <c r="I320">
        <v>390</v>
      </c>
      <c r="J320">
        <v>560</v>
      </c>
      <c r="K320">
        <v>347</v>
      </c>
      <c r="L320">
        <v>953</v>
      </c>
      <c r="M320">
        <v>363</v>
      </c>
      <c r="N320">
        <v>246</v>
      </c>
      <c r="O320">
        <v>124</v>
      </c>
      <c r="P320">
        <v>401</v>
      </c>
      <c r="Q320">
        <v>538</v>
      </c>
      <c r="R320">
        <v>319</v>
      </c>
    </row>
    <row r="321" spans="1:18">
      <c r="A321" s="1" t="s">
        <v>367</v>
      </c>
      <c r="B321">
        <v>32</v>
      </c>
      <c r="C321">
        <v>25</v>
      </c>
      <c r="D321">
        <v>7</v>
      </c>
      <c r="E321">
        <v>7.49</v>
      </c>
      <c r="F321">
        <v>2190</v>
      </c>
      <c r="G321">
        <v>754</v>
      </c>
      <c r="H321">
        <v>1687</v>
      </c>
      <c r="I321">
        <v>492</v>
      </c>
      <c r="J321">
        <v>684</v>
      </c>
      <c r="K321">
        <v>347</v>
      </c>
      <c r="L321">
        <v>1049</v>
      </c>
      <c r="M321">
        <v>425</v>
      </c>
      <c r="N321">
        <v>220</v>
      </c>
      <c r="O321">
        <v>90</v>
      </c>
      <c r="P321">
        <v>320</v>
      </c>
      <c r="Q321">
        <v>493</v>
      </c>
      <c r="R321">
        <v>320</v>
      </c>
    </row>
    <row r="322" spans="1:18">
      <c r="A322" s="1" t="s">
        <v>265</v>
      </c>
      <c r="B322">
        <v>29</v>
      </c>
      <c r="C322">
        <v>9</v>
      </c>
      <c r="D322">
        <v>20</v>
      </c>
      <c r="E322">
        <v>-1.92</v>
      </c>
      <c r="F322">
        <v>2118</v>
      </c>
      <c r="G322">
        <v>765</v>
      </c>
      <c r="H322">
        <v>1705</v>
      </c>
      <c r="I322">
        <v>359</v>
      </c>
      <c r="J322">
        <v>582</v>
      </c>
      <c r="K322">
        <v>329</v>
      </c>
      <c r="L322">
        <v>1007</v>
      </c>
      <c r="M322">
        <v>474</v>
      </c>
      <c r="N322">
        <v>238</v>
      </c>
      <c r="O322">
        <v>112</v>
      </c>
      <c r="P322">
        <v>529</v>
      </c>
      <c r="Q322">
        <v>602</v>
      </c>
      <c r="R322">
        <v>321</v>
      </c>
    </row>
    <row r="323" spans="1:18">
      <c r="A323" s="1" t="s">
        <v>266</v>
      </c>
      <c r="B323">
        <v>28</v>
      </c>
      <c r="C323">
        <v>14</v>
      </c>
      <c r="D323">
        <v>14</v>
      </c>
      <c r="E323">
        <v>-0.95</v>
      </c>
      <c r="F323">
        <v>1857</v>
      </c>
      <c r="G323">
        <v>657</v>
      </c>
      <c r="H323">
        <v>1474</v>
      </c>
      <c r="I323">
        <v>407</v>
      </c>
      <c r="J323">
        <v>580</v>
      </c>
      <c r="K323">
        <v>277</v>
      </c>
      <c r="L323">
        <v>943</v>
      </c>
      <c r="M323">
        <v>321</v>
      </c>
      <c r="N323">
        <v>126</v>
      </c>
      <c r="O323">
        <v>30</v>
      </c>
      <c r="P323">
        <v>357</v>
      </c>
      <c r="Q323">
        <v>488</v>
      </c>
      <c r="R323">
        <v>322</v>
      </c>
    </row>
    <row r="324" spans="1:18">
      <c r="A324" s="1" t="s">
        <v>267</v>
      </c>
      <c r="B324">
        <v>28</v>
      </c>
      <c r="C324">
        <v>11</v>
      </c>
      <c r="D324">
        <v>17</v>
      </c>
      <c r="E324">
        <v>4.55</v>
      </c>
      <c r="F324">
        <v>1959</v>
      </c>
      <c r="G324">
        <v>687</v>
      </c>
      <c r="H324">
        <v>1569</v>
      </c>
      <c r="I324">
        <v>417</v>
      </c>
      <c r="J324">
        <v>619</v>
      </c>
      <c r="K324">
        <v>350</v>
      </c>
      <c r="L324">
        <v>1028</v>
      </c>
      <c r="M324">
        <v>327</v>
      </c>
      <c r="N324">
        <v>161</v>
      </c>
      <c r="O324">
        <v>99</v>
      </c>
      <c r="P324">
        <v>418</v>
      </c>
      <c r="Q324">
        <v>544</v>
      </c>
      <c r="R324">
        <v>323</v>
      </c>
    </row>
    <row r="325" spans="1:18">
      <c r="A325" s="1" t="s">
        <v>268</v>
      </c>
      <c r="B325">
        <v>37</v>
      </c>
      <c r="C325">
        <v>26</v>
      </c>
      <c r="D325">
        <v>11</v>
      </c>
      <c r="E325">
        <v>5.84</v>
      </c>
      <c r="F325">
        <v>2635</v>
      </c>
      <c r="G325">
        <v>908</v>
      </c>
      <c r="H325">
        <v>2058</v>
      </c>
      <c r="I325">
        <v>535</v>
      </c>
      <c r="J325">
        <v>777</v>
      </c>
      <c r="K325">
        <v>439</v>
      </c>
      <c r="L325">
        <v>1327</v>
      </c>
      <c r="M325">
        <v>494</v>
      </c>
      <c r="N325">
        <v>252</v>
      </c>
      <c r="O325">
        <v>87</v>
      </c>
      <c r="P325">
        <v>459</v>
      </c>
      <c r="Q325">
        <v>619</v>
      </c>
      <c r="R325">
        <v>324</v>
      </c>
    </row>
    <row r="326" spans="1:18">
      <c r="A326" s="1" t="s">
        <v>269</v>
      </c>
      <c r="B326">
        <v>27</v>
      </c>
      <c r="C326">
        <v>12</v>
      </c>
      <c r="D326">
        <v>15</v>
      </c>
      <c r="E326">
        <v>-2.5099999999999998</v>
      </c>
      <c r="F326">
        <v>1788</v>
      </c>
      <c r="G326">
        <v>668</v>
      </c>
      <c r="H326">
        <v>1426</v>
      </c>
      <c r="I326">
        <v>307</v>
      </c>
      <c r="J326">
        <v>459</v>
      </c>
      <c r="K326">
        <v>255</v>
      </c>
      <c r="L326">
        <v>882</v>
      </c>
      <c r="M326">
        <v>406</v>
      </c>
      <c r="N326">
        <v>184</v>
      </c>
      <c r="O326">
        <v>98</v>
      </c>
      <c r="P326">
        <v>408</v>
      </c>
      <c r="Q326">
        <v>490</v>
      </c>
      <c r="R326">
        <v>325</v>
      </c>
    </row>
    <row r="327" spans="1:18">
      <c r="A327" s="1" t="s">
        <v>270</v>
      </c>
      <c r="B327">
        <v>28</v>
      </c>
      <c r="C327">
        <v>8</v>
      </c>
      <c r="D327">
        <v>20</v>
      </c>
      <c r="E327">
        <v>0.37</v>
      </c>
      <c r="F327">
        <v>1876</v>
      </c>
      <c r="G327">
        <v>655</v>
      </c>
      <c r="H327">
        <v>1497</v>
      </c>
      <c r="I327">
        <v>440</v>
      </c>
      <c r="J327">
        <v>648</v>
      </c>
      <c r="K327">
        <v>323</v>
      </c>
      <c r="L327">
        <v>920</v>
      </c>
      <c r="M327">
        <v>376</v>
      </c>
      <c r="N327">
        <v>218</v>
      </c>
      <c r="O327">
        <v>80</v>
      </c>
      <c r="P327">
        <v>462</v>
      </c>
      <c r="Q327">
        <v>613</v>
      </c>
      <c r="R327">
        <v>326</v>
      </c>
    </row>
    <row r="328" spans="1:18">
      <c r="R328">
        <v>327</v>
      </c>
    </row>
    <row r="329" spans="1:18">
      <c r="R329">
        <v>328</v>
      </c>
    </row>
    <row r="330" spans="1:18">
      <c r="R330">
        <v>329</v>
      </c>
    </row>
    <row r="331" spans="1:18">
      <c r="R331">
        <v>330</v>
      </c>
    </row>
    <row r="332" spans="1:18">
      <c r="R332">
        <v>331</v>
      </c>
    </row>
    <row r="333" spans="1:18">
      <c r="R333">
        <v>332</v>
      </c>
    </row>
    <row r="334" spans="1:18">
      <c r="R334">
        <v>333</v>
      </c>
    </row>
    <row r="335" spans="1:18">
      <c r="R335">
        <v>334</v>
      </c>
    </row>
    <row r="336" spans="1:18">
      <c r="R336">
        <v>335</v>
      </c>
    </row>
    <row r="337" spans="18:18">
      <c r="R337">
        <v>336</v>
      </c>
    </row>
    <row r="338" spans="18:18">
      <c r="R338">
        <v>337</v>
      </c>
    </row>
    <row r="339" spans="18:18">
      <c r="R339">
        <v>338</v>
      </c>
    </row>
    <row r="340" spans="18:18">
      <c r="R340">
        <v>339</v>
      </c>
    </row>
    <row r="341" spans="18:18">
      <c r="R341">
        <v>340</v>
      </c>
    </row>
    <row r="342" spans="18:18">
      <c r="R342">
        <v>341</v>
      </c>
    </row>
    <row r="343" spans="18:18">
      <c r="R343">
        <v>342</v>
      </c>
    </row>
    <row r="344" spans="18:18">
      <c r="R344">
        <v>343</v>
      </c>
    </row>
    <row r="345" spans="18:18">
      <c r="R345">
        <v>344</v>
      </c>
    </row>
    <row r="346" spans="18:18">
      <c r="R346">
        <v>345</v>
      </c>
    </row>
    <row r="347" spans="18:18">
      <c r="R347">
        <v>346</v>
      </c>
    </row>
    <row r="348" spans="18:18">
      <c r="R348">
        <v>347</v>
      </c>
    </row>
    <row r="349" spans="18:18">
      <c r="R349">
        <v>348</v>
      </c>
    </row>
    <row r="350" spans="18:18">
      <c r="R350">
        <v>349</v>
      </c>
    </row>
    <row r="351" spans="18:18">
      <c r="R351">
        <v>350</v>
      </c>
    </row>
    <row r="352" spans="18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FCCF3-163B-4AB1-BAFB-94F08BE995AA}">
  <sheetPr codeName="Sheet6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27.710937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30</v>
      </c>
      <c r="C2">
        <v>18</v>
      </c>
      <c r="D2">
        <v>12</v>
      </c>
      <c r="E2">
        <v>2.61</v>
      </c>
      <c r="F2">
        <v>1835</v>
      </c>
      <c r="G2">
        <v>642</v>
      </c>
      <c r="H2">
        <v>1426</v>
      </c>
      <c r="I2">
        <v>285</v>
      </c>
      <c r="J2">
        <v>396</v>
      </c>
      <c r="K2">
        <v>231</v>
      </c>
      <c r="L2">
        <v>694</v>
      </c>
      <c r="M2">
        <v>405</v>
      </c>
      <c r="N2">
        <v>262</v>
      </c>
      <c r="O2">
        <v>51</v>
      </c>
      <c r="P2">
        <v>295</v>
      </c>
      <c r="Q2">
        <v>484</v>
      </c>
      <c r="R2">
        <v>1</v>
      </c>
    </row>
    <row r="3" spans="1:18">
      <c r="A3" s="1" t="s">
        <v>18</v>
      </c>
      <c r="B3">
        <v>29</v>
      </c>
      <c r="C3">
        <v>19</v>
      </c>
      <c r="D3">
        <v>10</v>
      </c>
      <c r="E3">
        <v>1.67</v>
      </c>
      <c r="F3">
        <v>2082</v>
      </c>
      <c r="G3">
        <v>727</v>
      </c>
      <c r="H3">
        <v>1633</v>
      </c>
      <c r="I3">
        <v>398</v>
      </c>
      <c r="J3">
        <v>590</v>
      </c>
      <c r="K3">
        <v>308</v>
      </c>
      <c r="L3">
        <v>984</v>
      </c>
      <c r="M3">
        <v>469</v>
      </c>
      <c r="N3">
        <v>198</v>
      </c>
      <c r="O3">
        <v>111</v>
      </c>
      <c r="P3">
        <v>388</v>
      </c>
      <c r="Q3">
        <v>546</v>
      </c>
      <c r="R3">
        <v>2</v>
      </c>
    </row>
    <row r="4" spans="1:18">
      <c r="A4" s="1" t="s">
        <v>19</v>
      </c>
      <c r="B4">
        <v>32</v>
      </c>
      <c r="C4">
        <v>18</v>
      </c>
      <c r="D4">
        <v>14</v>
      </c>
      <c r="E4">
        <v>-12.86</v>
      </c>
      <c r="F4">
        <v>2229</v>
      </c>
      <c r="G4">
        <v>762</v>
      </c>
      <c r="H4">
        <v>1899</v>
      </c>
      <c r="I4">
        <v>507</v>
      </c>
      <c r="J4">
        <v>827</v>
      </c>
      <c r="K4">
        <v>423</v>
      </c>
      <c r="L4">
        <v>1210</v>
      </c>
      <c r="M4">
        <v>426</v>
      </c>
      <c r="N4">
        <v>338</v>
      </c>
      <c r="O4">
        <v>124</v>
      </c>
      <c r="P4">
        <v>488</v>
      </c>
      <c r="Q4">
        <v>619</v>
      </c>
      <c r="R4">
        <v>3</v>
      </c>
    </row>
    <row r="5" spans="1:18">
      <c r="A5" s="1" t="s">
        <v>20</v>
      </c>
      <c r="B5">
        <v>33</v>
      </c>
      <c r="C5">
        <v>22</v>
      </c>
      <c r="D5">
        <v>11</v>
      </c>
      <c r="E5">
        <v>4.78</v>
      </c>
      <c r="F5">
        <v>2557</v>
      </c>
      <c r="G5">
        <v>900</v>
      </c>
      <c r="H5">
        <v>1996</v>
      </c>
      <c r="I5">
        <v>540</v>
      </c>
      <c r="J5">
        <v>776</v>
      </c>
      <c r="K5">
        <v>390</v>
      </c>
      <c r="L5">
        <v>1090</v>
      </c>
      <c r="M5">
        <v>516</v>
      </c>
      <c r="N5">
        <v>382</v>
      </c>
      <c r="O5">
        <v>99</v>
      </c>
      <c r="P5">
        <v>444</v>
      </c>
      <c r="Q5">
        <v>646</v>
      </c>
      <c r="R5">
        <v>4</v>
      </c>
    </row>
    <row r="6" spans="1:18">
      <c r="A6" s="1" t="s">
        <v>21</v>
      </c>
      <c r="B6">
        <v>30</v>
      </c>
      <c r="C6">
        <v>15</v>
      </c>
      <c r="D6">
        <v>15</v>
      </c>
      <c r="E6">
        <v>-11.66</v>
      </c>
      <c r="F6">
        <v>1739</v>
      </c>
      <c r="G6">
        <v>583</v>
      </c>
      <c r="H6">
        <v>1530</v>
      </c>
      <c r="I6">
        <v>437</v>
      </c>
      <c r="J6">
        <v>673</v>
      </c>
      <c r="K6">
        <v>338</v>
      </c>
      <c r="L6">
        <v>1010</v>
      </c>
      <c r="M6">
        <v>311</v>
      </c>
      <c r="N6">
        <v>201</v>
      </c>
      <c r="O6">
        <v>60</v>
      </c>
      <c r="P6">
        <v>473</v>
      </c>
      <c r="Q6">
        <v>524</v>
      </c>
      <c r="R6">
        <v>5</v>
      </c>
    </row>
    <row r="7" spans="1:18">
      <c r="A7" s="1" t="s">
        <v>22</v>
      </c>
      <c r="B7">
        <v>32</v>
      </c>
      <c r="C7">
        <v>24</v>
      </c>
      <c r="D7">
        <v>8</v>
      </c>
      <c r="E7">
        <v>6.81</v>
      </c>
      <c r="F7">
        <v>2426</v>
      </c>
      <c r="G7">
        <v>819</v>
      </c>
      <c r="H7">
        <v>1694</v>
      </c>
      <c r="I7">
        <v>539</v>
      </c>
      <c r="J7">
        <v>732</v>
      </c>
      <c r="K7">
        <v>334</v>
      </c>
      <c r="L7">
        <v>1179</v>
      </c>
      <c r="M7">
        <v>453</v>
      </c>
      <c r="N7">
        <v>164</v>
      </c>
      <c r="O7">
        <v>143</v>
      </c>
      <c r="P7">
        <v>410</v>
      </c>
      <c r="Q7">
        <v>471</v>
      </c>
      <c r="R7">
        <v>6</v>
      </c>
    </row>
    <row r="8" spans="1:18">
      <c r="A8" s="1" t="s">
        <v>23</v>
      </c>
      <c r="B8">
        <v>28</v>
      </c>
      <c r="C8">
        <v>13</v>
      </c>
      <c r="D8">
        <v>15</v>
      </c>
      <c r="E8">
        <v>-5.31</v>
      </c>
      <c r="F8">
        <v>1886</v>
      </c>
      <c r="G8">
        <v>644</v>
      </c>
      <c r="H8">
        <v>1472</v>
      </c>
      <c r="I8">
        <v>424</v>
      </c>
      <c r="J8">
        <v>587</v>
      </c>
      <c r="K8">
        <v>310</v>
      </c>
      <c r="L8">
        <v>944</v>
      </c>
      <c r="M8">
        <v>366</v>
      </c>
      <c r="N8">
        <v>225</v>
      </c>
      <c r="O8">
        <v>68</v>
      </c>
      <c r="P8">
        <v>414</v>
      </c>
      <c r="Q8">
        <v>484</v>
      </c>
      <c r="R8">
        <v>7</v>
      </c>
    </row>
    <row r="9" spans="1:18">
      <c r="A9" s="1" t="s">
        <v>24</v>
      </c>
      <c r="B9">
        <v>29</v>
      </c>
      <c r="C9">
        <v>7</v>
      </c>
      <c r="D9">
        <v>22</v>
      </c>
      <c r="E9">
        <v>-11.31</v>
      </c>
      <c r="F9">
        <v>1677</v>
      </c>
      <c r="G9">
        <v>583</v>
      </c>
      <c r="H9">
        <v>1538</v>
      </c>
      <c r="I9">
        <v>371</v>
      </c>
      <c r="J9">
        <v>618</v>
      </c>
      <c r="K9">
        <v>316</v>
      </c>
      <c r="L9">
        <v>960</v>
      </c>
      <c r="M9">
        <v>327</v>
      </c>
      <c r="N9">
        <v>222</v>
      </c>
      <c r="O9">
        <v>103</v>
      </c>
      <c r="P9">
        <v>572</v>
      </c>
      <c r="Q9">
        <v>668</v>
      </c>
      <c r="R9">
        <v>8</v>
      </c>
    </row>
    <row r="10" spans="1:18">
      <c r="A10" s="1" t="s">
        <v>25</v>
      </c>
      <c r="B10">
        <v>28</v>
      </c>
      <c r="C10">
        <v>16</v>
      </c>
      <c r="D10">
        <v>12</v>
      </c>
      <c r="E10">
        <v>-4.3</v>
      </c>
      <c r="F10">
        <v>1881</v>
      </c>
      <c r="G10">
        <v>680</v>
      </c>
      <c r="H10">
        <v>1505</v>
      </c>
      <c r="I10">
        <v>343</v>
      </c>
      <c r="J10">
        <v>481</v>
      </c>
      <c r="K10">
        <v>281</v>
      </c>
      <c r="L10">
        <v>987</v>
      </c>
      <c r="M10">
        <v>361</v>
      </c>
      <c r="N10">
        <v>184</v>
      </c>
      <c r="O10">
        <v>78</v>
      </c>
      <c r="P10">
        <v>420</v>
      </c>
      <c r="Q10">
        <v>502</v>
      </c>
      <c r="R10">
        <v>9</v>
      </c>
    </row>
    <row r="11" spans="1:18">
      <c r="A11" s="1" t="s">
        <v>271</v>
      </c>
      <c r="B11">
        <v>30</v>
      </c>
      <c r="C11">
        <v>18</v>
      </c>
      <c r="D11">
        <v>12</v>
      </c>
      <c r="E11">
        <v>-4.04</v>
      </c>
      <c r="F11">
        <v>2192</v>
      </c>
      <c r="G11">
        <v>797</v>
      </c>
      <c r="H11">
        <v>1801</v>
      </c>
      <c r="I11">
        <v>340</v>
      </c>
      <c r="J11">
        <v>521</v>
      </c>
      <c r="K11">
        <v>365</v>
      </c>
      <c r="L11">
        <v>1050</v>
      </c>
      <c r="M11">
        <v>485</v>
      </c>
      <c r="N11">
        <v>296</v>
      </c>
      <c r="O11">
        <v>138</v>
      </c>
      <c r="P11">
        <v>447</v>
      </c>
      <c r="Q11">
        <v>518</v>
      </c>
      <c r="R11">
        <v>10</v>
      </c>
    </row>
    <row r="12" spans="1:18">
      <c r="A12" s="1" t="s">
        <v>26</v>
      </c>
      <c r="B12">
        <v>32</v>
      </c>
      <c r="C12">
        <v>18</v>
      </c>
      <c r="D12">
        <v>14</v>
      </c>
      <c r="E12">
        <v>5.36</v>
      </c>
      <c r="F12">
        <v>2433</v>
      </c>
      <c r="G12">
        <v>832</v>
      </c>
      <c r="H12">
        <v>1841</v>
      </c>
      <c r="I12">
        <v>551</v>
      </c>
      <c r="J12">
        <v>770</v>
      </c>
      <c r="K12">
        <v>413</v>
      </c>
      <c r="L12">
        <v>1174</v>
      </c>
      <c r="M12">
        <v>530</v>
      </c>
      <c r="N12">
        <v>201</v>
      </c>
      <c r="O12">
        <v>116</v>
      </c>
      <c r="P12">
        <v>467</v>
      </c>
      <c r="Q12">
        <v>604</v>
      </c>
      <c r="R12">
        <v>11</v>
      </c>
    </row>
    <row r="13" spans="1:18">
      <c r="A13" s="1" t="s">
        <v>356</v>
      </c>
      <c r="B13">
        <v>37</v>
      </c>
      <c r="C13">
        <v>30</v>
      </c>
      <c r="D13">
        <v>7</v>
      </c>
      <c r="E13">
        <v>8.0299999999999994</v>
      </c>
      <c r="F13">
        <v>2948</v>
      </c>
      <c r="G13">
        <v>1077</v>
      </c>
      <c r="H13">
        <v>2255</v>
      </c>
      <c r="I13">
        <v>541</v>
      </c>
      <c r="J13">
        <v>697</v>
      </c>
      <c r="K13">
        <v>493</v>
      </c>
      <c r="L13">
        <v>1361</v>
      </c>
      <c r="M13">
        <v>610</v>
      </c>
      <c r="N13">
        <v>296</v>
      </c>
      <c r="O13">
        <v>144</v>
      </c>
      <c r="P13">
        <v>548</v>
      </c>
      <c r="Q13">
        <v>596</v>
      </c>
      <c r="R13">
        <v>12</v>
      </c>
    </row>
    <row r="14" spans="1:18">
      <c r="A14" s="1" t="s">
        <v>27</v>
      </c>
      <c r="B14">
        <v>28</v>
      </c>
      <c r="C14">
        <v>18</v>
      </c>
      <c r="D14">
        <v>10</v>
      </c>
      <c r="E14">
        <v>0.9</v>
      </c>
      <c r="F14">
        <v>1891</v>
      </c>
      <c r="G14">
        <v>668</v>
      </c>
      <c r="H14">
        <v>1467</v>
      </c>
      <c r="I14">
        <v>413</v>
      </c>
      <c r="J14">
        <v>568</v>
      </c>
      <c r="K14">
        <v>289</v>
      </c>
      <c r="L14">
        <v>922</v>
      </c>
      <c r="M14">
        <v>372</v>
      </c>
      <c r="N14">
        <v>187</v>
      </c>
      <c r="O14">
        <v>89</v>
      </c>
      <c r="P14">
        <v>423</v>
      </c>
      <c r="Q14">
        <v>542</v>
      </c>
      <c r="R14">
        <v>13</v>
      </c>
    </row>
    <row r="15" spans="1:18">
      <c r="A15" s="1" t="s">
        <v>28</v>
      </c>
      <c r="B15">
        <v>28</v>
      </c>
      <c r="C15">
        <v>7</v>
      </c>
      <c r="D15">
        <v>21</v>
      </c>
      <c r="E15">
        <v>-10.29</v>
      </c>
      <c r="F15">
        <v>1654</v>
      </c>
      <c r="G15">
        <v>622</v>
      </c>
      <c r="H15">
        <v>1602</v>
      </c>
      <c r="I15">
        <v>291</v>
      </c>
      <c r="J15">
        <v>448</v>
      </c>
      <c r="K15">
        <v>321</v>
      </c>
      <c r="L15">
        <v>1009</v>
      </c>
      <c r="M15">
        <v>330</v>
      </c>
      <c r="N15">
        <v>192</v>
      </c>
      <c r="O15">
        <v>139</v>
      </c>
      <c r="P15">
        <v>457</v>
      </c>
      <c r="Q15">
        <v>488</v>
      </c>
      <c r="R15">
        <v>14</v>
      </c>
    </row>
    <row r="16" spans="1:18">
      <c r="A16" s="1" t="s">
        <v>29</v>
      </c>
      <c r="B16">
        <v>29</v>
      </c>
      <c r="C16">
        <v>16</v>
      </c>
      <c r="D16">
        <v>13</v>
      </c>
      <c r="E16">
        <v>-1.86</v>
      </c>
      <c r="F16">
        <v>2207</v>
      </c>
      <c r="G16">
        <v>798</v>
      </c>
      <c r="H16">
        <v>1749</v>
      </c>
      <c r="I16">
        <v>432</v>
      </c>
      <c r="J16">
        <v>645</v>
      </c>
      <c r="K16">
        <v>392</v>
      </c>
      <c r="L16">
        <v>1103</v>
      </c>
      <c r="M16">
        <v>427</v>
      </c>
      <c r="N16">
        <v>201</v>
      </c>
      <c r="O16">
        <v>82</v>
      </c>
      <c r="P16">
        <v>426</v>
      </c>
      <c r="Q16">
        <v>593</v>
      </c>
      <c r="R16">
        <v>15</v>
      </c>
    </row>
    <row r="17" spans="1:18">
      <c r="A17" s="1" t="s">
        <v>302</v>
      </c>
      <c r="B17">
        <v>30</v>
      </c>
      <c r="C17">
        <v>18</v>
      </c>
      <c r="D17">
        <v>12</v>
      </c>
      <c r="E17">
        <v>3.6</v>
      </c>
      <c r="F17">
        <v>2147</v>
      </c>
      <c r="G17">
        <v>773</v>
      </c>
      <c r="H17">
        <v>1692</v>
      </c>
      <c r="I17">
        <v>419</v>
      </c>
      <c r="J17">
        <v>632</v>
      </c>
      <c r="K17">
        <v>369</v>
      </c>
      <c r="L17">
        <v>1022</v>
      </c>
      <c r="M17">
        <v>435</v>
      </c>
      <c r="N17">
        <v>262</v>
      </c>
      <c r="O17">
        <v>156</v>
      </c>
      <c r="P17">
        <v>427</v>
      </c>
      <c r="Q17">
        <v>555</v>
      </c>
      <c r="R17">
        <v>16</v>
      </c>
    </row>
    <row r="18" spans="1:18">
      <c r="A18" s="1" t="s">
        <v>30</v>
      </c>
      <c r="B18">
        <v>27</v>
      </c>
      <c r="C18">
        <v>3</v>
      </c>
      <c r="D18">
        <v>24</v>
      </c>
      <c r="E18">
        <v>-5.39</v>
      </c>
      <c r="F18">
        <v>1510</v>
      </c>
      <c r="G18">
        <v>522</v>
      </c>
      <c r="H18">
        <v>1297</v>
      </c>
      <c r="I18">
        <v>296</v>
      </c>
      <c r="J18">
        <v>385</v>
      </c>
      <c r="K18">
        <v>173</v>
      </c>
      <c r="L18">
        <v>750</v>
      </c>
      <c r="M18">
        <v>309</v>
      </c>
      <c r="N18">
        <v>141</v>
      </c>
      <c r="O18">
        <v>44</v>
      </c>
      <c r="P18">
        <v>415</v>
      </c>
      <c r="Q18">
        <v>441</v>
      </c>
      <c r="R18">
        <v>17</v>
      </c>
    </row>
    <row r="19" spans="1:18">
      <c r="A19" s="1" t="s">
        <v>272</v>
      </c>
      <c r="B19">
        <v>31</v>
      </c>
      <c r="C19">
        <v>14</v>
      </c>
      <c r="D19">
        <v>17</v>
      </c>
      <c r="E19">
        <v>6.6</v>
      </c>
      <c r="F19">
        <v>2191</v>
      </c>
      <c r="G19">
        <v>757</v>
      </c>
      <c r="H19">
        <v>1794</v>
      </c>
      <c r="I19">
        <v>418</v>
      </c>
      <c r="J19">
        <v>576</v>
      </c>
      <c r="K19">
        <v>350</v>
      </c>
      <c r="L19">
        <v>1027</v>
      </c>
      <c r="M19">
        <v>402</v>
      </c>
      <c r="N19">
        <v>228</v>
      </c>
      <c r="O19">
        <v>60</v>
      </c>
      <c r="P19">
        <v>449</v>
      </c>
      <c r="Q19">
        <v>624</v>
      </c>
      <c r="R19">
        <v>18</v>
      </c>
    </row>
    <row r="20" spans="1:18">
      <c r="A20" s="1" t="s">
        <v>31</v>
      </c>
      <c r="B20">
        <v>32</v>
      </c>
      <c r="C20">
        <v>13</v>
      </c>
      <c r="D20">
        <v>19</v>
      </c>
      <c r="E20">
        <v>-1.97</v>
      </c>
      <c r="F20">
        <v>2090</v>
      </c>
      <c r="G20">
        <v>741</v>
      </c>
      <c r="H20">
        <v>1708</v>
      </c>
      <c r="I20">
        <v>416</v>
      </c>
      <c r="J20">
        <v>612</v>
      </c>
      <c r="K20">
        <v>339</v>
      </c>
      <c r="L20">
        <v>1018</v>
      </c>
      <c r="M20">
        <v>413</v>
      </c>
      <c r="N20">
        <v>220</v>
      </c>
      <c r="O20">
        <v>79</v>
      </c>
      <c r="P20">
        <v>457</v>
      </c>
      <c r="Q20">
        <v>616</v>
      </c>
      <c r="R20">
        <v>19</v>
      </c>
    </row>
    <row r="21" spans="1:18">
      <c r="A21" s="1" t="s">
        <v>273</v>
      </c>
      <c r="B21">
        <v>28</v>
      </c>
      <c r="C21">
        <v>15</v>
      </c>
      <c r="D21">
        <v>13</v>
      </c>
      <c r="E21">
        <v>3.31</v>
      </c>
      <c r="F21">
        <v>1990</v>
      </c>
      <c r="G21">
        <v>691</v>
      </c>
      <c r="H21">
        <v>1589</v>
      </c>
      <c r="I21">
        <v>404</v>
      </c>
      <c r="J21">
        <v>588</v>
      </c>
      <c r="K21">
        <v>353</v>
      </c>
      <c r="L21">
        <v>971</v>
      </c>
      <c r="M21">
        <v>334</v>
      </c>
      <c r="N21">
        <v>155</v>
      </c>
      <c r="O21">
        <v>69</v>
      </c>
      <c r="P21">
        <v>341</v>
      </c>
      <c r="Q21">
        <v>512</v>
      </c>
      <c r="R21">
        <v>20</v>
      </c>
    </row>
    <row r="22" spans="1:18">
      <c r="A22" s="1" t="s">
        <v>32</v>
      </c>
      <c r="B22">
        <v>28</v>
      </c>
      <c r="C22">
        <v>9</v>
      </c>
      <c r="D22">
        <v>19</v>
      </c>
      <c r="E22">
        <v>4.0999999999999996</v>
      </c>
      <c r="F22">
        <v>1863</v>
      </c>
      <c r="G22">
        <v>640</v>
      </c>
      <c r="H22">
        <v>1442</v>
      </c>
      <c r="I22">
        <v>366</v>
      </c>
      <c r="J22">
        <v>524</v>
      </c>
      <c r="K22">
        <v>297</v>
      </c>
      <c r="L22">
        <v>776</v>
      </c>
      <c r="M22">
        <v>373</v>
      </c>
      <c r="N22">
        <v>213</v>
      </c>
      <c r="O22">
        <v>53</v>
      </c>
      <c r="P22">
        <v>444</v>
      </c>
      <c r="Q22">
        <v>493</v>
      </c>
      <c r="R22">
        <v>21</v>
      </c>
    </row>
    <row r="23" spans="1:18">
      <c r="A23" s="1" t="s">
        <v>33</v>
      </c>
      <c r="B23">
        <v>30</v>
      </c>
      <c r="C23">
        <v>14</v>
      </c>
      <c r="D23">
        <v>16</v>
      </c>
      <c r="E23">
        <v>-7.32</v>
      </c>
      <c r="F23">
        <v>2108</v>
      </c>
      <c r="G23">
        <v>717</v>
      </c>
      <c r="H23">
        <v>1679</v>
      </c>
      <c r="I23">
        <v>382</v>
      </c>
      <c r="J23">
        <v>565</v>
      </c>
      <c r="K23">
        <v>282</v>
      </c>
      <c r="L23">
        <v>954</v>
      </c>
      <c r="M23">
        <v>414</v>
      </c>
      <c r="N23">
        <v>224</v>
      </c>
      <c r="O23">
        <v>96</v>
      </c>
      <c r="P23">
        <v>434</v>
      </c>
      <c r="Q23">
        <v>584</v>
      </c>
      <c r="R23">
        <v>22</v>
      </c>
    </row>
    <row r="24" spans="1:18">
      <c r="A24" s="1" t="s">
        <v>34</v>
      </c>
      <c r="B24">
        <v>30</v>
      </c>
      <c r="C24">
        <v>13</v>
      </c>
      <c r="D24">
        <v>17</v>
      </c>
      <c r="E24">
        <v>-11.67</v>
      </c>
      <c r="F24">
        <v>1931</v>
      </c>
      <c r="G24">
        <v>711</v>
      </c>
      <c r="H24">
        <v>1638</v>
      </c>
      <c r="I24">
        <v>316</v>
      </c>
      <c r="J24">
        <v>526</v>
      </c>
      <c r="K24">
        <v>280</v>
      </c>
      <c r="L24">
        <v>953</v>
      </c>
      <c r="M24">
        <v>407</v>
      </c>
      <c r="N24">
        <v>243</v>
      </c>
      <c r="O24">
        <v>73</v>
      </c>
      <c r="P24">
        <v>490</v>
      </c>
      <c r="Q24">
        <v>577</v>
      </c>
      <c r="R24">
        <v>23</v>
      </c>
    </row>
    <row r="25" spans="1:18">
      <c r="A25" s="1" t="s">
        <v>303</v>
      </c>
      <c r="B25">
        <v>29</v>
      </c>
      <c r="C25">
        <v>12</v>
      </c>
      <c r="D25">
        <v>17</v>
      </c>
      <c r="E25">
        <v>-2.57</v>
      </c>
      <c r="F25">
        <v>1784</v>
      </c>
      <c r="G25">
        <v>624</v>
      </c>
      <c r="H25">
        <v>1589</v>
      </c>
      <c r="I25">
        <v>342</v>
      </c>
      <c r="J25">
        <v>521</v>
      </c>
      <c r="K25">
        <v>359</v>
      </c>
      <c r="L25">
        <v>1008</v>
      </c>
      <c r="M25">
        <v>302</v>
      </c>
      <c r="N25">
        <v>194</v>
      </c>
      <c r="O25">
        <v>87</v>
      </c>
      <c r="P25">
        <v>394</v>
      </c>
      <c r="Q25">
        <v>579</v>
      </c>
      <c r="R25">
        <v>24</v>
      </c>
    </row>
    <row r="26" spans="1:18">
      <c r="A26" s="1" t="s">
        <v>317</v>
      </c>
      <c r="B26">
        <v>30</v>
      </c>
      <c r="C26">
        <v>16</v>
      </c>
      <c r="D26">
        <v>14</v>
      </c>
      <c r="E26">
        <v>-8.24</v>
      </c>
      <c r="F26">
        <v>1974</v>
      </c>
      <c r="G26">
        <v>644</v>
      </c>
      <c r="H26">
        <v>1446</v>
      </c>
      <c r="I26">
        <v>479</v>
      </c>
      <c r="J26">
        <v>664</v>
      </c>
      <c r="L26">
        <v>996</v>
      </c>
      <c r="M26">
        <v>335</v>
      </c>
      <c r="N26">
        <v>157</v>
      </c>
      <c r="O26">
        <v>66</v>
      </c>
      <c r="P26">
        <v>400</v>
      </c>
      <c r="Q26">
        <v>587</v>
      </c>
      <c r="R26">
        <v>25</v>
      </c>
    </row>
    <row r="27" spans="1:18">
      <c r="A27" s="1" t="s">
        <v>35</v>
      </c>
      <c r="B27">
        <v>34</v>
      </c>
      <c r="C27">
        <v>16</v>
      </c>
      <c r="D27">
        <v>18</v>
      </c>
      <c r="E27">
        <v>0.61</v>
      </c>
      <c r="F27">
        <v>2393</v>
      </c>
      <c r="G27">
        <v>856</v>
      </c>
      <c r="H27">
        <v>1987</v>
      </c>
      <c r="I27">
        <v>418</v>
      </c>
      <c r="J27">
        <v>610</v>
      </c>
      <c r="K27">
        <v>427</v>
      </c>
      <c r="L27">
        <v>1193</v>
      </c>
      <c r="M27">
        <v>456</v>
      </c>
      <c r="N27">
        <v>178</v>
      </c>
      <c r="O27">
        <v>80</v>
      </c>
      <c r="P27">
        <v>507</v>
      </c>
      <c r="Q27">
        <v>629</v>
      </c>
      <c r="R27">
        <v>26</v>
      </c>
    </row>
    <row r="28" spans="1:18">
      <c r="A28" s="1" t="s">
        <v>36</v>
      </c>
      <c r="B28">
        <v>30</v>
      </c>
      <c r="C28">
        <v>25</v>
      </c>
      <c r="D28">
        <v>5</v>
      </c>
      <c r="E28">
        <v>6.41</v>
      </c>
      <c r="F28">
        <v>2174</v>
      </c>
      <c r="G28">
        <v>768</v>
      </c>
      <c r="H28">
        <v>1685</v>
      </c>
      <c r="I28">
        <v>514</v>
      </c>
      <c r="J28">
        <v>722</v>
      </c>
      <c r="K28">
        <v>424</v>
      </c>
      <c r="L28">
        <v>1135</v>
      </c>
      <c r="M28">
        <v>527</v>
      </c>
      <c r="N28">
        <v>217</v>
      </c>
      <c r="O28">
        <v>123</v>
      </c>
      <c r="P28">
        <v>403</v>
      </c>
      <c r="Q28">
        <v>453</v>
      </c>
      <c r="R28">
        <v>27</v>
      </c>
    </row>
    <row r="29" spans="1:18">
      <c r="A29" s="1" t="s">
        <v>37</v>
      </c>
      <c r="B29">
        <v>29</v>
      </c>
      <c r="C29">
        <v>20</v>
      </c>
      <c r="D29">
        <v>9</v>
      </c>
      <c r="E29">
        <v>-3.86</v>
      </c>
      <c r="F29">
        <v>1822</v>
      </c>
      <c r="G29">
        <v>659</v>
      </c>
      <c r="H29">
        <v>1531</v>
      </c>
      <c r="I29">
        <v>374</v>
      </c>
      <c r="J29">
        <v>556</v>
      </c>
      <c r="K29">
        <v>323</v>
      </c>
      <c r="L29">
        <v>1030</v>
      </c>
      <c r="M29">
        <v>356</v>
      </c>
      <c r="N29">
        <v>202</v>
      </c>
      <c r="O29">
        <v>143</v>
      </c>
      <c r="P29">
        <v>350</v>
      </c>
      <c r="Q29">
        <v>453</v>
      </c>
      <c r="R29">
        <v>28</v>
      </c>
    </row>
    <row r="30" spans="1:18">
      <c r="A30" s="1" t="s">
        <v>38</v>
      </c>
      <c r="B30">
        <v>29</v>
      </c>
      <c r="C30">
        <v>18</v>
      </c>
      <c r="D30">
        <v>11</v>
      </c>
      <c r="E30">
        <v>1.76</v>
      </c>
      <c r="F30">
        <v>2023</v>
      </c>
      <c r="G30">
        <v>718</v>
      </c>
      <c r="H30">
        <v>1471</v>
      </c>
      <c r="I30">
        <v>400</v>
      </c>
      <c r="J30">
        <v>535</v>
      </c>
      <c r="K30">
        <v>254</v>
      </c>
      <c r="L30">
        <v>902</v>
      </c>
      <c r="M30">
        <v>488</v>
      </c>
      <c r="N30">
        <v>196</v>
      </c>
      <c r="O30">
        <v>110</v>
      </c>
      <c r="P30">
        <v>435</v>
      </c>
      <c r="Q30">
        <v>619</v>
      </c>
      <c r="R30">
        <v>29</v>
      </c>
    </row>
    <row r="31" spans="1:18">
      <c r="A31" s="1" t="s">
        <v>39</v>
      </c>
      <c r="B31">
        <v>28</v>
      </c>
      <c r="C31">
        <v>13</v>
      </c>
      <c r="D31">
        <v>15</v>
      </c>
      <c r="E31">
        <v>4.55</v>
      </c>
      <c r="F31">
        <v>1959</v>
      </c>
      <c r="G31">
        <v>699</v>
      </c>
      <c r="H31">
        <v>1613</v>
      </c>
      <c r="I31">
        <v>410</v>
      </c>
      <c r="J31">
        <v>577</v>
      </c>
      <c r="K31">
        <v>350</v>
      </c>
      <c r="L31">
        <v>1046</v>
      </c>
      <c r="M31">
        <v>379</v>
      </c>
      <c r="N31">
        <v>208</v>
      </c>
      <c r="O31">
        <v>137</v>
      </c>
      <c r="P31">
        <v>446</v>
      </c>
      <c r="Q31">
        <v>590</v>
      </c>
      <c r="R31">
        <v>30</v>
      </c>
    </row>
    <row r="32" spans="1:18">
      <c r="A32" s="1" t="s">
        <v>40</v>
      </c>
      <c r="B32">
        <v>30</v>
      </c>
      <c r="C32">
        <v>9</v>
      </c>
      <c r="D32">
        <v>21</v>
      </c>
      <c r="E32">
        <v>6.69</v>
      </c>
      <c r="F32">
        <v>1972</v>
      </c>
      <c r="G32">
        <v>690</v>
      </c>
      <c r="H32">
        <v>1648</v>
      </c>
      <c r="I32">
        <v>381</v>
      </c>
      <c r="J32">
        <v>530</v>
      </c>
      <c r="K32">
        <v>347</v>
      </c>
      <c r="L32">
        <v>1017</v>
      </c>
      <c r="M32">
        <v>370</v>
      </c>
      <c r="N32">
        <v>183</v>
      </c>
      <c r="O32">
        <v>104</v>
      </c>
      <c r="P32">
        <v>439</v>
      </c>
      <c r="Q32">
        <v>551</v>
      </c>
      <c r="R32">
        <v>31</v>
      </c>
    </row>
    <row r="33" spans="1:18">
      <c r="A33" s="1" t="s">
        <v>41</v>
      </c>
      <c r="B33">
        <v>28</v>
      </c>
      <c r="C33">
        <v>12</v>
      </c>
      <c r="D33">
        <v>16</v>
      </c>
      <c r="E33">
        <v>-5.54</v>
      </c>
      <c r="F33">
        <v>1849</v>
      </c>
      <c r="G33">
        <v>620</v>
      </c>
      <c r="H33">
        <v>1481</v>
      </c>
      <c r="I33">
        <v>408</v>
      </c>
      <c r="J33">
        <v>586</v>
      </c>
      <c r="K33">
        <v>277</v>
      </c>
      <c r="L33">
        <v>884</v>
      </c>
      <c r="M33">
        <v>374</v>
      </c>
      <c r="N33">
        <v>252</v>
      </c>
      <c r="O33">
        <v>67</v>
      </c>
      <c r="P33">
        <v>401</v>
      </c>
      <c r="Q33">
        <v>454</v>
      </c>
      <c r="R33">
        <v>32</v>
      </c>
    </row>
    <row r="34" spans="1:18">
      <c r="A34" s="1" t="s">
        <v>42</v>
      </c>
      <c r="B34">
        <v>33</v>
      </c>
      <c r="C34">
        <v>23</v>
      </c>
      <c r="D34">
        <v>10</v>
      </c>
      <c r="E34">
        <v>-2.19</v>
      </c>
      <c r="F34">
        <v>2097</v>
      </c>
      <c r="G34">
        <v>704</v>
      </c>
      <c r="H34">
        <v>1585</v>
      </c>
      <c r="I34">
        <v>471</v>
      </c>
      <c r="J34">
        <v>672</v>
      </c>
      <c r="K34">
        <v>306</v>
      </c>
      <c r="L34">
        <v>1044</v>
      </c>
      <c r="M34">
        <v>416</v>
      </c>
      <c r="N34">
        <v>262</v>
      </c>
      <c r="O34">
        <v>96</v>
      </c>
      <c r="P34">
        <v>508</v>
      </c>
      <c r="Q34">
        <v>630</v>
      </c>
      <c r="R34">
        <v>33</v>
      </c>
    </row>
    <row r="35" spans="1:18">
      <c r="A35" s="1" t="s">
        <v>43</v>
      </c>
      <c r="B35">
        <v>33</v>
      </c>
      <c r="C35">
        <v>23</v>
      </c>
      <c r="D35">
        <v>10</v>
      </c>
      <c r="E35">
        <v>2.39</v>
      </c>
      <c r="F35">
        <v>2462</v>
      </c>
      <c r="G35">
        <v>876</v>
      </c>
      <c r="H35">
        <v>1946</v>
      </c>
      <c r="I35">
        <v>490</v>
      </c>
      <c r="J35">
        <v>717</v>
      </c>
      <c r="K35">
        <v>426</v>
      </c>
      <c r="L35">
        <v>1237</v>
      </c>
      <c r="M35">
        <v>460</v>
      </c>
      <c r="N35">
        <v>290</v>
      </c>
      <c r="O35">
        <v>86</v>
      </c>
      <c r="P35">
        <v>510</v>
      </c>
      <c r="Q35">
        <v>711</v>
      </c>
      <c r="R35">
        <v>34</v>
      </c>
    </row>
    <row r="36" spans="1:18">
      <c r="A36" s="1" t="s">
        <v>304</v>
      </c>
      <c r="B36">
        <v>28</v>
      </c>
      <c r="C36">
        <v>13</v>
      </c>
      <c r="D36">
        <v>15</v>
      </c>
      <c r="E36">
        <v>-0.85</v>
      </c>
      <c r="F36">
        <v>1811</v>
      </c>
      <c r="G36">
        <v>625</v>
      </c>
      <c r="H36">
        <v>1373</v>
      </c>
      <c r="I36">
        <v>325</v>
      </c>
      <c r="J36">
        <v>440</v>
      </c>
      <c r="K36">
        <v>181</v>
      </c>
      <c r="L36">
        <v>730</v>
      </c>
      <c r="M36">
        <v>332</v>
      </c>
      <c r="N36">
        <v>133</v>
      </c>
      <c r="O36">
        <v>57</v>
      </c>
      <c r="P36">
        <v>282</v>
      </c>
      <c r="Q36">
        <v>462</v>
      </c>
      <c r="R36">
        <v>35</v>
      </c>
    </row>
    <row r="37" spans="1:18">
      <c r="A37" s="1" t="s">
        <v>44</v>
      </c>
      <c r="B37">
        <v>27</v>
      </c>
      <c r="C37">
        <v>5</v>
      </c>
      <c r="D37">
        <v>22</v>
      </c>
      <c r="E37">
        <v>-0.55000000000000004</v>
      </c>
      <c r="F37">
        <v>1834</v>
      </c>
      <c r="G37">
        <v>633</v>
      </c>
      <c r="H37">
        <v>1494</v>
      </c>
      <c r="I37">
        <v>378</v>
      </c>
      <c r="J37">
        <v>510</v>
      </c>
      <c r="K37">
        <v>274</v>
      </c>
      <c r="L37">
        <v>881</v>
      </c>
      <c r="M37">
        <v>283</v>
      </c>
      <c r="N37">
        <v>168</v>
      </c>
      <c r="O37">
        <v>77</v>
      </c>
      <c r="P37">
        <v>447</v>
      </c>
      <c r="Q37">
        <v>541</v>
      </c>
      <c r="R37">
        <v>36</v>
      </c>
    </row>
    <row r="38" spans="1:18">
      <c r="A38" s="1" t="s">
        <v>45</v>
      </c>
      <c r="B38">
        <v>32</v>
      </c>
      <c r="C38">
        <v>21</v>
      </c>
      <c r="D38">
        <v>11</v>
      </c>
      <c r="E38">
        <v>-0.83</v>
      </c>
      <c r="F38">
        <v>2408</v>
      </c>
      <c r="G38">
        <v>920</v>
      </c>
      <c r="H38">
        <v>2055</v>
      </c>
      <c r="I38">
        <v>315</v>
      </c>
      <c r="J38">
        <v>457</v>
      </c>
      <c r="K38">
        <v>428</v>
      </c>
      <c r="L38">
        <v>1211</v>
      </c>
      <c r="M38">
        <v>472</v>
      </c>
      <c r="N38">
        <v>211</v>
      </c>
      <c r="O38">
        <v>53</v>
      </c>
      <c r="P38">
        <v>423</v>
      </c>
      <c r="Q38">
        <v>586</v>
      </c>
      <c r="R38">
        <v>37</v>
      </c>
    </row>
    <row r="39" spans="1:18">
      <c r="A39" s="1" t="s">
        <v>46</v>
      </c>
      <c r="B39">
        <v>31</v>
      </c>
      <c r="C39">
        <v>18</v>
      </c>
      <c r="D39">
        <v>13</v>
      </c>
      <c r="E39">
        <v>-0.98</v>
      </c>
      <c r="F39">
        <v>2229</v>
      </c>
      <c r="G39">
        <v>782</v>
      </c>
      <c r="H39">
        <v>1722</v>
      </c>
      <c r="I39">
        <v>494</v>
      </c>
      <c r="J39">
        <v>697</v>
      </c>
      <c r="K39">
        <v>367</v>
      </c>
      <c r="L39">
        <v>1005</v>
      </c>
      <c r="M39">
        <v>436</v>
      </c>
      <c r="N39">
        <v>340</v>
      </c>
      <c r="O39">
        <v>77</v>
      </c>
      <c r="P39">
        <v>502</v>
      </c>
      <c r="Q39">
        <v>647</v>
      </c>
      <c r="R39">
        <v>38</v>
      </c>
    </row>
    <row r="40" spans="1:18">
      <c r="A40" s="1" t="s">
        <v>330</v>
      </c>
      <c r="B40">
        <v>28</v>
      </c>
      <c r="C40">
        <v>11</v>
      </c>
      <c r="D40">
        <v>17</v>
      </c>
      <c r="F40">
        <v>1903</v>
      </c>
      <c r="G40">
        <v>656</v>
      </c>
      <c r="H40">
        <v>1480</v>
      </c>
      <c r="I40">
        <v>369</v>
      </c>
      <c r="J40">
        <v>495</v>
      </c>
      <c r="K40">
        <v>227</v>
      </c>
      <c r="L40">
        <v>784</v>
      </c>
      <c r="M40">
        <v>357</v>
      </c>
      <c r="N40">
        <v>168</v>
      </c>
      <c r="O40">
        <v>34</v>
      </c>
      <c r="P40">
        <v>399</v>
      </c>
      <c r="Q40">
        <v>607</v>
      </c>
      <c r="R40">
        <v>39</v>
      </c>
    </row>
    <row r="41" spans="1:18">
      <c r="A41" s="1" t="s">
        <v>47</v>
      </c>
      <c r="B41">
        <v>29</v>
      </c>
      <c r="C41">
        <v>16</v>
      </c>
      <c r="D41">
        <v>13</v>
      </c>
      <c r="E41">
        <v>-1.8</v>
      </c>
      <c r="F41">
        <v>1991</v>
      </c>
      <c r="G41">
        <v>718</v>
      </c>
      <c r="H41">
        <v>1560</v>
      </c>
      <c r="I41">
        <v>391</v>
      </c>
      <c r="J41">
        <v>558</v>
      </c>
      <c r="K41">
        <v>280</v>
      </c>
      <c r="L41">
        <v>991</v>
      </c>
      <c r="M41">
        <v>440</v>
      </c>
      <c r="N41">
        <v>141</v>
      </c>
      <c r="O41">
        <v>75</v>
      </c>
      <c r="P41">
        <v>392</v>
      </c>
      <c r="Q41">
        <v>520</v>
      </c>
      <c r="R41">
        <v>40</v>
      </c>
    </row>
    <row r="42" spans="1:18">
      <c r="A42" s="1" t="s">
        <v>305</v>
      </c>
      <c r="B42">
        <v>28</v>
      </c>
      <c r="C42">
        <v>9</v>
      </c>
      <c r="D42">
        <v>19</v>
      </c>
      <c r="E42">
        <v>-1.27</v>
      </c>
      <c r="F42">
        <v>1745</v>
      </c>
      <c r="G42">
        <v>604</v>
      </c>
      <c r="H42">
        <v>1465</v>
      </c>
      <c r="I42">
        <v>367</v>
      </c>
      <c r="J42">
        <v>532</v>
      </c>
      <c r="K42">
        <v>293</v>
      </c>
      <c r="L42">
        <v>938</v>
      </c>
      <c r="M42">
        <v>386</v>
      </c>
      <c r="N42">
        <v>148</v>
      </c>
      <c r="O42">
        <v>59</v>
      </c>
      <c r="P42">
        <v>428</v>
      </c>
      <c r="Q42">
        <v>517</v>
      </c>
      <c r="R42">
        <v>41</v>
      </c>
    </row>
    <row r="43" spans="1:18">
      <c r="A43" s="1" t="s">
        <v>48</v>
      </c>
      <c r="B43">
        <v>29</v>
      </c>
      <c r="C43">
        <v>11</v>
      </c>
      <c r="D43">
        <v>18</v>
      </c>
      <c r="E43">
        <v>-0.4</v>
      </c>
      <c r="F43">
        <v>1718</v>
      </c>
      <c r="G43">
        <v>596</v>
      </c>
      <c r="H43">
        <v>1465</v>
      </c>
      <c r="I43">
        <v>343</v>
      </c>
      <c r="J43">
        <v>523</v>
      </c>
      <c r="K43">
        <v>286</v>
      </c>
      <c r="L43">
        <v>889</v>
      </c>
      <c r="M43">
        <v>308</v>
      </c>
      <c r="N43">
        <v>207</v>
      </c>
      <c r="O43">
        <v>88</v>
      </c>
      <c r="P43">
        <v>363</v>
      </c>
      <c r="Q43">
        <v>464</v>
      </c>
      <c r="R43">
        <v>42</v>
      </c>
    </row>
    <row r="44" spans="1:18">
      <c r="A44" s="1" t="s">
        <v>49</v>
      </c>
      <c r="B44">
        <v>29</v>
      </c>
      <c r="C44">
        <v>13</v>
      </c>
      <c r="D44">
        <v>16</v>
      </c>
      <c r="E44">
        <v>5.97</v>
      </c>
      <c r="F44">
        <v>1956</v>
      </c>
      <c r="G44">
        <v>738</v>
      </c>
      <c r="H44">
        <v>1644</v>
      </c>
      <c r="I44">
        <v>370</v>
      </c>
      <c r="J44">
        <v>590</v>
      </c>
      <c r="K44">
        <v>348</v>
      </c>
      <c r="L44">
        <v>1011</v>
      </c>
      <c r="M44">
        <v>422</v>
      </c>
      <c r="N44">
        <v>141</v>
      </c>
      <c r="O44">
        <v>98</v>
      </c>
      <c r="P44">
        <v>432</v>
      </c>
      <c r="Q44">
        <v>509</v>
      </c>
      <c r="R44">
        <v>43</v>
      </c>
    </row>
    <row r="45" spans="1:18">
      <c r="A45" s="1" t="s">
        <v>50</v>
      </c>
      <c r="B45">
        <v>27</v>
      </c>
      <c r="C45">
        <v>2</v>
      </c>
      <c r="D45">
        <v>25</v>
      </c>
      <c r="E45">
        <v>-6.58</v>
      </c>
      <c r="F45">
        <v>1681</v>
      </c>
      <c r="G45">
        <v>619</v>
      </c>
      <c r="H45">
        <v>1520</v>
      </c>
      <c r="I45">
        <v>313</v>
      </c>
      <c r="J45">
        <v>503</v>
      </c>
      <c r="K45">
        <v>370</v>
      </c>
      <c r="L45">
        <v>983</v>
      </c>
      <c r="M45">
        <v>292</v>
      </c>
      <c r="N45">
        <v>175</v>
      </c>
      <c r="O45">
        <v>40</v>
      </c>
      <c r="P45">
        <v>507</v>
      </c>
      <c r="Q45">
        <v>555</v>
      </c>
      <c r="R45">
        <v>44</v>
      </c>
    </row>
    <row r="46" spans="1:18">
      <c r="A46" s="1" t="s">
        <v>51</v>
      </c>
      <c r="B46">
        <v>29</v>
      </c>
      <c r="C46">
        <v>11</v>
      </c>
      <c r="D46">
        <v>18</v>
      </c>
      <c r="E46">
        <v>-4.5199999999999996</v>
      </c>
      <c r="F46">
        <v>2089</v>
      </c>
      <c r="G46">
        <v>761</v>
      </c>
      <c r="H46">
        <v>1745</v>
      </c>
      <c r="I46">
        <v>372</v>
      </c>
      <c r="J46">
        <v>540</v>
      </c>
      <c r="K46">
        <v>321</v>
      </c>
      <c r="L46">
        <v>1046</v>
      </c>
      <c r="M46">
        <v>379</v>
      </c>
      <c r="N46">
        <v>214</v>
      </c>
      <c r="O46">
        <v>122</v>
      </c>
      <c r="P46">
        <v>392</v>
      </c>
      <c r="Q46">
        <v>536</v>
      </c>
      <c r="R46">
        <v>45</v>
      </c>
    </row>
    <row r="47" spans="1:18">
      <c r="A47" s="1" t="s">
        <v>52</v>
      </c>
      <c r="B47">
        <v>27</v>
      </c>
      <c r="C47">
        <v>3</v>
      </c>
      <c r="D47">
        <v>24</v>
      </c>
      <c r="E47">
        <v>-1.84</v>
      </c>
      <c r="F47">
        <v>1734</v>
      </c>
      <c r="G47">
        <v>594</v>
      </c>
      <c r="H47">
        <v>1417</v>
      </c>
      <c r="I47">
        <v>368</v>
      </c>
      <c r="J47">
        <v>517</v>
      </c>
      <c r="L47">
        <v>795</v>
      </c>
      <c r="M47">
        <v>304</v>
      </c>
      <c r="N47">
        <v>166</v>
      </c>
      <c r="O47">
        <v>47</v>
      </c>
      <c r="P47">
        <v>453</v>
      </c>
      <c r="Q47">
        <v>595</v>
      </c>
      <c r="R47">
        <v>46</v>
      </c>
    </row>
    <row r="48" spans="1:18">
      <c r="A48" s="1" t="s">
        <v>274</v>
      </c>
      <c r="B48">
        <v>28</v>
      </c>
      <c r="C48">
        <v>12</v>
      </c>
      <c r="D48">
        <v>16</v>
      </c>
      <c r="E48">
        <v>-7.23</v>
      </c>
      <c r="F48">
        <v>1919</v>
      </c>
      <c r="G48">
        <v>675</v>
      </c>
      <c r="H48">
        <v>1518</v>
      </c>
      <c r="I48">
        <v>383</v>
      </c>
      <c r="J48">
        <v>523</v>
      </c>
      <c r="K48">
        <v>347</v>
      </c>
      <c r="L48">
        <v>927</v>
      </c>
      <c r="M48">
        <v>383</v>
      </c>
      <c r="N48">
        <v>169</v>
      </c>
      <c r="O48">
        <v>52</v>
      </c>
      <c r="P48">
        <v>406</v>
      </c>
      <c r="Q48">
        <v>470</v>
      </c>
      <c r="R48">
        <v>47</v>
      </c>
    </row>
    <row r="49" spans="1:18">
      <c r="A49" s="1" t="s">
        <v>53</v>
      </c>
      <c r="B49">
        <v>33</v>
      </c>
      <c r="C49">
        <v>24</v>
      </c>
      <c r="D49">
        <v>9</v>
      </c>
      <c r="E49">
        <v>-7.78</v>
      </c>
      <c r="F49">
        <v>2304</v>
      </c>
      <c r="G49">
        <v>784</v>
      </c>
      <c r="H49">
        <v>1702</v>
      </c>
      <c r="I49">
        <v>453</v>
      </c>
      <c r="J49">
        <v>651</v>
      </c>
      <c r="K49">
        <v>405</v>
      </c>
      <c r="L49">
        <v>1174</v>
      </c>
      <c r="M49">
        <v>512</v>
      </c>
      <c r="N49">
        <v>221</v>
      </c>
      <c r="O49">
        <v>143</v>
      </c>
      <c r="P49">
        <v>496</v>
      </c>
      <c r="Q49">
        <v>622</v>
      </c>
      <c r="R49">
        <v>48</v>
      </c>
    </row>
    <row r="50" spans="1:18">
      <c r="A50" s="1" t="s">
        <v>54</v>
      </c>
      <c r="B50">
        <v>28</v>
      </c>
      <c r="C50">
        <v>10</v>
      </c>
      <c r="D50">
        <v>18</v>
      </c>
      <c r="E50">
        <v>2.92</v>
      </c>
      <c r="F50">
        <v>1855</v>
      </c>
      <c r="G50">
        <v>637</v>
      </c>
      <c r="H50">
        <v>1522</v>
      </c>
      <c r="I50">
        <v>398</v>
      </c>
      <c r="J50">
        <v>571</v>
      </c>
      <c r="K50">
        <v>327</v>
      </c>
      <c r="L50">
        <v>898</v>
      </c>
      <c r="M50">
        <v>339</v>
      </c>
      <c r="N50">
        <v>212</v>
      </c>
      <c r="O50">
        <v>66</v>
      </c>
      <c r="P50">
        <v>490</v>
      </c>
      <c r="Q50">
        <v>616</v>
      </c>
      <c r="R50">
        <v>49</v>
      </c>
    </row>
    <row r="51" spans="1:18">
      <c r="A51" s="1" t="s">
        <v>55</v>
      </c>
      <c r="B51">
        <v>30</v>
      </c>
      <c r="C51">
        <v>13</v>
      </c>
      <c r="D51">
        <v>17</v>
      </c>
      <c r="E51">
        <v>-6.53</v>
      </c>
      <c r="F51">
        <v>1762</v>
      </c>
      <c r="G51">
        <v>651</v>
      </c>
      <c r="H51">
        <v>1518</v>
      </c>
      <c r="I51">
        <v>305</v>
      </c>
      <c r="J51">
        <v>477</v>
      </c>
      <c r="K51">
        <v>281</v>
      </c>
      <c r="L51">
        <v>975</v>
      </c>
      <c r="M51">
        <v>363</v>
      </c>
      <c r="N51">
        <v>213</v>
      </c>
      <c r="O51">
        <v>98</v>
      </c>
      <c r="P51">
        <v>475</v>
      </c>
      <c r="Q51">
        <v>549</v>
      </c>
      <c r="R51">
        <v>50</v>
      </c>
    </row>
    <row r="52" spans="1:18">
      <c r="A52" s="1" t="s">
        <v>56</v>
      </c>
      <c r="B52">
        <v>29</v>
      </c>
      <c r="C52">
        <v>21</v>
      </c>
      <c r="D52">
        <v>8</v>
      </c>
      <c r="E52">
        <v>3.97</v>
      </c>
      <c r="F52">
        <v>2257</v>
      </c>
      <c r="G52">
        <v>763</v>
      </c>
      <c r="H52">
        <v>1767</v>
      </c>
      <c r="I52">
        <v>499</v>
      </c>
      <c r="J52">
        <v>730</v>
      </c>
      <c r="K52">
        <v>420</v>
      </c>
      <c r="L52">
        <v>1119</v>
      </c>
      <c r="M52">
        <v>409</v>
      </c>
      <c r="N52">
        <v>252</v>
      </c>
      <c r="O52">
        <v>92</v>
      </c>
      <c r="P52">
        <v>389</v>
      </c>
      <c r="Q52">
        <v>495</v>
      </c>
      <c r="R52">
        <v>51</v>
      </c>
    </row>
    <row r="53" spans="1:18">
      <c r="A53" s="1" t="s">
        <v>57</v>
      </c>
      <c r="B53">
        <v>31</v>
      </c>
      <c r="C53">
        <v>20</v>
      </c>
      <c r="D53">
        <v>11</v>
      </c>
      <c r="E53">
        <v>-3.59</v>
      </c>
      <c r="F53">
        <v>2253</v>
      </c>
      <c r="G53">
        <v>795</v>
      </c>
      <c r="H53">
        <v>1746</v>
      </c>
      <c r="I53">
        <v>495</v>
      </c>
      <c r="J53">
        <v>729</v>
      </c>
      <c r="K53">
        <v>509</v>
      </c>
      <c r="L53">
        <v>1284</v>
      </c>
      <c r="M53">
        <v>450</v>
      </c>
      <c r="N53">
        <v>231</v>
      </c>
      <c r="O53">
        <v>60</v>
      </c>
      <c r="P53">
        <v>535</v>
      </c>
      <c r="Q53">
        <v>523</v>
      </c>
      <c r="R53">
        <v>52</v>
      </c>
    </row>
    <row r="54" spans="1:18">
      <c r="A54" s="1" t="s">
        <v>58</v>
      </c>
      <c r="B54">
        <v>28</v>
      </c>
      <c r="C54">
        <v>9</v>
      </c>
      <c r="D54">
        <v>19</v>
      </c>
      <c r="E54">
        <v>-1.29</v>
      </c>
      <c r="F54">
        <v>1808</v>
      </c>
      <c r="G54">
        <v>652</v>
      </c>
      <c r="H54">
        <v>1519</v>
      </c>
      <c r="I54">
        <v>353</v>
      </c>
      <c r="J54">
        <v>567</v>
      </c>
      <c r="K54">
        <v>313</v>
      </c>
      <c r="L54">
        <v>874</v>
      </c>
      <c r="M54">
        <v>330</v>
      </c>
      <c r="N54">
        <v>225</v>
      </c>
      <c r="O54">
        <v>100</v>
      </c>
      <c r="P54">
        <v>383</v>
      </c>
      <c r="Q54">
        <v>528</v>
      </c>
      <c r="R54">
        <v>53</v>
      </c>
    </row>
    <row r="55" spans="1:18">
      <c r="A55" s="1" t="s">
        <v>335</v>
      </c>
      <c r="B55">
        <v>33</v>
      </c>
      <c r="C55">
        <v>25</v>
      </c>
      <c r="D55">
        <v>8</v>
      </c>
      <c r="E55">
        <v>6.74</v>
      </c>
      <c r="F55">
        <v>2505</v>
      </c>
      <c r="G55">
        <v>839</v>
      </c>
      <c r="H55">
        <v>1923</v>
      </c>
      <c r="I55">
        <v>606</v>
      </c>
      <c r="J55">
        <v>878</v>
      </c>
      <c r="K55">
        <v>471</v>
      </c>
      <c r="L55">
        <v>1355</v>
      </c>
      <c r="M55">
        <v>493</v>
      </c>
      <c r="N55">
        <v>179</v>
      </c>
      <c r="O55">
        <v>225</v>
      </c>
      <c r="P55">
        <v>435</v>
      </c>
      <c r="Q55">
        <v>586</v>
      </c>
      <c r="R55">
        <v>54</v>
      </c>
    </row>
    <row r="56" spans="1:18">
      <c r="A56" s="1" t="s">
        <v>59</v>
      </c>
      <c r="B56">
        <v>28</v>
      </c>
      <c r="C56">
        <v>12</v>
      </c>
      <c r="D56">
        <v>16</v>
      </c>
      <c r="E56">
        <v>-6.65</v>
      </c>
      <c r="F56">
        <v>1868</v>
      </c>
      <c r="G56">
        <v>642</v>
      </c>
      <c r="H56">
        <v>1579</v>
      </c>
      <c r="I56">
        <v>404</v>
      </c>
      <c r="J56">
        <v>626</v>
      </c>
      <c r="K56">
        <v>363</v>
      </c>
      <c r="L56">
        <v>1057</v>
      </c>
      <c r="M56">
        <v>290</v>
      </c>
      <c r="N56">
        <v>226</v>
      </c>
      <c r="O56">
        <v>114</v>
      </c>
      <c r="P56">
        <v>494</v>
      </c>
      <c r="Q56">
        <v>598</v>
      </c>
      <c r="R56">
        <v>55</v>
      </c>
    </row>
    <row r="57" spans="1:18">
      <c r="A57" s="1" t="s">
        <v>60</v>
      </c>
      <c r="B57">
        <v>32</v>
      </c>
      <c r="C57">
        <v>16</v>
      </c>
      <c r="D57">
        <v>16</v>
      </c>
      <c r="E57">
        <v>8.86</v>
      </c>
      <c r="F57">
        <v>2294</v>
      </c>
      <c r="G57">
        <v>832</v>
      </c>
      <c r="H57">
        <v>1878</v>
      </c>
      <c r="I57">
        <v>432</v>
      </c>
      <c r="J57">
        <v>719</v>
      </c>
      <c r="K57">
        <v>450</v>
      </c>
      <c r="L57">
        <v>1186</v>
      </c>
      <c r="M57">
        <v>463</v>
      </c>
      <c r="N57">
        <v>319</v>
      </c>
      <c r="O57">
        <v>166</v>
      </c>
      <c r="P57">
        <v>565</v>
      </c>
      <c r="Q57">
        <v>652</v>
      </c>
      <c r="R57">
        <v>56</v>
      </c>
    </row>
    <row r="58" spans="1:18">
      <c r="A58" s="1" t="s">
        <v>61</v>
      </c>
      <c r="B58">
        <v>26</v>
      </c>
      <c r="C58">
        <v>9</v>
      </c>
      <c r="D58">
        <v>17</v>
      </c>
      <c r="E58">
        <v>0.52</v>
      </c>
      <c r="F58">
        <v>1772</v>
      </c>
      <c r="G58">
        <v>610</v>
      </c>
      <c r="H58">
        <v>1438</v>
      </c>
      <c r="I58">
        <v>375</v>
      </c>
      <c r="J58">
        <v>540</v>
      </c>
      <c r="K58">
        <v>313</v>
      </c>
      <c r="L58">
        <v>871</v>
      </c>
      <c r="M58">
        <v>376</v>
      </c>
      <c r="N58">
        <v>204</v>
      </c>
      <c r="O58">
        <v>50</v>
      </c>
      <c r="P58">
        <v>430</v>
      </c>
      <c r="Q58">
        <v>528</v>
      </c>
      <c r="R58">
        <v>57</v>
      </c>
    </row>
    <row r="59" spans="1:18">
      <c r="A59" s="1" t="s">
        <v>62</v>
      </c>
      <c r="B59">
        <v>29</v>
      </c>
      <c r="C59">
        <v>10</v>
      </c>
      <c r="D59">
        <v>19</v>
      </c>
      <c r="E59">
        <v>-6.63</v>
      </c>
      <c r="F59">
        <v>1976</v>
      </c>
      <c r="G59">
        <v>722</v>
      </c>
      <c r="H59">
        <v>1686</v>
      </c>
      <c r="I59">
        <v>328</v>
      </c>
      <c r="J59">
        <v>511</v>
      </c>
      <c r="K59">
        <v>341</v>
      </c>
      <c r="L59">
        <v>988</v>
      </c>
      <c r="M59">
        <v>414</v>
      </c>
      <c r="N59">
        <v>215</v>
      </c>
      <c r="O59">
        <v>53</v>
      </c>
      <c r="P59">
        <v>407</v>
      </c>
      <c r="Q59">
        <v>571</v>
      </c>
      <c r="R59">
        <v>58</v>
      </c>
    </row>
    <row r="60" spans="1:18">
      <c r="A60" s="1" t="s">
        <v>63</v>
      </c>
      <c r="B60">
        <v>28</v>
      </c>
      <c r="C60">
        <v>12</v>
      </c>
      <c r="D60">
        <v>16</v>
      </c>
      <c r="E60">
        <v>-4.97</v>
      </c>
      <c r="F60">
        <v>1848</v>
      </c>
      <c r="G60">
        <v>674</v>
      </c>
      <c r="H60">
        <v>1547</v>
      </c>
      <c r="I60">
        <v>312</v>
      </c>
      <c r="J60">
        <v>441</v>
      </c>
      <c r="K60">
        <v>286</v>
      </c>
      <c r="L60">
        <v>921</v>
      </c>
      <c r="M60">
        <v>355</v>
      </c>
      <c r="N60">
        <v>163</v>
      </c>
      <c r="O60">
        <v>79</v>
      </c>
      <c r="P60">
        <v>413</v>
      </c>
      <c r="Q60">
        <v>503</v>
      </c>
      <c r="R60">
        <v>59</v>
      </c>
    </row>
    <row r="61" spans="1:18">
      <c r="A61" s="1" t="s">
        <v>64</v>
      </c>
      <c r="B61">
        <v>28</v>
      </c>
      <c r="C61">
        <v>18</v>
      </c>
      <c r="D61">
        <v>10</v>
      </c>
      <c r="E61">
        <v>-4.9800000000000004</v>
      </c>
      <c r="F61">
        <v>2018</v>
      </c>
      <c r="G61">
        <v>721</v>
      </c>
      <c r="H61">
        <v>1710</v>
      </c>
      <c r="I61">
        <v>399</v>
      </c>
      <c r="J61">
        <v>558</v>
      </c>
      <c r="K61">
        <v>360</v>
      </c>
      <c r="L61">
        <v>1042</v>
      </c>
      <c r="M61">
        <v>415</v>
      </c>
      <c r="N61">
        <v>249</v>
      </c>
      <c r="O61">
        <v>90</v>
      </c>
      <c r="P61">
        <v>379</v>
      </c>
      <c r="Q61">
        <v>534</v>
      </c>
      <c r="R61">
        <v>60</v>
      </c>
    </row>
    <row r="62" spans="1:18">
      <c r="A62" s="1" t="s">
        <v>65</v>
      </c>
      <c r="B62">
        <v>28</v>
      </c>
      <c r="C62">
        <v>11</v>
      </c>
      <c r="D62">
        <v>17</v>
      </c>
      <c r="E62">
        <v>3.88</v>
      </c>
      <c r="F62">
        <v>1966</v>
      </c>
      <c r="G62">
        <v>671</v>
      </c>
      <c r="H62">
        <v>1431</v>
      </c>
      <c r="I62">
        <v>485</v>
      </c>
      <c r="J62">
        <v>664</v>
      </c>
      <c r="K62">
        <v>295</v>
      </c>
      <c r="L62">
        <v>991</v>
      </c>
      <c r="M62">
        <v>423</v>
      </c>
      <c r="N62">
        <v>160</v>
      </c>
      <c r="O62">
        <v>150</v>
      </c>
      <c r="P62">
        <v>446</v>
      </c>
      <c r="Q62">
        <v>564</v>
      </c>
      <c r="R62">
        <v>61</v>
      </c>
    </row>
    <row r="63" spans="1:18">
      <c r="A63" s="1" t="s">
        <v>66</v>
      </c>
      <c r="B63">
        <v>30</v>
      </c>
      <c r="C63">
        <v>14</v>
      </c>
      <c r="D63">
        <v>16</v>
      </c>
      <c r="E63">
        <v>8.5</v>
      </c>
      <c r="F63">
        <v>2147</v>
      </c>
      <c r="G63">
        <v>771</v>
      </c>
      <c r="H63">
        <v>1774</v>
      </c>
      <c r="I63">
        <v>382</v>
      </c>
      <c r="J63">
        <v>607</v>
      </c>
      <c r="K63">
        <v>369</v>
      </c>
      <c r="L63">
        <v>1086</v>
      </c>
      <c r="M63">
        <v>419</v>
      </c>
      <c r="N63">
        <v>190</v>
      </c>
      <c r="O63">
        <v>158</v>
      </c>
      <c r="P63">
        <v>418</v>
      </c>
      <c r="Q63">
        <v>570</v>
      </c>
      <c r="R63">
        <v>62</v>
      </c>
    </row>
    <row r="64" spans="1:18">
      <c r="A64" s="1" t="s">
        <v>67</v>
      </c>
      <c r="B64">
        <v>27</v>
      </c>
      <c r="C64">
        <v>12</v>
      </c>
      <c r="D64">
        <v>15</v>
      </c>
      <c r="E64">
        <v>-6.56</v>
      </c>
      <c r="F64">
        <v>1734</v>
      </c>
      <c r="G64">
        <v>591</v>
      </c>
      <c r="H64">
        <v>1401</v>
      </c>
      <c r="I64">
        <v>355</v>
      </c>
      <c r="J64">
        <v>508</v>
      </c>
      <c r="K64">
        <v>298</v>
      </c>
      <c r="L64">
        <v>923</v>
      </c>
      <c r="M64">
        <v>369</v>
      </c>
      <c r="N64">
        <v>178</v>
      </c>
      <c r="O64">
        <v>89</v>
      </c>
      <c r="P64">
        <v>473</v>
      </c>
      <c r="Q64">
        <v>585</v>
      </c>
      <c r="R64">
        <v>63</v>
      </c>
    </row>
    <row r="65" spans="1:18">
      <c r="A65" s="1" t="s">
        <v>275</v>
      </c>
      <c r="B65">
        <v>31</v>
      </c>
      <c r="C65">
        <v>23</v>
      </c>
      <c r="D65">
        <v>8</v>
      </c>
      <c r="E65">
        <v>7.62</v>
      </c>
      <c r="F65">
        <v>2419</v>
      </c>
      <c r="G65">
        <v>862</v>
      </c>
      <c r="H65">
        <v>1872</v>
      </c>
      <c r="I65">
        <v>541</v>
      </c>
      <c r="J65">
        <v>773</v>
      </c>
      <c r="K65">
        <v>478</v>
      </c>
      <c r="L65">
        <v>1412</v>
      </c>
      <c r="M65">
        <v>531</v>
      </c>
      <c r="N65">
        <v>189</v>
      </c>
      <c r="O65">
        <v>275</v>
      </c>
      <c r="P65">
        <v>468</v>
      </c>
      <c r="Q65">
        <v>492</v>
      </c>
      <c r="R65">
        <v>64</v>
      </c>
    </row>
    <row r="66" spans="1:18">
      <c r="A66" s="1" t="s">
        <v>68</v>
      </c>
      <c r="B66">
        <v>29</v>
      </c>
      <c r="C66">
        <v>14</v>
      </c>
      <c r="D66">
        <v>15</v>
      </c>
      <c r="E66">
        <v>-6.16</v>
      </c>
      <c r="F66">
        <v>1765</v>
      </c>
      <c r="G66">
        <v>602</v>
      </c>
      <c r="H66">
        <v>1526</v>
      </c>
      <c r="I66">
        <v>458</v>
      </c>
      <c r="J66">
        <v>663</v>
      </c>
      <c r="K66">
        <v>346</v>
      </c>
      <c r="L66">
        <v>972</v>
      </c>
      <c r="M66">
        <v>278</v>
      </c>
      <c r="N66">
        <v>247</v>
      </c>
      <c r="O66">
        <v>95</v>
      </c>
      <c r="P66">
        <v>429</v>
      </c>
      <c r="Q66">
        <v>554</v>
      </c>
      <c r="R66">
        <v>65</v>
      </c>
    </row>
    <row r="67" spans="1:18">
      <c r="A67" s="1" t="s">
        <v>69</v>
      </c>
      <c r="B67">
        <v>27</v>
      </c>
      <c r="C67">
        <v>13</v>
      </c>
      <c r="D67">
        <v>14</v>
      </c>
      <c r="E67">
        <v>-5.46</v>
      </c>
      <c r="F67">
        <v>1733</v>
      </c>
      <c r="G67">
        <v>614</v>
      </c>
      <c r="H67">
        <v>1370</v>
      </c>
      <c r="I67">
        <v>321</v>
      </c>
      <c r="J67">
        <v>428</v>
      </c>
      <c r="K67">
        <v>254</v>
      </c>
      <c r="L67">
        <v>811</v>
      </c>
      <c r="M67">
        <v>354</v>
      </c>
      <c r="N67">
        <v>179</v>
      </c>
      <c r="O67">
        <v>82</v>
      </c>
      <c r="P67">
        <v>389</v>
      </c>
      <c r="Q67">
        <v>462</v>
      </c>
      <c r="R67">
        <v>66</v>
      </c>
    </row>
    <row r="68" spans="1:18">
      <c r="A68" s="1" t="s">
        <v>326</v>
      </c>
      <c r="B68">
        <v>34</v>
      </c>
      <c r="C68">
        <v>23</v>
      </c>
      <c r="D68">
        <v>11</v>
      </c>
      <c r="E68">
        <v>3.84</v>
      </c>
      <c r="F68">
        <v>2421</v>
      </c>
      <c r="G68">
        <v>823</v>
      </c>
      <c r="H68">
        <v>1820</v>
      </c>
      <c r="I68">
        <v>482</v>
      </c>
      <c r="J68">
        <v>660</v>
      </c>
      <c r="K68">
        <v>336</v>
      </c>
      <c r="L68">
        <v>1063</v>
      </c>
      <c r="M68">
        <v>483</v>
      </c>
      <c r="N68">
        <v>234</v>
      </c>
      <c r="O68">
        <v>111</v>
      </c>
      <c r="P68">
        <v>412</v>
      </c>
      <c r="Q68">
        <v>598</v>
      </c>
      <c r="R68">
        <v>67</v>
      </c>
    </row>
    <row r="69" spans="1:18">
      <c r="A69" s="1" t="s">
        <v>70</v>
      </c>
      <c r="B69">
        <v>27</v>
      </c>
      <c r="C69">
        <v>10</v>
      </c>
      <c r="D69">
        <v>17</v>
      </c>
      <c r="E69">
        <v>-4.12</v>
      </c>
      <c r="F69">
        <v>1568</v>
      </c>
      <c r="G69">
        <v>567</v>
      </c>
      <c r="H69">
        <v>1373</v>
      </c>
      <c r="I69">
        <v>269</v>
      </c>
      <c r="J69">
        <v>416</v>
      </c>
      <c r="K69">
        <v>253</v>
      </c>
      <c r="L69">
        <v>788</v>
      </c>
      <c r="M69">
        <v>344</v>
      </c>
      <c r="N69">
        <v>184</v>
      </c>
      <c r="O69">
        <v>92</v>
      </c>
      <c r="P69">
        <v>381</v>
      </c>
      <c r="Q69">
        <v>506</v>
      </c>
      <c r="R69">
        <v>68</v>
      </c>
    </row>
    <row r="70" spans="1:18">
      <c r="A70" s="1" t="s">
        <v>71</v>
      </c>
      <c r="B70">
        <v>32</v>
      </c>
      <c r="C70">
        <v>23</v>
      </c>
      <c r="D70">
        <v>9</v>
      </c>
      <c r="E70">
        <v>-1.08</v>
      </c>
      <c r="F70">
        <v>2316</v>
      </c>
      <c r="G70">
        <v>781</v>
      </c>
      <c r="H70">
        <v>1802</v>
      </c>
      <c r="I70">
        <v>468</v>
      </c>
      <c r="J70">
        <v>634</v>
      </c>
      <c r="K70">
        <v>405</v>
      </c>
      <c r="L70">
        <v>1217</v>
      </c>
      <c r="M70">
        <v>470</v>
      </c>
      <c r="N70">
        <v>174</v>
      </c>
      <c r="O70">
        <v>46</v>
      </c>
      <c r="P70">
        <v>471</v>
      </c>
      <c r="Q70">
        <v>585</v>
      </c>
      <c r="R70">
        <v>69</v>
      </c>
    </row>
    <row r="71" spans="1:18">
      <c r="A71" s="1" t="s">
        <v>276</v>
      </c>
      <c r="B71">
        <v>29</v>
      </c>
      <c r="C71">
        <v>18</v>
      </c>
      <c r="D71">
        <v>11</v>
      </c>
      <c r="E71">
        <v>0.38</v>
      </c>
      <c r="F71">
        <v>1877</v>
      </c>
      <c r="G71">
        <v>639</v>
      </c>
      <c r="H71">
        <v>1554</v>
      </c>
      <c r="I71">
        <v>375</v>
      </c>
      <c r="J71">
        <v>519</v>
      </c>
      <c r="K71">
        <v>333</v>
      </c>
      <c r="L71">
        <v>976</v>
      </c>
      <c r="M71">
        <v>387</v>
      </c>
      <c r="N71">
        <v>170</v>
      </c>
      <c r="O71">
        <v>56</v>
      </c>
      <c r="P71">
        <v>380</v>
      </c>
      <c r="Q71">
        <v>586</v>
      </c>
      <c r="R71">
        <v>70</v>
      </c>
    </row>
    <row r="72" spans="1:18">
      <c r="A72" s="1" t="s">
        <v>72</v>
      </c>
      <c r="B72">
        <v>33</v>
      </c>
      <c r="C72">
        <v>19</v>
      </c>
      <c r="D72">
        <v>14</v>
      </c>
      <c r="E72">
        <v>-6.89</v>
      </c>
      <c r="F72">
        <v>2043</v>
      </c>
      <c r="G72">
        <v>667</v>
      </c>
      <c r="H72">
        <v>1585</v>
      </c>
      <c r="I72">
        <v>496</v>
      </c>
      <c r="J72">
        <v>668</v>
      </c>
      <c r="K72">
        <v>334</v>
      </c>
      <c r="L72">
        <v>911</v>
      </c>
      <c r="M72">
        <v>351</v>
      </c>
      <c r="N72">
        <v>264</v>
      </c>
      <c r="O72">
        <v>92</v>
      </c>
      <c r="P72">
        <v>461</v>
      </c>
      <c r="Q72">
        <v>538</v>
      </c>
      <c r="R72">
        <v>71</v>
      </c>
    </row>
    <row r="73" spans="1:18">
      <c r="A73" s="1" t="s">
        <v>73</v>
      </c>
      <c r="B73">
        <v>31</v>
      </c>
      <c r="C73">
        <v>11</v>
      </c>
      <c r="D73">
        <v>20</v>
      </c>
      <c r="E73">
        <v>-2.4700000000000002</v>
      </c>
      <c r="F73">
        <v>2017</v>
      </c>
      <c r="G73">
        <v>723</v>
      </c>
      <c r="H73">
        <v>1684</v>
      </c>
      <c r="I73">
        <v>389</v>
      </c>
      <c r="J73">
        <v>594</v>
      </c>
      <c r="K73">
        <v>337</v>
      </c>
      <c r="L73">
        <v>1101</v>
      </c>
      <c r="M73">
        <v>400</v>
      </c>
      <c r="N73">
        <v>191</v>
      </c>
      <c r="O73">
        <v>88</v>
      </c>
      <c r="P73">
        <v>518</v>
      </c>
      <c r="Q73">
        <v>604</v>
      </c>
      <c r="R73">
        <v>72</v>
      </c>
    </row>
    <row r="74" spans="1:18">
      <c r="A74" s="1" t="s">
        <v>74</v>
      </c>
      <c r="B74">
        <v>31</v>
      </c>
      <c r="C74">
        <v>20</v>
      </c>
      <c r="D74">
        <v>11</v>
      </c>
      <c r="E74">
        <v>-0.44</v>
      </c>
      <c r="F74">
        <v>2266</v>
      </c>
      <c r="G74">
        <v>824</v>
      </c>
      <c r="H74">
        <v>1735</v>
      </c>
      <c r="I74">
        <v>421</v>
      </c>
      <c r="J74">
        <v>602</v>
      </c>
      <c r="K74">
        <v>302</v>
      </c>
      <c r="L74">
        <v>1030</v>
      </c>
      <c r="M74">
        <v>485</v>
      </c>
      <c r="N74">
        <v>230</v>
      </c>
      <c r="O74">
        <v>152</v>
      </c>
      <c r="P74">
        <v>405</v>
      </c>
      <c r="Q74">
        <v>491</v>
      </c>
      <c r="R74">
        <v>73</v>
      </c>
    </row>
    <row r="75" spans="1:18">
      <c r="A75" s="1" t="s">
        <v>277</v>
      </c>
      <c r="B75">
        <v>31</v>
      </c>
      <c r="C75">
        <v>20</v>
      </c>
      <c r="D75">
        <v>11</v>
      </c>
      <c r="E75">
        <v>4.62</v>
      </c>
      <c r="F75">
        <v>2120</v>
      </c>
      <c r="G75">
        <v>768</v>
      </c>
      <c r="H75">
        <v>1740</v>
      </c>
      <c r="I75">
        <v>405</v>
      </c>
      <c r="J75">
        <v>593</v>
      </c>
      <c r="K75">
        <v>417</v>
      </c>
      <c r="L75">
        <v>1131</v>
      </c>
      <c r="M75">
        <v>432</v>
      </c>
      <c r="N75">
        <v>171</v>
      </c>
      <c r="O75">
        <v>105</v>
      </c>
      <c r="P75">
        <v>375</v>
      </c>
      <c r="Q75">
        <v>541</v>
      </c>
      <c r="R75">
        <v>74</v>
      </c>
    </row>
    <row r="76" spans="1:18">
      <c r="A76" s="1" t="s">
        <v>75</v>
      </c>
      <c r="B76">
        <v>30</v>
      </c>
      <c r="C76">
        <v>14</v>
      </c>
      <c r="D76">
        <v>16</v>
      </c>
      <c r="E76">
        <v>1.01</v>
      </c>
      <c r="F76">
        <v>1840</v>
      </c>
      <c r="G76">
        <v>680</v>
      </c>
      <c r="H76">
        <v>1558</v>
      </c>
      <c r="I76">
        <v>357</v>
      </c>
      <c r="J76">
        <v>546</v>
      </c>
      <c r="K76">
        <v>391</v>
      </c>
      <c r="L76">
        <v>1051</v>
      </c>
      <c r="M76">
        <v>326</v>
      </c>
      <c r="N76">
        <v>178</v>
      </c>
      <c r="O76">
        <v>85</v>
      </c>
      <c r="P76">
        <v>390</v>
      </c>
      <c r="Q76">
        <v>574</v>
      </c>
      <c r="R76">
        <v>75</v>
      </c>
    </row>
    <row r="77" spans="1:18">
      <c r="A77" s="1" t="s">
        <v>76</v>
      </c>
      <c r="B77">
        <v>29</v>
      </c>
      <c r="C77">
        <v>13</v>
      </c>
      <c r="D77">
        <v>16</v>
      </c>
      <c r="E77">
        <v>4.57</v>
      </c>
      <c r="F77">
        <v>2010</v>
      </c>
      <c r="G77">
        <v>657</v>
      </c>
      <c r="H77">
        <v>1564</v>
      </c>
      <c r="I77">
        <v>524</v>
      </c>
      <c r="J77">
        <v>725</v>
      </c>
      <c r="K77">
        <v>384</v>
      </c>
      <c r="L77">
        <v>1045</v>
      </c>
      <c r="M77">
        <v>350</v>
      </c>
      <c r="N77">
        <v>239</v>
      </c>
      <c r="O77">
        <v>88</v>
      </c>
      <c r="P77">
        <v>455</v>
      </c>
      <c r="Q77">
        <v>489</v>
      </c>
      <c r="R77">
        <v>76</v>
      </c>
    </row>
    <row r="78" spans="1:18">
      <c r="A78" s="1" t="s">
        <v>77</v>
      </c>
      <c r="B78">
        <v>29</v>
      </c>
      <c r="C78">
        <v>17</v>
      </c>
      <c r="D78">
        <v>12</v>
      </c>
      <c r="E78">
        <v>-1.91</v>
      </c>
      <c r="F78">
        <v>2022</v>
      </c>
      <c r="G78">
        <v>676</v>
      </c>
      <c r="H78">
        <v>1576</v>
      </c>
      <c r="I78">
        <v>446</v>
      </c>
      <c r="J78">
        <v>661</v>
      </c>
      <c r="K78">
        <v>306</v>
      </c>
      <c r="L78">
        <v>993</v>
      </c>
      <c r="M78">
        <v>405</v>
      </c>
      <c r="N78">
        <v>179</v>
      </c>
      <c r="O78">
        <v>144</v>
      </c>
      <c r="P78">
        <v>352</v>
      </c>
      <c r="Q78">
        <v>553</v>
      </c>
      <c r="R78">
        <v>77</v>
      </c>
    </row>
    <row r="79" spans="1:18">
      <c r="A79" s="1" t="s">
        <v>373</v>
      </c>
      <c r="B79">
        <v>33</v>
      </c>
      <c r="C79">
        <v>27</v>
      </c>
      <c r="D79">
        <v>6</v>
      </c>
      <c r="E79">
        <v>10.039999999999999</v>
      </c>
      <c r="F79">
        <v>2581</v>
      </c>
      <c r="G79">
        <v>853</v>
      </c>
      <c r="H79">
        <v>1915</v>
      </c>
      <c r="I79">
        <v>585</v>
      </c>
      <c r="J79">
        <v>821</v>
      </c>
      <c r="K79">
        <v>432</v>
      </c>
      <c r="L79">
        <v>1261</v>
      </c>
      <c r="M79">
        <v>421</v>
      </c>
      <c r="N79">
        <v>287</v>
      </c>
      <c r="O79">
        <v>220</v>
      </c>
      <c r="P79">
        <v>454</v>
      </c>
      <c r="Q79">
        <v>612</v>
      </c>
      <c r="R79">
        <v>78</v>
      </c>
    </row>
    <row r="80" spans="1:18">
      <c r="A80" s="1" t="s">
        <v>78</v>
      </c>
      <c r="B80">
        <v>30</v>
      </c>
      <c r="C80">
        <v>8</v>
      </c>
      <c r="D80">
        <v>22</v>
      </c>
      <c r="E80">
        <v>0.9</v>
      </c>
      <c r="F80">
        <v>2014</v>
      </c>
      <c r="G80">
        <v>738</v>
      </c>
      <c r="H80">
        <v>1763</v>
      </c>
      <c r="I80">
        <v>360</v>
      </c>
      <c r="J80">
        <v>471</v>
      </c>
      <c r="K80">
        <v>371</v>
      </c>
      <c r="L80">
        <v>1041</v>
      </c>
      <c r="M80">
        <v>440</v>
      </c>
      <c r="N80">
        <v>190</v>
      </c>
      <c r="O80">
        <v>123</v>
      </c>
      <c r="P80">
        <v>416</v>
      </c>
      <c r="Q80">
        <v>603</v>
      </c>
      <c r="R80">
        <v>79</v>
      </c>
    </row>
    <row r="81" spans="1:18">
      <c r="A81" s="1" t="s">
        <v>79</v>
      </c>
      <c r="B81">
        <v>28</v>
      </c>
      <c r="C81">
        <v>9</v>
      </c>
      <c r="D81">
        <v>19</v>
      </c>
      <c r="E81">
        <v>5.7</v>
      </c>
      <c r="F81">
        <v>1793</v>
      </c>
      <c r="G81">
        <v>641</v>
      </c>
      <c r="H81">
        <v>1606</v>
      </c>
      <c r="I81">
        <v>391</v>
      </c>
      <c r="J81">
        <v>620</v>
      </c>
      <c r="K81">
        <v>403</v>
      </c>
      <c r="L81">
        <v>1118</v>
      </c>
      <c r="M81">
        <v>350</v>
      </c>
      <c r="N81">
        <v>178</v>
      </c>
      <c r="O81">
        <v>116</v>
      </c>
      <c r="P81">
        <v>450</v>
      </c>
      <c r="Q81">
        <v>570</v>
      </c>
      <c r="R81">
        <v>80</v>
      </c>
    </row>
    <row r="82" spans="1:18">
      <c r="A82" s="1" t="s">
        <v>80</v>
      </c>
      <c r="B82">
        <v>29</v>
      </c>
      <c r="C82">
        <v>10</v>
      </c>
      <c r="D82">
        <v>19</v>
      </c>
      <c r="E82">
        <v>-3.3</v>
      </c>
      <c r="F82">
        <v>2228</v>
      </c>
      <c r="G82">
        <v>823</v>
      </c>
      <c r="H82">
        <v>1811</v>
      </c>
      <c r="I82">
        <v>385</v>
      </c>
      <c r="J82">
        <v>567</v>
      </c>
      <c r="K82">
        <v>362</v>
      </c>
      <c r="L82">
        <v>1094</v>
      </c>
      <c r="M82">
        <v>342</v>
      </c>
      <c r="N82">
        <v>234</v>
      </c>
      <c r="O82">
        <v>70</v>
      </c>
      <c r="P82">
        <v>493</v>
      </c>
      <c r="Q82">
        <v>521</v>
      </c>
      <c r="R82">
        <v>81</v>
      </c>
    </row>
    <row r="83" spans="1:18">
      <c r="A83" s="1" t="s">
        <v>81</v>
      </c>
      <c r="B83">
        <v>28</v>
      </c>
      <c r="C83">
        <v>12</v>
      </c>
      <c r="D83">
        <v>16</v>
      </c>
      <c r="E83">
        <v>-3.08</v>
      </c>
      <c r="F83">
        <v>1914</v>
      </c>
      <c r="G83">
        <v>674</v>
      </c>
      <c r="H83">
        <v>1496</v>
      </c>
      <c r="I83">
        <v>398</v>
      </c>
      <c r="J83">
        <v>545</v>
      </c>
      <c r="K83">
        <v>311</v>
      </c>
      <c r="L83">
        <v>986</v>
      </c>
      <c r="M83">
        <v>389</v>
      </c>
      <c r="N83">
        <v>135</v>
      </c>
      <c r="O83">
        <v>101</v>
      </c>
      <c r="P83">
        <v>444</v>
      </c>
      <c r="Q83">
        <v>559</v>
      </c>
      <c r="R83">
        <v>82</v>
      </c>
    </row>
    <row r="84" spans="1:18">
      <c r="A84" s="1" t="s">
        <v>82</v>
      </c>
      <c r="B84">
        <v>31</v>
      </c>
      <c r="C84">
        <v>22</v>
      </c>
      <c r="D84">
        <v>9</v>
      </c>
      <c r="E84">
        <v>-5.18</v>
      </c>
      <c r="F84">
        <v>2256</v>
      </c>
      <c r="G84">
        <v>845</v>
      </c>
      <c r="H84">
        <v>1773</v>
      </c>
      <c r="I84">
        <v>372</v>
      </c>
      <c r="J84">
        <v>555</v>
      </c>
      <c r="K84">
        <v>360</v>
      </c>
      <c r="L84">
        <v>1103</v>
      </c>
      <c r="M84">
        <v>480</v>
      </c>
      <c r="N84">
        <v>232</v>
      </c>
      <c r="O84">
        <v>122</v>
      </c>
      <c r="P84">
        <v>451</v>
      </c>
      <c r="Q84">
        <v>599</v>
      </c>
      <c r="R84">
        <v>83</v>
      </c>
    </row>
    <row r="85" spans="1:18">
      <c r="A85" s="1" t="s">
        <v>83</v>
      </c>
      <c r="B85">
        <v>30</v>
      </c>
      <c r="C85">
        <v>12</v>
      </c>
      <c r="D85">
        <v>18</v>
      </c>
      <c r="E85">
        <v>0.78</v>
      </c>
      <c r="F85">
        <v>2178</v>
      </c>
      <c r="G85">
        <v>718</v>
      </c>
      <c r="H85">
        <v>1627</v>
      </c>
      <c r="I85">
        <v>569</v>
      </c>
      <c r="J85">
        <v>821</v>
      </c>
      <c r="K85">
        <v>329</v>
      </c>
      <c r="L85">
        <v>1009</v>
      </c>
      <c r="M85">
        <v>377</v>
      </c>
      <c r="N85">
        <v>228</v>
      </c>
      <c r="O85">
        <v>79</v>
      </c>
      <c r="P85">
        <v>455</v>
      </c>
      <c r="Q85">
        <v>581</v>
      </c>
      <c r="R85">
        <v>84</v>
      </c>
    </row>
    <row r="86" spans="1:18">
      <c r="A86" s="1" t="s">
        <v>84</v>
      </c>
      <c r="B86">
        <v>28</v>
      </c>
      <c r="C86">
        <v>8</v>
      </c>
      <c r="D86">
        <v>20</v>
      </c>
      <c r="E86">
        <v>-2.35</v>
      </c>
      <c r="F86">
        <v>1736</v>
      </c>
      <c r="G86">
        <v>611</v>
      </c>
      <c r="H86">
        <v>1464</v>
      </c>
      <c r="I86">
        <v>335</v>
      </c>
      <c r="J86">
        <v>507</v>
      </c>
      <c r="K86">
        <v>270</v>
      </c>
      <c r="L86">
        <v>877</v>
      </c>
      <c r="M86">
        <v>388</v>
      </c>
      <c r="N86">
        <v>146</v>
      </c>
      <c r="O86">
        <v>48</v>
      </c>
      <c r="P86">
        <v>456</v>
      </c>
      <c r="Q86">
        <v>578</v>
      </c>
      <c r="R86">
        <v>85</v>
      </c>
    </row>
    <row r="87" spans="1:18">
      <c r="A87" s="1" t="s">
        <v>85</v>
      </c>
      <c r="B87">
        <v>31</v>
      </c>
      <c r="C87">
        <v>8</v>
      </c>
      <c r="D87">
        <v>23</v>
      </c>
      <c r="E87">
        <v>-2.79</v>
      </c>
      <c r="F87">
        <v>1868</v>
      </c>
      <c r="G87">
        <v>665</v>
      </c>
      <c r="H87">
        <v>1618</v>
      </c>
      <c r="I87">
        <v>367</v>
      </c>
      <c r="J87">
        <v>594</v>
      </c>
      <c r="K87">
        <v>308</v>
      </c>
      <c r="L87">
        <v>998</v>
      </c>
      <c r="M87">
        <v>338</v>
      </c>
      <c r="N87">
        <v>240</v>
      </c>
      <c r="O87">
        <v>64</v>
      </c>
      <c r="P87">
        <v>475</v>
      </c>
      <c r="Q87">
        <v>556</v>
      </c>
      <c r="R87">
        <v>86</v>
      </c>
    </row>
    <row r="88" spans="1:18">
      <c r="A88" s="1" t="s">
        <v>86</v>
      </c>
      <c r="B88">
        <v>28</v>
      </c>
      <c r="C88">
        <v>11</v>
      </c>
      <c r="D88">
        <v>17</v>
      </c>
      <c r="E88">
        <v>2.91</v>
      </c>
      <c r="F88">
        <v>1986</v>
      </c>
      <c r="G88">
        <v>695</v>
      </c>
      <c r="H88">
        <v>1534</v>
      </c>
      <c r="I88">
        <v>367</v>
      </c>
      <c r="J88">
        <v>548</v>
      </c>
      <c r="K88">
        <v>268</v>
      </c>
      <c r="L88">
        <v>909</v>
      </c>
      <c r="M88">
        <v>438</v>
      </c>
      <c r="N88">
        <v>133</v>
      </c>
      <c r="O88">
        <v>59</v>
      </c>
      <c r="P88">
        <v>396</v>
      </c>
      <c r="Q88">
        <v>535</v>
      </c>
      <c r="R88">
        <v>87</v>
      </c>
    </row>
    <row r="89" spans="1:18">
      <c r="A89" s="1" t="s">
        <v>87</v>
      </c>
      <c r="B89">
        <v>30</v>
      </c>
      <c r="C89">
        <v>15</v>
      </c>
      <c r="D89">
        <v>15</v>
      </c>
      <c r="E89">
        <v>-3.23</v>
      </c>
      <c r="F89">
        <v>2041</v>
      </c>
      <c r="G89">
        <v>736</v>
      </c>
      <c r="H89">
        <v>1728</v>
      </c>
      <c r="I89">
        <v>410</v>
      </c>
      <c r="J89">
        <v>567</v>
      </c>
      <c r="K89">
        <v>369</v>
      </c>
      <c r="L89">
        <v>1051</v>
      </c>
      <c r="M89">
        <v>438</v>
      </c>
      <c r="N89">
        <v>226</v>
      </c>
      <c r="O89">
        <v>192</v>
      </c>
      <c r="P89">
        <v>392</v>
      </c>
      <c r="Q89">
        <v>577</v>
      </c>
      <c r="R89">
        <v>88</v>
      </c>
    </row>
    <row r="90" spans="1:18">
      <c r="A90" s="1" t="s">
        <v>88</v>
      </c>
      <c r="B90">
        <v>33</v>
      </c>
      <c r="C90">
        <v>20</v>
      </c>
      <c r="D90">
        <v>13</v>
      </c>
      <c r="E90">
        <v>-6.91</v>
      </c>
      <c r="F90">
        <v>2432</v>
      </c>
      <c r="G90">
        <v>894</v>
      </c>
      <c r="H90">
        <v>1975</v>
      </c>
      <c r="I90">
        <v>426</v>
      </c>
      <c r="J90">
        <v>640</v>
      </c>
      <c r="K90">
        <v>408</v>
      </c>
      <c r="L90">
        <v>1200</v>
      </c>
      <c r="M90">
        <v>498</v>
      </c>
      <c r="N90">
        <v>237</v>
      </c>
      <c r="O90">
        <v>145</v>
      </c>
      <c r="P90">
        <v>466</v>
      </c>
      <c r="Q90">
        <v>624</v>
      </c>
      <c r="R90">
        <v>89</v>
      </c>
    </row>
    <row r="91" spans="1:18">
      <c r="A91" s="1" t="s">
        <v>89</v>
      </c>
      <c r="B91">
        <v>29</v>
      </c>
      <c r="C91">
        <v>14</v>
      </c>
      <c r="D91">
        <v>15</v>
      </c>
      <c r="E91">
        <v>-9.24</v>
      </c>
      <c r="F91">
        <v>1972</v>
      </c>
      <c r="G91">
        <v>702</v>
      </c>
      <c r="H91">
        <v>1650</v>
      </c>
      <c r="I91">
        <v>412</v>
      </c>
      <c r="J91">
        <v>627</v>
      </c>
      <c r="L91">
        <v>1056</v>
      </c>
      <c r="M91">
        <v>328</v>
      </c>
      <c r="N91">
        <v>213</v>
      </c>
      <c r="O91">
        <v>41</v>
      </c>
      <c r="P91">
        <v>502</v>
      </c>
      <c r="Q91">
        <v>584</v>
      </c>
      <c r="R91">
        <v>90</v>
      </c>
    </row>
    <row r="92" spans="1:18">
      <c r="A92" s="1" t="s">
        <v>90</v>
      </c>
      <c r="B92">
        <v>27</v>
      </c>
      <c r="C92">
        <v>10</v>
      </c>
      <c r="D92">
        <v>17</v>
      </c>
      <c r="E92">
        <v>-7.13</v>
      </c>
      <c r="F92">
        <v>2073</v>
      </c>
      <c r="G92">
        <v>747</v>
      </c>
      <c r="H92">
        <v>1702</v>
      </c>
      <c r="I92">
        <v>386</v>
      </c>
      <c r="J92">
        <v>601</v>
      </c>
      <c r="K92">
        <v>386</v>
      </c>
      <c r="L92">
        <v>1056</v>
      </c>
      <c r="M92">
        <v>356</v>
      </c>
      <c r="N92">
        <v>235</v>
      </c>
      <c r="O92">
        <v>117</v>
      </c>
      <c r="P92">
        <v>466</v>
      </c>
      <c r="Q92">
        <v>549</v>
      </c>
      <c r="R92">
        <v>91</v>
      </c>
    </row>
    <row r="93" spans="1:18">
      <c r="A93" s="1" t="s">
        <v>91</v>
      </c>
      <c r="B93">
        <v>30</v>
      </c>
      <c r="C93">
        <v>13</v>
      </c>
      <c r="D93">
        <v>17</v>
      </c>
      <c r="E93">
        <v>0.34</v>
      </c>
      <c r="F93">
        <v>2028</v>
      </c>
      <c r="G93">
        <v>704</v>
      </c>
      <c r="H93">
        <v>1587</v>
      </c>
      <c r="I93">
        <v>484</v>
      </c>
      <c r="J93">
        <v>747</v>
      </c>
      <c r="K93">
        <v>387</v>
      </c>
      <c r="L93">
        <v>1147</v>
      </c>
      <c r="M93">
        <v>396</v>
      </c>
      <c r="N93">
        <v>205</v>
      </c>
      <c r="O93">
        <v>99</v>
      </c>
      <c r="P93">
        <v>565</v>
      </c>
      <c r="Q93">
        <v>639</v>
      </c>
      <c r="R93">
        <v>92</v>
      </c>
    </row>
    <row r="94" spans="1:18">
      <c r="A94" s="1" t="s">
        <v>92</v>
      </c>
      <c r="B94">
        <v>31</v>
      </c>
      <c r="C94">
        <v>12</v>
      </c>
      <c r="D94">
        <v>19</v>
      </c>
      <c r="E94">
        <v>8.99</v>
      </c>
      <c r="F94">
        <v>2128</v>
      </c>
      <c r="G94">
        <v>756</v>
      </c>
      <c r="H94">
        <v>1671</v>
      </c>
      <c r="I94">
        <v>416</v>
      </c>
      <c r="J94">
        <v>626</v>
      </c>
      <c r="K94">
        <v>309</v>
      </c>
      <c r="L94">
        <v>1028</v>
      </c>
      <c r="M94">
        <v>394</v>
      </c>
      <c r="N94">
        <v>216</v>
      </c>
      <c r="O94">
        <v>100</v>
      </c>
      <c r="P94">
        <v>496</v>
      </c>
      <c r="Q94">
        <v>601</v>
      </c>
      <c r="R94">
        <v>93</v>
      </c>
    </row>
    <row r="95" spans="1:18">
      <c r="A95" s="1" t="s">
        <v>347</v>
      </c>
      <c r="B95">
        <v>32</v>
      </c>
      <c r="C95">
        <v>24</v>
      </c>
      <c r="D95">
        <v>8</v>
      </c>
      <c r="E95">
        <v>7.12</v>
      </c>
      <c r="F95">
        <v>2438</v>
      </c>
      <c r="G95">
        <v>844</v>
      </c>
      <c r="H95">
        <v>1751</v>
      </c>
      <c r="I95">
        <v>506</v>
      </c>
      <c r="J95">
        <v>716</v>
      </c>
      <c r="K95">
        <v>366</v>
      </c>
      <c r="L95">
        <v>1186</v>
      </c>
      <c r="M95">
        <v>475</v>
      </c>
      <c r="N95">
        <v>228</v>
      </c>
      <c r="O95">
        <v>146</v>
      </c>
      <c r="P95">
        <v>444</v>
      </c>
      <c r="Q95">
        <v>598</v>
      </c>
      <c r="R95">
        <v>94</v>
      </c>
    </row>
    <row r="96" spans="1:18">
      <c r="A96" s="1" t="s">
        <v>93</v>
      </c>
      <c r="B96">
        <v>29</v>
      </c>
      <c r="C96">
        <v>13</v>
      </c>
      <c r="D96">
        <v>16</v>
      </c>
      <c r="E96">
        <v>-0.34</v>
      </c>
      <c r="F96">
        <v>1829</v>
      </c>
      <c r="G96">
        <v>648</v>
      </c>
      <c r="H96">
        <v>1535</v>
      </c>
      <c r="I96">
        <v>344</v>
      </c>
      <c r="J96">
        <v>536</v>
      </c>
      <c r="K96">
        <v>352</v>
      </c>
      <c r="L96">
        <v>977</v>
      </c>
      <c r="M96">
        <v>382</v>
      </c>
      <c r="N96">
        <v>218</v>
      </c>
      <c r="O96">
        <v>123</v>
      </c>
      <c r="P96">
        <v>475</v>
      </c>
      <c r="Q96">
        <v>497</v>
      </c>
      <c r="R96">
        <v>95</v>
      </c>
    </row>
    <row r="97" spans="1:18">
      <c r="A97" s="1" t="s">
        <v>306</v>
      </c>
      <c r="B97">
        <v>30</v>
      </c>
      <c r="C97">
        <v>16</v>
      </c>
      <c r="D97">
        <v>14</v>
      </c>
      <c r="E97">
        <v>0.31</v>
      </c>
      <c r="F97">
        <v>2143</v>
      </c>
      <c r="G97">
        <v>759</v>
      </c>
      <c r="H97">
        <v>1742</v>
      </c>
      <c r="I97">
        <v>409</v>
      </c>
      <c r="J97">
        <v>625</v>
      </c>
      <c r="K97">
        <v>371</v>
      </c>
      <c r="L97">
        <v>1159</v>
      </c>
      <c r="M97">
        <v>446</v>
      </c>
      <c r="N97">
        <v>170</v>
      </c>
      <c r="O97">
        <v>121</v>
      </c>
      <c r="P97">
        <v>478</v>
      </c>
      <c r="Q97">
        <v>519</v>
      </c>
      <c r="R97">
        <v>96</v>
      </c>
    </row>
    <row r="98" spans="1:18">
      <c r="A98" s="1" t="s">
        <v>94</v>
      </c>
      <c r="B98">
        <v>29</v>
      </c>
      <c r="C98">
        <v>16</v>
      </c>
      <c r="D98">
        <v>13</v>
      </c>
      <c r="E98">
        <v>-3.72</v>
      </c>
      <c r="F98">
        <v>2120</v>
      </c>
      <c r="G98">
        <v>754</v>
      </c>
      <c r="H98">
        <v>1609</v>
      </c>
      <c r="I98">
        <v>345</v>
      </c>
      <c r="J98">
        <v>492</v>
      </c>
      <c r="K98">
        <v>301</v>
      </c>
      <c r="L98">
        <v>933</v>
      </c>
      <c r="M98">
        <v>470</v>
      </c>
      <c r="N98">
        <v>266</v>
      </c>
      <c r="O98">
        <v>63</v>
      </c>
      <c r="P98">
        <v>427</v>
      </c>
      <c r="Q98">
        <v>498</v>
      </c>
      <c r="R98">
        <v>97</v>
      </c>
    </row>
    <row r="99" spans="1:18">
      <c r="A99" s="1" t="s">
        <v>318</v>
      </c>
      <c r="B99">
        <v>30</v>
      </c>
      <c r="C99">
        <v>18</v>
      </c>
      <c r="D99">
        <v>12</v>
      </c>
      <c r="E99">
        <v>-8.1</v>
      </c>
      <c r="F99">
        <v>2172</v>
      </c>
      <c r="G99">
        <v>780</v>
      </c>
      <c r="H99">
        <v>1807</v>
      </c>
      <c r="I99">
        <v>382</v>
      </c>
      <c r="J99">
        <v>541</v>
      </c>
      <c r="K99">
        <v>391</v>
      </c>
      <c r="L99">
        <v>1141</v>
      </c>
      <c r="M99">
        <v>447</v>
      </c>
      <c r="N99">
        <v>250</v>
      </c>
      <c r="O99">
        <v>94</v>
      </c>
      <c r="P99">
        <v>461</v>
      </c>
      <c r="Q99">
        <v>516</v>
      </c>
      <c r="R99">
        <v>98</v>
      </c>
    </row>
    <row r="100" spans="1:18">
      <c r="A100" s="1" t="s">
        <v>95</v>
      </c>
      <c r="B100">
        <v>29</v>
      </c>
      <c r="C100">
        <v>16</v>
      </c>
      <c r="D100">
        <v>13</v>
      </c>
      <c r="E100">
        <v>-2.83</v>
      </c>
      <c r="F100">
        <v>2127</v>
      </c>
      <c r="G100">
        <v>736</v>
      </c>
      <c r="H100">
        <v>1644</v>
      </c>
      <c r="I100">
        <v>453</v>
      </c>
      <c r="J100">
        <v>652</v>
      </c>
      <c r="K100">
        <v>329</v>
      </c>
      <c r="L100">
        <v>995</v>
      </c>
      <c r="M100">
        <v>418</v>
      </c>
      <c r="N100">
        <v>230</v>
      </c>
      <c r="O100">
        <v>92</v>
      </c>
      <c r="P100">
        <v>359</v>
      </c>
      <c r="Q100">
        <v>499</v>
      </c>
      <c r="R100">
        <v>99</v>
      </c>
    </row>
    <row r="101" spans="1:18">
      <c r="A101" s="1" t="s">
        <v>96</v>
      </c>
      <c r="B101">
        <v>30</v>
      </c>
      <c r="C101">
        <v>22</v>
      </c>
      <c r="D101">
        <v>8</v>
      </c>
      <c r="E101">
        <v>1.05</v>
      </c>
      <c r="F101">
        <v>2308</v>
      </c>
      <c r="G101">
        <v>833</v>
      </c>
      <c r="H101">
        <v>1750</v>
      </c>
      <c r="I101">
        <v>480</v>
      </c>
      <c r="J101">
        <v>693</v>
      </c>
      <c r="K101">
        <v>390</v>
      </c>
      <c r="L101">
        <v>1098</v>
      </c>
      <c r="M101">
        <v>484</v>
      </c>
      <c r="N101">
        <v>293</v>
      </c>
      <c r="O101">
        <v>128</v>
      </c>
      <c r="P101">
        <v>448</v>
      </c>
      <c r="Q101">
        <v>528</v>
      </c>
      <c r="R101">
        <v>100</v>
      </c>
    </row>
    <row r="102" spans="1:18">
      <c r="A102" s="1" t="s">
        <v>97</v>
      </c>
      <c r="B102">
        <v>32</v>
      </c>
      <c r="C102">
        <v>19</v>
      </c>
      <c r="D102">
        <v>13</v>
      </c>
      <c r="E102">
        <v>6.54</v>
      </c>
      <c r="F102">
        <v>2061</v>
      </c>
      <c r="G102">
        <v>733</v>
      </c>
      <c r="H102">
        <v>1620</v>
      </c>
      <c r="I102">
        <v>343</v>
      </c>
      <c r="J102">
        <v>487</v>
      </c>
      <c r="K102">
        <v>332</v>
      </c>
      <c r="L102">
        <v>999</v>
      </c>
      <c r="M102">
        <v>462</v>
      </c>
      <c r="N102">
        <v>218</v>
      </c>
      <c r="O102">
        <v>148</v>
      </c>
      <c r="P102">
        <v>439</v>
      </c>
      <c r="Q102">
        <v>556</v>
      </c>
      <c r="R102">
        <v>101</v>
      </c>
    </row>
    <row r="103" spans="1:18">
      <c r="A103" s="1" t="s">
        <v>98</v>
      </c>
      <c r="B103">
        <v>31</v>
      </c>
      <c r="C103">
        <v>18</v>
      </c>
      <c r="D103">
        <v>13</v>
      </c>
      <c r="E103">
        <v>-5.32</v>
      </c>
      <c r="F103">
        <v>2506</v>
      </c>
      <c r="G103">
        <v>878</v>
      </c>
      <c r="H103">
        <v>2048</v>
      </c>
      <c r="I103">
        <v>548</v>
      </c>
      <c r="J103">
        <v>766</v>
      </c>
      <c r="K103">
        <v>438</v>
      </c>
      <c r="L103">
        <v>1236</v>
      </c>
      <c r="M103">
        <v>461</v>
      </c>
      <c r="N103">
        <v>309</v>
      </c>
      <c r="O103">
        <v>139</v>
      </c>
      <c r="P103">
        <v>485</v>
      </c>
      <c r="Q103">
        <v>728</v>
      </c>
      <c r="R103">
        <v>102</v>
      </c>
    </row>
    <row r="104" spans="1:18">
      <c r="A104" s="1" t="s">
        <v>99</v>
      </c>
      <c r="B104">
        <v>29</v>
      </c>
      <c r="C104">
        <v>14</v>
      </c>
      <c r="D104">
        <v>15</v>
      </c>
      <c r="E104">
        <v>-5.66</v>
      </c>
      <c r="F104">
        <v>2049</v>
      </c>
      <c r="G104">
        <v>722</v>
      </c>
      <c r="H104">
        <v>1694</v>
      </c>
      <c r="I104">
        <v>348</v>
      </c>
      <c r="J104">
        <v>496</v>
      </c>
      <c r="K104">
        <v>325</v>
      </c>
      <c r="L104">
        <v>988</v>
      </c>
      <c r="M104">
        <v>375</v>
      </c>
      <c r="N104">
        <v>190</v>
      </c>
      <c r="O104">
        <v>139</v>
      </c>
      <c r="P104">
        <v>378</v>
      </c>
      <c r="Q104">
        <v>504</v>
      </c>
      <c r="R104">
        <v>103</v>
      </c>
    </row>
    <row r="105" spans="1:18">
      <c r="A105" s="1" t="s">
        <v>100</v>
      </c>
      <c r="B105">
        <v>32</v>
      </c>
      <c r="C105">
        <v>20</v>
      </c>
      <c r="D105">
        <v>12</v>
      </c>
      <c r="E105">
        <v>9.7799999999999994</v>
      </c>
      <c r="F105">
        <v>2371</v>
      </c>
      <c r="G105">
        <v>849</v>
      </c>
      <c r="H105">
        <v>1877</v>
      </c>
      <c r="I105">
        <v>483</v>
      </c>
      <c r="J105">
        <v>699</v>
      </c>
      <c r="K105">
        <v>400</v>
      </c>
      <c r="L105">
        <v>1248</v>
      </c>
      <c r="M105">
        <v>471</v>
      </c>
      <c r="N105">
        <v>265</v>
      </c>
      <c r="O105">
        <v>162</v>
      </c>
      <c r="P105">
        <v>483</v>
      </c>
      <c r="Q105">
        <v>648</v>
      </c>
      <c r="R105">
        <v>104</v>
      </c>
    </row>
    <row r="106" spans="1:18">
      <c r="A106" s="1" t="s">
        <v>101</v>
      </c>
      <c r="B106">
        <v>28</v>
      </c>
      <c r="C106">
        <v>8</v>
      </c>
      <c r="D106">
        <v>20</v>
      </c>
      <c r="E106">
        <v>6.46</v>
      </c>
      <c r="F106">
        <v>1683</v>
      </c>
      <c r="G106">
        <v>585</v>
      </c>
      <c r="H106">
        <v>1480</v>
      </c>
      <c r="I106">
        <v>360</v>
      </c>
      <c r="J106">
        <v>568</v>
      </c>
      <c r="K106">
        <v>312</v>
      </c>
      <c r="L106">
        <v>895</v>
      </c>
      <c r="M106">
        <v>271</v>
      </c>
      <c r="N106">
        <v>209</v>
      </c>
      <c r="O106">
        <v>92</v>
      </c>
      <c r="P106">
        <v>427</v>
      </c>
      <c r="Q106">
        <v>551</v>
      </c>
      <c r="R106">
        <v>105</v>
      </c>
    </row>
    <row r="107" spans="1:18">
      <c r="A107" s="1" t="s">
        <v>374</v>
      </c>
      <c r="B107">
        <v>31</v>
      </c>
      <c r="C107">
        <v>26</v>
      </c>
      <c r="D107">
        <v>5</v>
      </c>
      <c r="E107">
        <v>4.37</v>
      </c>
      <c r="F107">
        <v>2454</v>
      </c>
      <c r="G107">
        <v>856</v>
      </c>
      <c r="H107">
        <v>1702</v>
      </c>
      <c r="I107">
        <v>589</v>
      </c>
      <c r="J107">
        <v>797</v>
      </c>
      <c r="K107">
        <v>368</v>
      </c>
      <c r="L107">
        <v>1191</v>
      </c>
      <c r="M107">
        <v>486</v>
      </c>
      <c r="N107">
        <v>169</v>
      </c>
      <c r="O107">
        <v>106</v>
      </c>
      <c r="P107">
        <v>416</v>
      </c>
      <c r="Q107">
        <v>536</v>
      </c>
      <c r="R107">
        <v>106</v>
      </c>
    </row>
    <row r="108" spans="1:18">
      <c r="A108" s="1" t="s">
        <v>102</v>
      </c>
      <c r="B108">
        <v>26</v>
      </c>
      <c r="C108">
        <v>14</v>
      </c>
      <c r="D108">
        <v>12</v>
      </c>
      <c r="E108">
        <v>-12.75</v>
      </c>
      <c r="F108">
        <v>1732</v>
      </c>
      <c r="G108">
        <v>631</v>
      </c>
      <c r="H108">
        <v>1545</v>
      </c>
      <c r="I108">
        <v>297</v>
      </c>
      <c r="J108">
        <v>482</v>
      </c>
      <c r="K108">
        <v>304</v>
      </c>
      <c r="L108">
        <v>959</v>
      </c>
      <c r="M108">
        <v>371</v>
      </c>
      <c r="N108">
        <v>178</v>
      </c>
      <c r="O108">
        <v>94</v>
      </c>
      <c r="P108">
        <v>410</v>
      </c>
      <c r="Q108">
        <v>544</v>
      </c>
      <c r="R108">
        <v>107</v>
      </c>
    </row>
    <row r="109" spans="1:18">
      <c r="A109" s="1" t="s">
        <v>103</v>
      </c>
      <c r="B109">
        <v>28</v>
      </c>
      <c r="C109">
        <v>17</v>
      </c>
      <c r="D109">
        <v>11</v>
      </c>
      <c r="E109">
        <v>-0.09</v>
      </c>
      <c r="F109">
        <v>1883</v>
      </c>
      <c r="G109">
        <v>666</v>
      </c>
      <c r="H109">
        <v>1476</v>
      </c>
      <c r="I109">
        <v>371</v>
      </c>
      <c r="J109">
        <v>504</v>
      </c>
      <c r="K109">
        <v>253</v>
      </c>
      <c r="L109">
        <v>875</v>
      </c>
      <c r="M109">
        <v>383</v>
      </c>
      <c r="N109">
        <v>164</v>
      </c>
      <c r="O109">
        <v>58</v>
      </c>
      <c r="P109">
        <v>370</v>
      </c>
      <c r="Q109">
        <v>499</v>
      </c>
      <c r="R109">
        <v>108</v>
      </c>
    </row>
    <row r="110" spans="1:18">
      <c r="A110" s="1" t="s">
        <v>104</v>
      </c>
      <c r="B110">
        <v>30</v>
      </c>
      <c r="C110">
        <v>17</v>
      </c>
      <c r="D110">
        <v>13</v>
      </c>
      <c r="E110">
        <v>-10.96</v>
      </c>
      <c r="F110">
        <v>1973</v>
      </c>
      <c r="G110">
        <v>701</v>
      </c>
      <c r="H110">
        <v>1604</v>
      </c>
      <c r="I110">
        <v>423</v>
      </c>
      <c r="J110">
        <v>690</v>
      </c>
      <c r="K110">
        <v>373</v>
      </c>
      <c r="L110">
        <v>1082</v>
      </c>
      <c r="M110">
        <v>358</v>
      </c>
      <c r="N110">
        <v>247</v>
      </c>
      <c r="O110">
        <v>80</v>
      </c>
      <c r="P110">
        <v>522</v>
      </c>
      <c r="Q110">
        <v>584</v>
      </c>
      <c r="R110">
        <v>109</v>
      </c>
    </row>
    <row r="111" spans="1:18">
      <c r="A111" s="1" t="s">
        <v>105</v>
      </c>
      <c r="B111">
        <v>28</v>
      </c>
      <c r="C111">
        <v>8</v>
      </c>
      <c r="D111">
        <v>20</v>
      </c>
      <c r="E111">
        <v>-4.2300000000000004</v>
      </c>
      <c r="F111">
        <v>1665</v>
      </c>
      <c r="G111">
        <v>633</v>
      </c>
      <c r="H111">
        <v>1617</v>
      </c>
      <c r="I111">
        <v>270</v>
      </c>
      <c r="J111">
        <v>429</v>
      </c>
      <c r="K111">
        <v>357</v>
      </c>
      <c r="L111">
        <v>959</v>
      </c>
      <c r="M111">
        <v>251</v>
      </c>
      <c r="N111">
        <v>188</v>
      </c>
      <c r="O111">
        <v>54</v>
      </c>
      <c r="P111">
        <v>409</v>
      </c>
      <c r="Q111">
        <v>590</v>
      </c>
      <c r="R111">
        <v>110</v>
      </c>
    </row>
    <row r="112" spans="1:18">
      <c r="A112" s="1" t="s">
        <v>106</v>
      </c>
      <c r="B112">
        <v>27</v>
      </c>
      <c r="C112">
        <v>12</v>
      </c>
      <c r="D112">
        <v>15</v>
      </c>
      <c r="E112">
        <v>-4.47</v>
      </c>
      <c r="F112">
        <v>1813</v>
      </c>
      <c r="G112">
        <v>636</v>
      </c>
      <c r="H112">
        <v>1505</v>
      </c>
      <c r="I112">
        <v>375</v>
      </c>
      <c r="J112">
        <v>532</v>
      </c>
      <c r="K112">
        <v>327</v>
      </c>
      <c r="L112">
        <v>969</v>
      </c>
      <c r="M112">
        <v>355</v>
      </c>
      <c r="N112">
        <v>220</v>
      </c>
      <c r="O112">
        <v>92</v>
      </c>
      <c r="P112">
        <v>473</v>
      </c>
      <c r="Q112">
        <v>515</v>
      </c>
      <c r="R112">
        <v>111</v>
      </c>
    </row>
    <row r="113" spans="1:18">
      <c r="A113" s="1" t="s">
        <v>107</v>
      </c>
      <c r="B113">
        <v>29</v>
      </c>
      <c r="C113">
        <v>16</v>
      </c>
      <c r="D113">
        <v>13</v>
      </c>
      <c r="E113">
        <v>1.86</v>
      </c>
      <c r="F113">
        <v>1990</v>
      </c>
      <c r="G113">
        <v>748</v>
      </c>
      <c r="H113">
        <v>1708</v>
      </c>
      <c r="I113">
        <v>316</v>
      </c>
      <c r="J113">
        <v>478</v>
      </c>
      <c r="K113">
        <v>378</v>
      </c>
      <c r="L113">
        <v>992</v>
      </c>
      <c r="M113">
        <v>492</v>
      </c>
      <c r="N113">
        <v>195</v>
      </c>
      <c r="O113">
        <v>118</v>
      </c>
      <c r="P113">
        <v>372</v>
      </c>
      <c r="Q113">
        <v>487</v>
      </c>
      <c r="R113">
        <v>112</v>
      </c>
    </row>
    <row r="114" spans="1:18">
      <c r="A114" s="1" t="s">
        <v>108</v>
      </c>
      <c r="B114">
        <v>31</v>
      </c>
      <c r="C114">
        <v>13</v>
      </c>
      <c r="D114">
        <v>18</v>
      </c>
      <c r="E114">
        <v>-7.39</v>
      </c>
      <c r="F114">
        <v>2310</v>
      </c>
      <c r="G114">
        <v>821</v>
      </c>
      <c r="H114">
        <v>1881</v>
      </c>
      <c r="I114">
        <v>474</v>
      </c>
      <c r="J114">
        <v>729</v>
      </c>
      <c r="K114">
        <v>429</v>
      </c>
      <c r="L114">
        <v>1223</v>
      </c>
      <c r="M114">
        <v>445</v>
      </c>
      <c r="N114">
        <v>290</v>
      </c>
      <c r="O114">
        <v>107</v>
      </c>
      <c r="P114">
        <v>519</v>
      </c>
      <c r="Q114">
        <v>656</v>
      </c>
      <c r="R114">
        <v>113</v>
      </c>
    </row>
    <row r="115" spans="1:18">
      <c r="A115" s="1" t="s">
        <v>307</v>
      </c>
      <c r="B115">
        <v>30</v>
      </c>
      <c r="C115">
        <v>21</v>
      </c>
      <c r="D115">
        <v>9</v>
      </c>
      <c r="E115">
        <v>-2.5299999999999998</v>
      </c>
      <c r="F115">
        <v>2157</v>
      </c>
      <c r="G115">
        <v>764</v>
      </c>
      <c r="H115">
        <v>1699</v>
      </c>
      <c r="I115">
        <v>412</v>
      </c>
      <c r="J115">
        <v>631</v>
      </c>
      <c r="K115">
        <v>375</v>
      </c>
      <c r="L115">
        <v>1095</v>
      </c>
      <c r="M115">
        <v>393</v>
      </c>
      <c r="N115">
        <v>237</v>
      </c>
      <c r="O115">
        <v>136</v>
      </c>
      <c r="P115">
        <v>420</v>
      </c>
      <c r="Q115">
        <v>584</v>
      </c>
      <c r="R115">
        <v>114</v>
      </c>
    </row>
    <row r="116" spans="1:18">
      <c r="A116" s="1" t="s">
        <v>109</v>
      </c>
      <c r="B116">
        <v>32</v>
      </c>
      <c r="C116">
        <v>25</v>
      </c>
      <c r="D116">
        <v>7</v>
      </c>
      <c r="E116">
        <v>-4.21</v>
      </c>
      <c r="F116">
        <v>2140</v>
      </c>
      <c r="G116">
        <v>763</v>
      </c>
      <c r="H116">
        <v>1735</v>
      </c>
      <c r="I116">
        <v>416</v>
      </c>
      <c r="J116">
        <v>633</v>
      </c>
      <c r="K116">
        <v>392</v>
      </c>
      <c r="L116">
        <v>1109</v>
      </c>
      <c r="M116">
        <v>448</v>
      </c>
      <c r="N116">
        <v>329</v>
      </c>
      <c r="O116">
        <v>159</v>
      </c>
      <c r="P116">
        <v>431</v>
      </c>
      <c r="Q116">
        <v>548</v>
      </c>
      <c r="R116">
        <v>115</v>
      </c>
    </row>
    <row r="117" spans="1:18">
      <c r="A117" s="1" t="s">
        <v>110</v>
      </c>
      <c r="B117">
        <v>32</v>
      </c>
      <c r="C117">
        <v>18</v>
      </c>
      <c r="D117">
        <v>14</v>
      </c>
      <c r="E117">
        <v>3.92</v>
      </c>
      <c r="F117">
        <v>2226</v>
      </c>
      <c r="G117">
        <v>779</v>
      </c>
      <c r="H117">
        <v>1945</v>
      </c>
      <c r="I117">
        <v>389</v>
      </c>
      <c r="J117">
        <v>614</v>
      </c>
      <c r="K117">
        <v>435</v>
      </c>
      <c r="L117">
        <v>1050</v>
      </c>
      <c r="M117">
        <v>390</v>
      </c>
      <c r="N117">
        <v>331</v>
      </c>
      <c r="O117">
        <v>134</v>
      </c>
      <c r="P117">
        <v>397</v>
      </c>
      <c r="Q117">
        <v>731</v>
      </c>
      <c r="R117">
        <v>116</v>
      </c>
    </row>
    <row r="118" spans="1:18">
      <c r="A118" s="1" t="s">
        <v>111</v>
      </c>
      <c r="B118">
        <v>28</v>
      </c>
      <c r="C118">
        <v>5</v>
      </c>
      <c r="D118">
        <v>23</v>
      </c>
      <c r="E118">
        <v>-9.83</v>
      </c>
      <c r="F118">
        <v>1792</v>
      </c>
      <c r="G118">
        <v>615</v>
      </c>
      <c r="H118">
        <v>1657</v>
      </c>
      <c r="I118">
        <v>357</v>
      </c>
      <c r="J118">
        <v>530</v>
      </c>
      <c r="K118">
        <v>376</v>
      </c>
      <c r="L118">
        <v>970</v>
      </c>
      <c r="M118">
        <v>265</v>
      </c>
      <c r="N118">
        <v>195</v>
      </c>
      <c r="O118">
        <v>89</v>
      </c>
      <c r="P118">
        <v>439</v>
      </c>
      <c r="Q118">
        <v>610</v>
      </c>
      <c r="R118">
        <v>117</v>
      </c>
    </row>
    <row r="119" spans="1:18">
      <c r="A119" s="1" t="s">
        <v>112</v>
      </c>
      <c r="B119">
        <v>27</v>
      </c>
      <c r="C119">
        <v>9</v>
      </c>
      <c r="D119">
        <v>18</v>
      </c>
      <c r="E119">
        <v>-5.89</v>
      </c>
      <c r="F119">
        <v>1776</v>
      </c>
      <c r="G119">
        <v>605</v>
      </c>
      <c r="H119">
        <v>1463</v>
      </c>
      <c r="I119">
        <v>416</v>
      </c>
      <c r="J119">
        <v>599</v>
      </c>
      <c r="K119">
        <v>279</v>
      </c>
      <c r="L119">
        <v>847</v>
      </c>
      <c r="M119">
        <v>343</v>
      </c>
      <c r="N119">
        <v>219</v>
      </c>
      <c r="O119">
        <v>99</v>
      </c>
      <c r="P119">
        <v>404</v>
      </c>
      <c r="Q119">
        <v>534</v>
      </c>
      <c r="R119">
        <v>118</v>
      </c>
    </row>
    <row r="120" spans="1:18">
      <c r="A120" s="1" t="s">
        <v>113</v>
      </c>
      <c r="B120">
        <v>30</v>
      </c>
      <c r="C120">
        <v>8</v>
      </c>
      <c r="D120">
        <v>22</v>
      </c>
      <c r="E120">
        <v>-1.54</v>
      </c>
      <c r="F120">
        <v>1856</v>
      </c>
      <c r="G120">
        <v>699</v>
      </c>
      <c r="H120">
        <v>1702</v>
      </c>
      <c r="I120">
        <v>299</v>
      </c>
      <c r="J120">
        <v>468</v>
      </c>
      <c r="K120">
        <v>370</v>
      </c>
      <c r="L120">
        <v>1025</v>
      </c>
      <c r="M120">
        <v>334</v>
      </c>
      <c r="N120">
        <v>169</v>
      </c>
      <c r="O120">
        <v>88</v>
      </c>
      <c r="P120">
        <v>387</v>
      </c>
      <c r="Q120">
        <v>523</v>
      </c>
      <c r="R120">
        <v>119</v>
      </c>
    </row>
    <row r="121" spans="1:18">
      <c r="A121" s="1" t="s">
        <v>114</v>
      </c>
      <c r="B121">
        <v>29</v>
      </c>
      <c r="C121">
        <v>15</v>
      </c>
      <c r="D121">
        <v>14</v>
      </c>
      <c r="E121">
        <v>1.0900000000000001</v>
      </c>
      <c r="F121">
        <v>2035</v>
      </c>
      <c r="G121">
        <v>743</v>
      </c>
      <c r="H121">
        <v>1691</v>
      </c>
      <c r="I121">
        <v>402</v>
      </c>
      <c r="J121">
        <v>584</v>
      </c>
      <c r="K121">
        <v>391</v>
      </c>
      <c r="L121">
        <v>1043</v>
      </c>
      <c r="M121">
        <v>386</v>
      </c>
      <c r="N121">
        <v>203</v>
      </c>
      <c r="O121">
        <v>57</v>
      </c>
      <c r="P121">
        <v>372</v>
      </c>
      <c r="Q121">
        <v>501</v>
      </c>
      <c r="R121">
        <v>120</v>
      </c>
    </row>
    <row r="122" spans="1:18">
      <c r="A122" s="1" t="s">
        <v>115</v>
      </c>
      <c r="B122">
        <v>30</v>
      </c>
      <c r="C122">
        <v>17</v>
      </c>
      <c r="D122">
        <v>13</v>
      </c>
      <c r="E122">
        <v>3.34</v>
      </c>
      <c r="F122">
        <v>2003</v>
      </c>
      <c r="G122">
        <v>717</v>
      </c>
      <c r="H122">
        <v>1561</v>
      </c>
      <c r="I122">
        <v>375</v>
      </c>
      <c r="J122">
        <v>572</v>
      </c>
      <c r="K122">
        <v>295</v>
      </c>
      <c r="L122">
        <v>977</v>
      </c>
      <c r="M122">
        <v>424</v>
      </c>
      <c r="N122">
        <v>199</v>
      </c>
      <c r="O122">
        <v>85</v>
      </c>
      <c r="P122">
        <v>424</v>
      </c>
      <c r="Q122">
        <v>496</v>
      </c>
      <c r="R122">
        <v>121</v>
      </c>
    </row>
    <row r="123" spans="1:18">
      <c r="A123" s="1" t="s">
        <v>348</v>
      </c>
      <c r="B123">
        <v>39</v>
      </c>
      <c r="C123">
        <v>37</v>
      </c>
      <c r="D123">
        <v>2</v>
      </c>
      <c r="E123">
        <v>8.4700000000000006</v>
      </c>
      <c r="F123">
        <v>3002</v>
      </c>
      <c r="G123">
        <v>1092</v>
      </c>
      <c r="H123">
        <v>2258</v>
      </c>
      <c r="I123">
        <v>474</v>
      </c>
      <c r="J123">
        <v>651</v>
      </c>
      <c r="K123">
        <v>425</v>
      </c>
      <c r="L123">
        <v>1338</v>
      </c>
      <c r="M123">
        <v>727</v>
      </c>
      <c r="N123">
        <v>300</v>
      </c>
      <c r="O123">
        <v>123</v>
      </c>
      <c r="P123">
        <v>428</v>
      </c>
      <c r="Q123">
        <v>611</v>
      </c>
      <c r="R123">
        <v>122</v>
      </c>
    </row>
    <row r="124" spans="1:18">
      <c r="A124" s="1" t="s">
        <v>308</v>
      </c>
      <c r="B124">
        <v>31</v>
      </c>
      <c r="C124">
        <v>11</v>
      </c>
      <c r="D124">
        <v>20</v>
      </c>
      <c r="E124">
        <v>4.4400000000000004</v>
      </c>
      <c r="F124">
        <v>1890</v>
      </c>
      <c r="G124">
        <v>647</v>
      </c>
      <c r="H124">
        <v>1624</v>
      </c>
      <c r="I124">
        <v>443</v>
      </c>
      <c r="J124">
        <v>634</v>
      </c>
      <c r="K124">
        <v>289</v>
      </c>
      <c r="L124">
        <v>989</v>
      </c>
      <c r="M124">
        <v>369</v>
      </c>
      <c r="N124">
        <v>192</v>
      </c>
      <c r="O124">
        <v>53</v>
      </c>
      <c r="P124">
        <v>402</v>
      </c>
      <c r="Q124">
        <v>491</v>
      </c>
      <c r="R124">
        <v>123</v>
      </c>
    </row>
    <row r="125" spans="1:18">
      <c r="A125" s="1" t="s">
        <v>327</v>
      </c>
      <c r="B125">
        <v>29</v>
      </c>
      <c r="C125">
        <v>15</v>
      </c>
      <c r="D125">
        <v>14</v>
      </c>
      <c r="E125">
        <v>10.01</v>
      </c>
      <c r="F125">
        <v>1850</v>
      </c>
      <c r="G125">
        <v>631</v>
      </c>
      <c r="H125">
        <v>1486</v>
      </c>
      <c r="I125">
        <v>415</v>
      </c>
      <c r="J125">
        <v>581</v>
      </c>
      <c r="K125">
        <v>305</v>
      </c>
      <c r="L125">
        <v>899</v>
      </c>
      <c r="M125">
        <v>339</v>
      </c>
      <c r="N125">
        <v>191</v>
      </c>
      <c r="O125">
        <v>129</v>
      </c>
      <c r="P125">
        <v>374</v>
      </c>
      <c r="Q125">
        <v>518</v>
      </c>
      <c r="R125">
        <v>124</v>
      </c>
    </row>
    <row r="126" spans="1:18">
      <c r="A126" s="1" t="s">
        <v>309</v>
      </c>
      <c r="B126">
        <v>31</v>
      </c>
      <c r="C126">
        <v>15</v>
      </c>
      <c r="D126">
        <v>16</v>
      </c>
      <c r="E126">
        <v>-3.43</v>
      </c>
      <c r="F126">
        <v>2221</v>
      </c>
      <c r="G126">
        <v>778</v>
      </c>
      <c r="H126">
        <v>1748</v>
      </c>
      <c r="I126">
        <v>513</v>
      </c>
      <c r="J126">
        <v>725</v>
      </c>
      <c r="K126">
        <v>369</v>
      </c>
      <c r="L126">
        <v>1129</v>
      </c>
      <c r="M126">
        <v>454</v>
      </c>
      <c r="N126">
        <v>203</v>
      </c>
      <c r="O126">
        <v>187</v>
      </c>
      <c r="P126">
        <v>474</v>
      </c>
      <c r="Q126">
        <v>626</v>
      </c>
      <c r="R126">
        <v>125</v>
      </c>
    </row>
    <row r="127" spans="1:18">
      <c r="A127" s="1" t="s">
        <v>310</v>
      </c>
      <c r="B127">
        <v>31</v>
      </c>
      <c r="C127">
        <v>19</v>
      </c>
      <c r="D127">
        <v>12</v>
      </c>
      <c r="E127">
        <v>8.4</v>
      </c>
      <c r="F127">
        <v>2112</v>
      </c>
      <c r="G127">
        <v>784</v>
      </c>
      <c r="H127">
        <v>1794</v>
      </c>
      <c r="I127">
        <v>431</v>
      </c>
      <c r="J127">
        <v>632</v>
      </c>
      <c r="K127">
        <v>376</v>
      </c>
      <c r="L127">
        <v>1100</v>
      </c>
      <c r="M127">
        <v>444</v>
      </c>
      <c r="N127">
        <v>295</v>
      </c>
      <c r="O127">
        <v>120</v>
      </c>
      <c r="P127">
        <v>405</v>
      </c>
      <c r="Q127">
        <v>524</v>
      </c>
      <c r="R127">
        <v>126</v>
      </c>
    </row>
    <row r="128" spans="1:18">
      <c r="A128" s="1" t="s">
        <v>116</v>
      </c>
      <c r="B128">
        <v>33</v>
      </c>
      <c r="C128">
        <v>21</v>
      </c>
      <c r="D128">
        <v>12</v>
      </c>
      <c r="E128">
        <v>9.34</v>
      </c>
      <c r="F128">
        <v>2407</v>
      </c>
      <c r="G128">
        <v>841</v>
      </c>
      <c r="H128">
        <v>1831</v>
      </c>
      <c r="I128">
        <v>515</v>
      </c>
      <c r="J128">
        <v>745</v>
      </c>
      <c r="K128">
        <v>371</v>
      </c>
      <c r="L128">
        <v>1196</v>
      </c>
      <c r="M128">
        <v>501</v>
      </c>
      <c r="N128">
        <v>247</v>
      </c>
      <c r="O128">
        <v>174</v>
      </c>
      <c r="P128">
        <v>476</v>
      </c>
      <c r="Q128">
        <v>618</v>
      </c>
      <c r="R128">
        <v>127</v>
      </c>
    </row>
    <row r="129" spans="1:18">
      <c r="A129" s="1" t="s">
        <v>319</v>
      </c>
      <c r="B129">
        <v>29</v>
      </c>
      <c r="C129">
        <v>7</v>
      </c>
      <c r="D129">
        <v>22</v>
      </c>
      <c r="E129">
        <v>-1.78</v>
      </c>
      <c r="F129">
        <v>1789</v>
      </c>
      <c r="G129">
        <v>637</v>
      </c>
      <c r="H129">
        <v>1550</v>
      </c>
      <c r="I129">
        <v>325</v>
      </c>
      <c r="J129">
        <v>505</v>
      </c>
      <c r="K129">
        <v>335</v>
      </c>
      <c r="L129">
        <v>957</v>
      </c>
      <c r="M129">
        <v>338</v>
      </c>
      <c r="N129">
        <v>176</v>
      </c>
      <c r="O129">
        <v>106</v>
      </c>
      <c r="P129">
        <v>455</v>
      </c>
      <c r="Q129">
        <v>512</v>
      </c>
      <c r="R129">
        <v>128</v>
      </c>
    </row>
    <row r="130" spans="1:18">
      <c r="A130" s="1" t="s">
        <v>117</v>
      </c>
      <c r="B130">
        <v>29</v>
      </c>
      <c r="C130">
        <v>16</v>
      </c>
      <c r="D130">
        <v>13</v>
      </c>
      <c r="E130">
        <v>-2.12</v>
      </c>
      <c r="F130">
        <v>2068</v>
      </c>
      <c r="G130">
        <v>733</v>
      </c>
      <c r="H130">
        <v>1662</v>
      </c>
      <c r="I130">
        <v>368</v>
      </c>
      <c r="J130">
        <v>529</v>
      </c>
      <c r="K130">
        <v>364</v>
      </c>
      <c r="L130">
        <v>944</v>
      </c>
      <c r="M130">
        <v>415</v>
      </c>
      <c r="N130">
        <v>241</v>
      </c>
      <c r="O130">
        <v>82</v>
      </c>
      <c r="P130">
        <v>325</v>
      </c>
      <c r="Q130">
        <v>548</v>
      </c>
      <c r="R130">
        <v>129</v>
      </c>
    </row>
    <row r="131" spans="1:18">
      <c r="A131" s="1" t="s">
        <v>278</v>
      </c>
      <c r="B131">
        <v>32</v>
      </c>
      <c r="C131">
        <v>15</v>
      </c>
      <c r="D131">
        <v>17</v>
      </c>
      <c r="E131">
        <v>-10.75</v>
      </c>
      <c r="F131">
        <v>2058</v>
      </c>
      <c r="G131">
        <v>738</v>
      </c>
      <c r="H131">
        <v>1918</v>
      </c>
      <c r="I131">
        <v>446</v>
      </c>
      <c r="J131">
        <v>658</v>
      </c>
      <c r="K131">
        <v>458</v>
      </c>
      <c r="L131">
        <v>1169</v>
      </c>
      <c r="M131">
        <v>379</v>
      </c>
      <c r="N131">
        <v>314</v>
      </c>
      <c r="O131">
        <v>141</v>
      </c>
      <c r="P131">
        <v>561</v>
      </c>
      <c r="Q131">
        <v>699</v>
      </c>
      <c r="R131">
        <v>130</v>
      </c>
    </row>
    <row r="132" spans="1:18">
      <c r="A132" s="1" t="s">
        <v>118</v>
      </c>
      <c r="B132">
        <v>29</v>
      </c>
      <c r="C132">
        <v>7</v>
      </c>
      <c r="D132">
        <v>22</v>
      </c>
      <c r="E132">
        <v>-4.93</v>
      </c>
      <c r="F132">
        <v>2013</v>
      </c>
      <c r="G132">
        <v>710</v>
      </c>
      <c r="H132">
        <v>1592</v>
      </c>
      <c r="I132">
        <v>413</v>
      </c>
      <c r="J132">
        <v>573</v>
      </c>
      <c r="K132">
        <v>302</v>
      </c>
      <c r="L132">
        <v>922</v>
      </c>
      <c r="M132">
        <v>383</v>
      </c>
      <c r="N132">
        <v>217</v>
      </c>
      <c r="O132">
        <v>105</v>
      </c>
      <c r="P132">
        <v>429</v>
      </c>
      <c r="Q132">
        <v>536</v>
      </c>
      <c r="R132">
        <v>131</v>
      </c>
    </row>
    <row r="133" spans="1:18">
      <c r="A133" s="1" t="s">
        <v>119</v>
      </c>
      <c r="B133">
        <v>29</v>
      </c>
      <c r="C133">
        <v>16</v>
      </c>
      <c r="D133">
        <v>13</v>
      </c>
      <c r="E133">
        <v>-9.5</v>
      </c>
      <c r="F133">
        <v>2049</v>
      </c>
      <c r="G133">
        <v>731</v>
      </c>
      <c r="H133">
        <v>1601</v>
      </c>
      <c r="I133">
        <v>423</v>
      </c>
      <c r="J133">
        <v>655</v>
      </c>
      <c r="K133">
        <v>314</v>
      </c>
      <c r="L133">
        <v>1011</v>
      </c>
      <c r="M133">
        <v>402</v>
      </c>
      <c r="N133">
        <v>256</v>
      </c>
      <c r="O133">
        <v>162</v>
      </c>
      <c r="P133">
        <v>525</v>
      </c>
      <c r="Q133">
        <v>553</v>
      </c>
      <c r="R133">
        <v>132</v>
      </c>
    </row>
    <row r="134" spans="1:18">
      <c r="A134" s="1" t="s">
        <v>120</v>
      </c>
      <c r="B134">
        <v>28</v>
      </c>
      <c r="C134">
        <v>6</v>
      </c>
      <c r="D134">
        <v>22</v>
      </c>
      <c r="E134">
        <v>-2.2200000000000002</v>
      </c>
      <c r="F134">
        <v>1695</v>
      </c>
      <c r="G134">
        <v>590</v>
      </c>
      <c r="H134">
        <v>1449</v>
      </c>
      <c r="I134">
        <v>377</v>
      </c>
      <c r="J134">
        <v>575</v>
      </c>
      <c r="K134">
        <v>326</v>
      </c>
      <c r="L134">
        <v>919</v>
      </c>
      <c r="M134">
        <v>296</v>
      </c>
      <c r="N134">
        <v>167</v>
      </c>
      <c r="O134">
        <v>100</v>
      </c>
      <c r="P134">
        <v>483</v>
      </c>
      <c r="Q134">
        <v>595</v>
      </c>
      <c r="R134">
        <v>133</v>
      </c>
    </row>
    <row r="135" spans="1:18">
      <c r="A135" s="1" t="s">
        <v>121</v>
      </c>
      <c r="B135">
        <v>29</v>
      </c>
      <c r="C135">
        <v>17</v>
      </c>
      <c r="D135">
        <v>12</v>
      </c>
      <c r="E135">
        <v>7.72</v>
      </c>
      <c r="F135">
        <v>2003</v>
      </c>
      <c r="G135">
        <v>712</v>
      </c>
      <c r="H135">
        <v>1623</v>
      </c>
      <c r="I135">
        <v>412</v>
      </c>
      <c r="J135">
        <v>602</v>
      </c>
      <c r="K135">
        <v>346</v>
      </c>
      <c r="L135">
        <v>1015</v>
      </c>
      <c r="M135">
        <v>461</v>
      </c>
      <c r="N135">
        <v>196</v>
      </c>
      <c r="O135">
        <v>63</v>
      </c>
      <c r="P135">
        <v>360</v>
      </c>
      <c r="Q135">
        <v>482</v>
      </c>
      <c r="R135">
        <v>134</v>
      </c>
    </row>
    <row r="136" spans="1:18">
      <c r="A136" s="1" t="s">
        <v>375</v>
      </c>
      <c r="B136">
        <v>30</v>
      </c>
      <c r="C136">
        <v>23</v>
      </c>
      <c r="D136">
        <v>7</v>
      </c>
      <c r="E136">
        <v>10.85</v>
      </c>
      <c r="F136">
        <v>2251</v>
      </c>
      <c r="G136">
        <v>801</v>
      </c>
      <c r="H136">
        <v>1684</v>
      </c>
      <c r="I136">
        <v>451</v>
      </c>
      <c r="J136">
        <v>649</v>
      </c>
      <c r="K136">
        <v>350</v>
      </c>
      <c r="L136">
        <v>1129</v>
      </c>
      <c r="M136">
        <v>495</v>
      </c>
      <c r="N136">
        <v>197</v>
      </c>
      <c r="O136">
        <v>115</v>
      </c>
      <c r="P136">
        <v>433</v>
      </c>
      <c r="Q136">
        <v>574</v>
      </c>
      <c r="R136">
        <v>135</v>
      </c>
    </row>
    <row r="137" spans="1:18">
      <c r="A137" s="1" t="s">
        <v>122</v>
      </c>
      <c r="B137">
        <v>33</v>
      </c>
      <c r="C137">
        <v>20</v>
      </c>
      <c r="D137">
        <v>13</v>
      </c>
      <c r="E137">
        <v>2.75</v>
      </c>
      <c r="F137">
        <v>2322</v>
      </c>
      <c r="G137">
        <v>832</v>
      </c>
      <c r="H137">
        <v>1871</v>
      </c>
      <c r="I137">
        <v>421</v>
      </c>
      <c r="J137">
        <v>614</v>
      </c>
      <c r="K137">
        <v>391</v>
      </c>
      <c r="L137">
        <v>1105</v>
      </c>
      <c r="M137">
        <v>504</v>
      </c>
      <c r="N137">
        <v>278</v>
      </c>
      <c r="O137">
        <v>57</v>
      </c>
      <c r="P137">
        <v>456</v>
      </c>
      <c r="Q137">
        <v>616</v>
      </c>
      <c r="R137">
        <v>136</v>
      </c>
    </row>
    <row r="138" spans="1:18">
      <c r="A138" s="1" t="s">
        <v>354</v>
      </c>
      <c r="B138">
        <v>34</v>
      </c>
      <c r="C138">
        <v>28</v>
      </c>
      <c r="D138">
        <v>6</v>
      </c>
      <c r="E138">
        <v>8.1</v>
      </c>
      <c r="F138">
        <v>2503</v>
      </c>
      <c r="G138">
        <v>901</v>
      </c>
      <c r="H138">
        <v>1940</v>
      </c>
      <c r="I138">
        <v>483</v>
      </c>
      <c r="J138">
        <v>728</v>
      </c>
      <c r="K138">
        <v>417</v>
      </c>
      <c r="L138">
        <v>1197</v>
      </c>
      <c r="M138">
        <v>509</v>
      </c>
      <c r="N138">
        <v>311</v>
      </c>
      <c r="O138">
        <v>147</v>
      </c>
      <c r="P138">
        <v>445</v>
      </c>
      <c r="Q138">
        <v>582</v>
      </c>
      <c r="R138">
        <v>137</v>
      </c>
    </row>
    <row r="139" spans="1:18">
      <c r="A139" s="1" t="s">
        <v>123</v>
      </c>
      <c r="B139">
        <v>29</v>
      </c>
      <c r="C139">
        <v>10</v>
      </c>
      <c r="D139">
        <v>19</v>
      </c>
      <c r="E139">
        <v>1.1599999999999999</v>
      </c>
      <c r="F139">
        <v>1817</v>
      </c>
      <c r="G139">
        <v>617</v>
      </c>
      <c r="H139">
        <v>1524</v>
      </c>
      <c r="I139">
        <v>369</v>
      </c>
      <c r="J139">
        <v>507</v>
      </c>
      <c r="K139">
        <v>262</v>
      </c>
      <c r="L139">
        <v>890</v>
      </c>
      <c r="M139">
        <v>366</v>
      </c>
      <c r="N139">
        <v>219</v>
      </c>
      <c r="O139">
        <v>62</v>
      </c>
      <c r="P139">
        <v>394</v>
      </c>
      <c r="Q139">
        <v>429</v>
      </c>
      <c r="R139">
        <v>138</v>
      </c>
    </row>
    <row r="140" spans="1:18">
      <c r="A140" s="1" t="s">
        <v>279</v>
      </c>
      <c r="B140">
        <v>28</v>
      </c>
      <c r="C140">
        <v>9</v>
      </c>
      <c r="D140">
        <v>19</v>
      </c>
      <c r="E140">
        <v>-2.91</v>
      </c>
      <c r="F140">
        <v>1879</v>
      </c>
      <c r="G140">
        <v>633</v>
      </c>
      <c r="H140">
        <v>1568</v>
      </c>
      <c r="I140">
        <v>424</v>
      </c>
      <c r="J140">
        <v>577</v>
      </c>
      <c r="K140">
        <v>285</v>
      </c>
      <c r="L140">
        <v>1002</v>
      </c>
      <c r="M140">
        <v>347</v>
      </c>
      <c r="N140">
        <v>171</v>
      </c>
      <c r="O140">
        <v>86</v>
      </c>
      <c r="P140">
        <v>496</v>
      </c>
      <c r="Q140">
        <v>548</v>
      </c>
      <c r="R140">
        <v>139</v>
      </c>
    </row>
    <row r="141" spans="1:18">
      <c r="A141" s="1" t="s">
        <v>280</v>
      </c>
      <c r="B141">
        <v>29</v>
      </c>
      <c r="C141">
        <v>18</v>
      </c>
      <c r="D141">
        <v>11</v>
      </c>
      <c r="E141">
        <v>-4.3899999999999997</v>
      </c>
      <c r="F141">
        <v>2338</v>
      </c>
      <c r="G141">
        <v>804</v>
      </c>
      <c r="H141">
        <v>1830</v>
      </c>
      <c r="I141">
        <v>536</v>
      </c>
      <c r="J141">
        <v>796</v>
      </c>
      <c r="K141">
        <v>403</v>
      </c>
      <c r="L141">
        <v>1176</v>
      </c>
      <c r="M141">
        <v>440</v>
      </c>
      <c r="N141">
        <v>255</v>
      </c>
      <c r="O141">
        <v>133</v>
      </c>
      <c r="P141">
        <v>449</v>
      </c>
      <c r="Q141">
        <v>611</v>
      </c>
      <c r="R141">
        <v>140</v>
      </c>
    </row>
    <row r="142" spans="1:18">
      <c r="A142" s="1" t="s">
        <v>124</v>
      </c>
      <c r="B142">
        <v>29</v>
      </c>
      <c r="C142">
        <v>14</v>
      </c>
      <c r="D142">
        <v>15</v>
      </c>
      <c r="E142">
        <v>-6.77</v>
      </c>
      <c r="F142">
        <v>1783</v>
      </c>
      <c r="G142">
        <v>584</v>
      </c>
      <c r="H142">
        <v>1514</v>
      </c>
      <c r="I142">
        <v>429</v>
      </c>
      <c r="J142">
        <v>606</v>
      </c>
      <c r="K142">
        <v>303</v>
      </c>
      <c r="L142">
        <v>997</v>
      </c>
      <c r="M142">
        <v>378</v>
      </c>
      <c r="N142">
        <v>190</v>
      </c>
      <c r="O142">
        <v>63</v>
      </c>
      <c r="P142">
        <v>399</v>
      </c>
      <c r="Q142">
        <v>571</v>
      </c>
      <c r="R142">
        <v>141</v>
      </c>
    </row>
    <row r="143" spans="1:18">
      <c r="A143" s="1" t="s">
        <v>125</v>
      </c>
      <c r="B143">
        <v>28</v>
      </c>
      <c r="C143">
        <v>13</v>
      </c>
      <c r="D143">
        <v>15</v>
      </c>
      <c r="E143">
        <v>-6.01</v>
      </c>
      <c r="F143">
        <v>1902</v>
      </c>
      <c r="G143">
        <v>663</v>
      </c>
      <c r="H143">
        <v>1598</v>
      </c>
      <c r="I143">
        <v>415</v>
      </c>
      <c r="J143">
        <v>647</v>
      </c>
      <c r="K143">
        <v>372</v>
      </c>
      <c r="L143">
        <v>1066</v>
      </c>
      <c r="M143">
        <v>347</v>
      </c>
      <c r="N143">
        <v>183</v>
      </c>
      <c r="O143">
        <v>85</v>
      </c>
      <c r="P143">
        <v>444</v>
      </c>
      <c r="Q143">
        <v>552</v>
      </c>
      <c r="R143">
        <v>142</v>
      </c>
    </row>
    <row r="144" spans="1:18">
      <c r="A144" s="1" t="s">
        <v>320</v>
      </c>
      <c r="B144">
        <v>28</v>
      </c>
      <c r="C144">
        <v>16</v>
      </c>
      <c r="D144">
        <v>12</v>
      </c>
      <c r="E144">
        <v>-10.49</v>
      </c>
      <c r="F144">
        <v>1939</v>
      </c>
      <c r="G144">
        <v>678</v>
      </c>
      <c r="H144">
        <v>1573</v>
      </c>
      <c r="I144">
        <v>379</v>
      </c>
      <c r="J144">
        <v>577</v>
      </c>
      <c r="K144">
        <v>360</v>
      </c>
      <c r="L144">
        <v>1072</v>
      </c>
      <c r="M144">
        <v>367</v>
      </c>
      <c r="N144">
        <v>178</v>
      </c>
      <c r="O144">
        <v>65</v>
      </c>
      <c r="P144">
        <v>445</v>
      </c>
      <c r="Q144">
        <v>540</v>
      </c>
      <c r="R144">
        <v>143</v>
      </c>
    </row>
    <row r="145" spans="1:18">
      <c r="A145" s="1" t="s">
        <v>126</v>
      </c>
      <c r="B145">
        <v>30</v>
      </c>
      <c r="C145">
        <v>10</v>
      </c>
      <c r="D145">
        <v>20</v>
      </c>
      <c r="E145">
        <v>-0.13</v>
      </c>
      <c r="F145">
        <v>1820</v>
      </c>
      <c r="G145">
        <v>662</v>
      </c>
      <c r="H145">
        <v>1599</v>
      </c>
      <c r="I145">
        <v>337</v>
      </c>
      <c r="J145">
        <v>511</v>
      </c>
      <c r="K145">
        <v>356</v>
      </c>
      <c r="L145">
        <v>1008</v>
      </c>
      <c r="M145">
        <v>336</v>
      </c>
      <c r="N145">
        <v>158</v>
      </c>
      <c r="O145">
        <v>90</v>
      </c>
      <c r="P145">
        <v>484</v>
      </c>
      <c r="Q145">
        <v>544</v>
      </c>
      <c r="R145">
        <v>144</v>
      </c>
    </row>
    <row r="146" spans="1:18">
      <c r="A146" s="1" t="s">
        <v>127</v>
      </c>
      <c r="B146">
        <v>29</v>
      </c>
      <c r="C146">
        <v>14</v>
      </c>
      <c r="D146">
        <v>15</v>
      </c>
      <c r="E146">
        <v>-7.92</v>
      </c>
      <c r="F146">
        <v>1955</v>
      </c>
      <c r="G146">
        <v>682</v>
      </c>
      <c r="H146">
        <v>1629</v>
      </c>
      <c r="I146">
        <v>390</v>
      </c>
      <c r="J146">
        <v>589</v>
      </c>
      <c r="K146">
        <v>338</v>
      </c>
      <c r="L146">
        <v>1037</v>
      </c>
      <c r="M146">
        <v>372</v>
      </c>
      <c r="N146">
        <v>150</v>
      </c>
      <c r="O146">
        <v>68</v>
      </c>
      <c r="P146">
        <v>457</v>
      </c>
      <c r="Q146">
        <v>581</v>
      </c>
      <c r="R146">
        <v>145</v>
      </c>
    </row>
    <row r="147" spans="1:18">
      <c r="A147" s="1" t="s">
        <v>331</v>
      </c>
      <c r="B147">
        <v>31</v>
      </c>
      <c r="C147">
        <v>1</v>
      </c>
      <c r="D147">
        <v>30</v>
      </c>
      <c r="F147">
        <v>1978</v>
      </c>
      <c r="G147">
        <v>748</v>
      </c>
      <c r="H147">
        <v>1945</v>
      </c>
      <c r="I147">
        <v>289</v>
      </c>
      <c r="J147">
        <v>459</v>
      </c>
      <c r="K147">
        <v>384</v>
      </c>
      <c r="L147">
        <v>1136</v>
      </c>
      <c r="M147">
        <v>397</v>
      </c>
      <c r="N147">
        <v>212</v>
      </c>
      <c r="O147">
        <v>120</v>
      </c>
      <c r="P147">
        <v>531</v>
      </c>
      <c r="Q147">
        <v>563</v>
      </c>
      <c r="R147">
        <v>146</v>
      </c>
    </row>
    <row r="148" spans="1:18">
      <c r="A148" s="1" t="s">
        <v>281</v>
      </c>
      <c r="B148">
        <v>31</v>
      </c>
      <c r="C148">
        <v>20</v>
      </c>
      <c r="D148">
        <v>11</v>
      </c>
      <c r="E148">
        <v>1.91</v>
      </c>
      <c r="F148">
        <v>2239</v>
      </c>
      <c r="G148">
        <v>804</v>
      </c>
      <c r="H148">
        <v>1802</v>
      </c>
      <c r="I148">
        <v>431</v>
      </c>
      <c r="J148">
        <v>654</v>
      </c>
      <c r="K148">
        <v>437</v>
      </c>
      <c r="L148">
        <v>1092</v>
      </c>
      <c r="M148">
        <v>375</v>
      </c>
      <c r="N148">
        <v>291</v>
      </c>
      <c r="O148">
        <v>85</v>
      </c>
      <c r="P148">
        <v>482</v>
      </c>
      <c r="Q148">
        <v>604</v>
      </c>
      <c r="R148">
        <v>147</v>
      </c>
    </row>
    <row r="149" spans="1:18">
      <c r="A149" s="1" t="s">
        <v>128</v>
      </c>
      <c r="B149">
        <v>27</v>
      </c>
      <c r="C149">
        <v>8</v>
      </c>
      <c r="D149">
        <v>19</v>
      </c>
      <c r="E149">
        <v>-4.8099999999999996</v>
      </c>
      <c r="F149">
        <v>1751</v>
      </c>
      <c r="G149">
        <v>631</v>
      </c>
      <c r="H149">
        <v>1482</v>
      </c>
      <c r="I149">
        <v>335</v>
      </c>
      <c r="J149">
        <v>529</v>
      </c>
      <c r="K149">
        <v>327</v>
      </c>
      <c r="L149">
        <v>922</v>
      </c>
      <c r="M149">
        <v>337</v>
      </c>
      <c r="N149">
        <v>177</v>
      </c>
      <c r="O149">
        <v>84</v>
      </c>
      <c r="P149">
        <v>446</v>
      </c>
      <c r="Q149">
        <v>517</v>
      </c>
      <c r="R149">
        <v>148</v>
      </c>
    </row>
    <row r="150" spans="1:18">
      <c r="A150" s="1" t="s">
        <v>282</v>
      </c>
      <c r="B150">
        <v>30</v>
      </c>
      <c r="C150">
        <v>20</v>
      </c>
      <c r="D150">
        <v>10</v>
      </c>
      <c r="E150">
        <v>7.77</v>
      </c>
      <c r="F150">
        <v>2257</v>
      </c>
      <c r="G150">
        <v>776</v>
      </c>
      <c r="H150">
        <v>1690</v>
      </c>
      <c r="I150">
        <v>500</v>
      </c>
      <c r="J150">
        <v>685</v>
      </c>
      <c r="K150">
        <v>349</v>
      </c>
      <c r="L150">
        <v>1097</v>
      </c>
      <c r="M150">
        <v>442</v>
      </c>
      <c r="N150">
        <v>209</v>
      </c>
      <c r="O150">
        <v>127</v>
      </c>
      <c r="P150">
        <v>405</v>
      </c>
      <c r="Q150">
        <v>490</v>
      </c>
      <c r="R150">
        <v>149</v>
      </c>
    </row>
    <row r="151" spans="1:18">
      <c r="A151" s="1" t="s">
        <v>129</v>
      </c>
      <c r="B151">
        <v>29</v>
      </c>
      <c r="C151">
        <v>14</v>
      </c>
      <c r="D151">
        <v>15</v>
      </c>
      <c r="E151">
        <v>1.24</v>
      </c>
      <c r="F151">
        <v>2040</v>
      </c>
      <c r="G151">
        <v>749</v>
      </c>
      <c r="H151">
        <v>1695</v>
      </c>
      <c r="I151">
        <v>397</v>
      </c>
      <c r="J151">
        <v>639</v>
      </c>
      <c r="K151">
        <v>388</v>
      </c>
      <c r="L151">
        <v>1118</v>
      </c>
      <c r="M151">
        <v>451</v>
      </c>
      <c r="N151">
        <v>204</v>
      </c>
      <c r="O151">
        <v>80</v>
      </c>
      <c r="P151">
        <v>436</v>
      </c>
      <c r="Q151">
        <v>502</v>
      </c>
      <c r="R151">
        <v>150</v>
      </c>
    </row>
    <row r="152" spans="1:18">
      <c r="A152" s="1" t="s">
        <v>283</v>
      </c>
      <c r="B152">
        <v>38</v>
      </c>
      <c r="C152">
        <v>33</v>
      </c>
      <c r="D152">
        <v>5</v>
      </c>
      <c r="E152">
        <v>6.18</v>
      </c>
      <c r="F152">
        <v>3066</v>
      </c>
      <c r="G152">
        <v>1011</v>
      </c>
      <c r="H152">
        <v>2165</v>
      </c>
      <c r="I152">
        <v>683</v>
      </c>
      <c r="J152">
        <v>945</v>
      </c>
      <c r="K152">
        <v>489</v>
      </c>
      <c r="L152">
        <v>1475</v>
      </c>
      <c r="M152">
        <v>590</v>
      </c>
      <c r="N152">
        <v>327</v>
      </c>
      <c r="O152">
        <v>148</v>
      </c>
      <c r="P152">
        <v>535</v>
      </c>
      <c r="Q152">
        <v>701</v>
      </c>
      <c r="R152">
        <v>151</v>
      </c>
    </row>
    <row r="153" spans="1:18">
      <c r="A153" s="1" t="s">
        <v>130</v>
      </c>
      <c r="B153">
        <v>30</v>
      </c>
      <c r="C153">
        <v>13</v>
      </c>
      <c r="D153">
        <v>17</v>
      </c>
      <c r="E153">
        <v>0.99</v>
      </c>
      <c r="F153">
        <v>2018</v>
      </c>
      <c r="G153">
        <v>722</v>
      </c>
      <c r="H153">
        <v>1613</v>
      </c>
      <c r="I153">
        <v>391</v>
      </c>
      <c r="J153">
        <v>565</v>
      </c>
      <c r="K153">
        <v>296</v>
      </c>
      <c r="L153">
        <v>961</v>
      </c>
      <c r="M153">
        <v>372</v>
      </c>
      <c r="N153">
        <v>248</v>
      </c>
      <c r="O153">
        <v>110</v>
      </c>
      <c r="P153">
        <v>464</v>
      </c>
      <c r="Q153">
        <v>582</v>
      </c>
      <c r="R153">
        <v>152</v>
      </c>
    </row>
    <row r="154" spans="1:18">
      <c r="A154" s="1" t="s">
        <v>131</v>
      </c>
      <c r="B154">
        <v>28</v>
      </c>
      <c r="C154">
        <v>11</v>
      </c>
      <c r="D154">
        <v>17</v>
      </c>
      <c r="E154">
        <v>2.87</v>
      </c>
      <c r="F154">
        <v>1899</v>
      </c>
      <c r="G154">
        <v>697</v>
      </c>
      <c r="H154">
        <v>1685</v>
      </c>
      <c r="I154">
        <v>366</v>
      </c>
      <c r="J154">
        <v>499</v>
      </c>
      <c r="K154">
        <v>339</v>
      </c>
      <c r="L154">
        <v>940</v>
      </c>
      <c r="M154">
        <v>430</v>
      </c>
      <c r="N154">
        <v>244</v>
      </c>
      <c r="O154">
        <v>84</v>
      </c>
      <c r="P154">
        <v>383</v>
      </c>
      <c r="Q154">
        <v>571</v>
      </c>
      <c r="R154">
        <v>153</v>
      </c>
    </row>
    <row r="155" spans="1:18">
      <c r="A155" s="1" t="s">
        <v>132</v>
      </c>
      <c r="B155">
        <v>28</v>
      </c>
      <c r="C155">
        <v>6</v>
      </c>
      <c r="D155">
        <v>22</v>
      </c>
      <c r="E155">
        <v>-4.41</v>
      </c>
      <c r="F155">
        <v>1846</v>
      </c>
      <c r="G155">
        <v>643</v>
      </c>
      <c r="H155">
        <v>1547</v>
      </c>
      <c r="I155">
        <v>436</v>
      </c>
      <c r="J155">
        <v>656</v>
      </c>
      <c r="K155">
        <v>346</v>
      </c>
      <c r="L155">
        <v>1026</v>
      </c>
      <c r="M155">
        <v>335</v>
      </c>
      <c r="N155">
        <v>170</v>
      </c>
      <c r="O155">
        <v>77</v>
      </c>
      <c r="P155">
        <v>493</v>
      </c>
      <c r="Q155">
        <v>587</v>
      </c>
      <c r="R155">
        <v>154</v>
      </c>
    </row>
    <row r="156" spans="1:18">
      <c r="A156" s="1" t="s">
        <v>133</v>
      </c>
      <c r="B156">
        <v>29</v>
      </c>
      <c r="C156">
        <v>14</v>
      </c>
      <c r="D156">
        <v>15</v>
      </c>
      <c r="E156">
        <v>-4.21</v>
      </c>
      <c r="F156">
        <v>1844</v>
      </c>
      <c r="G156">
        <v>658</v>
      </c>
      <c r="H156">
        <v>1582</v>
      </c>
      <c r="I156">
        <v>329</v>
      </c>
      <c r="J156">
        <v>460</v>
      </c>
      <c r="K156">
        <v>338</v>
      </c>
      <c r="L156">
        <v>1057</v>
      </c>
      <c r="M156">
        <v>353</v>
      </c>
      <c r="N156">
        <v>216</v>
      </c>
      <c r="O156">
        <v>116</v>
      </c>
      <c r="P156">
        <v>519</v>
      </c>
      <c r="Q156">
        <v>556</v>
      </c>
      <c r="R156">
        <v>155</v>
      </c>
    </row>
    <row r="157" spans="1:18">
      <c r="A157" s="1" t="s">
        <v>134</v>
      </c>
      <c r="B157">
        <v>29</v>
      </c>
      <c r="C157">
        <v>15</v>
      </c>
      <c r="D157">
        <v>14</v>
      </c>
      <c r="E157">
        <v>-2.41</v>
      </c>
      <c r="F157">
        <v>2118</v>
      </c>
      <c r="G157">
        <v>758</v>
      </c>
      <c r="H157">
        <v>1703</v>
      </c>
      <c r="I157">
        <v>449</v>
      </c>
      <c r="J157">
        <v>655</v>
      </c>
      <c r="K157">
        <v>355</v>
      </c>
      <c r="L157">
        <v>1002</v>
      </c>
      <c r="M157">
        <v>380</v>
      </c>
      <c r="N157">
        <v>248</v>
      </c>
      <c r="O157">
        <v>150</v>
      </c>
      <c r="P157">
        <v>354</v>
      </c>
      <c r="Q157">
        <v>596</v>
      </c>
      <c r="R157">
        <v>156</v>
      </c>
    </row>
    <row r="158" spans="1:18">
      <c r="A158" s="1" t="s">
        <v>135</v>
      </c>
      <c r="B158">
        <v>28</v>
      </c>
      <c r="C158">
        <v>11</v>
      </c>
      <c r="D158">
        <v>17</v>
      </c>
      <c r="E158">
        <v>-4.3</v>
      </c>
      <c r="F158">
        <v>1961</v>
      </c>
      <c r="G158">
        <v>678</v>
      </c>
      <c r="H158">
        <v>1534</v>
      </c>
      <c r="I158">
        <v>374</v>
      </c>
      <c r="J158">
        <v>552</v>
      </c>
      <c r="K158">
        <v>268</v>
      </c>
      <c r="L158">
        <v>956</v>
      </c>
      <c r="M158">
        <v>427</v>
      </c>
      <c r="N158">
        <v>164</v>
      </c>
      <c r="O158">
        <v>64</v>
      </c>
      <c r="P158">
        <v>379</v>
      </c>
      <c r="Q158">
        <v>496</v>
      </c>
      <c r="R158">
        <v>157</v>
      </c>
    </row>
    <row r="159" spans="1:18">
      <c r="A159" s="1" t="s">
        <v>136</v>
      </c>
      <c r="B159">
        <v>31</v>
      </c>
      <c r="C159">
        <v>19</v>
      </c>
      <c r="D159">
        <v>12</v>
      </c>
      <c r="E159">
        <v>4.7300000000000004</v>
      </c>
      <c r="F159">
        <v>2080</v>
      </c>
      <c r="G159">
        <v>694</v>
      </c>
      <c r="H159">
        <v>1636</v>
      </c>
      <c r="I159">
        <v>451</v>
      </c>
      <c r="J159">
        <v>635</v>
      </c>
      <c r="K159">
        <v>411</v>
      </c>
      <c r="L159">
        <v>1144</v>
      </c>
      <c r="M159">
        <v>424</v>
      </c>
      <c r="N159">
        <v>131</v>
      </c>
      <c r="O159">
        <v>88</v>
      </c>
      <c r="P159">
        <v>449</v>
      </c>
      <c r="Q159">
        <v>598</v>
      </c>
      <c r="R159">
        <v>158</v>
      </c>
    </row>
    <row r="160" spans="1:18">
      <c r="A160" s="1" t="s">
        <v>137</v>
      </c>
      <c r="B160">
        <v>28</v>
      </c>
      <c r="C160">
        <v>6</v>
      </c>
      <c r="D160">
        <v>22</v>
      </c>
      <c r="E160">
        <v>3.61</v>
      </c>
      <c r="F160">
        <v>1869</v>
      </c>
      <c r="G160">
        <v>631</v>
      </c>
      <c r="H160">
        <v>1522</v>
      </c>
      <c r="I160">
        <v>401</v>
      </c>
      <c r="J160">
        <v>564</v>
      </c>
      <c r="K160">
        <v>339</v>
      </c>
      <c r="L160">
        <v>918</v>
      </c>
      <c r="M160">
        <v>338</v>
      </c>
      <c r="N160">
        <v>152</v>
      </c>
      <c r="O160">
        <v>86</v>
      </c>
      <c r="P160">
        <v>409</v>
      </c>
      <c r="Q160">
        <v>541</v>
      </c>
      <c r="R160">
        <v>159</v>
      </c>
    </row>
    <row r="161" spans="1:18">
      <c r="A161" s="1" t="s">
        <v>138</v>
      </c>
      <c r="B161">
        <v>29</v>
      </c>
      <c r="C161">
        <v>11</v>
      </c>
      <c r="D161">
        <v>18</v>
      </c>
      <c r="E161">
        <v>-5.48</v>
      </c>
      <c r="F161">
        <v>1777</v>
      </c>
      <c r="G161">
        <v>640</v>
      </c>
      <c r="H161">
        <v>1610</v>
      </c>
      <c r="I161">
        <v>351</v>
      </c>
      <c r="J161">
        <v>559</v>
      </c>
      <c r="K161">
        <v>372</v>
      </c>
      <c r="L161">
        <v>1036</v>
      </c>
      <c r="M161">
        <v>383</v>
      </c>
      <c r="N161">
        <v>176</v>
      </c>
      <c r="O161">
        <v>84</v>
      </c>
      <c r="P161">
        <v>382</v>
      </c>
      <c r="Q161">
        <v>536</v>
      </c>
      <c r="R161">
        <v>160</v>
      </c>
    </row>
    <row r="162" spans="1:18">
      <c r="A162" s="1" t="s">
        <v>139</v>
      </c>
      <c r="B162">
        <v>28</v>
      </c>
      <c r="C162">
        <v>2</v>
      </c>
      <c r="D162">
        <v>26</v>
      </c>
      <c r="E162">
        <v>-10.029999999999999</v>
      </c>
      <c r="F162">
        <v>1581</v>
      </c>
      <c r="G162">
        <v>545</v>
      </c>
      <c r="H162">
        <v>1447</v>
      </c>
      <c r="I162">
        <v>344</v>
      </c>
      <c r="J162">
        <v>566</v>
      </c>
      <c r="K162">
        <v>298</v>
      </c>
      <c r="L162">
        <v>942</v>
      </c>
      <c r="M162">
        <v>271</v>
      </c>
      <c r="N162">
        <v>153</v>
      </c>
      <c r="O162">
        <v>59</v>
      </c>
      <c r="P162">
        <v>625</v>
      </c>
      <c r="Q162">
        <v>530</v>
      </c>
      <c r="R162">
        <v>161</v>
      </c>
    </row>
    <row r="163" spans="1:18">
      <c r="A163" s="1" t="s">
        <v>332</v>
      </c>
      <c r="B163">
        <v>32</v>
      </c>
      <c r="C163">
        <v>19</v>
      </c>
      <c r="D163">
        <v>13</v>
      </c>
      <c r="E163">
        <v>7.89</v>
      </c>
      <c r="F163">
        <v>2620</v>
      </c>
      <c r="G163">
        <v>920</v>
      </c>
      <c r="H163">
        <v>2094</v>
      </c>
      <c r="I163">
        <v>600</v>
      </c>
      <c r="J163">
        <v>826</v>
      </c>
      <c r="K163">
        <v>479</v>
      </c>
      <c r="L163">
        <v>1385</v>
      </c>
      <c r="M163">
        <v>499</v>
      </c>
      <c r="N163">
        <v>267</v>
      </c>
      <c r="O163">
        <v>200</v>
      </c>
      <c r="P163">
        <v>513</v>
      </c>
      <c r="Q163">
        <v>609</v>
      </c>
      <c r="R163">
        <v>162</v>
      </c>
    </row>
    <row r="164" spans="1:18">
      <c r="A164" s="1" t="s">
        <v>140</v>
      </c>
      <c r="B164">
        <v>28</v>
      </c>
      <c r="C164">
        <v>16</v>
      </c>
      <c r="D164">
        <v>12</v>
      </c>
      <c r="E164">
        <v>1.51</v>
      </c>
      <c r="F164">
        <v>1802</v>
      </c>
      <c r="G164">
        <v>645</v>
      </c>
      <c r="H164">
        <v>1486</v>
      </c>
      <c r="I164">
        <v>354</v>
      </c>
      <c r="J164">
        <v>525</v>
      </c>
      <c r="K164">
        <v>324</v>
      </c>
      <c r="L164">
        <v>959</v>
      </c>
      <c r="M164">
        <v>415</v>
      </c>
      <c r="N164">
        <v>233</v>
      </c>
      <c r="O164">
        <v>146</v>
      </c>
      <c r="P164">
        <v>435</v>
      </c>
      <c r="Q164">
        <v>467</v>
      </c>
      <c r="R164">
        <v>163</v>
      </c>
    </row>
    <row r="165" spans="1:18">
      <c r="A165" s="1" t="s">
        <v>141</v>
      </c>
      <c r="B165">
        <v>28</v>
      </c>
      <c r="C165">
        <v>13</v>
      </c>
      <c r="D165">
        <v>15</v>
      </c>
      <c r="E165">
        <v>-4.28</v>
      </c>
      <c r="F165">
        <v>2090</v>
      </c>
      <c r="G165">
        <v>747</v>
      </c>
      <c r="H165">
        <v>1684</v>
      </c>
      <c r="I165">
        <v>432</v>
      </c>
      <c r="J165">
        <v>627</v>
      </c>
      <c r="K165">
        <v>365</v>
      </c>
      <c r="L165">
        <v>998</v>
      </c>
      <c r="M165">
        <v>393</v>
      </c>
      <c r="N165">
        <v>270</v>
      </c>
      <c r="O165">
        <v>85</v>
      </c>
      <c r="P165">
        <v>487</v>
      </c>
      <c r="Q165">
        <v>660</v>
      </c>
      <c r="R165">
        <v>164</v>
      </c>
    </row>
    <row r="166" spans="1:18">
      <c r="A166" s="1" t="s">
        <v>142</v>
      </c>
      <c r="B166">
        <v>38</v>
      </c>
      <c r="C166">
        <v>22</v>
      </c>
      <c r="D166">
        <v>16</v>
      </c>
      <c r="E166">
        <v>5.4</v>
      </c>
      <c r="F166">
        <v>2714</v>
      </c>
      <c r="G166">
        <v>906</v>
      </c>
      <c r="H166">
        <v>2139</v>
      </c>
      <c r="I166">
        <v>644</v>
      </c>
      <c r="J166">
        <v>942</v>
      </c>
      <c r="K166">
        <v>545</v>
      </c>
      <c r="L166">
        <v>1456</v>
      </c>
      <c r="M166">
        <v>457</v>
      </c>
      <c r="N166">
        <v>271</v>
      </c>
      <c r="O166">
        <v>205</v>
      </c>
      <c r="P166">
        <v>560</v>
      </c>
      <c r="Q166">
        <v>750</v>
      </c>
      <c r="R166">
        <v>165</v>
      </c>
    </row>
    <row r="167" spans="1:18">
      <c r="A167" s="1" t="s">
        <v>143</v>
      </c>
      <c r="B167">
        <v>28</v>
      </c>
      <c r="C167">
        <v>16</v>
      </c>
      <c r="D167">
        <v>12</v>
      </c>
      <c r="E167">
        <v>-9.77</v>
      </c>
      <c r="F167">
        <v>2242</v>
      </c>
      <c r="G167">
        <v>804</v>
      </c>
      <c r="H167">
        <v>1790</v>
      </c>
      <c r="I167">
        <v>407</v>
      </c>
      <c r="J167">
        <v>619</v>
      </c>
      <c r="K167">
        <v>387</v>
      </c>
      <c r="L167">
        <v>1088</v>
      </c>
      <c r="M167">
        <v>477</v>
      </c>
      <c r="N167">
        <v>264</v>
      </c>
      <c r="O167">
        <v>89</v>
      </c>
      <c r="P167">
        <v>446</v>
      </c>
      <c r="Q167">
        <v>499</v>
      </c>
      <c r="R167">
        <v>166</v>
      </c>
    </row>
    <row r="168" spans="1:18">
      <c r="A168" s="1" t="s">
        <v>284</v>
      </c>
      <c r="B168">
        <v>29</v>
      </c>
      <c r="C168">
        <v>16</v>
      </c>
      <c r="D168">
        <v>13</v>
      </c>
      <c r="E168">
        <v>7.78</v>
      </c>
      <c r="F168">
        <v>2071</v>
      </c>
      <c r="G168">
        <v>761</v>
      </c>
      <c r="H168">
        <v>1768</v>
      </c>
      <c r="I168">
        <v>352</v>
      </c>
      <c r="J168">
        <v>523</v>
      </c>
      <c r="K168">
        <v>433</v>
      </c>
      <c r="L168">
        <v>1147</v>
      </c>
      <c r="M168">
        <v>337</v>
      </c>
      <c r="N168">
        <v>209</v>
      </c>
      <c r="O168">
        <v>139</v>
      </c>
      <c r="P168">
        <v>376</v>
      </c>
      <c r="Q168">
        <v>484</v>
      </c>
      <c r="R168">
        <v>167</v>
      </c>
    </row>
    <row r="169" spans="1:18">
      <c r="A169" s="1" t="s">
        <v>144</v>
      </c>
      <c r="B169">
        <v>30</v>
      </c>
      <c r="C169">
        <v>19</v>
      </c>
      <c r="D169">
        <v>11</v>
      </c>
      <c r="E169">
        <v>3.62</v>
      </c>
      <c r="F169">
        <v>1970</v>
      </c>
      <c r="G169">
        <v>697</v>
      </c>
      <c r="H169">
        <v>1537</v>
      </c>
      <c r="I169">
        <v>369</v>
      </c>
      <c r="J169">
        <v>542</v>
      </c>
      <c r="K169">
        <v>343</v>
      </c>
      <c r="L169">
        <v>1084</v>
      </c>
      <c r="M169">
        <v>386</v>
      </c>
      <c r="N169">
        <v>157</v>
      </c>
      <c r="O169">
        <v>68</v>
      </c>
      <c r="P169">
        <v>414</v>
      </c>
      <c r="Q169">
        <v>583</v>
      </c>
      <c r="R169">
        <v>168</v>
      </c>
    </row>
    <row r="170" spans="1:18">
      <c r="A170" s="1" t="s">
        <v>377</v>
      </c>
      <c r="B170">
        <v>33</v>
      </c>
      <c r="C170">
        <v>26</v>
      </c>
      <c r="D170">
        <v>7</v>
      </c>
      <c r="E170">
        <v>7.41</v>
      </c>
      <c r="F170">
        <v>2590</v>
      </c>
      <c r="G170">
        <v>914</v>
      </c>
      <c r="H170">
        <v>1875</v>
      </c>
      <c r="I170">
        <v>543</v>
      </c>
      <c r="J170">
        <v>699</v>
      </c>
      <c r="K170">
        <v>397</v>
      </c>
      <c r="L170">
        <v>1198</v>
      </c>
      <c r="M170">
        <v>565</v>
      </c>
      <c r="N170">
        <v>258</v>
      </c>
      <c r="O170">
        <v>87</v>
      </c>
      <c r="P170">
        <v>451</v>
      </c>
      <c r="Q170">
        <v>640</v>
      </c>
      <c r="R170">
        <v>169</v>
      </c>
    </row>
    <row r="171" spans="1:18">
      <c r="A171" s="1" t="s">
        <v>145</v>
      </c>
      <c r="B171">
        <v>31</v>
      </c>
      <c r="C171">
        <v>13</v>
      </c>
      <c r="D171">
        <v>18</v>
      </c>
      <c r="E171">
        <v>7.12</v>
      </c>
      <c r="F171">
        <v>1911</v>
      </c>
      <c r="G171">
        <v>690</v>
      </c>
      <c r="H171">
        <v>1558</v>
      </c>
      <c r="I171">
        <v>376</v>
      </c>
      <c r="J171">
        <v>521</v>
      </c>
      <c r="K171">
        <v>321</v>
      </c>
      <c r="L171">
        <v>966</v>
      </c>
      <c r="M171">
        <v>379</v>
      </c>
      <c r="N171">
        <v>173</v>
      </c>
      <c r="O171">
        <v>134</v>
      </c>
      <c r="P171">
        <v>485</v>
      </c>
      <c r="Q171">
        <v>501</v>
      </c>
      <c r="R171">
        <v>170</v>
      </c>
    </row>
    <row r="172" spans="1:18">
      <c r="A172" s="1" t="s">
        <v>146</v>
      </c>
      <c r="B172">
        <v>31</v>
      </c>
      <c r="C172">
        <v>19</v>
      </c>
      <c r="D172">
        <v>12</v>
      </c>
      <c r="E172">
        <v>-1.43</v>
      </c>
      <c r="F172">
        <v>2212</v>
      </c>
      <c r="G172">
        <v>772</v>
      </c>
      <c r="H172">
        <v>1766</v>
      </c>
      <c r="I172">
        <v>473</v>
      </c>
      <c r="J172">
        <v>676</v>
      </c>
      <c r="K172">
        <v>408</v>
      </c>
      <c r="L172">
        <v>1170</v>
      </c>
      <c r="M172">
        <v>359</v>
      </c>
      <c r="N172">
        <v>191</v>
      </c>
      <c r="O172">
        <v>70</v>
      </c>
      <c r="P172">
        <v>444</v>
      </c>
      <c r="Q172">
        <v>591</v>
      </c>
      <c r="R172">
        <v>171</v>
      </c>
    </row>
    <row r="173" spans="1:18">
      <c r="A173" s="1" t="s">
        <v>147</v>
      </c>
      <c r="B173">
        <v>32</v>
      </c>
      <c r="C173">
        <v>26</v>
      </c>
      <c r="D173">
        <v>6</v>
      </c>
      <c r="E173">
        <v>1.44</v>
      </c>
      <c r="F173">
        <v>2400</v>
      </c>
      <c r="G173">
        <v>831</v>
      </c>
      <c r="H173">
        <v>1859</v>
      </c>
      <c r="I173">
        <v>476</v>
      </c>
      <c r="J173">
        <v>677</v>
      </c>
      <c r="K173">
        <v>421</v>
      </c>
      <c r="L173">
        <v>1149</v>
      </c>
      <c r="M173">
        <v>450</v>
      </c>
      <c r="N173">
        <v>267</v>
      </c>
      <c r="O173">
        <v>114</v>
      </c>
      <c r="P173">
        <v>435</v>
      </c>
      <c r="Q173">
        <v>610</v>
      </c>
      <c r="R173">
        <v>172</v>
      </c>
    </row>
    <row r="174" spans="1:18">
      <c r="A174" s="1" t="s">
        <v>148</v>
      </c>
      <c r="B174">
        <v>32</v>
      </c>
      <c r="C174">
        <v>21</v>
      </c>
      <c r="D174">
        <v>11</v>
      </c>
      <c r="E174">
        <v>6.96</v>
      </c>
      <c r="F174">
        <v>2175</v>
      </c>
      <c r="G174">
        <v>771</v>
      </c>
      <c r="H174">
        <v>1707</v>
      </c>
      <c r="I174">
        <v>463</v>
      </c>
      <c r="J174">
        <v>656</v>
      </c>
      <c r="K174">
        <v>373</v>
      </c>
      <c r="L174">
        <v>1091</v>
      </c>
      <c r="M174">
        <v>453</v>
      </c>
      <c r="N174">
        <v>292</v>
      </c>
      <c r="O174">
        <v>145</v>
      </c>
      <c r="P174">
        <v>516</v>
      </c>
      <c r="Q174">
        <v>512</v>
      </c>
      <c r="R174">
        <v>173</v>
      </c>
    </row>
    <row r="175" spans="1:18">
      <c r="A175" s="1" t="s">
        <v>149</v>
      </c>
      <c r="B175">
        <v>34</v>
      </c>
      <c r="C175">
        <v>23</v>
      </c>
      <c r="D175">
        <v>11</v>
      </c>
      <c r="E175">
        <v>6.05</v>
      </c>
      <c r="F175">
        <v>2466</v>
      </c>
      <c r="G175">
        <v>870</v>
      </c>
      <c r="H175">
        <v>1958</v>
      </c>
      <c r="I175">
        <v>527</v>
      </c>
      <c r="J175">
        <v>792</v>
      </c>
      <c r="K175">
        <v>492</v>
      </c>
      <c r="L175">
        <v>1389</v>
      </c>
      <c r="M175">
        <v>475</v>
      </c>
      <c r="N175">
        <v>232</v>
      </c>
      <c r="O175">
        <v>114</v>
      </c>
      <c r="P175">
        <v>503</v>
      </c>
      <c r="Q175">
        <v>532</v>
      </c>
      <c r="R175">
        <v>174</v>
      </c>
    </row>
    <row r="176" spans="1:18">
      <c r="A176" s="1" t="s">
        <v>150</v>
      </c>
      <c r="B176">
        <v>28</v>
      </c>
      <c r="C176">
        <v>13</v>
      </c>
      <c r="D176">
        <v>15</v>
      </c>
      <c r="E176">
        <v>-11.95</v>
      </c>
      <c r="F176">
        <v>1875</v>
      </c>
      <c r="G176">
        <v>690</v>
      </c>
      <c r="H176">
        <v>1686</v>
      </c>
      <c r="I176">
        <v>297</v>
      </c>
      <c r="J176">
        <v>437</v>
      </c>
      <c r="K176">
        <v>385</v>
      </c>
      <c r="L176">
        <v>1059</v>
      </c>
      <c r="M176">
        <v>330</v>
      </c>
      <c r="N176">
        <v>263</v>
      </c>
      <c r="O176">
        <v>137</v>
      </c>
      <c r="P176">
        <v>395</v>
      </c>
      <c r="Q176">
        <v>518</v>
      </c>
      <c r="R176">
        <v>175</v>
      </c>
    </row>
    <row r="177" spans="1:18">
      <c r="A177" s="1" t="s">
        <v>151</v>
      </c>
      <c r="B177">
        <v>31</v>
      </c>
      <c r="C177">
        <v>14</v>
      </c>
      <c r="D177">
        <v>17</v>
      </c>
      <c r="E177">
        <v>5.72</v>
      </c>
      <c r="F177">
        <v>1979</v>
      </c>
      <c r="G177">
        <v>739</v>
      </c>
      <c r="H177">
        <v>1651</v>
      </c>
      <c r="I177">
        <v>291</v>
      </c>
      <c r="J177">
        <v>478</v>
      </c>
      <c r="K177">
        <v>324</v>
      </c>
      <c r="L177">
        <v>928</v>
      </c>
      <c r="M177">
        <v>455</v>
      </c>
      <c r="N177">
        <v>240</v>
      </c>
      <c r="O177">
        <v>63</v>
      </c>
      <c r="P177">
        <v>436</v>
      </c>
      <c r="Q177">
        <v>623</v>
      </c>
      <c r="R177">
        <v>176</v>
      </c>
    </row>
    <row r="178" spans="1:18">
      <c r="A178" s="1" t="s">
        <v>152</v>
      </c>
      <c r="B178">
        <v>28</v>
      </c>
      <c r="C178">
        <v>16</v>
      </c>
      <c r="D178">
        <v>12</v>
      </c>
      <c r="E178">
        <v>-2.68</v>
      </c>
      <c r="F178">
        <v>2060</v>
      </c>
      <c r="G178">
        <v>719</v>
      </c>
      <c r="H178">
        <v>1598</v>
      </c>
      <c r="I178">
        <v>414</v>
      </c>
      <c r="J178">
        <v>599</v>
      </c>
      <c r="K178">
        <v>336</v>
      </c>
      <c r="L178">
        <v>943</v>
      </c>
      <c r="M178">
        <v>401</v>
      </c>
      <c r="N178">
        <v>210</v>
      </c>
      <c r="O178">
        <v>81</v>
      </c>
      <c r="P178">
        <v>363</v>
      </c>
      <c r="Q178">
        <v>481</v>
      </c>
      <c r="R178">
        <v>177</v>
      </c>
    </row>
    <row r="179" spans="1:18">
      <c r="A179" s="1" t="s">
        <v>153</v>
      </c>
      <c r="B179">
        <v>32</v>
      </c>
      <c r="C179">
        <v>19</v>
      </c>
      <c r="D179">
        <v>13</v>
      </c>
      <c r="E179">
        <v>4.51</v>
      </c>
      <c r="F179">
        <v>2339</v>
      </c>
      <c r="G179">
        <v>790</v>
      </c>
      <c r="H179">
        <v>1784</v>
      </c>
      <c r="I179">
        <v>589</v>
      </c>
      <c r="J179">
        <v>802</v>
      </c>
      <c r="K179">
        <v>440</v>
      </c>
      <c r="L179">
        <v>1203</v>
      </c>
      <c r="M179">
        <v>463</v>
      </c>
      <c r="N179">
        <v>253</v>
      </c>
      <c r="O179">
        <v>122</v>
      </c>
      <c r="P179">
        <v>478</v>
      </c>
      <c r="Q179">
        <v>640</v>
      </c>
      <c r="R179">
        <v>178</v>
      </c>
    </row>
    <row r="180" spans="1:18">
      <c r="A180" s="1" t="s">
        <v>328</v>
      </c>
      <c r="B180">
        <v>33</v>
      </c>
      <c r="C180">
        <v>16</v>
      </c>
      <c r="D180">
        <v>17</v>
      </c>
      <c r="E180">
        <v>9.24</v>
      </c>
      <c r="F180">
        <v>2124</v>
      </c>
      <c r="G180">
        <v>719</v>
      </c>
      <c r="H180">
        <v>1757</v>
      </c>
      <c r="I180">
        <v>473</v>
      </c>
      <c r="J180">
        <v>693</v>
      </c>
      <c r="K180">
        <v>400</v>
      </c>
      <c r="L180">
        <v>1149</v>
      </c>
      <c r="M180">
        <v>408</v>
      </c>
      <c r="N180">
        <v>206</v>
      </c>
      <c r="O180">
        <v>72</v>
      </c>
      <c r="P180">
        <v>476</v>
      </c>
      <c r="Q180">
        <v>627</v>
      </c>
      <c r="R180">
        <v>179</v>
      </c>
    </row>
    <row r="181" spans="1:18">
      <c r="A181" s="1" t="s">
        <v>154</v>
      </c>
      <c r="B181">
        <v>29</v>
      </c>
      <c r="C181">
        <v>16</v>
      </c>
      <c r="D181">
        <v>13</v>
      </c>
      <c r="E181">
        <v>-7.03</v>
      </c>
      <c r="F181">
        <v>1845</v>
      </c>
      <c r="G181">
        <v>617</v>
      </c>
      <c r="H181">
        <v>1411</v>
      </c>
      <c r="I181">
        <v>420</v>
      </c>
      <c r="J181">
        <v>545</v>
      </c>
      <c r="K181">
        <v>210</v>
      </c>
      <c r="L181">
        <v>869</v>
      </c>
      <c r="M181">
        <v>410</v>
      </c>
      <c r="N181">
        <v>229</v>
      </c>
      <c r="O181">
        <v>68</v>
      </c>
      <c r="P181">
        <v>398</v>
      </c>
      <c r="Q181">
        <v>512</v>
      </c>
      <c r="R181">
        <v>180</v>
      </c>
    </row>
    <row r="182" spans="1:18">
      <c r="A182" s="1" t="s">
        <v>155</v>
      </c>
      <c r="B182">
        <v>28</v>
      </c>
      <c r="C182">
        <v>14</v>
      </c>
      <c r="D182">
        <v>14</v>
      </c>
      <c r="E182">
        <v>-4.7699999999999996</v>
      </c>
      <c r="F182">
        <v>1893</v>
      </c>
      <c r="G182">
        <v>692</v>
      </c>
      <c r="H182">
        <v>1578</v>
      </c>
      <c r="I182">
        <v>298</v>
      </c>
      <c r="J182">
        <v>448</v>
      </c>
      <c r="K182">
        <v>248</v>
      </c>
      <c r="L182">
        <v>951</v>
      </c>
      <c r="M182">
        <v>394</v>
      </c>
      <c r="N182">
        <v>202</v>
      </c>
      <c r="O182">
        <v>117</v>
      </c>
      <c r="P182">
        <v>427</v>
      </c>
      <c r="Q182">
        <v>472</v>
      </c>
      <c r="R182">
        <v>181</v>
      </c>
    </row>
    <row r="183" spans="1:18">
      <c r="A183" s="1" t="s">
        <v>156</v>
      </c>
      <c r="B183">
        <v>31</v>
      </c>
      <c r="C183">
        <v>18</v>
      </c>
      <c r="D183">
        <v>13</v>
      </c>
      <c r="E183">
        <v>-3.49</v>
      </c>
      <c r="F183">
        <v>2152</v>
      </c>
      <c r="G183">
        <v>735</v>
      </c>
      <c r="H183">
        <v>1606</v>
      </c>
      <c r="I183">
        <v>500</v>
      </c>
      <c r="J183">
        <v>739</v>
      </c>
      <c r="K183">
        <v>322</v>
      </c>
      <c r="L183">
        <v>1118</v>
      </c>
      <c r="M183">
        <v>424</v>
      </c>
      <c r="N183">
        <v>182</v>
      </c>
      <c r="O183">
        <v>93</v>
      </c>
      <c r="P183">
        <v>528</v>
      </c>
      <c r="Q183">
        <v>533</v>
      </c>
      <c r="R183">
        <v>182</v>
      </c>
    </row>
    <row r="184" spans="1:18">
      <c r="A184" s="1" t="s">
        <v>157</v>
      </c>
      <c r="B184">
        <v>27</v>
      </c>
      <c r="C184">
        <v>11</v>
      </c>
      <c r="D184">
        <v>16</v>
      </c>
      <c r="E184">
        <v>-4.54</v>
      </c>
      <c r="F184">
        <v>1706</v>
      </c>
      <c r="G184">
        <v>604</v>
      </c>
      <c r="H184">
        <v>1312</v>
      </c>
      <c r="I184">
        <v>386</v>
      </c>
      <c r="J184">
        <v>507</v>
      </c>
      <c r="K184">
        <v>220</v>
      </c>
      <c r="L184">
        <v>835</v>
      </c>
      <c r="M184">
        <v>377</v>
      </c>
      <c r="N184">
        <v>134</v>
      </c>
      <c r="O184">
        <v>47</v>
      </c>
      <c r="P184">
        <v>448</v>
      </c>
      <c r="Q184">
        <v>447</v>
      </c>
      <c r="R184">
        <v>183</v>
      </c>
    </row>
    <row r="185" spans="1:18">
      <c r="A185" s="1" t="s">
        <v>158</v>
      </c>
      <c r="B185">
        <v>30</v>
      </c>
      <c r="C185">
        <v>14</v>
      </c>
      <c r="D185">
        <v>16</v>
      </c>
      <c r="E185">
        <v>-10.92</v>
      </c>
      <c r="F185">
        <v>1962</v>
      </c>
      <c r="G185">
        <v>727</v>
      </c>
      <c r="H185">
        <v>1697</v>
      </c>
      <c r="I185">
        <v>353</v>
      </c>
      <c r="J185">
        <v>572</v>
      </c>
      <c r="K185">
        <v>343</v>
      </c>
      <c r="L185">
        <v>996</v>
      </c>
      <c r="M185">
        <v>395</v>
      </c>
      <c r="N185">
        <v>236</v>
      </c>
      <c r="O185">
        <v>67</v>
      </c>
      <c r="P185">
        <v>485</v>
      </c>
      <c r="Q185">
        <v>634</v>
      </c>
      <c r="R185">
        <v>184</v>
      </c>
    </row>
    <row r="186" spans="1:18">
      <c r="A186" s="1" t="s">
        <v>159</v>
      </c>
      <c r="B186">
        <v>27</v>
      </c>
      <c r="C186">
        <v>7</v>
      </c>
      <c r="D186">
        <v>20</v>
      </c>
      <c r="E186">
        <v>-8.24</v>
      </c>
      <c r="F186">
        <v>1765</v>
      </c>
      <c r="G186">
        <v>627</v>
      </c>
      <c r="H186">
        <v>1514</v>
      </c>
      <c r="I186">
        <v>313</v>
      </c>
      <c r="J186">
        <v>472</v>
      </c>
      <c r="K186">
        <v>298</v>
      </c>
      <c r="L186">
        <v>860</v>
      </c>
      <c r="M186">
        <v>334</v>
      </c>
      <c r="N186">
        <v>167</v>
      </c>
      <c r="O186">
        <v>34</v>
      </c>
      <c r="P186">
        <v>399</v>
      </c>
      <c r="Q186">
        <v>578</v>
      </c>
      <c r="R186">
        <v>185</v>
      </c>
    </row>
    <row r="187" spans="1:18">
      <c r="A187" s="1" t="s">
        <v>160</v>
      </c>
      <c r="B187">
        <v>28</v>
      </c>
      <c r="C187">
        <v>17</v>
      </c>
      <c r="D187">
        <v>11</v>
      </c>
      <c r="E187">
        <v>-3.47</v>
      </c>
      <c r="F187">
        <v>1997</v>
      </c>
      <c r="G187">
        <v>733</v>
      </c>
      <c r="H187">
        <v>1617</v>
      </c>
      <c r="I187">
        <v>332</v>
      </c>
      <c r="J187">
        <v>513</v>
      </c>
      <c r="K187">
        <v>381</v>
      </c>
      <c r="L187">
        <v>957</v>
      </c>
      <c r="M187">
        <v>412</v>
      </c>
      <c r="N187">
        <v>211</v>
      </c>
      <c r="O187">
        <v>81</v>
      </c>
      <c r="P187">
        <v>357</v>
      </c>
      <c r="Q187">
        <v>544</v>
      </c>
      <c r="R187">
        <v>186</v>
      </c>
    </row>
    <row r="188" spans="1:18">
      <c r="A188" s="1" t="s">
        <v>161</v>
      </c>
      <c r="B188">
        <v>28</v>
      </c>
      <c r="C188">
        <v>9</v>
      </c>
      <c r="D188">
        <v>19</v>
      </c>
      <c r="E188">
        <v>-7.08</v>
      </c>
      <c r="F188">
        <v>1951</v>
      </c>
      <c r="G188">
        <v>659</v>
      </c>
      <c r="H188">
        <v>1667</v>
      </c>
      <c r="I188">
        <v>458</v>
      </c>
      <c r="J188">
        <v>704</v>
      </c>
      <c r="K188">
        <v>451</v>
      </c>
      <c r="L188">
        <v>1151</v>
      </c>
      <c r="M188">
        <v>337</v>
      </c>
      <c r="N188">
        <v>249</v>
      </c>
      <c r="O188">
        <v>67</v>
      </c>
      <c r="P188">
        <v>546</v>
      </c>
      <c r="Q188">
        <v>640</v>
      </c>
      <c r="R188">
        <v>187</v>
      </c>
    </row>
    <row r="189" spans="1:18">
      <c r="A189" s="1" t="s">
        <v>162</v>
      </c>
      <c r="B189">
        <v>28</v>
      </c>
      <c r="C189">
        <v>14</v>
      </c>
      <c r="D189">
        <v>14</v>
      </c>
      <c r="E189">
        <v>6.39</v>
      </c>
      <c r="F189">
        <v>1905</v>
      </c>
      <c r="G189">
        <v>661</v>
      </c>
      <c r="H189">
        <v>1556</v>
      </c>
      <c r="I189">
        <v>409</v>
      </c>
      <c r="J189">
        <v>620</v>
      </c>
      <c r="K189">
        <v>367</v>
      </c>
      <c r="L189">
        <v>1072</v>
      </c>
      <c r="M189">
        <v>380</v>
      </c>
      <c r="N189">
        <v>164</v>
      </c>
      <c r="O189">
        <v>111</v>
      </c>
      <c r="P189">
        <v>398</v>
      </c>
      <c r="Q189">
        <v>542</v>
      </c>
      <c r="R189">
        <v>188</v>
      </c>
    </row>
    <row r="190" spans="1:18">
      <c r="A190" s="1" t="s">
        <v>285</v>
      </c>
      <c r="B190">
        <v>31</v>
      </c>
      <c r="C190">
        <v>17</v>
      </c>
      <c r="D190">
        <v>14</v>
      </c>
      <c r="E190">
        <v>5.61</v>
      </c>
      <c r="F190">
        <v>2272</v>
      </c>
      <c r="G190">
        <v>810</v>
      </c>
      <c r="H190">
        <v>1806</v>
      </c>
      <c r="I190">
        <v>440</v>
      </c>
      <c r="J190">
        <v>630</v>
      </c>
      <c r="K190">
        <v>344</v>
      </c>
      <c r="L190">
        <v>1125</v>
      </c>
      <c r="M190">
        <v>437</v>
      </c>
      <c r="N190">
        <v>186</v>
      </c>
      <c r="O190">
        <v>115</v>
      </c>
      <c r="P190">
        <v>450</v>
      </c>
      <c r="Q190">
        <v>631</v>
      </c>
      <c r="R190">
        <v>189</v>
      </c>
    </row>
    <row r="191" spans="1:18">
      <c r="A191" s="1" t="s">
        <v>163</v>
      </c>
      <c r="B191">
        <v>32</v>
      </c>
      <c r="C191">
        <v>25</v>
      </c>
      <c r="D191">
        <v>7</v>
      </c>
      <c r="E191">
        <v>3.02</v>
      </c>
      <c r="F191">
        <v>2225</v>
      </c>
      <c r="G191">
        <v>791</v>
      </c>
      <c r="H191">
        <v>1730</v>
      </c>
      <c r="I191">
        <v>556</v>
      </c>
      <c r="J191">
        <v>786</v>
      </c>
      <c r="K191">
        <v>395</v>
      </c>
      <c r="L191">
        <v>1270</v>
      </c>
      <c r="M191">
        <v>480</v>
      </c>
      <c r="N191">
        <v>225</v>
      </c>
      <c r="O191">
        <v>167</v>
      </c>
      <c r="P191">
        <v>465</v>
      </c>
      <c r="Q191">
        <v>504</v>
      </c>
      <c r="R191">
        <v>190</v>
      </c>
    </row>
    <row r="192" spans="1:18">
      <c r="A192" s="1" t="s">
        <v>164</v>
      </c>
      <c r="B192">
        <v>28</v>
      </c>
      <c r="C192">
        <v>9</v>
      </c>
      <c r="D192">
        <v>19</v>
      </c>
      <c r="E192">
        <v>-3.95</v>
      </c>
      <c r="F192">
        <v>1816</v>
      </c>
      <c r="G192">
        <v>660</v>
      </c>
      <c r="H192">
        <v>1483</v>
      </c>
      <c r="I192">
        <v>342</v>
      </c>
      <c r="J192">
        <v>507</v>
      </c>
      <c r="K192">
        <v>282</v>
      </c>
      <c r="L192">
        <v>931</v>
      </c>
      <c r="M192">
        <v>381</v>
      </c>
      <c r="N192">
        <v>204</v>
      </c>
      <c r="O192">
        <v>75</v>
      </c>
      <c r="P192">
        <v>454</v>
      </c>
      <c r="Q192">
        <v>441</v>
      </c>
      <c r="R192">
        <v>191</v>
      </c>
    </row>
    <row r="193" spans="1:18">
      <c r="A193" s="1" t="s">
        <v>165</v>
      </c>
      <c r="B193">
        <v>30</v>
      </c>
      <c r="C193">
        <v>6</v>
      </c>
      <c r="D193">
        <v>24</v>
      </c>
      <c r="E193">
        <v>0.75</v>
      </c>
      <c r="F193">
        <v>2024</v>
      </c>
      <c r="G193">
        <v>723</v>
      </c>
      <c r="H193">
        <v>1685</v>
      </c>
      <c r="I193">
        <v>366</v>
      </c>
      <c r="J193">
        <v>549</v>
      </c>
      <c r="K193">
        <v>316</v>
      </c>
      <c r="L193">
        <v>1004</v>
      </c>
      <c r="M193">
        <v>354</v>
      </c>
      <c r="N193">
        <v>149</v>
      </c>
      <c r="O193">
        <v>88</v>
      </c>
      <c r="P193">
        <v>483</v>
      </c>
      <c r="Q193">
        <v>532</v>
      </c>
      <c r="R193">
        <v>192</v>
      </c>
    </row>
    <row r="194" spans="1:18">
      <c r="A194" s="1" t="s">
        <v>166</v>
      </c>
      <c r="B194">
        <v>33</v>
      </c>
      <c r="C194">
        <v>26</v>
      </c>
      <c r="D194">
        <v>7</v>
      </c>
      <c r="E194">
        <v>1.51</v>
      </c>
      <c r="F194">
        <v>2492</v>
      </c>
      <c r="G194">
        <v>855</v>
      </c>
      <c r="H194">
        <v>1733</v>
      </c>
      <c r="I194">
        <v>513</v>
      </c>
      <c r="J194">
        <v>755</v>
      </c>
      <c r="K194">
        <v>327</v>
      </c>
      <c r="L194">
        <v>1127</v>
      </c>
      <c r="M194">
        <v>491</v>
      </c>
      <c r="N194">
        <v>252</v>
      </c>
      <c r="O194">
        <v>115</v>
      </c>
      <c r="P194">
        <v>454</v>
      </c>
      <c r="Q194">
        <v>558</v>
      </c>
      <c r="R194">
        <v>193</v>
      </c>
    </row>
    <row r="195" spans="1:18">
      <c r="A195" s="1" t="s">
        <v>167</v>
      </c>
      <c r="B195">
        <v>30</v>
      </c>
      <c r="C195">
        <v>13</v>
      </c>
      <c r="D195">
        <v>17</v>
      </c>
      <c r="E195">
        <v>0.1</v>
      </c>
      <c r="F195">
        <v>2001</v>
      </c>
      <c r="G195">
        <v>730</v>
      </c>
      <c r="H195">
        <v>1714</v>
      </c>
      <c r="I195">
        <v>391</v>
      </c>
      <c r="J195">
        <v>615</v>
      </c>
      <c r="K195">
        <v>399</v>
      </c>
      <c r="L195">
        <v>1069</v>
      </c>
      <c r="M195">
        <v>401</v>
      </c>
      <c r="N195">
        <v>184</v>
      </c>
      <c r="O195">
        <v>68</v>
      </c>
      <c r="P195">
        <v>380</v>
      </c>
      <c r="Q195">
        <v>560</v>
      </c>
      <c r="R195">
        <v>194</v>
      </c>
    </row>
    <row r="196" spans="1:18">
      <c r="A196" s="1" t="s">
        <v>168</v>
      </c>
      <c r="B196">
        <v>30</v>
      </c>
      <c r="C196">
        <v>20</v>
      </c>
      <c r="D196">
        <v>10</v>
      </c>
      <c r="E196">
        <v>-3.08</v>
      </c>
      <c r="F196">
        <v>2537</v>
      </c>
      <c r="G196">
        <v>833</v>
      </c>
      <c r="H196">
        <v>1915</v>
      </c>
      <c r="I196">
        <v>601</v>
      </c>
      <c r="J196">
        <v>791</v>
      </c>
      <c r="K196">
        <v>471</v>
      </c>
      <c r="L196">
        <v>1222</v>
      </c>
      <c r="M196">
        <v>473</v>
      </c>
      <c r="N196">
        <v>206</v>
      </c>
      <c r="O196">
        <v>98</v>
      </c>
      <c r="P196">
        <v>387</v>
      </c>
      <c r="Q196">
        <v>568</v>
      </c>
      <c r="R196">
        <v>195</v>
      </c>
    </row>
    <row r="197" spans="1:18">
      <c r="A197" s="1" t="s">
        <v>169</v>
      </c>
      <c r="B197">
        <v>27</v>
      </c>
      <c r="C197">
        <v>6</v>
      </c>
      <c r="D197">
        <v>21</v>
      </c>
      <c r="E197">
        <v>-5.64</v>
      </c>
      <c r="F197">
        <v>1936</v>
      </c>
      <c r="G197">
        <v>650</v>
      </c>
      <c r="H197">
        <v>1637</v>
      </c>
      <c r="I197">
        <v>423</v>
      </c>
      <c r="J197">
        <v>582</v>
      </c>
      <c r="K197">
        <v>321</v>
      </c>
      <c r="L197">
        <v>965</v>
      </c>
      <c r="M197">
        <v>353</v>
      </c>
      <c r="N197">
        <v>186</v>
      </c>
      <c r="O197">
        <v>32</v>
      </c>
      <c r="P197">
        <v>406</v>
      </c>
      <c r="Q197">
        <v>506</v>
      </c>
      <c r="R197">
        <v>196</v>
      </c>
    </row>
    <row r="198" spans="1:18">
      <c r="A198" s="1" t="s">
        <v>170</v>
      </c>
      <c r="B198">
        <v>27</v>
      </c>
      <c r="C198">
        <v>13</v>
      </c>
      <c r="D198">
        <v>14</v>
      </c>
      <c r="E198">
        <v>-11.71</v>
      </c>
      <c r="F198">
        <v>1677</v>
      </c>
      <c r="G198">
        <v>581</v>
      </c>
      <c r="H198">
        <v>1405</v>
      </c>
      <c r="I198">
        <v>375</v>
      </c>
      <c r="J198">
        <v>596</v>
      </c>
      <c r="K198">
        <v>342</v>
      </c>
      <c r="L198">
        <v>1007</v>
      </c>
      <c r="M198">
        <v>298</v>
      </c>
      <c r="N198">
        <v>206</v>
      </c>
      <c r="O198">
        <v>108</v>
      </c>
      <c r="P198">
        <v>464</v>
      </c>
      <c r="Q198">
        <v>495</v>
      </c>
      <c r="R198">
        <v>197</v>
      </c>
    </row>
    <row r="199" spans="1:18">
      <c r="A199" s="1" t="s">
        <v>171</v>
      </c>
      <c r="B199">
        <v>28</v>
      </c>
      <c r="C199">
        <v>11</v>
      </c>
      <c r="D199">
        <v>17</v>
      </c>
      <c r="E199">
        <v>-4.37</v>
      </c>
      <c r="F199">
        <v>1994</v>
      </c>
      <c r="G199">
        <v>704</v>
      </c>
      <c r="H199">
        <v>1646</v>
      </c>
      <c r="I199">
        <v>393</v>
      </c>
      <c r="J199">
        <v>576</v>
      </c>
      <c r="K199">
        <v>370</v>
      </c>
      <c r="L199">
        <v>1008</v>
      </c>
      <c r="M199">
        <v>423</v>
      </c>
      <c r="N199">
        <v>205</v>
      </c>
      <c r="O199">
        <v>120</v>
      </c>
      <c r="P199">
        <v>447</v>
      </c>
      <c r="Q199">
        <v>532</v>
      </c>
      <c r="R199">
        <v>198</v>
      </c>
    </row>
    <row r="200" spans="1:18">
      <c r="A200" s="1" t="s">
        <v>172</v>
      </c>
      <c r="B200">
        <v>30</v>
      </c>
      <c r="C200">
        <v>6</v>
      </c>
      <c r="D200">
        <v>24</v>
      </c>
      <c r="E200">
        <v>-7.67</v>
      </c>
      <c r="F200">
        <v>1936</v>
      </c>
      <c r="G200">
        <v>685</v>
      </c>
      <c r="H200">
        <v>1783</v>
      </c>
      <c r="I200">
        <v>380</v>
      </c>
      <c r="J200">
        <v>617</v>
      </c>
      <c r="K200">
        <v>364</v>
      </c>
      <c r="L200">
        <v>1025</v>
      </c>
      <c r="M200">
        <v>340</v>
      </c>
      <c r="N200">
        <v>297</v>
      </c>
      <c r="O200">
        <v>103</v>
      </c>
      <c r="P200">
        <v>608</v>
      </c>
      <c r="Q200">
        <v>648</v>
      </c>
      <c r="R200">
        <v>199</v>
      </c>
    </row>
    <row r="201" spans="1:18">
      <c r="A201" s="1" t="s">
        <v>173</v>
      </c>
      <c r="B201">
        <v>30</v>
      </c>
      <c r="C201">
        <v>18</v>
      </c>
      <c r="D201">
        <v>12</v>
      </c>
      <c r="E201">
        <v>-2.97</v>
      </c>
      <c r="F201">
        <v>2170</v>
      </c>
      <c r="G201">
        <v>776</v>
      </c>
      <c r="H201">
        <v>1732</v>
      </c>
      <c r="I201">
        <v>485</v>
      </c>
      <c r="J201">
        <v>702</v>
      </c>
      <c r="K201">
        <v>375</v>
      </c>
      <c r="L201">
        <v>1087</v>
      </c>
      <c r="M201">
        <v>352</v>
      </c>
      <c r="N201">
        <v>276</v>
      </c>
      <c r="O201">
        <v>178</v>
      </c>
      <c r="P201">
        <v>524</v>
      </c>
      <c r="Q201">
        <v>476</v>
      </c>
      <c r="R201">
        <v>200</v>
      </c>
    </row>
    <row r="202" spans="1:18">
      <c r="A202" s="1" t="s">
        <v>174</v>
      </c>
      <c r="B202">
        <v>35</v>
      </c>
      <c r="C202">
        <v>21</v>
      </c>
      <c r="D202">
        <v>14</v>
      </c>
      <c r="E202">
        <v>9.16</v>
      </c>
      <c r="F202">
        <v>2559</v>
      </c>
      <c r="G202">
        <v>871</v>
      </c>
      <c r="H202">
        <v>1915</v>
      </c>
      <c r="I202">
        <v>523</v>
      </c>
      <c r="J202">
        <v>742</v>
      </c>
      <c r="K202">
        <v>375</v>
      </c>
      <c r="L202">
        <v>1121</v>
      </c>
      <c r="M202">
        <v>529</v>
      </c>
      <c r="N202">
        <v>260</v>
      </c>
      <c r="O202">
        <v>156</v>
      </c>
      <c r="P202">
        <v>435</v>
      </c>
      <c r="Q202">
        <v>658</v>
      </c>
      <c r="R202">
        <v>201</v>
      </c>
    </row>
    <row r="203" spans="1:18">
      <c r="A203" s="1" t="s">
        <v>286</v>
      </c>
      <c r="B203">
        <v>29</v>
      </c>
      <c r="C203">
        <v>19</v>
      </c>
      <c r="D203">
        <v>10</v>
      </c>
      <c r="E203">
        <v>-3.13</v>
      </c>
      <c r="F203">
        <v>1886</v>
      </c>
      <c r="G203">
        <v>652</v>
      </c>
      <c r="H203">
        <v>1603</v>
      </c>
      <c r="I203">
        <v>383</v>
      </c>
      <c r="J203">
        <v>537</v>
      </c>
      <c r="K203">
        <v>321</v>
      </c>
      <c r="L203">
        <v>1003</v>
      </c>
      <c r="M203">
        <v>371</v>
      </c>
      <c r="N203">
        <v>199</v>
      </c>
      <c r="O203">
        <v>37</v>
      </c>
      <c r="P203">
        <v>340</v>
      </c>
      <c r="Q203">
        <v>573</v>
      </c>
      <c r="R203">
        <v>202</v>
      </c>
    </row>
    <row r="204" spans="1:18">
      <c r="A204" s="1" t="s">
        <v>312</v>
      </c>
      <c r="B204">
        <v>37</v>
      </c>
      <c r="C204">
        <v>33</v>
      </c>
      <c r="D204">
        <v>4</v>
      </c>
      <c r="E204">
        <v>10.66</v>
      </c>
      <c r="F204">
        <v>3257</v>
      </c>
      <c r="G204">
        <v>1128</v>
      </c>
      <c r="H204">
        <v>2260</v>
      </c>
      <c r="I204">
        <v>724</v>
      </c>
      <c r="J204">
        <v>998</v>
      </c>
      <c r="K204">
        <v>502</v>
      </c>
      <c r="L204">
        <v>1499</v>
      </c>
      <c r="M204">
        <v>706</v>
      </c>
      <c r="N204">
        <v>362</v>
      </c>
      <c r="O204">
        <v>142</v>
      </c>
      <c r="P204">
        <v>594</v>
      </c>
      <c r="Q204">
        <v>662</v>
      </c>
      <c r="R204">
        <v>203</v>
      </c>
    </row>
    <row r="205" spans="1:18">
      <c r="A205" s="1" t="s">
        <v>175</v>
      </c>
      <c r="B205">
        <v>28</v>
      </c>
      <c r="C205">
        <v>14</v>
      </c>
      <c r="D205">
        <v>14</v>
      </c>
      <c r="E205">
        <v>-0.99</v>
      </c>
      <c r="F205">
        <v>2072</v>
      </c>
      <c r="G205">
        <v>730</v>
      </c>
      <c r="H205">
        <v>1706</v>
      </c>
      <c r="I205">
        <v>448</v>
      </c>
      <c r="J205">
        <v>638</v>
      </c>
      <c r="K205">
        <v>386</v>
      </c>
      <c r="L205">
        <v>1089</v>
      </c>
      <c r="M205">
        <v>329</v>
      </c>
      <c r="N205">
        <v>220</v>
      </c>
      <c r="O205">
        <v>117</v>
      </c>
      <c r="P205">
        <v>448</v>
      </c>
      <c r="Q205">
        <v>576</v>
      </c>
      <c r="R205">
        <v>204</v>
      </c>
    </row>
    <row r="206" spans="1:18">
      <c r="A206" s="1" t="s">
        <v>176</v>
      </c>
      <c r="B206">
        <v>31</v>
      </c>
      <c r="C206">
        <v>21</v>
      </c>
      <c r="D206">
        <v>10</v>
      </c>
      <c r="E206">
        <v>-2.97</v>
      </c>
      <c r="F206">
        <v>2277</v>
      </c>
      <c r="G206">
        <v>811</v>
      </c>
      <c r="H206">
        <v>1854</v>
      </c>
      <c r="I206">
        <v>413</v>
      </c>
      <c r="J206">
        <v>582</v>
      </c>
      <c r="K206">
        <v>327</v>
      </c>
      <c r="L206">
        <v>1077</v>
      </c>
      <c r="M206">
        <v>404</v>
      </c>
      <c r="N206">
        <v>218</v>
      </c>
      <c r="O206">
        <v>202</v>
      </c>
      <c r="P206">
        <v>418</v>
      </c>
      <c r="Q206">
        <v>514</v>
      </c>
      <c r="R206">
        <v>205</v>
      </c>
    </row>
    <row r="207" spans="1:18">
      <c r="A207" s="1" t="s">
        <v>287</v>
      </c>
      <c r="B207">
        <v>28</v>
      </c>
      <c r="C207">
        <v>11</v>
      </c>
      <c r="D207">
        <v>17</v>
      </c>
      <c r="E207">
        <v>-5.38</v>
      </c>
      <c r="F207">
        <v>2139</v>
      </c>
      <c r="G207">
        <v>736</v>
      </c>
      <c r="H207">
        <v>1623</v>
      </c>
      <c r="I207">
        <v>446</v>
      </c>
      <c r="J207">
        <v>626</v>
      </c>
      <c r="K207">
        <v>295</v>
      </c>
      <c r="L207">
        <v>975</v>
      </c>
      <c r="M207">
        <v>412</v>
      </c>
      <c r="N207">
        <v>182</v>
      </c>
      <c r="O207">
        <v>38</v>
      </c>
      <c r="P207">
        <v>435</v>
      </c>
      <c r="Q207">
        <v>549</v>
      </c>
      <c r="R207">
        <v>206</v>
      </c>
    </row>
    <row r="208" spans="1:18">
      <c r="A208" s="1" t="s">
        <v>333</v>
      </c>
      <c r="B208">
        <v>29</v>
      </c>
      <c r="C208">
        <v>8</v>
      </c>
      <c r="D208">
        <v>21</v>
      </c>
      <c r="F208">
        <v>1933</v>
      </c>
      <c r="G208">
        <v>696</v>
      </c>
      <c r="H208">
        <v>1576</v>
      </c>
      <c r="I208">
        <v>350</v>
      </c>
      <c r="J208">
        <v>533</v>
      </c>
      <c r="K208">
        <v>316</v>
      </c>
      <c r="L208">
        <v>960</v>
      </c>
      <c r="M208">
        <v>414</v>
      </c>
      <c r="N208">
        <v>203</v>
      </c>
      <c r="O208">
        <v>70</v>
      </c>
      <c r="P208">
        <v>504</v>
      </c>
      <c r="Q208">
        <v>533</v>
      </c>
      <c r="R208">
        <v>207</v>
      </c>
    </row>
    <row r="209" spans="1:18">
      <c r="A209" s="1" t="s">
        <v>177</v>
      </c>
      <c r="B209">
        <v>28</v>
      </c>
      <c r="C209">
        <v>11</v>
      </c>
      <c r="D209">
        <v>17</v>
      </c>
      <c r="E209">
        <v>2.06</v>
      </c>
      <c r="F209">
        <v>1916</v>
      </c>
      <c r="G209">
        <v>672</v>
      </c>
      <c r="H209">
        <v>1487</v>
      </c>
      <c r="I209">
        <v>374</v>
      </c>
      <c r="J209">
        <v>500</v>
      </c>
      <c r="K209">
        <v>298</v>
      </c>
      <c r="L209">
        <v>901</v>
      </c>
      <c r="M209">
        <v>410</v>
      </c>
      <c r="N209">
        <v>162</v>
      </c>
      <c r="O209">
        <v>122</v>
      </c>
      <c r="P209">
        <v>396</v>
      </c>
      <c r="Q209">
        <v>519</v>
      </c>
      <c r="R209">
        <v>208</v>
      </c>
    </row>
    <row r="210" spans="1:18">
      <c r="A210" s="1" t="s">
        <v>178</v>
      </c>
      <c r="B210">
        <v>32</v>
      </c>
      <c r="C210">
        <v>21</v>
      </c>
      <c r="D210">
        <v>11</v>
      </c>
      <c r="E210">
        <v>5.31</v>
      </c>
      <c r="F210">
        <v>2311</v>
      </c>
      <c r="G210">
        <v>847</v>
      </c>
      <c r="H210">
        <v>1763</v>
      </c>
      <c r="I210">
        <v>391</v>
      </c>
      <c r="J210">
        <v>560</v>
      </c>
      <c r="K210">
        <v>283</v>
      </c>
      <c r="L210">
        <v>1071</v>
      </c>
      <c r="M210">
        <v>491</v>
      </c>
      <c r="N210">
        <v>192</v>
      </c>
      <c r="O210">
        <v>138</v>
      </c>
      <c r="P210">
        <v>373</v>
      </c>
      <c r="Q210">
        <v>556</v>
      </c>
      <c r="R210">
        <v>209</v>
      </c>
    </row>
    <row r="211" spans="1:18">
      <c r="A211" s="1" t="s">
        <v>179</v>
      </c>
      <c r="B211">
        <v>33</v>
      </c>
      <c r="C211">
        <v>21</v>
      </c>
      <c r="D211">
        <v>12</v>
      </c>
      <c r="E211">
        <v>-2.4700000000000002</v>
      </c>
      <c r="F211">
        <v>2466</v>
      </c>
      <c r="G211">
        <v>858</v>
      </c>
      <c r="H211">
        <v>1906</v>
      </c>
      <c r="I211">
        <v>569</v>
      </c>
      <c r="J211">
        <v>813</v>
      </c>
      <c r="K211">
        <v>485</v>
      </c>
      <c r="L211">
        <v>1262</v>
      </c>
      <c r="M211">
        <v>522</v>
      </c>
      <c r="N211">
        <v>307</v>
      </c>
      <c r="O211">
        <v>112</v>
      </c>
      <c r="P211">
        <v>553</v>
      </c>
      <c r="Q211">
        <v>687</v>
      </c>
      <c r="R211">
        <v>210</v>
      </c>
    </row>
    <row r="212" spans="1:18">
      <c r="A212" s="1" t="s">
        <v>180</v>
      </c>
      <c r="B212">
        <v>31</v>
      </c>
      <c r="C212">
        <v>15</v>
      </c>
      <c r="D212">
        <v>16</v>
      </c>
      <c r="E212">
        <v>7.38</v>
      </c>
      <c r="F212">
        <v>1828</v>
      </c>
      <c r="G212">
        <v>674</v>
      </c>
      <c r="H212">
        <v>1492</v>
      </c>
      <c r="I212">
        <v>294</v>
      </c>
      <c r="J212">
        <v>482</v>
      </c>
      <c r="K212">
        <v>228</v>
      </c>
      <c r="L212">
        <v>847</v>
      </c>
      <c r="M212">
        <v>474</v>
      </c>
      <c r="N212">
        <v>231</v>
      </c>
      <c r="O212">
        <v>80</v>
      </c>
      <c r="P212">
        <v>404</v>
      </c>
      <c r="Q212">
        <v>493</v>
      </c>
      <c r="R212">
        <v>211</v>
      </c>
    </row>
    <row r="213" spans="1:18">
      <c r="A213" s="1" t="s">
        <v>181</v>
      </c>
      <c r="B213">
        <v>29</v>
      </c>
      <c r="C213">
        <v>17</v>
      </c>
      <c r="D213">
        <v>12</v>
      </c>
      <c r="E213">
        <v>6.18</v>
      </c>
      <c r="F213">
        <v>1951</v>
      </c>
      <c r="G213">
        <v>671</v>
      </c>
      <c r="H213">
        <v>1635</v>
      </c>
      <c r="I213">
        <v>358</v>
      </c>
      <c r="J213">
        <v>495</v>
      </c>
      <c r="K213">
        <v>351</v>
      </c>
      <c r="L213">
        <v>1022</v>
      </c>
      <c r="M213">
        <v>415</v>
      </c>
      <c r="N213">
        <v>193</v>
      </c>
      <c r="O213">
        <v>123</v>
      </c>
      <c r="P213">
        <v>341</v>
      </c>
      <c r="Q213">
        <v>439</v>
      </c>
      <c r="R213">
        <v>212</v>
      </c>
    </row>
    <row r="214" spans="1:18">
      <c r="A214" s="1" t="s">
        <v>182</v>
      </c>
      <c r="B214">
        <v>32</v>
      </c>
      <c r="C214">
        <v>13</v>
      </c>
      <c r="D214">
        <v>19</v>
      </c>
      <c r="E214">
        <v>0.86</v>
      </c>
      <c r="F214">
        <v>2269</v>
      </c>
      <c r="G214">
        <v>811</v>
      </c>
      <c r="H214">
        <v>1804</v>
      </c>
      <c r="I214">
        <v>446</v>
      </c>
      <c r="J214">
        <v>671</v>
      </c>
      <c r="K214">
        <v>384</v>
      </c>
      <c r="L214">
        <v>1044</v>
      </c>
      <c r="M214">
        <v>474</v>
      </c>
      <c r="N214">
        <v>228</v>
      </c>
      <c r="O214">
        <v>77</v>
      </c>
      <c r="P214">
        <v>390</v>
      </c>
      <c r="Q214">
        <v>561</v>
      </c>
      <c r="R214">
        <v>213</v>
      </c>
    </row>
    <row r="215" spans="1:18">
      <c r="A215" s="1" t="s">
        <v>321</v>
      </c>
      <c r="B215">
        <v>32</v>
      </c>
      <c r="C215">
        <v>20</v>
      </c>
      <c r="D215">
        <v>12</v>
      </c>
      <c r="E215">
        <v>6.2</v>
      </c>
      <c r="F215">
        <v>2273</v>
      </c>
      <c r="G215">
        <v>848</v>
      </c>
      <c r="H215">
        <v>1841</v>
      </c>
      <c r="I215">
        <v>318</v>
      </c>
      <c r="J215">
        <v>485</v>
      </c>
      <c r="K215">
        <v>291</v>
      </c>
      <c r="L215">
        <v>1055</v>
      </c>
      <c r="M215">
        <v>492</v>
      </c>
      <c r="N215">
        <v>230</v>
      </c>
      <c r="O215">
        <v>63</v>
      </c>
      <c r="P215">
        <v>373</v>
      </c>
      <c r="Q215">
        <v>532</v>
      </c>
      <c r="R215">
        <v>214</v>
      </c>
    </row>
    <row r="216" spans="1:18">
      <c r="A216" s="1" t="s">
        <v>183</v>
      </c>
      <c r="B216">
        <v>32</v>
      </c>
      <c r="C216">
        <v>21</v>
      </c>
      <c r="D216">
        <v>11</v>
      </c>
      <c r="E216">
        <v>1.8</v>
      </c>
      <c r="F216">
        <v>2288</v>
      </c>
      <c r="G216">
        <v>773</v>
      </c>
      <c r="H216">
        <v>1675</v>
      </c>
      <c r="I216">
        <v>560</v>
      </c>
      <c r="J216">
        <v>802</v>
      </c>
      <c r="K216">
        <v>348</v>
      </c>
      <c r="L216">
        <v>1050</v>
      </c>
      <c r="M216">
        <v>374</v>
      </c>
      <c r="N216">
        <v>273</v>
      </c>
      <c r="O216">
        <v>86</v>
      </c>
      <c r="P216">
        <v>423</v>
      </c>
      <c r="Q216">
        <v>571</v>
      </c>
      <c r="R216">
        <v>215</v>
      </c>
    </row>
    <row r="217" spans="1:18">
      <c r="A217" s="1" t="s">
        <v>340</v>
      </c>
      <c r="B217">
        <v>33</v>
      </c>
      <c r="C217">
        <v>26</v>
      </c>
      <c r="D217">
        <v>7</v>
      </c>
      <c r="E217">
        <v>9.68</v>
      </c>
      <c r="F217">
        <v>2583</v>
      </c>
      <c r="G217">
        <v>911</v>
      </c>
      <c r="H217">
        <v>1833</v>
      </c>
      <c r="I217">
        <v>521</v>
      </c>
      <c r="J217">
        <v>668</v>
      </c>
      <c r="K217">
        <v>372</v>
      </c>
      <c r="L217">
        <v>1121</v>
      </c>
      <c r="M217">
        <v>556</v>
      </c>
      <c r="N217">
        <v>242</v>
      </c>
      <c r="O217">
        <v>87</v>
      </c>
      <c r="P217">
        <v>453</v>
      </c>
      <c r="Q217">
        <v>599</v>
      </c>
      <c r="R217">
        <v>216</v>
      </c>
    </row>
    <row r="218" spans="1:18">
      <c r="A218" s="1" t="s">
        <v>329</v>
      </c>
      <c r="B218">
        <v>33</v>
      </c>
      <c r="C218">
        <v>25</v>
      </c>
      <c r="D218">
        <v>8</v>
      </c>
      <c r="E218">
        <v>8.84</v>
      </c>
      <c r="F218">
        <v>2480</v>
      </c>
      <c r="G218">
        <v>908</v>
      </c>
      <c r="H218">
        <v>1907</v>
      </c>
      <c r="I218">
        <v>450</v>
      </c>
      <c r="J218">
        <v>652</v>
      </c>
      <c r="K218">
        <v>428</v>
      </c>
      <c r="L218">
        <v>1172</v>
      </c>
      <c r="M218">
        <v>511</v>
      </c>
      <c r="N218">
        <v>291</v>
      </c>
      <c r="O218">
        <v>135</v>
      </c>
      <c r="P218">
        <v>449</v>
      </c>
      <c r="Q218">
        <v>607</v>
      </c>
      <c r="R218">
        <v>217</v>
      </c>
    </row>
    <row r="219" spans="1:18">
      <c r="A219" s="1" t="s">
        <v>184</v>
      </c>
      <c r="B219">
        <v>34</v>
      </c>
      <c r="C219">
        <v>28</v>
      </c>
      <c r="D219">
        <v>6</v>
      </c>
      <c r="E219">
        <v>-2.59</v>
      </c>
      <c r="F219">
        <v>2430</v>
      </c>
      <c r="G219">
        <v>869</v>
      </c>
      <c r="H219">
        <v>1958</v>
      </c>
      <c r="I219">
        <v>482</v>
      </c>
      <c r="J219">
        <v>690</v>
      </c>
      <c r="K219">
        <v>409</v>
      </c>
      <c r="L219">
        <v>1239</v>
      </c>
      <c r="M219">
        <v>552</v>
      </c>
      <c r="N219">
        <v>329</v>
      </c>
      <c r="O219">
        <v>151</v>
      </c>
      <c r="P219">
        <v>416</v>
      </c>
      <c r="Q219">
        <v>597</v>
      </c>
      <c r="R219">
        <v>218</v>
      </c>
    </row>
    <row r="220" spans="1:18">
      <c r="A220" s="1" t="s">
        <v>185</v>
      </c>
      <c r="B220">
        <v>33</v>
      </c>
      <c r="C220">
        <v>25</v>
      </c>
      <c r="D220">
        <v>8</v>
      </c>
      <c r="E220">
        <v>-2.06</v>
      </c>
      <c r="F220">
        <v>2552</v>
      </c>
      <c r="G220">
        <v>904</v>
      </c>
      <c r="H220">
        <v>1890</v>
      </c>
      <c r="I220">
        <v>539</v>
      </c>
      <c r="J220">
        <v>743</v>
      </c>
      <c r="K220">
        <v>387</v>
      </c>
      <c r="L220">
        <v>1219</v>
      </c>
      <c r="M220">
        <v>574</v>
      </c>
      <c r="N220">
        <v>249</v>
      </c>
      <c r="O220">
        <v>103</v>
      </c>
      <c r="P220">
        <v>466</v>
      </c>
      <c r="Q220">
        <v>600</v>
      </c>
      <c r="R220">
        <v>219</v>
      </c>
    </row>
    <row r="221" spans="1:18">
      <c r="A221" s="1" t="s">
        <v>186</v>
      </c>
      <c r="B221">
        <v>32</v>
      </c>
      <c r="C221">
        <v>17</v>
      </c>
      <c r="D221">
        <v>15</v>
      </c>
      <c r="E221">
        <v>4.0199999999999996</v>
      </c>
      <c r="F221">
        <v>2328</v>
      </c>
      <c r="G221">
        <v>810</v>
      </c>
      <c r="H221">
        <v>1826</v>
      </c>
      <c r="I221">
        <v>514</v>
      </c>
      <c r="J221">
        <v>710</v>
      </c>
      <c r="K221">
        <v>362</v>
      </c>
      <c r="L221">
        <v>1094</v>
      </c>
      <c r="M221">
        <v>429</v>
      </c>
      <c r="N221">
        <v>193</v>
      </c>
      <c r="O221">
        <v>126</v>
      </c>
      <c r="P221">
        <v>471</v>
      </c>
      <c r="Q221">
        <v>560</v>
      </c>
      <c r="R221">
        <v>220</v>
      </c>
    </row>
    <row r="222" spans="1:18">
      <c r="A222" s="1" t="s">
        <v>288</v>
      </c>
      <c r="B222">
        <v>27</v>
      </c>
      <c r="C222">
        <v>14</v>
      </c>
      <c r="D222">
        <v>13</v>
      </c>
      <c r="E222">
        <v>6.68</v>
      </c>
      <c r="F222">
        <v>1915</v>
      </c>
      <c r="G222">
        <v>678</v>
      </c>
      <c r="H222">
        <v>1462</v>
      </c>
      <c r="I222">
        <v>389</v>
      </c>
      <c r="J222">
        <v>594</v>
      </c>
      <c r="K222">
        <v>290</v>
      </c>
      <c r="L222">
        <v>928</v>
      </c>
      <c r="M222">
        <v>362</v>
      </c>
      <c r="N222">
        <v>143</v>
      </c>
      <c r="O222">
        <v>78</v>
      </c>
      <c r="P222">
        <v>413</v>
      </c>
      <c r="Q222">
        <v>484</v>
      </c>
      <c r="R222">
        <v>221</v>
      </c>
    </row>
    <row r="223" spans="1:18">
      <c r="A223" s="1" t="s">
        <v>187</v>
      </c>
      <c r="B223">
        <v>31</v>
      </c>
      <c r="C223">
        <v>27</v>
      </c>
      <c r="D223">
        <v>4</v>
      </c>
      <c r="E223">
        <v>1.1599999999999999</v>
      </c>
      <c r="F223">
        <v>2258</v>
      </c>
      <c r="G223">
        <v>794</v>
      </c>
      <c r="H223">
        <v>1598</v>
      </c>
      <c r="I223">
        <v>469</v>
      </c>
      <c r="J223">
        <v>631</v>
      </c>
      <c r="K223">
        <v>310</v>
      </c>
      <c r="L223">
        <v>1104</v>
      </c>
      <c r="M223">
        <v>462</v>
      </c>
      <c r="N223">
        <v>154</v>
      </c>
      <c r="O223">
        <v>96</v>
      </c>
      <c r="P223">
        <v>424</v>
      </c>
      <c r="Q223">
        <v>455</v>
      </c>
      <c r="R223">
        <v>222</v>
      </c>
    </row>
    <row r="224" spans="1:18">
      <c r="A224" s="1" t="s">
        <v>188</v>
      </c>
      <c r="B224">
        <v>30</v>
      </c>
      <c r="C224">
        <v>7</v>
      </c>
      <c r="D224">
        <v>23</v>
      </c>
      <c r="E224">
        <v>7.31</v>
      </c>
      <c r="F224">
        <v>1903</v>
      </c>
      <c r="G224">
        <v>643</v>
      </c>
      <c r="H224">
        <v>1576</v>
      </c>
      <c r="I224">
        <v>436</v>
      </c>
      <c r="J224">
        <v>627</v>
      </c>
      <c r="K224">
        <v>372</v>
      </c>
      <c r="L224">
        <v>1054</v>
      </c>
      <c r="M224">
        <v>376</v>
      </c>
      <c r="N224">
        <v>166</v>
      </c>
      <c r="O224">
        <v>66</v>
      </c>
      <c r="P224">
        <v>477</v>
      </c>
      <c r="Q224">
        <v>452</v>
      </c>
      <c r="R224">
        <v>223</v>
      </c>
    </row>
    <row r="225" spans="1:18">
      <c r="A225" s="1" t="s">
        <v>289</v>
      </c>
      <c r="B225">
        <v>29</v>
      </c>
      <c r="C225">
        <v>20</v>
      </c>
      <c r="D225">
        <v>9</v>
      </c>
      <c r="E225">
        <v>-1.98</v>
      </c>
      <c r="F225">
        <v>1982</v>
      </c>
      <c r="G225">
        <v>684</v>
      </c>
      <c r="H225">
        <v>1580</v>
      </c>
      <c r="I225">
        <v>422</v>
      </c>
      <c r="J225">
        <v>640</v>
      </c>
      <c r="K225">
        <v>362</v>
      </c>
      <c r="L225">
        <v>1084</v>
      </c>
      <c r="M225">
        <v>420</v>
      </c>
      <c r="N225">
        <v>233</v>
      </c>
      <c r="O225">
        <v>93</v>
      </c>
      <c r="P225">
        <v>455</v>
      </c>
      <c r="Q225">
        <v>570</v>
      </c>
      <c r="R225">
        <v>224</v>
      </c>
    </row>
    <row r="226" spans="1:18">
      <c r="A226" s="1" t="s">
        <v>290</v>
      </c>
      <c r="B226">
        <v>31</v>
      </c>
      <c r="C226">
        <v>17</v>
      </c>
      <c r="D226">
        <v>14</v>
      </c>
      <c r="E226">
        <v>1.51</v>
      </c>
      <c r="F226">
        <v>2324</v>
      </c>
      <c r="G226">
        <v>817</v>
      </c>
      <c r="H226">
        <v>1839</v>
      </c>
      <c r="I226">
        <v>482</v>
      </c>
      <c r="J226">
        <v>728</v>
      </c>
      <c r="K226">
        <v>403</v>
      </c>
      <c r="L226">
        <v>1130</v>
      </c>
      <c r="M226">
        <v>424</v>
      </c>
      <c r="N226">
        <v>200</v>
      </c>
      <c r="O226">
        <v>111</v>
      </c>
      <c r="P226">
        <v>440</v>
      </c>
      <c r="Q226">
        <v>590</v>
      </c>
      <c r="R226">
        <v>225</v>
      </c>
    </row>
    <row r="227" spans="1:18">
      <c r="A227" s="1" t="s">
        <v>189</v>
      </c>
      <c r="B227">
        <v>29</v>
      </c>
      <c r="C227">
        <v>20</v>
      </c>
      <c r="D227">
        <v>9</v>
      </c>
      <c r="E227">
        <v>5.73</v>
      </c>
      <c r="F227">
        <v>2097</v>
      </c>
      <c r="G227">
        <v>738</v>
      </c>
      <c r="H227">
        <v>1567</v>
      </c>
      <c r="I227">
        <v>446</v>
      </c>
      <c r="J227">
        <v>677</v>
      </c>
      <c r="K227">
        <v>414</v>
      </c>
      <c r="L227">
        <v>1103</v>
      </c>
      <c r="M227">
        <v>439</v>
      </c>
      <c r="N227">
        <v>189</v>
      </c>
      <c r="O227">
        <v>120</v>
      </c>
      <c r="P227">
        <v>419</v>
      </c>
      <c r="Q227">
        <v>496</v>
      </c>
      <c r="R227">
        <v>226</v>
      </c>
    </row>
    <row r="228" spans="1:18">
      <c r="A228" s="1" t="s">
        <v>190</v>
      </c>
      <c r="B228">
        <v>28</v>
      </c>
      <c r="C228">
        <v>19</v>
      </c>
      <c r="D228">
        <v>9</v>
      </c>
      <c r="E228">
        <v>-8.19</v>
      </c>
      <c r="F228">
        <v>2047</v>
      </c>
      <c r="G228">
        <v>708</v>
      </c>
      <c r="H228">
        <v>1440</v>
      </c>
      <c r="I228">
        <v>481</v>
      </c>
      <c r="J228">
        <v>745</v>
      </c>
      <c r="K228">
        <v>269</v>
      </c>
      <c r="L228">
        <v>944</v>
      </c>
      <c r="M228">
        <v>471</v>
      </c>
      <c r="N228">
        <v>214</v>
      </c>
      <c r="O228">
        <v>108</v>
      </c>
      <c r="P228">
        <v>481</v>
      </c>
      <c r="Q228">
        <v>567</v>
      </c>
      <c r="R228">
        <v>227</v>
      </c>
    </row>
    <row r="229" spans="1:18">
      <c r="A229" s="1" t="s">
        <v>191</v>
      </c>
      <c r="B229">
        <v>30</v>
      </c>
      <c r="C229">
        <v>15</v>
      </c>
      <c r="D229">
        <v>15</v>
      </c>
      <c r="E229">
        <v>0.54</v>
      </c>
      <c r="F229">
        <v>2069</v>
      </c>
      <c r="G229">
        <v>722</v>
      </c>
      <c r="H229">
        <v>1603</v>
      </c>
      <c r="I229">
        <v>462</v>
      </c>
      <c r="J229">
        <v>668</v>
      </c>
      <c r="K229">
        <v>324</v>
      </c>
      <c r="L229">
        <v>974</v>
      </c>
      <c r="M229">
        <v>383</v>
      </c>
      <c r="N229">
        <v>215</v>
      </c>
      <c r="O229">
        <v>94</v>
      </c>
      <c r="P229">
        <v>431</v>
      </c>
      <c r="Q229">
        <v>587</v>
      </c>
      <c r="R229">
        <v>228</v>
      </c>
    </row>
    <row r="230" spans="1:18">
      <c r="A230" s="1" t="s">
        <v>192</v>
      </c>
      <c r="B230">
        <v>28</v>
      </c>
      <c r="C230">
        <v>5</v>
      </c>
      <c r="D230">
        <v>23</v>
      </c>
      <c r="E230">
        <v>-9.8800000000000008</v>
      </c>
      <c r="F230">
        <v>1594</v>
      </c>
      <c r="G230">
        <v>575</v>
      </c>
      <c r="H230">
        <v>1582</v>
      </c>
      <c r="I230">
        <v>303</v>
      </c>
      <c r="J230">
        <v>522</v>
      </c>
      <c r="K230">
        <v>299</v>
      </c>
      <c r="L230">
        <v>947</v>
      </c>
      <c r="M230">
        <v>229</v>
      </c>
      <c r="N230">
        <v>182</v>
      </c>
      <c r="O230">
        <v>60</v>
      </c>
      <c r="P230">
        <v>490</v>
      </c>
      <c r="Q230">
        <v>599</v>
      </c>
      <c r="R230">
        <v>229</v>
      </c>
    </row>
    <row r="231" spans="1:18">
      <c r="A231" s="1" t="s">
        <v>193</v>
      </c>
      <c r="B231">
        <v>28</v>
      </c>
      <c r="C231">
        <v>15</v>
      </c>
      <c r="D231">
        <v>13</v>
      </c>
      <c r="E231">
        <v>-1.9</v>
      </c>
      <c r="F231">
        <v>1576</v>
      </c>
      <c r="G231">
        <v>513</v>
      </c>
      <c r="H231">
        <v>1118</v>
      </c>
      <c r="I231">
        <v>353</v>
      </c>
      <c r="J231">
        <v>473</v>
      </c>
      <c r="K231">
        <v>167</v>
      </c>
      <c r="L231">
        <v>674</v>
      </c>
      <c r="M231">
        <v>337</v>
      </c>
      <c r="N231">
        <v>202</v>
      </c>
      <c r="O231">
        <v>91</v>
      </c>
      <c r="P231">
        <v>376</v>
      </c>
      <c r="Q231">
        <v>571</v>
      </c>
      <c r="R231">
        <v>230</v>
      </c>
    </row>
    <row r="232" spans="1:18">
      <c r="A232" s="1" t="s">
        <v>194</v>
      </c>
      <c r="B232">
        <v>31</v>
      </c>
      <c r="C232">
        <v>14</v>
      </c>
      <c r="D232">
        <v>17</v>
      </c>
      <c r="E232">
        <v>8.8699999999999992</v>
      </c>
      <c r="F232">
        <v>2308</v>
      </c>
      <c r="G232">
        <v>853</v>
      </c>
      <c r="H232">
        <v>1851</v>
      </c>
      <c r="I232">
        <v>396</v>
      </c>
      <c r="J232">
        <v>559</v>
      </c>
      <c r="K232">
        <v>401</v>
      </c>
      <c r="L232">
        <v>1102</v>
      </c>
      <c r="M232">
        <v>514</v>
      </c>
      <c r="N232">
        <v>254</v>
      </c>
      <c r="O232">
        <v>187</v>
      </c>
      <c r="P232">
        <v>469</v>
      </c>
      <c r="Q232">
        <v>558</v>
      </c>
      <c r="R232">
        <v>231</v>
      </c>
    </row>
    <row r="233" spans="1:18">
      <c r="A233" s="1" t="s">
        <v>291</v>
      </c>
      <c r="B233">
        <v>28</v>
      </c>
      <c r="C233">
        <v>7</v>
      </c>
      <c r="D233">
        <v>21</v>
      </c>
      <c r="E233">
        <v>11.07</v>
      </c>
      <c r="F233">
        <v>1762</v>
      </c>
      <c r="G233">
        <v>640</v>
      </c>
      <c r="H233">
        <v>1519</v>
      </c>
      <c r="I233">
        <v>349</v>
      </c>
      <c r="J233">
        <v>513</v>
      </c>
      <c r="K233">
        <v>340</v>
      </c>
      <c r="L233">
        <v>921</v>
      </c>
      <c r="M233">
        <v>359</v>
      </c>
      <c r="N233">
        <v>156</v>
      </c>
      <c r="O233">
        <v>89</v>
      </c>
      <c r="P233">
        <v>408</v>
      </c>
      <c r="Q233">
        <v>518</v>
      </c>
      <c r="R233">
        <v>232</v>
      </c>
    </row>
    <row r="234" spans="1:18">
      <c r="A234" s="1" t="s">
        <v>195</v>
      </c>
      <c r="B234">
        <v>27</v>
      </c>
      <c r="C234">
        <v>10</v>
      </c>
      <c r="D234">
        <v>17</v>
      </c>
      <c r="E234">
        <v>-7.47</v>
      </c>
      <c r="F234">
        <v>2021</v>
      </c>
      <c r="G234">
        <v>707</v>
      </c>
      <c r="H234">
        <v>1587</v>
      </c>
      <c r="I234">
        <v>409</v>
      </c>
      <c r="J234">
        <v>560</v>
      </c>
      <c r="K234">
        <v>301</v>
      </c>
      <c r="L234">
        <v>965</v>
      </c>
      <c r="M234">
        <v>408</v>
      </c>
      <c r="N234">
        <v>159</v>
      </c>
      <c r="O234">
        <v>63</v>
      </c>
      <c r="P234">
        <v>423</v>
      </c>
      <c r="Q234">
        <v>623</v>
      </c>
      <c r="R234">
        <v>233</v>
      </c>
    </row>
    <row r="235" spans="1:18">
      <c r="A235" s="1" t="s">
        <v>196</v>
      </c>
      <c r="B235">
        <v>28</v>
      </c>
      <c r="C235">
        <v>12</v>
      </c>
      <c r="D235">
        <v>16</v>
      </c>
      <c r="E235">
        <v>-7.81</v>
      </c>
      <c r="F235">
        <v>1943</v>
      </c>
      <c r="G235">
        <v>698</v>
      </c>
      <c r="H235">
        <v>1629</v>
      </c>
      <c r="I235">
        <v>389</v>
      </c>
      <c r="J235">
        <v>550</v>
      </c>
      <c r="K235">
        <v>334</v>
      </c>
      <c r="L235">
        <v>961</v>
      </c>
      <c r="M235">
        <v>323</v>
      </c>
      <c r="N235">
        <v>203</v>
      </c>
      <c r="O235">
        <v>82</v>
      </c>
      <c r="P235">
        <v>382</v>
      </c>
      <c r="Q235">
        <v>503</v>
      </c>
      <c r="R235">
        <v>234</v>
      </c>
    </row>
    <row r="236" spans="1:18">
      <c r="A236" s="1" t="s">
        <v>197</v>
      </c>
      <c r="B236">
        <v>28</v>
      </c>
      <c r="C236">
        <v>6</v>
      </c>
      <c r="D236">
        <v>22</v>
      </c>
      <c r="E236">
        <v>0.52</v>
      </c>
      <c r="F236">
        <v>1620</v>
      </c>
      <c r="G236">
        <v>568</v>
      </c>
      <c r="H236">
        <v>1531</v>
      </c>
      <c r="I236">
        <v>341</v>
      </c>
      <c r="J236">
        <v>526</v>
      </c>
      <c r="K236">
        <v>438</v>
      </c>
      <c r="L236">
        <v>1038</v>
      </c>
      <c r="M236">
        <v>299</v>
      </c>
      <c r="N236">
        <v>170</v>
      </c>
      <c r="O236">
        <v>104</v>
      </c>
      <c r="P236">
        <v>397</v>
      </c>
      <c r="Q236">
        <v>521</v>
      </c>
      <c r="R236">
        <v>235</v>
      </c>
    </row>
    <row r="237" spans="1:18">
      <c r="A237" s="1" t="s">
        <v>198</v>
      </c>
      <c r="B237">
        <v>31</v>
      </c>
      <c r="C237">
        <v>19</v>
      </c>
      <c r="D237">
        <v>12</v>
      </c>
      <c r="E237">
        <v>3.07</v>
      </c>
      <c r="F237">
        <v>2301</v>
      </c>
      <c r="G237">
        <v>849</v>
      </c>
      <c r="H237">
        <v>1764</v>
      </c>
      <c r="I237">
        <v>465</v>
      </c>
      <c r="J237">
        <v>642</v>
      </c>
      <c r="K237">
        <v>347</v>
      </c>
      <c r="L237">
        <v>1137</v>
      </c>
      <c r="M237">
        <v>493</v>
      </c>
      <c r="N237">
        <v>201</v>
      </c>
      <c r="O237">
        <v>125</v>
      </c>
      <c r="P237">
        <v>447</v>
      </c>
      <c r="Q237">
        <v>555</v>
      </c>
      <c r="R237">
        <v>236</v>
      </c>
    </row>
    <row r="238" spans="1:18">
      <c r="A238" s="1" t="s">
        <v>199</v>
      </c>
      <c r="B238">
        <v>29</v>
      </c>
      <c r="C238">
        <v>14</v>
      </c>
      <c r="D238">
        <v>15</v>
      </c>
      <c r="E238">
        <v>3.06</v>
      </c>
      <c r="F238">
        <v>1934</v>
      </c>
      <c r="G238">
        <v>697</v>
      </c>
      <c r="H238">
        <v>1564</v>
      </c>
      <c r="I238">
        <v>371</v>
      </c>
      <c r="J238">
        <v>584</v>
      </c>
      <c r="K238">
        <v>314</v>
      </c>
      <c r="L238">
        <v>939</v>
      </c>
      <c r="M238">
        <v>416</v>
      </c>
      <c r="N238">
        <v>180</v>
      </c>
      <c r="O238">
        <v>111</v>
      </c>
      <c r="P238">
        <v>402</v>
      </c>
      <c r="Q238">
        <v>572</v>
      </c>
      <c r="R238">
        <v>237</v>
      </c>
    </row>
    <row r="239" spans="1:18">
      <c r="A239" s="1" t="s">
        <v>200</v>
      </c>
      <c r="B239">
        <v>30</v>
      </c>
      <c r="C239">
        <v>19</v>
      </c>
      <c r="D239">
        <v>11</v>
      </c>
      <c r="E239">
        <v>-4.33</v>
      </c>
      <c r="F239">
        <v>2248</v>
      </c>
      <c r="G239">
        <v>787</v>
      </c>
      <c r="H239">
        <v>1794</v>
      </c>
      <c r="I239">
        <v>427</v>
      </c>
      <c r="J239">
        <v>566</v>
      </c>
      <c r="K239">
        <v>353</v>
      </c>
      <c r="L239">
        <v>1084</v>
      </c>
      <c r="M239">
        <v>457</v>
      </c>
      <c r="N239">
        <v>220</v>
      </c>
      <c r="O239">
        <v>88</v>
      </c>
      <c r="P239">
        <v>362</v>
      </c>
      <c r="Q239">
        <v>523</v>
      </c>
      <c r="R239">
        <v>238</v>
      </c>
    </row>
    <row r="240" spans="1:18">
      <c r="A240" s="1" t="s">
        <v>201</v>
      </c>
      <c r="B240">
        <v>29</v>
      </c>
      <c r="C240">
        <v>14</v>
      </c>
      <c r="D240">
        <v>15</v>
      </c>
      <c r="E240">
        <v>-7.13</v>
      </c>
      <c r="F240">
        <v>2018</v>
      </c>
      <c r="G240">
        <v>709</v>
      </c>
      <c r="H240">
        <v>1574</v>
      </c>
      <c r="I240">
        <v>397</v>
      </c>
      <c r="J240">
        <v>569</v>
      </c>
      <c r="K240">
        <v>284</v>
      </c>
      <c r="L240">
        <v>882</v>
      </c>
      <c r="M240">
        <v>372</v>
      </c>
      <c r="N240">
        <v>215</v>
      </c>
      <c r="O240">
        <v>71</v>
      </c>
      <c r="P240">
        <v>384</v>
      </c>
      <c r="Q240">
        <v>533</v>
      </c>
      <c r="R240">
        <v>239</v>
      </c>
    </row>
    <row r="241" spans="1:18">
      <c r="A241" s="1" t="s">
        <v>202</v>
      </c>
      <c r="B241">
        <v>29</v>
      </c>
      <c r="C241">
        <v>10</v>
      </c>
      <c r="D241">
        <v>19</v>
      </c>
      <c r="E241">
        <v>8.75</v>
      </c>
      <c r="F241">
        <v>1883</v>
      </c>
      <c r="G241">
        <v>676</v>
      </c>
      <c r="H241">
        <v>1660</v>
      </c>
      <c r="I241">
        <v>357</v>
      </c>
      <c r="J241">
        <v>504</v>
      </c>
      <c r="K241">
        <v>342</v>
      </c>
      <c r="L241">
        <v>941</v>
      </c>
      <c r="M241">
        <v>382</v>
      </c>
      <c r="N241">
        <v>181</v>
      </c>
      <c r="O241">
        <v>91</v>
      </c>
      <c r="P241">
        <v>330</v>
      </c>
      <c r="Q241">
        <v>485</v>
      </c>
      <c r="R241">
        <v>240</v>
      </c>
    </row>
    <row r="242" spans="1:18">
      <c r="A242" s="1" t="s">
        <v>203</v>
      </c>
      <c r="B242">
        <v>28</v>
      </c>
      <c r="C242">
        <v>12</v>
      </c>
      <c r="D242">
        <v>16</v>
      </c>
      <c r="E242">
        <v>-5.08</v>
      </c>
      <c r="F242">
        <v>1934</v>
      </c>
      <c r="G242">
        <v>654</v>
      </c>
      <c r="H242">
        <v>1696</v>
      </c>
      <c r="I242">
        <v>433</v>
      </c>
      <c r="J242">
        <v>640</v>
      </c>
      <c r="K242">
        <v>409</v>
      </c>
      <c r="L242">
        <v>1000</v>
      </c>
      <c r="M242">
        <v>334</v>
      </c>
      <c r="N242">
        <v>279</v>
      </c>
      <c r="O242">
        <v>86</v>
      </c>
      <c r="P242">
        <v>421</v>
      </c>
      <c r="Q242">
        <v>634</v>
      </c>
      <c r="R242">
        <v>241</v>
      </c>
    </row>
    <row r="243" spans="1:18">
      <c r="A243" s="1" t="s">
        <v>204</v>
      </c>
      <c r="B243">
        <v>27</v>
      </c>
      <c r="C243">
        <v>4</v>
      </c>
      <c r="D243">
        <v>23</v>
      </c>
      <c r="E243">
        <v>-7.37</v>
      </c>
      <c r="F243">
        <v>1756</v>
      </c>
      <c r="G243">
        <v>650</v>
      </c>
      <c r="H243">
        <v>1495</v>
      </c>
      <c r="I243">
        <v>340</v>
      </c>
      <c r="J243">
        <v>537</v>
      </c>
      <c r="K243">
        <v>319</v>
      </c>
      <c r="L243">
        <v>929</v>
      </c>
      <c r="M243">
        <v>330</v>
      </c>
      <c r="N243">
        <v>205</v>
      </c>
      <c r="O243">
        <v>69</v>
      </c>
      <c r="P243">
        <v>488</v>
      </c>
      <c r="Q243">
        <v>559</v>
      </c>
      <c r="R243">
        <v>242</v>
      </c>
    </row>
    <row r="244" spans="1:18">
      <c r="A244" s="1" t="s">
        <v>205</v>
      </c>
      <c r="B244">
        <v>28</v>
      </c>
      <c r="C244">
        <v>15</v>
      </c>
      <c r="D244">
        <v>13</v>
      </c>
      <c r="E244">
        <v>-7.55</v>
      </c>
      <c r="F244">
        <v>1947</v>
      </c>
      <c r="G244">
        <v>711</v>
      </c>
      <c r="H244">
        <v>1501</v>
      </c>
      <c r="I244">
        <v>362</v>
      </c>
      <c r="J244">
        <v>491</v>
      </c>
      <c r="K244">
        <v>283</v>
      </c>
      <c r="L244">
        <v>866</v>
      </c>
      <c r="M244">
        <v>457</v>
      </c>
      <c r="N244">
        <v>179</v>
      </c>
      <c r="O244">
        <v>67</v>
      </c>
      <c r="P244">
        <v>399</v>
      </c>
      <c r="Q244">
        <v>461</v>
      </c>
      <c r="R244">
        <v>243</v>
      </c>
    </row>
    <row r="245" spans="1:18">
      <c r="A245" s="1" t="s">
        <v>206</v>
      </c>
      <c r="B245">
        <v>36</v>
      </c>
      <c r="C245">
        <v>24</v>
      </c>
      <c r="D245">
        <v>12</v>
      </c>
      <c r="E245">
        <v>3.32</v>
      </c>
      <c r="F245">
        <v>2294</v>
      </c>
      <c r="G245">
        <v>753</v>
      </c>
      <c r="H245">
        <v>1769</v>
      </c>
      <c r="I245">
        <v>513</v>
      </c>
      <c r="J245">
        <v>778</v>
      </c>
      <c r="K245">
        <v>398</v>
      </c>
      <c r="L245">
        <v>1247</v>
      </c>
      <c r="M245">
        <v>511</v>
      </c>
      <c r="N245">
        <v>193</v>
      </c>
      <c r="O245">
        <v>184</v>
      </c>
      <c r="P245">
        <v>498</v>
      </c>
      <c r="Q245">
        <v>612</v>
      </c>
      <c r="R245">
        <v>244</v>
      </c>
    </row>
    <row r="246" spans="1:18">
      <c r="A246" s="1" t="s">
        <v>292</v>
      </c>
      <c r="B246">
        <v>30</v>
      </c>
      <c r="C246">
        <v>9</v>
      </c>
      <c r="D246">
        <v>21</v>
      </c>
      <c r="E246">
        <v>5.04</v>
      </c>
      <c r="F246">
        <v>1693</v>
      </c>
      <c r="G246">
        <v>615</v>
      </c>
      <c r="H246">
        <v>1503</v>
      </c>
      <c r="I246">
        <v>339</v>
      </c>
      <c r="J246">
        <v>508</v>
      </c>
      <c r="K246">
        <v>270</v>
      </c>
      <c r="L246">
        <v>992</v>
      </c>
      <c r="M246">
        <v>381</v>
      </c>
      <c r="N246">
        <v>190</v>
      </c>
      <c r="O246">
        <v>56</v>
      </c>
      <c r="P246">
        <v>395</v>
      </c>
      <c r="Q246">
        <v>503</v>
      </c>
      <c r="R246">
        <v>245</v>
      </c>
    </row>
    <row r="247" spans="1:18">
      <c r="A247" s="1" t="s">
        <v>207</v>
      </c>
      <c r="B247">
        <v>34</v>
      </c>
      <c r="C247">
        <v>25</v>
      </c>
      <c r="D247">
        <v>9</v>
      </c>
      <c r="E247">
        <v>2.4</v>
      </c>
      <c r="F247">
        <v>2373</v>
      </c>
      <c r="G247">
        <v>793</v>
      </c>
      <c r="H247">
        <v>1817</v>
      </c>
      <c r="I247">
        <v>553</v>
      </c>
      <c r="J247">
        <v>763</v>
      </c>
      <c r="K247">
        <v>425</v>
      </c>
      <c r="L247">
        <v>1244</v>
      </c>
      <c r="M247">
        <v>380</v>
      </c>
      <c r="N247">
        <v>204</v>
      </c>
      <c r="O247">
        <v>113</v>
      </c>
      <c r="P247">
        <v>534</v>
      </c>
      <c r="Q247">
        <v>616</v>
      </c>
      <c r="R247">
        <v>246</v>
      </c>
    </row>
    <row r="248" spans="1:18">
      <c r="A248" s="1" t="s">
        <v>208</v>
      </c>
      <c r="B248">
        <v>28</v>
      </c>
      <c r="C248">
        <v>15</v>
      </c>
      <c r="D248">
        <v>13</v>
      </c>
      <c r="E248">
        <v>-4.26</v>
      </c>
      <c r="F248">
        <v>2200</v>
      </c>
      <c r="G248">
        <v>771</v>
      </c>
      <c r="H248">
        <v>1813</v>
      </c>
      <c r="I248">
        <v>445</v>
      </c>
      <c r="J248">
        <v>642</v>
      </c>
      <c r="K248">
        <v>408</v>
      </c>
      <c r="L248">
        <v>1037</v>
      </c>
      <c r="M248">
        <v>404</v>
      </c>
      <c r="N248">
        <v>245</v>
      </c>
      <c r="O248">
        <v>71</v>
      </c>
      <c r="P248">
        <v>376</v>
      </c>
      <c r="Q248">
        <v>564</v>
      </c>
      <c r="R248">
        <v>247</v>
      </c>
    </row>
    <row r="249" spans="1:18">
      <c r="A249" s="1" t="s">
        <v>209</v>
      </c>
      <c r="B249">
        <v>30</v>
      </c>
      <c r="C249">
        <v>18</v>
      </c>
      <c r="D249">
        <v>12</v>
      </c>
      <c r="E249">
        <v>-3.87</v>
      </c>
      <c r="F249">
        <v>2210</v>
      </c>
      <c r="G249">
        <v>783</v>
      </c>
      <c r="H249">
        <v>1717</v>
      </c>
      <c r="I249">
        <v>456</v>
      </c>
      <c r="J249">
        <v>729</v>
      </c>
      <c r="K249">
        <v>374</v>
      </c>
      <c r="L249">
        <v>1182</v>
      </c>
      <c r="M249">
        <v>535</v>
      </c>
      <c r="N249">
        <v>230</v>
      </c>
      <c r="O249">
        <v>151</v>
      </c>
      <c r="P249">
        <v>522</v>
      </c>
      <c r="Q249">
        <v>632</v>
      </c>
      <c r="R249">
        <v>248</v>
      </c>
    </row>
    <row r="250" spans="1:18">
      <c r="A250" s="1" t="s">
        <v>293</v>
      </c>
      <c r="B250">
        <v>28</v>
      </c>
      <c r="C250">
        <v>15</v>
      </c>
      <c r="D250">
        <v>13</v>
      </c>
      <c r="E250">
        <v>-5.42</v>
      </c>
      <c r="F250">
        <v>1804</v>
      </c>
      <c r="G250">
        <v>616</v>
      </c>
      <c r="H250">
        <v>1224</v>
      </c>
      <c r="I250">
        <v>325</v>
      </c>
      <c r="J250">
        <v>436</v>
      </c>
      <c r="K250">
        <v>143</v>
      </c>
      <c r="L250">
        <v>647</v>
      </c>
      <c r="M250">
        <v>362</v>
      </c>
      <c r="N250">
        <v>205</v>
      </c>
      <c r="O250">
        <v>28</v>
      </c>
      <c r="P250">
        <v>345</v>
      </c>
      <c r="Q250">
        <v>412</v>
      </c>
      <c r="R250">
        <v>249</v>
      </c>
    </row>
    <row r="251" spans="1:18">
      <c r="A251" s="1" t="s">
        <v>210</v>
      </c>
      <c r="B251">
        <v>29</v>
      </c>
      <c r="C251">
        <v>11</v>
      </c>
      <c r="D251">
        <v>18</v>
      </c>
      <c r="E251">
        <v>5.61</v>
      </c>
      <c r="F251">
        <v>1989</v>
      </c>
      <c r="G251">
        <v>696</v>
      </c>
      <c r="H251">
        <v>1629</v>
      </c>
      <c r="I251">
        <v>436</v>
      </c>
      <c r="J251">
        <v>628</v>
      </c>
      <c r="K251">
        <v>356</v>
      </c>
      <c r="L251">
        <v>935</v>
      </c>
      <c r="M251">
        <v>346</v>
      </c>
      <c r="N251">
        <v>241</v>
      </c>
      <c r="O251">
        <v>86</v>
      </c>
      <c r="P251">
        <v>409</v>
      </c>
      <c r="Q251">
        <v>510</v>
      </c>
      <c r="R251">
        <v>250</v>
      </c>
    </row>
    <row r="252" spans="1:18">
      <c r="A252" s="1" t="s">
        <v>211</v>
      </c>
      <c r="B252">
        <v>29</v>
      </c>
      <c r="C252">
        <v>16</v>
      </c>
      <c r="D252">
        <v>13</v>
      </c>
      <c r="E252">
        <v>2.25</v>
      </c>
      <c r="F252">
        <v>2222</v>
      </c>
      <c r="G252">
        <v>771</v>
      </c>
      <c r="H252">
        <v>1631</v>
      </c>
      <c r="I252">
        <v>469</v>
      </c>
      <c r="J252">
        <v>625</v>
      </c>
      <c r="K252">
        <v>313</v>
      </c>
      <c r="L252">
        <v>1003</v>
      </c>
      <c r="M252">
        <v>466</v>
      </c>
      <c r="N252">
        <v>214</v>
      </c>
      <c r="O252">
        <v>67</v>
      </c>
      <c r="P252">
        <v>491</v>
      </c>
      <c r="Q252">
        <v>572</v>
      </c>
      <c r="R252">
        <v>251</v>
      </c>
    </row>
    <row r="253" spans="1:18">
      <c r="A253" s="1" t="s">
        <v>212</v>
      </c>
      <c r="B253">
        <v>31</v>
      </c>
      <c r="C253">
        <v>17</v>
      </c>
      <c r="D253">
        <v>14</v>
      </c>
      <c r="E253">
        <v>3.33</v>
      </c>
      <c r="F253">
        <v>2138</v>
      </c>
      <c r="G253">
        <v>751</v>
      </c>
      <c r="H253">
        <v>1852</v>
      </c>
      <c r="I253">
        <v>418</v>
      </c>
      <c r="J253">
        <v>607</v>
      </c>
      <c r="K253">
        <v>374</v>
      </c>
      <c r="L253">
        <v>1102</v>
      </c>
      <c r="M253">
        <v>361</v>
      </c>
      <c r="N253">
        <v>249</v>
      </c>
      <c r="O253">
        <v>73</v>
      </c>
      <c r="P253">
        <v>407</v>
      </c>
      <c r="Q253">
        <v>606</v>
      </c>
      <c r="R253">
        <v>252</v>
      </c>
    </row>
    <row r="254" spans="1:18">
      <c r="A254" s="1" t="s">
        <v>213</v>
      </c>
      <c r="B254">
        <v>29</v>
      </c>
      <c r="C254">
        <v>6</v>
      </c>
      <c r="D254">
        <v>23</v>
      </c>
      <c r="E254">
        <v>2.41</v>
      </c>
      <c r="F254">
        <v>1769</v>
      </c>
      <c r="G254">
        <v>655</v>
      </c>
      <c r="H254">
        <v>1623</v>
      </c>
      <c r="I254">
        <v>279</v>
      </c>
      <c r="J254">
        <v>384</v>
      </c>
      <c r="K254">
        <v>266</v>
      </c>
      <c r="L254">
        <v>883</v>
      </c>
      <c r="M254">
        <v>359</v>
      </c>
      <c r="N254">
        <v>138</v>
      </c>
      <c r="O254">
        <v>44</v>
      </c>
      <c r="P254">
        <v>386</v>
      </c>
      <c r="Q254">
        <v>488</v>
      </c>
      <c r="R254">
        <v>253</v>
      </c>
    </row>
    <row r="255" spans="1:18">
      <c r="A255" s="1" t="s">
        <v>214</v>
      </c>
      <c r="B255">
        <v>31</v>
      </c>
      <c r="C255">
        <v>15</v>
      </c>
      <c r="D255">
        <v>16</v>
      </c>
      <c r="E255">
        <v>2.1800000000000002</v>
      </c>
      <c r="F255">
        <v>2308</v>
      </c>
      <c r="G255">
        <v>791</v>
      </c>
      <c r="H255">
        <v>1882</v>
      </c>
      <c r="I255">
        <v>514</v>
      </c>
      <c r="J255">
        <v>714</v>
      </c>
      <c r="K255">
        <v>404</v>
      </c>
      <c r="L255">
        <v>1154</v>
      </c>
      <c r="M255">
        <v>450</v>
      </c>
      <c r="N255">
        <v>216</v>
      </c>
      <c r="O255">
        <v>62</v>
      </c>
      <c r="P255">
        <v>422</v>
      </c>
      <c r="Q255">
        <v>679</v>
      </c>
      <c r="R255">
        <v>254</v>
      </c>
    </row>
    <row r="256" spans="1:18">
      <c r="A256" s="1" t="s">
        <v>322</v>
      </c>
      <c r="B256">
        <v>28</v>
      </c>
      <c r="C256">
        <v>0</v>
      </c>
      <c r="D256">
        <v>28</v>
      </c>
      <c r="E256">
        <v>-7.93</v>
      </c>
      <c r="F256">
        <v>1623</v>
      </c>
      <c r="G256">
        <v>577</v>
      </c>
      <c r="H256">
        <v>1650</v>
      </c>
      <c r="I256">
        <v>339</v>
      </c>
      <c r="J256">
        <v>586</v>
      </c>
      <c r="K256">
        <v>418</v>
      </c>
      <c r="L256">
        <v>1048</v>
      </c>
      <c r="M256">
        <v>214</v>
      </c>
      <c r="N256">
        <v>194</v>
      </c>
      <c r="O256">
        <v>96</v>
      </c>
      <c r="P256">
        <v>548</v>
      </c>
      <c r="Q256">
        <v>570</v>
      </c>
      <c r="R256">
        <v>255</v>
      </c>
    </row>
    <row r="257" spans="1:18">
      <c r="A257" s="1" t="s">
        <v>294</v>
      </c>
      <c r="B257">
        <v>28</v>
      </c>
      <c r="C257">
        <v>12</v>
      </c>
      <c r="D257">
        <v>16</v>
      </c>
      <c r="E257">
        <v>6.04</v>
      </c>
      <c r="F257">
        <v>1756</v>
      </c>
      <c r="G257">
        <v>636</v>
      </c>
      <c r="H257">
        <v>1584</v>
      </c>
      <c r="I257">
        <v>340</v>
      </c>
      <c r="J257">
        <v>478</v>
      </c>
      <c r="K257">
        <v>378</v>
      </c>
      <c r="L257">
        <v>1028</v>
      </c>
      <c r="M257">
        <v>351</v>
      </c>
      <c r="N257">
        <v>188</v>
      </c>
      <c r="O257">
        <v>96</v>
      </c>
      <c r="P257">
        <v>392</v>
      </c>
      <c r="Q257">
        <v>546</v>
      </c>
      <c r="R257">
        <v>256</v>
      </c>
    </row>
    <row r="258" spans="1:18">
      <c r="A258" s="1" t="s">
        <v>215</v>
      </c>
      <c r="B258">
        <v>30</v>
      </c>
      <c r="C258">
        <v>6</v>
      </c>
      <c r="D258">
        <v>24</v>
      </c>
      <c r="E258">
        <v>-2.4700000000000002</v>
      </c>
      <c r="F258">
        <v>1922</v>
      </c>
      <c r="G258">
        <v>662</v>
      </c>
      <c r="H258">
        <v>1763</v>
      </c>
      <c r="I258">
        <v>419</v>
      </c>
      <c r="J258">
        <v>600</v>
      </c>
      <c r="K258">
        <v>412</v>
      </c>
      <c r="L258">
        <v>1119</v>
      </c>
      <c r="M258">
        <v>356</v>
      </c>
      <c r="N258">
        <v>211</v>
      </c>
      <c r="O258">
        <v>61</v>
      </c>
      <c r="P258">
        <v>460</v>
      </c>
      <c r="Q258">
        <v>667</v>
      </c>
      <c r="R258">
        <v>257</v>
      </c>
    </row>
    <row r="259" spans="1:18">
      <c r="A259" s="1" t="s">
        <v>216</v>
      </c>
      <c r="B259">
        <v>28</v>
      </c>
      <c r="C259">
        <v>10</v>
      </c>
      <c r="D259">
        <v>18</v>
      </c>
      <c r="E259">
        <v>0.09</v>
      </c>
      <c r="F259">
        <v>1744</v>
      </c>
      <c r="G259">
        <v>582</v>
      </c>
      <c r="H259">
        <v>1400</v>
      </c>
      <c r="I259">
        <v>373</v>
      </c>
      <c r="J259">
        <v>577</v>
      </c>
      <c r="K259">
        <v>284</v>
      </c>
      <c r="L259">
        <v>896</v>
      </c>
      <c r="M259">
        <v>308</v>
      </c>
      <c r="N259">
        <v>212</v>
      </c>
      <c r="O259">
        <v>84</v>
      </c>
      <c r="P259">
        <v>447</v>
      </c>
      <c r="Q259">
        <v>570</v>
      </c>
      <c r="R259">
        <v>258</v>
      </c>
    </row>
    <row r="260" spans="1:18">
      <c r="A260" s="1" t="s">
        <v>295</v>
      </c>
      <c r="B260">
        <v>31</v>
      </c>
      <c r="C260">
        <v>19</v>
      </c>
      <c r="D260">
        <v>12</v>
      </c>
      <c r="E260">
        <v>-10.93</v>
      </c>
      <c r="F260">
        <v>2086</v>
      </c>
      <c r="G260">
        <v>724</v>
      </c>
      <c r="H260">
        <v>1603</v>
      </c>
      <c r="I260">
        <v>494</v>
      </c>
      <c r="J260">
        <v>704</v>
      </c>
      <c r="K260">
        <v>375</v>
      </c>
      <c r="L260">
        <v>1130</v>
      </c>
      <c r="M260">
        <v>352</v>
      </c>
      <c r="N260">
        <v>241</v>
      </c>
      <c r="O260">
        <v>66</v>
      </c>
      <c r="P260">
        <v>530</v>
      </c>
      <c r="Q260">
        <v>597</v>
      </c>
      <c r="R260">
        <v>259</v>
      </c>
    </row>
    <row r="261" spans="1:18">
      <c r="A261" s="1" t="s">
        <v>217</v>
      </c>
      <c r="B261">
        <v>33</v>
      </c>
      <c r="C261">
        <v>20</v>
      </c>
      <c r="D261">
        <v>13</v>
      </c>
      <c r="E261">
        <v>7.85</v>
      </c>
      <c r="F261">
        <v>2263</v>
      </c>
      <c r="G261">
        <v>852</v>
      </c>
      <c r="H261">
        <v>1843</v>
      </c>
      <c r="I261">
        <v>395</v>
      </c>
      <c r="J261">
        <v>644</v>
      </c>
      <c r="K261">
        <v>410</v>
      </c>
      <c r="L261">
        <v>1138</v>
      </c>
      <c r="M261">
        <v>438</v>
      </c>
      <c r="N261">
        <v>251</v>
      </c>
      <c r="O261">
        <v>142</v>
      </c>
      <c r="P261">
        <v>416</v>
      </c>
      <c r="Q261">
        <v>556</v>
      </c>
      <c r="R261">
        <v>260</v>
      </c>
    </row>
    <row r="262" spans="1:18">
      <c r="A262" s="1" t="s">
        <v>218</v>
      </c>
      <c r="B262">
        <v>30</v>
      </c>
      <c r="C262">
        <v>14</v>
      </c>
      <c r="D262">
        <v>16</v>
      </c>
      <c r="E262">
        <v>2.0299999999999998</v>
      </c>
      <c r="F262">
        <v>2029</v>
      </c>
      <c r="G262">
        <v>699</v>
      </c>
      <c r="H262">
        <v>1583</v>
      </c>
      <c r="I262">
        <v>460</v>
      </c>
      <c r="J262">
        <v>660</v>
      </c>
      <c r="K262">
        <v>334</v>
      </c>
      <c r="L262">
        <v>1024</v>
      </c>
      <c r="M262">
        <v>391</v>
      </c>
      <c r="N262">
        <v>214</v>
      </c>
      <c r="O262">
        <v>107</v>
      </c>
      <c r="P262">
        <v>459</v>
      </c>
      <c r="Q262">
        <v>603</v>
      </c>
      <c r="R262">
        <v>261</v>
      </c>
    </row>
    <row r="263" spans="1:18">
      <c r="A263" s="1" t="s">
        <v>296</v>
      </c>
      <c r="B263">
        <v>29</v>
      </c>
      <c r="C263">
        <v>15</v>
      </c>
      <c r="D263">
        <v>14</v>
      </c>
      <c r="E263">
        <v>-3.78</v>
      </c>
      <c r="F263">
        <v>2042</v>
      </c>
      <c r="G263">
        <v>740</v>
      </c>
      <c r="H263">
        <v>1582</v>
      </c>
      <c r="I263">
        <v>371</v>
      </c>
      <c r="J263">
        <v>533</v>
      </c>
      <c r="K263">
        <v>265</v>
      </c>
      <c r="L263">
        <v>890</v>
      </c>
      <c r="M263">
        <v>419</v>
      </c>
      <c r="N263">
        <v>237</v>
      </c>
      <c r="O263">
        <v>119</v>
      </c>
      <c r="P263">
        <v>379</v>
      </c>
      <c r="Q263">
        <v>467</v>
      </c>
      <c r="R263">
        <v>262</v>
      </c>
    </row>
    <row r="264" spans="1:18">
      <c r="A264" s="1" t="s">
        <v>219</v>
      </c>
      <c r="B264">
        <v>33</v>
      </c>
      <c r="C264">
        <v>24</v>
      </c>
      <c r="D264">
        <v>9</v>
      </c>
      <c r="E264">
        <v>-5.22</v>
      </c>
      <c r="F264">
        <v>2085</v>
      </c>
      <c r="G264">
        <v>768</v>
      </c>
      <c r="H264">
        <v>1660</v>
      </c>
      <c r="I264">
        <v>432</v>
      </c>
      <c r="J264">
        <v>668</v>
      </c>
      <c r="K264">
        <v>351</v>
      </c>
      <c r="L264">
        <v>1017</v>
      </c>
      <c r="M264">
        <v>388</v>
      </c>
      <c r="N264">
        <v>300</v>
      </c>
      <c r="O264">
        <v>122</v>
      </c>
      <c r="P264">
        <v>460</v>
      </c>
      <c r="Q264">
        <v>573</v>
      </c>
      <c r="R264">
        <v>263</v>
      </c>
    </row>
    <row r="265" spans="1:18">
      <c r="A265" s="1" t="s">
        <v>220</v>
      </c>
      <c r="B265">
        <v>29</v>
      </c>
      <c r="C265">
        <v>12</v>
      </c>
      <c r="D265">
        <v>17</v>
      </c>
      <c r="E265">
        <v>6.91</v>
      </c>
      <c r="F265">
        <v>2159</v>
      </c>
      <c r="G265">
        <v>805</v>
      </c>
      <c r="H265">
        <v>1801</v>
      </c>
      <c r="I265">
        <v>316</v>
      </c>
      <c r="J265">
        <v>528</v>
      </c>
      <c r="K265">
        <v>400</v>
      </c>
      <c r="L265">
        <v>1026</v>
      </c>
      <c r="M265">
        <v>435</v>
      </c>
      <c r="N265">
        <v>240</v>
      </c>
      <c r="O265">
        <v>76</v>
      </c>
      <c r="P265">
        <v>479</v>
      </c>
      <c r="Q265">
        <v>582</v>
      </c>
      <c r="R265">
        <v>264</v>
      </c>
    </row>
    <row r="266" spans="1:18">
      <c r="A266" s="1" t="s">
        <v>221</v>
      </c>
      <c r="B266">
        <v>35</v>
      </c>
      <c r="C266">
        <v>27</v>
      </c>
      <c r="D266">
        <v>8</v>
      </c>
      <c r="E266">
        <v>5.12</v>
      </c>
      <c r="F266">
        <v>2365</v>
      </c>
      <c r="G266">
        <v>884</v>
      </c>
      <c r="H266">
        <v>1957</v>
      </c>
      <c r="I266">
        <v>395</v>
      </c>
      <c r="J266">
        <v>528</v>
      </c>
      <c r="K266">
        <v>395</v>
      </c>
      <c r="L266">
        <v>1144</v>
      </c>
      <c r="M266">
        <v>472</v>
      </c>
      <c r="N266">
        <v>322</v>
      </c>
      <c r="O266">
        <v>101</v>
      </c>
      <c r="P266">
        <v>449</v>
      </c>
      <c r="Q266">
        <v>684</v>
      </c>
      <c r="R266">
        <v>265</v>
      </c>
    </row>
    <row r="267" spans="1:18">
      <c r="A267" s="1" t="s">
        <v>222</v>
      </c>
      <c r="B267">
        <v>28</v>
      </c>
      <c r="C267">
        <v>14</v>
      </c>
      <c r="D267">
        <v>14</v>
      </c>
      <c r="E267">
        <v>2.11</v>
      </c>
      <c r="F267">
        <v>1946</v>
      </c>
      <c r="G267">
        <v>721</v>
      </c>
      <c r="H267">
        <v>1592</v>
      </c>
      <c r="I267">
        <v>391</v>
      </c>
      <c r="J267">
        <v>561</v>
      </c>
      <c r="K267">
        <v>354</v>
      </c>
      <c r="L267">
        <v>969</v>
      </c>
      <c r="M267">
        <v>378</v>
      </c>
      <c r="N267">
        <v>242</v>
      </c>
      <c r="O267">
        <v>101</v>
      </c>
      <c r="P267">
        <v>396</v>
      </c>
      <c r="Q267">
        <v>504</v>
      </c>
      <c r="R267">
        <v>266</v>
      </c>
    </row>
    <row r="268" spans="1:18">
      <c r="A268" s="1" t="s">
        <v>223</v>
      </c>
      <c r="B268">
        <v>28</v>
      </c>
      <c r="C268">
        <v>11</v>
      </c>
      <c r="D268">
        <v>17</v>
      </c>
      <c r="E268">
        <v>1.52</v>
      </c>
      <c r="F268">
        <v>1897</v>
      </c>
      <c r="G268">
        <v>654</v>
      </c>
      <c r="H268">
        <v>1508</v>
      </c>
      <c r="I268">
        <v>443</v>
      </c>
      <c r="J268">
        <v>606</v>
      </c>
      <c r="K268">
        <v>300</v>
      </c>
      <c r="L268">
        <v>938</v>
      </c>
      <c r="M268">
        <v>330</v>
      </c>
      <c r="N268">
        <v>199</v>
      </c>
      <c r="O268">
        <v>36</v>
      </c>
      <c r="P268">
        <v>378</v>
      </c>
      <c r="Q268">
        <v>504</v>
      </c>
      <c r="R268">
        <v>267</v>
      </c>
    </row>
    <row r="269" spans="1:18">
      <c r="A269" s="1" t="s">
        <v>224</v>
      </c>
      <c r="B269">
        <v>28</v>
      </c>
      <c r="C269">
        <v>13</v>
      </c>
      <c r="D269">
        <v>15</v>
      </c>
      <c r="E269">
        <v>-4.07</v>
      </c>
      <c r="F269">
        <v>1954</v>
      </c>
      <c r="G269">
        <v>718</v>
      </c>
      <c r="H269">
        <v>1584</v>
      </c>
      <c r="I269">
        <v>300</v>
      </c>
      <c r="J269">
        <v>469</v>
      </c>
      <c r="K269">
        <v>281</v>
      </c>
      <c r="L269">
        <v>858</v>
      </c>
      <c r="M269">
        <v>448</v>
      </c>
      <c r="N269">
        <v>263</v>
      </c>
      <c r="O269">
        <v>61</v>
      </c>
      <c r="P269">
        <v>384</v>
      </c>
      <c r="Q269">
        <v>523</v>
      </c>
      <c r="R269">
        <v>268</v>
      </c>
    </row>
    <row r="270" spans="1:18">
      <c r="A270" s="1" t="s">
        <v>225</v>
      </c>
      <c r="B270">
        <v>29</v>
      </c>
      <c r="C270">
        <v>14</v>
      </c>
      <c r="D270">
        <v>15</v>
      </c>
      <c r="E270">
        <v>-13.38</v>
      </c>
      <c r="F270">
        <v>1877</v>
      </c>
      <c r="G270">
        <v>679</v>
      </c>
      <c r="H270">
        <v>1658</v>
      </c>
      <c r="I270">
        <v>389</v>
      </c>
      <c r="J270">
        <v>620</v>
      </c>
      <c r="K270">
        <v>394</v>
      </c>
      <c r="L270">
        <v>1094</v>
      </c>
      <c r="M270">
        <v>355</v>
      </c>
      <c r="N270">
        <v>218</v>
      </c>
      <c r="O270">
        <v>90</v>
      </c>
      <c r="P270">
        <v>520</v>
      </c>
      <c r="Q270">
        <v>560</v>
      </c>
      <c r="R270">
        <v>269</v>
      </c>
    </row>
    <row r="271" spans="1:18">
      <c r="A271" s="1" t="s">
        <v>297</v>
      </c>
      <c r="B271">
        <v>28</v>
      </c>
      <c r="C271">
        <v>2</v>
      </c>
      <c r="D271">
        <v>26</v>
      </c>
      <c r="E271">
        <v>0.38</v>
      </c>
      <c r="F271">
        <v>1718</v>
      </c>
      <c r="G271">
        <v>623</v>
      </c>
      <c r="H271">
        <v>1596</v>
      </c>
      <c r="I271">
        <v>326</v>
      </c>
      <c r="J271">
        <v>499</v>
      </c>
      <c r="K271">
        <v>340</v>
      </c>
      <c r="L271">
        <v>908</v>
      </c>
      <c r="M271">
        <v>343</v>
      </c>
      <c r="N271">
        <v>160</v>
      </c>
      <c r="O271">
        <v>43</v>
      </c>
      <c r="P271">
        <v>426</v>
      </c>
      <c r="Q271">
        <v>539</v>
      </c>
      <c r="R271">
        <v>270</v>
      </c>
    </row>
    <row r="272" spans="1:18">
      <c r="A272" s="1" t="s">
        <v>226</v>
      </c>
      <c r="B272">
        <v>28</v>
      </c>
      <c r="C272">
        <v>13</v>
      </c>
      <c r="D272">
        <v>15</v>
      </c>
      <c r="E272">
        <v>-8.66</v>
      </c>
      <c r="F272">
        <v>1961</v>
      </c>
      <c r="G272">
        <v>693</v>
      </c>
      <c r="H272">
        <v>1552</v>
      </c>
      <c r="I272">
        <v>357</v>
      </c>
      <c r="J272">
        <v>562</v>
      </c>
      <c r="K272">
        <v>266</v>
      </c>
      <c r="L272">
        <v>859</v>
      </c>
      <c r="M272">
        <v>391</v>
      </c>
      <c r="N272">
        <v>233</v>
      </c>
      <c r="O272">
        <v>114</v>
      </c>
      <c r="P272">
        <v>419</v>
      </c>
      <c r="Q272">
        <v>564</v>
      </c>
      <c r="R272">
        <v>271</v>
      </c>
    </row>
    <row r="273" spans="1:18">
      <c r="A273" s="1" t="s">
        <v>298</v>
      </c>
      <c r="B273">
        <v>27</v>
      </c>
      <c r="C273">
        <v>9</v>
      </c>
      <c r="D273">
        <v>18</v>
      </c>
      <c r="E273">
        <v>7.42</v>
      </c>
      <c r="F273">
        <v>1738</v>
      </c>
      <c r="G273">
        <v>648</v>
      </c>
      <c r="H273">
        <v>1506</v>
      </c>
      <c r="I273">
        <v>330</v>
      </c>
      <c r="J273">
        <v>492</v>
      </c>
      <c r="K273">
        <v>366</v>
      </c>
      <c r="L273">
        <v>966</v>
      </c>
      <c r="M273">
        <v>332</v>
      </c>
      <c r="N273">
        <v>222</v>
      </c>
      <c r="O273">
        <v>111</v>
      </c>
      <c r="P273">
        <v>441</v>
      </c>
      <c r="Q273">
        <v>520</v>
      </c>
      <c r="R273">
        <v>272</v>
      </c>
    </row>
    <row r="274" spans="1:18">
      <c r="A274" s="1" t="s">
        <v>342</v>
      </c>
      <c r="B274">
        <v>31</v>
      </c>
      <c r="C274">
        <v>18</v>
      </c>
      <c r="D274">
        <v>13</v>
      </c>
      <c r="E274">
        <v>8.1300000000000008</v>
      </c>
      <c r="F274">
        <v>2173</v>
      </c>
      <c r="G274">
        <v>774</v>
      </c>
      <c r="H274">
        <v>1778</v>
      </c>
      <c r="I274">
        <v>501</v>
      </c>
      <c r="J274">
        <v>680</v>
      </c>
      <c r="K274">
        <v>380</v>
      </c>
      <c r="L274">
        <v>1112</v>
      </c>
      <c r="M274">
        <v>373</v>
      </c>
      <c r="N274">
        <v>207</v>
      </c>
      <c r="O274">
        <v>86</v>
      </c>
      <c r="P274">
        <v>428</v>
      </c>
      <c r="Q274">
        <v>559</v>
      </c>
      <c r="R274">
        <v>273</v>
      </c>
    </row>
    <row r="275" spans="1:18">
      <c r="A275" s="1" t="s">
        <v>227</v>
      </c>
      <c r="B275">
        <v>27</v>
      </c>
      <c r="C275">
        <v>12</v>
      </c>
      <c r="D275">
        <v>15</v>
      </c>
      <c r="E275">
        <v>-7.54</v>
      </c>
      <c r="F275">
        <v>1751</v>
      </c>
      <c r="G275">
        <v>629</v>
      </c>
      <c r="H275">
        <v>1437</v>
      </c>
      <c r="I275">
        <v>371</v>
      </c>
      <c r="J275">
        <v>520</v>
      </c>
      <c r="K275">
        <v>348</v>
      </c>
      <c r="L275">
        <v>910</v>
      </c>
      <c r="M275">
        <v>314</v>
      </c>
      <c r="N275">
        <v>167</v>
      </c>
      <c r="O275">
        <v>44</v>
      </c>
      <c r="P275">
        <v>406</v>
      </c>
      <c r="Q275">
        <v>502</v>
      </c>
      <c r="R275">
        <v>274</v>
      </c>
    </row>
    <row r="276" spans="1:18">
      <c r="A276" s="1" t="s">
        <v>228</v>
      </c>
      <c r="B276">
        <v>27</v>
      </c>
      <c r="C276">
        <v>10</v>
      </c>
      <c r="D276">
        <v>17</v>
      </c>
      <c r="E276">
        <v>-6.23</v>
      </c>
      <c r="F276">
        <v>1791</v>
      </c>
      <c r="G276">
        <v>633</v>
      </c>
      <c r="H276">
        <v>1494</v>
      </c>
      <c r="I276">
        <v>404</v>
      </c>
      <c r="J276">
        <v>570</v>
      </c>
      <c r="K276">
        <v>343</v>
      </c>
      <c r="L276">
        <v>939</v>
      </c>
      <c r="M276">
        <v>286</v>
      </c>
      <c r="N276">
        <v>219</v>
      </c>
      <c r="O276">
        <v>49</v>
      </c>
      <c r="P276">
        <v>419</v>
      </c>
      <c r="Q276">
        <v>494</v>
      </c>
      <c r="R276">
        <v>275</v>
      </c>
    </row>
    <row r="277" spans="1:18">
      <c r="A277" s="1" t="s">
        <v>229</v>
      </c>
      <c r="B277">
        <v>29</v>
      </c>
      <c r="C277">
        <v>12</v>
      </c>
      <c r="D277">
        <v>17</v>
      </c>
      <c r="E277">
        <v>-4.66</v>
      </c>
      <c r="F277">
        <v>1793</v>
      </c>
      <c r="G277">
        <v>625</v>
      </c>
      <c r="H277">
        <v>1550</v>
      </c>
      <c r="I277">
        <v>387</v>
      </c>
      <c r="J277">
        <v>549</v>
      </c>
      <c r="K277">
        <v>312</v>
      </c>
      <c r="L277">
        <v>999</v>
      </c>
      <c r="M277">
        <v>308</v>
      </c>
      <c r="N277">
        <v>175</v>
      </c>
      <c r="O277">
        <v>72</v>
      </c>
      <c r="P277">
        <v>402</v>
      </c>
      <c r="Q277">
        <v>514</v>
      </c>
      <c r="R277">
        <v>276</v>
      </c>
    </row>
    <row r="278" spans="1:18">
      <c r="A278" s="1" t="s">
        <v>313</v>
      </c>
      <c r="B278">
        <v>34</v>
      </c>
      <c r="C278">
        <v>27</v>
      </c>
      <c r="D278">
        <v>7</v>
      </c>
      <c r="E278">
        <v>6.83</v>
      </c>
      <c r="F278">
        <v>2548</v>
      </c>
      <c r="G278">
        <v>946</v>
      </c>
      <c r="H278">
        <v>1956</v>
      </c>
      <c r="I278">
        <v>500</v>
      </c>
      <c r="J278">
        <v>750</v>
      </c>
      <c r="K278">
        <v>470</v>
      </c>
      <c r="L278">
        <v>1291</v>
      </c>
      <c r="M278">
        <v>525</v>
      </c>
      <c r="N278">
        <v>276</v>
      </c>
      <c r="O278">
        <v>157</v>
      </c>
      <c r="P278">
        <v>465</v>
      </c>
      <c r="Q278">
        <v>539</v>
      </c>
      <c r="R278">
        <v>277</v>
      </c>
    </row>
    <row r="279" spans="1:18">
      <c r="A279" s="1" t="s">
        <v>314</v>
      </c>
      <c r="B279">
        <v>30</v>
      </c>
      <c r="C279">
        <v>16</v>
      </c>
      <c r="D279">
        <v>14</v>
      </c>
      <c r="E279">
        <v>4.3099999999999996</v>
      </c>
      <c r="F279">
        <v>1914</v>
      </c>
      <c r="G279">
        <v>666</v>
      </c>
      <c r="H279">
        <v>1714</v>
      </c>
      <c r="I279">
        <v>399</v>
      </c>
      <c r="J279">
        <v>601</v>
      </c>
      <c r="K279">
        <v>442</v>
      </c>
      <c r="L279">
        <v>1083</v>
      </c>
      <c r="M279">
        <v>293</v>
      </c>
      <c r="N279">
        <v>229</v>
      </c>
      <c r="O279">
        <v>94</v>
      </c>
      <c r="P279">
        <v>275</v>
      </c>
      <c r="Q279">
        <v>488</v>
      </c>
      <c r="R279">
        <v>278</v>
      </c>
    </row>
    <row r="280" spans="1:18">
      <c r="A280" s="1" t="s">
        <v>230</v>
      </c>
      <c r="B280">
        <v>27</v>
      </c>
      <c r="C280">
        <v>6</v>
      </c>
      <c r="D280">
        <v>21</v>
      </c>
      <c r="E280">
        <v>-3.38</v>
      </c>
      <c r="F280">
        <v>1814</v>
      </c>
      <c r="G280">
        <v>641</v>
      </c>
      <c r="H280">
        <v>1539</v>
      </c>
      <c r="I280">
        <v>413</v>
      </c>
      <c r="J280">
        <v>615</v>
      </c>
      <c r="K280">
        <v>362</v>
      </c>
      <c r="L280">
        <v>930</v>
      </c>
      <c r="M280">
        <v>303</v>
      </c>
      <c r="N280">
        <v>217</v>
      </c>
      <c r="O280">
        <v>74</v>
      </c>
      <c r="P280">
        <v>421</v>
      </c>
      <c r="Q280">
        <v>483</v>
      </c>
      <c r="R280">
        <v>279</v>
      </c>
    </row>
    <row r="281" spans="1:18">
      <c r="A281" s="1" t="s">
        <v>231</v>
      </c>
      <c r="B281">
        <v>31</v>
      </c>
      <c r="C281">
        <v>14</v>
      </c>
      <c r="D281">
        <v>17</v>
      </c>
      <c r="E281">
        <v>-1.25</v>
      </c>
      <c r="F281">
        <v>2337</v>
      </c>
      <c r="G281">
        <v>842</v>
      </c>
      <c r="H281">
        <v>1882</v>
      </c>
      <c r="I281">
        <v>420</v>
      </c>
      <c r="J281">
        <v>610</v>
      </c>
      <c r="K281">
        <v>411</v>
      </c>
      <c r="L281">
        <v>1114</v>
      </c>
      <c r="M281">
        <v>470</v>
      </c>
      <c r="N281">
        <v>242</v>
      </c>
      <c r="O281">
        <v>138</v>
      </c>
      <c r="P281">
        <v>494</v>
      </c>
      <c r="Q281">
        <v>617</v>
      </c>
      <c r="R281">
        <v>280</v>
      </c>
    </row>
    <row r="282" spans="1:18">
      <c r="A282" s="1" t="s">
        <v>232</v>
      </c>
      <c r="B282">
        <v>29</v>
      </c>
      <c r="C282">
        <v>18</v>
      </c>
      <c r="D282">
        <v>11</v>
      </c>
      <c r="E282">
        <v>-5.01</v>
      </c>
      <c r="F282">
        <v>2150</v>
      </c>
      <c r="G282">
        <v>755</v>
      </c>
      <c r="H282">
        <v>1628</v>
      </c>
      <c r="I282">
        <v>467</v>
      </c>
      <c r="J282">
        <v>654</v>
      </c>
      <c r="K282">
        <v>374</v>
      </c>
      <c r="L282">
        <v>1062</v>
      </c>
      <c r="M282">
        <v>415</v>
      </c>
      <c r="N282">
        <v>245</v>
      </c>
      <c r="O282">
        <v>102</v>
      </c>
      <c r="P282">
        <v>493</v>
      </c>
      <c r="Q282">
        <v>596</v>
      </c>
      <c r="R282">
        <v>281</v>
      </c>
    </row>
    <row r="283" spans="1:18">
      <c r="A283" s="1" t="s">
        <v>315</v>
      </c>
      <c r="B283">
        <v>31</v>
      </c>
      <c r="C283">
        <v>14</v>
      </c>
      <c r="D283">
        <v>17</v>
      </c>
      <c r="E283">
        <v>8.3699999999999992</v>
      </c>
      <c r="F283">
        <v>2138</v>
      </c>
      <c r="G283">
        <v>763</v>
      </c>
      <c r="H283">
        <v>1677</v>
      </c>
      <c r="I283">
        <v>390</v>
      </c>
      <c r="J283">
        <v>566</v>
      </c>
      <c r="K283">
        <v>319</v>
      </c>
      <c r="L283">
        <v>1014</v>
      </c>
      <c r="M283">
        <v>419</v>
      </c>
      <c r="N283">
        <v>227</v>
      </c>
      <c r="O283">
        <v>98</v>
      </c>
      <c r="P283">
        <v>432</v>
      </c>
      <c r="Q283">
        <v>552</v>
      </c>
      <c r="R283">
        <v>282</v>
      </c>
    </row>
    <row r="284" spans="1:18">
      <c r="A284" s="1" t="s">
        <v>323</v>
      </c>
      <c r="B284">
        <v>28</v>
      </c>
      <c r="C284">
        <v>20</v>
      </c>
      <c r="D284">
        <v>8</v>
      </c>
      <c r="E284">
        <v>-5.48</v>
      </c>
      <c r="F284">
        <v>2102</v>
      </c>
      <c r="G284">
        <v>768</v>
      </c>
      <c r="H284">
        <v>1553</v>
      </c>
      <c r="I284">
        <v>400</v>
      </c>
      <c r="J284">
        <v>534</v>
      </c>
      <c r="K284">
        <v>327</v>
      </c>
      <c r="L284">
        <v>1021</v>
      </c>
      <c r="M284">
        <v>514</v>
      </c>
      <c r="N284">
        <v>198</v>
      </c>
      <c r="O284">
        <v>129</v>
      </c>
      <c r="P284">
        <v>456</v>
      </c>
      <c r="Q284">
        <v>461</v>
      </c>
      <c r="R284">
        <v>283</v>
      </c>
    </row>
    <row r="285" spans="1:18">
      <c r="A285" s="1" t="s">
        <v>233</v>
      </c>
      <c r="B285">
        <v>31</v>
      </c>
      <c r="C285">
        <v>21</v>
      </c>
      <c r="D285">
        <v>10</v>
      </c>
      <c r="E285">
        <v>5.19</v>
      </c>
      <c r="F285">
        <v>2282</v>
      </c>
      <c r="G285">
        <v>785</v>
      </c>
      <c r="H285">
        <v>1614</v>
      </c>
      <c r="I285">
        <v>517</v>
      </c>
      <c r="J285">
        <v>757</v>
      </c>
      <c r="K285">
        <v>340</v>
      </c>
      <c r="L285">
        <v>1097</v>
      </c>
      <c r="M285">
        <v>507</v>
      </c>
      <c r="N285">
        <v>200</v>
      </c>
      <c r="O285">
        <v>107</v>
      </c>
      <c r="P285">
        <v>434</v>
      </c>
      <c r="Q285">
        <v>698</v>
      </c>
      <c r="R285">
        <v>284</v>
      </c>
    </row>
    <row r="286" spans="1:18">
      <c r="A286" s="1" t="s">
        <v>234</v>
      </c>
      <c r="B286">
        <v>28</v>
      </c>
      <c r="C286">
        <v>13</v>
      </c>
      <c r="D286">
        <v>15</v>
      </c>
      <c r="E286">
        <v>-4.24</v>
      </c>
      <c r="F286">
        <v>1973</v>
      </c>
      <c r="G286">
        <v>668</v>
      </c>
      <c r="H286">
        <v>1440</v>
      </c>
      <c r="I286">
        <v>465</v>
      </c>
      <c r="J286">
        <v>668</v>
      </c>
      <c r="K286">
        <v>271</v>
      </c>
      <c r="L286">
        <v>965</v>
      </c>
      <c r="M286">
        <v>365</v>
      </c>
      <c r="N286">
        <v>167</v>
      </c>
      <c r="O286">
        <v>94</v>
      </c>
      <c r="P286">
        <v>530</v>
      </c>
      <c r="Q286">
        <v>549</v>
      </c>
      <c r="R286">
        <v>285</v>
      </c>
    </row>
    <row r="287" spans="1:18">
      <c r="A287" s="1" t="s">
        <v>235</v>
      </c>
      <c r="B287">
        <v>35</v>
      </c>
      <c r="C287">
        <v>21</v>
      </c>
      <c r="D287">
        <v>14</v>
      </c>
      <c r="E287">
        <v>3.54</v>
      </c>
      <c r="F287">
        <v>2463</v>
      </c>
      <c r="G287">
        <v>831</v>
      </c>
      <c r="H287">
        <v>2013</v>
      </c>
      <c r="I287">
        <v>517</v>
      </c>
      <c r="J287">
        <v>872</v>
      </c>
      <c r="K287">
        <v>447</v>
      </c>
      <c r="L287">
        <v>1286</v>
      </c>
      <c r="M287">
        <v>457</v>
      </c>
      <c r="N287">
        <v>291</v>
      </c>
      <c r="O287">
        <v>65</v>
      </c>
      <c r="P287">
        <v>501</v>
      </c>
      <c r="Q287">
        <v>706</v>
      </c>
      <c r="R287">
        <v>286</v>
      </c>
    </row>
    <row r="288" spans="1:18">
      <c r="A288" s="1" t="s">
        <v>236</v>
      </c>
      <c r="B288">
        <v>35</v>
      </c>
      <c r="C288">
        <v>27</v>
      </c>
      <c r="D288">
        <v>8</v>
      </c>
      <c r="E288">
        <v>0.91</v>
      </c>
      <c r="F288">
        <v>2616</v>
      </c>
      <c r="G288">
        <v>901</v>
      </c>
      <c r="H288">
        <v>1955</v>
      </c>
      <c r="I288">
        <v>606</v>
      </c>
      <c r="J288">
        <v>765</v>
      </c>
      <c r="K288">
        <v>386</v>
      </c>
      <c r="L288">
        <v>1197</v>
      </c>
      <c r="M288">
        <v>579</v>
      </c>
      <c r="N288">
        <v>255</v>
      </c>
      <c r="O288">
        <v>104</v>
      </c>
      <c r="P288">
        <v>426</v>
      </c>
      <c r="Q288">
        <v>581</v>
      </c>
      <c r="R288">
        <v>287</v>
      </c>
    </row>
    <row r="289" spans="1:18">
      <c r="A289" s="1" t="s">
        <v>237</v>
      </c>
      <c r="B289">
        <v>28</v>
      </c>
      <c r="C289">
        <v>12</v>
      </c>
      <c r="D289">
        <v>16</v>
      </c>
      <c r="E289">
        <v>-1.61</v>
      </c>
      <c r="F289">
        <v>1915</v>
      </c>
      <c r="G289">
        <v>631</v>
      </c>
      <c r="H289">
        <v>1522</v>
      </c>
      <c r="I289">
        <v>461</v>
      </c>
      <c r="J289">
        <v>657</v>
      </c>
      <c r="K289">
        <v>371</v>
      </c>
      <c r="L289">
        <v>1062</v>
      </c>
      <c r="M289">
        <v>350</v>
      </c>
      <c r="N289">
        <v>180</v>
      </c>
      <c r="O289">
        <v>74</v>
      </c>
      <c r="P289">
        <v>474</v>
      </c>
      <c r="Q289">
        <v>543</v>
      </c>
      <c r="R289">
        <v>288</v>
      </c>
    </row>
    <row r="290" spans="1:18">
      <c r="A290" s="1" t="s">
        <v>238</v>
      </c>
      <c r="B290">
        <v>28</v>
      </c>
      <c r="C290">
        <v>15</v>
      </c>
      <c r="D290">
        <v>13</v>
      </c>
      <c r="E290">
        <v>-3.93</v>
      </c>
      <c r="F290">
        <v>2126</v>
      </c>
      <c r="G290">
        <v>776</v>
      </c>
      <c r="H290">
        <v>1696</v>
      </c>
      <c r="I290">
        <v>430</v>
      </c>
      <c r="J290">
        <v>698</v>
      </c>
      <c r="K290">
        <v>407</v>
      </c>
      <c r="L290">
        <v>1170</v>
      </c>
      <c r="M290">
        <v>425</v>
      </c>
      <c r="N290">
        <v>227</v>
      </c>
      <c r="O290">
        <v>123</v>
      </c>
      <c r="P290">
        <v>503</v>
      </c>
      <c r="Q290">
        <v>555</v>
      </c>
      <c r="R290">
        <v>289</v>
      </c>
    </row>
    <row r="291" spans="1:18">
      <c r="A291" s="1" t="s">
        <v>239</v>
      </c>
      <c r="B291">
        <v>26</v>
      </c>
      <c r="C291">
        <v>11</v>
      </c>
      <c r="D291">
        <v>15</v>
      </c>
      <c r="E291">
        <v>-13.23</v>
      </c>
      <c r="F291">
        <v>1711</v>
      </c>
      <c r="G291">
        <v>584</v>
      </c>
      <c r="H291">
        <v>1419</v>
      </c>
      <c r="I291">
        <v>418</v>
      </c>
      <c r="J291">
        <v>637</v>
      </c>
      <c r="K291">
        <v>358</v>
      </c>
      <c r="L291">
        <v>1058</v>
      </c>
      <c r="M291">
        <v>305</v>
      </c>
      <c r="N291">
        <v>131</v>
      </c>
      <c r="O291">
        <v>81</v>
      </c>
      <c r="P291">
        <v>443</v>
      </c>
      <c r="Q291">
        <v>497</v>
      </c>
      <c r="R291">
        <v>290</v>
      </c>
    </row>
    <row r="292" spans="1:18">
      <c r="A292" s="1" t="s">
        <v>240</v>
      </c>
      <c r="B292">
        <v>28</v>
      </c>
      <c r="C292">
        <v>14</v>
      </c>
      <c r="D292">
        <v>14</v>
      </c>
      <c r="E292">
        <v>-5.52</v>
      </c>
      <c r="F292">
        <v>1914</v>
      </c>
      <c r="G292">
        <v>662</v>
      </c>
      <c r="H292">
        <v>1490</v>
      </c>
      <c r="I292">
        <v>404</v>
      </c>
      <c r="J292">
        <v>570</v>
      </c>
      <c r="K292">
        <v>308</v>
      </c>
      <c r="L292">
        <v>939</v>
      </c>
      <c r="M292">
        <v>335</v>
      </c>
      <c r="N292">
        <v>192</v>
      </c>
      <c r="O292">
        <v>58</v>
      </c>
      <c r="P292">
        <v>418</v>
      </c>
      <c r="Q292">
        <v>552</v>
      </c>
      <c r="R292">
        <v>291</v>
      </c>
    </row>
    <row r="293" spans="1:18">
      <c r="A293" s="1" t="s">
        <v>241</v>
      </c>
      <c r="B293">
        <v>33</v>
      </c>
      <c r="C293">
        <v>22</v>
      </c>
      <c r="D293">
        <v>11</v>
      </c>
      <c r="E293">
        <v>9.11</v>
      </c>
      <c r="F293">
        <v>2535</v>
      </c>
      <c r="G293">
        <v>932</v>
      </c>
      <c r="H293">
        <v>1957</v>
      </c>
      <c r="I293">
        <v>526</v>
      </c>
      <c r="J293">
        <v>696</v>
      </c>
      <c r="K293">
        <v>368</v>
      </c>
      <c r="L293">
        <v>1156</v>
      </c>
      <c r="M293">
        <v>553</v>
      </c>
      <c r="N293">
        <v>259</v>
      </c>
      <c r="O293">
        <v>123</v>
      </c>
      <c r="P293">
        <v>424</v>
      </c>
      <c r="Q293">
        <v>554</v>
      </c>
      <c r="R293">
        <v>292</v>
      </c>
    </row>
    <row r="294" spans="1:18">
      <c r="A294" s="1" t="s">
        <v>362</v>
      </c>
      <c r="B294">
        <v>31</v>
      </c>
      <c r="C294">
        <v>20</v>
      </c>
      <c r="D294">
        <v>11</v>
      </c>
      <c r="E294">
        <v>7.56</v>
      </c>
      <c r="F294">
        <v>2384</v>
      </c>
      <c r="G294">
        <v>816</v>
      </c>
      <c r="H294">
        <v>1789</v>
      </c>
      <c r="I294">
        <v>509</v>
      </c>
      <c r="J294">
        <v>730</v>
      </c>
      <c r="K294">
        <v>418</v>
      </c>
      <c r="L294">
        <v>1228</v>
      </c>
      <c r="M294">
        <v>406</v>
      </c>
      <c r="N294">
        <v>187</v>
      </c>
      <c r="O294">
        <v>134</v>
      </c>
      <c r="P294">
        <v>433</v>
      </c>
      <c r="Q294">
        <v>548</v>
      </c>
      <c r="R294">
        <v>293</v>
      </c>
    </row>
    <row r="295" spans="1:18">
      <c r="A295" s="1" t="s">
        <v>242</v>
      </c>
      <c r="B295">
        <v>29</v>
      </c>
      <c r="C295">
        <v>16</v>
      </c>
      <c r="D295">
        <v>13</v>
      </c>
      <c r="E295">
        <v>3.18</v>
      </c>
      <c r="F295">
        <v>2055</v>
      </c>
      <c r="G295">
        <v>735</v>
      </c>
      <c r="H295">
        <v>1625</v>
      </c>
      <c r="I295">
        <v>390</v>
      </c>
      <c r="J295">
        <v>554</v>
      </c>
      <c r="K295">
        <v>318</v>
      </c>
      <c r="L295">
        <v>911</v>
      </c>
      <c r="M295">
        <v>414</v>
      </c>
      <c r="N295">
        <v>284</v>
      </c>
      <c r="O295">
        <v>80</v>
      </c>
      <c r="P295">
        <v>408</v>
      </c>
      <c r="Q295">
        <v>591</v>
      </c>
      <c r="R295">
        <v>294</v>
      </c>
    </row>
    <row r="296" spans="1:18">
      <c r="A296" s="1" t="s">
        <v>243</v>
      </c>
      <c r="B296">
        <v>29</v>
      </c>
      <c r="C296">
        <v>5</v>
      </c>
      <c r="D296">
        <v>24</v>
      </c>
      <c r="E296">
        <v>-3.43</v>
      </c>
      <c r="F296">
        <v>1803</v>
      </c>
      <c r="G296">
        <v>622</v>
      </c>
      <c r="H296">
        <v>1587</v>
      </c>
      <c r="I296">
        <v>375</v>
      </c>
      <c r="J296">
        <v>570</v>
      </c>
      <c r="K296">
        <v>354</v>
      </c>
      <c r="L296">
        <v>1015</v>
      </c>
      <c r="M296">
        <v>377</v>
      </c>
      <c r="N296">
        <v>168</v>
      </c>
      <c r="O296">
        <v>89</v>
      </c>
      <c r="P296">
        <v>422</v>
      </c>
      <c r="Q296">
        <v>572</v>
      </c>
      <c r="R296">
        <v>295</v>
      </c>
    </row>
    <row r="297" spans="1:18">
      <c r="A297" s="1" t="s">
        <v>244</v>
      </c>
      <c r="B297">
        <v>30</v>
      </c>
      <c r="C297">
        <v>12</v>
      </c>
      <c r="D297">
        <v>18</v>
      </c>
      <c r="E297">
        <v>-6.42</v>
      </c>
      <c r="F297">
        <v>2244</v>
      </c>
      <c r="G297">
        <v>798</v>
      </c>
      <c r="H297">
        <v>1849</v>
      </c>
      <c r="I297">
        <v>310</v>
      </c>
      <c r="J297">
        <v>456</v>
      </c>
      <c r="K297">
        <v>308</v>
      </c>
      <c r="L297">
        <v>906</v>
      </c>
      <c r="M297">
        <v>473</v>
      </c>
      <c r="N297">
        <v>309</v>
      </c>
      <c r="O297">
        <v>85</v>
      </c>
      <c r="P297">
        <v>385</v>
      </c>
      <c r="Q297">
        <v>502</v>
      </c>
      <c r="R297">
        <v>296</v>
      </c>
    </row>
    <row r="298" spans="1:18">
      <c r="A298" s="1" t="s">
        <v>245</v>
      </c>
      <c r="B298">
        <v>28</v>
      </c>
      <c r="C298">
        <v>10</v>
      </c>
      <c r="D298">
        <v>18</v>
      </c>
      <c r="E298">
        <v>0.55000000000000004</v>
      </c>
      <c r="F298">
        <v>1864</v>
      </c>
      <c r="G298">
        <v>671</v>
      </c>
      <c r="H298">
        <v>1560</v>
      </c>
      <c r="I298">
        <v>357</v>
      </c>
      <c r="J298">
        <v>496</v>
      </c>
      <c r="K298">
        <v>330</v>
      </c>
      <c r="L298">
        <v>1039</v>
      </c>
      <c r="M298">
        <v>426</v>
      </c>
      <c r="N298">
        <v>156</v>
      </c>
      <c r="O298">
        <v>115</v>
      </c>
      <c r="P298">
        <v>481</v>
      </c>
      <c r="Q298">
        <v>547</v>
      </c>
      <c r="R298">
        <v>297</v>
      </c>
    </row>
    <row r="299" spans="1:18">
      <c r="A299" s="1" t="s">
        <v>299</v>
      </c>
      <c r="B299">
        <v>29</v>
      </c>
      <c r="C299">
        <v>9</v>
      </c>
      <c r="D299">
        <v>20</v>
      </c>
      <c r="E299">
        <v>1.66</v>
      </c>
      <c r="F299">
        <v>2070</v>
      </c>
      <c r="G299">
        <v>757</v>
      </c>
      <c r="H299">
        <v>1694</v>
      </c>
      <c r="I299">
        <v>397</v>
      </c>
      <c r="J299">
        <v>575</v>
      </c>
      <c r="K299">
        <v>297</v>
      </c>
      <c r="L299">
        <v>1041</v>
      </c>
      <c r="M299">
        <v>411</v>
      </c>
      <c r="N299">
        <v>213</v>
      </c>
      <c r="O299">
        <v>165</v>
      </c>
      <c r="P299">
        <v>439</v>
      </c>
      <c r="Q299">
        <v>625</v>
      </c>
      <c r="R299">
        <v>298</v>
      </c>
    </row>
    <row r="300" spans="1:18">
      <c r="A300" s="1" t="s">
        <v>324</v>
      </c>
      <c r="B300">
        <v>29</v>
      </c>
      <c r="C300">
        <v>18</v>
      </c>
      <c r="D300">
        <v>11</v>
      </c>
      <c r="E300">
        <v>7.09</v>
      </c>
      <c r="F300">
        <v>2138</v>
      </c>
      <c r="G300">
        <v>748</v>
      </c>
      <c r="H300">
        <v>1654</v>
      </c>
      <c r="I300">
        <v>456</v>
      </c>
      <c r="J300">
        <v>634</v>
      </c>
      <c r="K300">
        <v>343</v>
      </c>
      <c r="L300">
        <v>1068</v>
      </c>
      <c r="M300">
        <v>417</v>
      </c>
      <c r="N300">
        <v>169</v>
      </c>
      <c r="O300">
        <v>74</v>
      </c>
      <c r="P300">
        <v>464</v>
      </c>
      <c r="Q300">
        <v>532</v>
      </c>
      <c r="R300">
        <v>299</v>
      </c>
    </row>
    <row r="301" spans="1:18">
      <c r="A301" s="1" t="s">
        <v>316</v>
      </c>
      <c r="B301">
        <v>32</v>
      </c>
      <c r="C301">
        <v>24</v>
      </c>
      <c r="D301">
        <v>8</v>
      </c>
      <c r="E301">
        <v>-1.47</v>
      </c>
      <c r="F301">
        <v>2315</v>
      </c>
      <c r="G301">
        <v>851</v>
      </c>
      <c r="H301">
        <v>1621</v>
      </c>
      <c r="I301">
        <v>428</v>
      </c>
      <c r="J301">
        <v>619</v>
      </c>
      <c r="K301">
        <v>307</v>
      </c>
      <c r="L301">
        <v>1095</v>
      </c>
      <c r="M301">
        <v>549</v>
      </c>
      <c r="N301">
        <v>179</v>
      </c>
      <c r="O301">
        <v>92</v>
      </c>
      <c r="P301">
        <v>396</v>
      </c>
      <c r="Q301">
        <v>441</v>
      </c>
      <c r="R301">
        <v>300</v>
      </c>
    </row>
    <row r="302" spans="1:18">
      <c r="A302" s="1" t="s">
        <v>334</v>
      </c>
      <c r="B302">
        <v>28</v>
      </c>
      <c r="C302">
        <v>16</v>
      </c>
      <c r="D302">
        <v>12</v>
      </c>
      <c r="F302">
        <v>1900</v>
      </c>
      <c r="G302">
        <v>676</v>
      </c>
      <c r="H302">
        <v>1576</v>
      </c>
      <c r="I302">
        <v>370</v>
      </c>
      <c r="J302">
        <v>516</v>
      </c>
      <c r="K302">
        <v>315</v>
      </c>
      <c r="L302">
        <v>919</v>
      </c>
      <c r="M302">
        <v>335</v>
      </c>
      <c r="N302">
        <v>180</v>
      </c>
      <c r="O302">
        <v>96</v>
      </c>
      <c r="P302">
        <v>319</v>
      </c>
      <c r="Q302">
        <v>487</v>
      </c>
      <c r="R302">
        <v>301</v>
      </c>
    </row>
    <row r="303" spans="1:18">
      <c r="A303" s="1" t="s">
        <v>300</v>
      </c>
      <c r="B303">
        <v>35</v>
      </c>
      <c r="C303">
        <v>29</v>
      </c>
      <c r="D303">
        <v>6</v>
      </c>
      <c r="E303">
        <v>4.54</v>
      </c>
      <c r="F303">
        <v>2379</v>
      </c>
      <c r="G303">
        <v>837</v>
      </c>
      <c r="H303">
        <v>1628</v>
      </c>
      <c r="I303">
        <v>550</v>
      </c>
      <c r="J303">
        <v>769</v>
      </c>
      <c r="K303">
        <v>374</v>
      </c>
      <c r="L303">
        <v>1194</v>
      </c>
      <c r="M303">
        <v>516</v>
      </c>
      <c r="N303">
        <v>211</v>
      </c>
      <c r="O303">
        <v>94</v>
      </c>
      <c r="P303">
        <v>503</v>
      </c>
      <c r="Q303">
        <v>506</v>
      </c>
      <c r="R303">
        <v>302</v>
      </c>
    </row>
    <row r="304" spans="1:18">
      <c r="A304" s="1" t="s">
        <v>301</v>
      </c>
      <c r="B304">
        <v>31</v>
      </c>
      <c r="C304">
        <v>15</v>
      </c>
      <c r="D304">
        <v>16</v>
      </c>
      <c r="E304">
        <v>-0.19</v>
      </c>
      <c r="F304">
        <v>2178</v>
      </c>
      <c r="G304">
        <v>755</v>
      </c>
      <c r="H304">
        <v>1661</v>
      </c>
      <c r="I304">
        <v>461</v>
      </c>
      <c r="J304">
        <v>630</v>
      </c>
      <c r="K304">
        <v>339</v>
      </c>
      <c r="L304">
        <v>1077</v>
      </c>
      <c r="M304">
        <v>470</v>
      </c>
      <c r="N304">
        <v>147</v>
      </c>
      <c r="O304">
        <v>38</v>
      </c>
      <c r="P304">
        <v>474</v>
      </c>
      <c r="Q304">
        <v>601</v>
      </c>
      <c r="R304">
        <v>303</v>
      </c>
    </row>
    <row r="305" spans="1:18">
      <c r="A305" s="1" t="s">
        <v>246</v>
      </c>
      <c r="B305">
        <v>34</v>
      </c>
      <c r="C305">
        <v>20</v>
      </c>
      <c r="D305">
        <v>14</v>
      </c>
      <c r="E305">
        <v>7.3</v>
      </c>
      <c r="F305">
        <v>2420</v>
      </c>
      <c r="G305">
        <v>861</v>
      </c>
      <c r="H305">
        <v>1856</v>
      </c>
      <c r="I305">
        <v>376</v>
      </c>
      <c r="J305">
        <v>555</v>
      </c>
      <c r="K305">
        <v>323</v>
      </c>
      <c r="L305">
        <v>1126</v>
      </c>
      <c r="M305">
        <v>541</v>
      </c>
      <c r="N305">
        <v>231</v>
      </c>
      <c r="O305">
        <v>103</v>
      </c>
      <c r="P305">
        <v>489</v>
      </c>
      <c r="Q305">
        <v>665</v>
      </c>
      <c r="R305">
        <v>304</v>
      </c>
    </row>
    <row r="306" spans="1:18">
      <c r="A306" s="1" t="s">
        <v>247</v>
      </c>
      <c r="B306">
        <v>32</v>
      </c>
      <c r="C306">
        <v>25</v>
      </c>
      <c r="D306">
        <v>7</v>
      </c>
      <c r="E306">
        <v>-1.95</v>
      </c>
      <c r="F306">
        <v>2299</v>
      </c>
      <c r="G306">
        <v>805</v>
      </c>
      <c r="H306">
        <v>1852</v>
      </c>
      <c r="I306">
        <v>420</v>
      </c>
      <c r="J306">
        <v>582</v>
      </c>
      <c r="K306">
        <v>397</v>
      </c>
      <c r="L306">
        <v>1208</v>
      </c>
      <c r="M306">
        <v>493</v>
      </c>
      <c r="N306">
        <v>216</v>
      </c>
      <c r="O306">
        <v>55</v>
      </c>
      <c r="P306">
        <v>380</v>
      </c>
      <c r="Q306">
        <v>506</v>
      </c>
      <c r="R306">
        <v>305</v>
      </c>
    </row>
    <row r="307" spans="1:18">
      <c r="A307" s="1" t="s">
        <v>248</v>
      </c>
      <c r="B307">
        <v>32</v>
      </c>
      <c r="C307">
        <v>24</v>
      </c>
      <c r="D307">
        <v>8</v>
      </c>
      <c r="E307">
        <v>8.43</v>
      </c>
      <c r="F307">
        <v>2336</v>
      </c>
      <c r="G307">
        <v>801</v>
      </c>
      <c r="H307">
        <v>1840</v>
      </c>
      <c r="I307">
        <v>509</v>
      </c>
      <c r="J307">
        <v>692</v>
      </c>
      <c r="K307">
        <v>463</v>
      </c>
      <c r="L307">
        <v>1193</v>
      </c>
      <c r="M307">
        <v>385</v>
      </c>
      <c r="N307">
        <v>267</v>
      </c>
      <c r="O307">
        <v>178</v>
      </c>
      <c r="P307">
        <v>409</v>
      </c>
      <c r="Q307">
        <v>596</v>
      </c>
      <c r="R307">
        <v>306</v>
      </c>
    </row>
    <row r="308" spans="1:18">
      <c r="A308" s="1" t="s">
        <v>249</v>
      </c>
      <c r="B308">
        <v>32</v>
      </c>
      <c r="C308">
        <v>19</v>
      </c>
      <c r="D308">
        <v>13</v>
      </c>
      <c r="E308">
        <v>-1.52</v>
      </c>
      <c r="F308">
        <v>2240</v>
      </c>
      <c r="G308">
        <v>791</v>
      </c>
      <c r="H308">
        <v>1806</v>
      </c>
      <c r="I308">
        <v>443</v>
      </c>
      <c r="J308">
        <v>639</v>
      </c>
      <c r="K308">
        <v>356</v>
      </c>
      <c r="L308">
        <v>1106</v>
      </c>
      <c r="M308">
        <v>422</v>
      </c>
      <c r="N308">
        <v>223</v>
      </c>
      <c r="O308">
        <v>132</v>
      </c>
      <c r="P308">
        <v>411</v>
      </c>
      <c r="Q308">
        <v>641</v>
      </c>
      <c r="R308">
        <v>307</v>
      </c>
    </row>
    <row r="309" spans="1:18">
      <c r="A309" s="1" t="s">
        <v>250</v>
      </c>
      <c r="B309">
        <v>27</v>
      </c>
      <c r="C309">
        <v>9</v>
      </c>
      <c r="D309">
        <v>18</v>
      </c>
      <c r="E309">
        <v>-8.15</v>
      </c>
      <c r="F309">
        <v>1748</v>
      </c>
      <c r="G309">
        <v>636</v>
      </c>
      <c r="H309">
        <v>1471</v>
      </c>
      <c r="I309">
        <v>355</v>
      </c>
      <c r="J309">
        <v>528</v>
      </c>
      <c r="K309">
        <v>299</v>
      </c>
      <c r="L309">
        <v>916</v>
      </c>
      <c r="M309">
        <v>311</v>
      </c>
      <c r="N309">
        <v>209</v>
      </c>
      <c r="O309">
        <v>65</v>
      </c>
      <c r="P309">
        <v>464</v>
      </c>
      <c r="Q309">
        <v>483</v>
      </c>
      <c r="R309">
        <v>308</v>
      </c>
    </row>
    <row r="310" spans="1:18">
      <c r="A310" s="1" t="s">
        <v>251</v>
      </c>
      <c r="B310">
        <v>30</v>
      </c>
      <c r="C310">
        <v>16</v>
      </c>
      <c r="D310">
        <v>14</v>
      </c>
      <c r="E310">
        <v>5.79</v>
      </c>
      <c r="F310">
        <v>2056</v>
      </c>
      <c r="G310">
        <v>752</v>
      </c>
      <c r="H310">
        <v>1761</v>
      </c>
      <c r="I310">
        <v>385</v>
      </c>
      <c r="J310">
        <v>600</v>
      </c>
      <c r="K310">
        <v>372</v>
      </c>
      <c r="L310">
        <v>1012</v>
      </c>
      <c r="M310">
        <v>397</v>
      </c>
      <c r="N310">
        <v>272</v>
      </c>
      <c r="O310">
        <v>141</v>
      </c>
      <c r="P310">
        <v>396</v>
      </c>
      <c r="Q310">
        <v>554</v>
      </c>
      <c r="R310">
        <v>309</v>
      </c>
    </row>
    <row r="311" spans="1:18">
      <c r="A311" s="1" t="s">
        <v>252</v>
      </c>
      <c r="B311">
        <v>29</v>
      </c>
      <c r="C311">
        <v>14</v>
      </c>
      <c r="D311">
        <v>15</v>
      </c>
      <c r="E311">
        <v>10.62</v>
      </c>
      <c r="F311">
        <v>2112</v>
      </c>
      <c r="G311">
        <v>745</v>
      </c>
      <c r="H311">
        <v>1736</v>
      </c>
      <c r="I311">
        <v>433</v>
      </c>
      <c r="J311">
        <v>628</v>
      </c>
      <c r="K311">
        <v>339</v>
      </c>
      <c r="L311">
        <v>1034</v>
      </c>
      <c r="M311">
        <v>364</v>
      </c>
      <c r="N311">
        <v>200</v>
      </c>
      <c r="O311">
        <v>105</v>
      </c>
      <c r="P311">
        <v>397</v>
      </c>
      <c r="Q311">
        <v>600</v>
      </c>
      <c r="R311">
        <v>310</v>
      </c>
    </row>
    <row r="312" spans="1:18">
      <c r="A312" s="1" t="s">
        <v>253</v>
      </c>
      <c r="B312">
        <v>30</v>
      </c>
      <c r="C312">
        <v>13</v>
      </c>
      <c r="D312">
        <v>17</v>
      </c>
      <c r="E312">
        <v>-6.94</v>
      </c>
      <c r="F312">
        <v>1862</v>
      </c>
      <c r="G312">
        <v>692</v>
      </c>
      <c r="H312">
        <v>1628</v>
      </c>
      <c r="I312">
        <v>338</v>
      </c>
      <c r="J312">
        <v>551</v>
      </c>
      <c r="K312">
        <v>375</v>
      </c>
      <c r="L312">
        <v>1099</v>
      </c>
      <c r="M312">
        <v>360</v>
      </c>
      <c r="N312">
        <v>190</v>
      </c>
      <c r="O312">
        <v>94</v>
      </c>
      <c r="P312">
        <v>430</v>
      </c>
      <c r="Q312">
        <v>505</v>
      </c>
      <c r="R312">
        <v>311</v>
      </c>
    </row>
    <row r="313" spans="1:18">
      <c r="A313" s="1" t="s">
        <v>254</v>
      </c>
      <c r="B313">
        <v>33</v>
      </c>
      <c r="C313">
        <v>27</v>
      </c>
      <c r="D313">
        <v>6</v>
      </c>
      <c r="E313">
        <v>10.27</v>
      </c>
      <c r="F313">
        <v>2801</v>
      </c>
      <c r="G313">
        <v>965</v>
      </c>
      <c r="H313">
        <v>1966</v>
      </c>
      <c r="I313">
        <v>620</v>
      </c>
      <c r="J313">
        <v>906</v>
      </c>
      <c r="K313">
        <v>465</v>
      </c>
      <c r="L313">
        <v>1315</v>
      </c>
      <c r="M313">
        <v>531</v>
      </c>
      <c r="N313">
        <v>284</v>
      </c>
      <c r="O313">
        <v>118</v>
      </c>
      <c r="P313">
        <v>484</v>
      </c>
      <c r="Q313">
        <v>640</v>
      </c>
      <c r="R313">
        <v>312</v>
      </c>
    </row>
    <row r="314" spans="1:18">
      <c r="A314" s="1" t="s">
        <v>255</v>
      </c>
      <c r="B314">
        <v>28</v>
      </c>
      <c r="C314">
        <v>12</v>
      </c>
      <c r="D314">
        <v>16</v>
      </c>
      <c r="E314">
        <v>7.39</v>
      </c>
      <c r="F314">
        <v>1566</v>
      </c>
      <c r="G314">
        <v>580</v>
      </c>
      <c r="H314">
        <v>1447</v>
      </c>
      <c r="I314">
        <v>239</v>
      </c>
      <c r="J314">
        <v>385</v>
      </c>
      <c r="K314">
        <v>256</v>
      </c>
      <c r="L314">
        <v>868</v>
      </c>
      <c r="M314">
        <v>358</v>
      </c>
      <c r="N314">
        <v>201</v>
      </c>
      <c r="O314">
        <v>85</v>
      </c>
      <c r="P314">
        <v>388</v>
      </c>
      <c r="Q314">
        <v>512</v>
      </c>
      <c r="R314">
        <v>313</v>
      </c>
    </row>
    <row r="315" spans="1:18">
      <c r="A315" s="1" t="s">
        <v>256</v>
      </c>
      <c r="B315">
        <v>35</v>
      </c>
      <c r="C315">
        <v>29</v>
      </c>
      <c r="D315">
        <v>6</v>
      </c>
      <c r="E315">
        <v>7.66</v>
      </c>
      <c r="F315">
        <v>3026</v>
      </c>
      <c r="G315">
        <v>1102</v>
      </c>
      <c r="H315">
        <v>2271</v>
      </c>
      <c r="I315">
        <v>565</v>
      </c>
      <c r="J315">
        <v>771</v>
      </c>
      <c r="K315">
        <v>523</v>
      </c>
      <c r="L315">
        <v>1305</v>
      </c>
      <c r="M315">
        <v>660</v>
      </c>
      <c r="N315">
        <v>288</v>
      </c>
      <c r="O315">
        <v>87</v>
      </c>
      <c r="P315">
        <v>499</v>
      </c>
      <c r="Q315">
        <v>718</v>
      </c>
      <c r="R315">
        <v>314</v>
      </c>
    </row>
    <row r="316" spans="1:18">
      <c r="A316" s="1" t="s">
        <v>257</v>
      </c>
      <c r="B316">
        <v>30</v>
      </c>
      <c r="C316">
        <v>14</v>
      </c>
      <c r="D316">
        <v>16</v>
      </c>
      <c r="E316">
        <v>-5.62</v>
      </c>
      <c r="F316">
        <v>1957</v>
      </c>
      <c r="G316">
        <v>704</v>
      </c>
      <c r="H316">
        <v>1596</v>
      </c>
      <c r="I316">
        <v>393</v>
      </c>
      <c r="J316">
        <v>540</v>
      </c>
      <c r="K316">
        <v>325</v>
      </c>
      <c r="L316">
        <v>1042</v>
      </c>
      <c r="M316">
        <v>403</v>
      </c>
      <c r="N316">
        <v>131</v>
      </c>
      <c r="O316">
        <v>46</v>
      </c>
      <c r="P316">
        <v>408</v>
      </c>
      <c r="Q316">
        <v>481</v>
      </c>
      <c r="R316">
        <v>315</v>
      </c>
    </row>
    <row r="317" spans="1:18">
      <c r="A317" s="1" t="s">
        <v>258</v>
      </c>
      <c r="B317">
        <v>35</v>
      </c>
      <c r="C317">
        <v>24</v>
      </c>
      <c r="D317">
        <v>11</v>
      </c>
      <c r="E317">
        <v>7.62</v>
      </c>
      <c r="F317">
        <v>2501</v>
      </c>
      <c r="G317">
        <v>868</v>
      </c>
      <c r="H317">
        <v>1930</v>
      </c>
      <c r="I317">
        <v>446</v>
      </c>
      <c r="J317">
        <v>601</v>
      </c>
      <c r="K317">
        <v>340</v>
      </c>
      <c r="L317">
        <v>1065</v>
      </c>
      <c r="M317">
        <v>578</v>
      </c>
      <c r="N317">
        <v>280</v>
      </c>
      <c r="O317">
        <v>130</v>
      </c>
      <c r="P317">
        <v>412</v>
      </c>
      <c r="Q317">
        <v>530</v>
      </c>
      <c r="R317">
        <v>316</v>
      </c>
    </row>
    <row r="318" spans="1:18">
      <c r="A318" s="1" t="s">
        <v>259</v>
      </c>
      <c r="B318">
        <v>30</v>
      </c>
      <c r="C318">
        <v>8</v>
      </c>
      <c r="D318">
        <v>22</v>
      </c>
      <c r="E318">
        <v>-2.54</v>
      </c>
      <c r="F318">
        <v>2094</v>
      </c>
      <c r="G318">
        <v>764</v>
      </c>
      <c r="H318">
        <v>1819</v>
      </c>
      <c r="I318">
        <v>387</v>
      </c>
      <c r="J318">
        <v>623</v>
      </c>
      <c r="K318">
        <v>411</v>
      </c>
      <c r="L318">
        <v>1148</v>
      </c>
      <c r="M318">
        <v>420</v>
      </c>
      <c r="N318">
        <v>262</v>
      </c>
      <c r="O318">
        <v>137</v>
      </c>
      <c r="P318">
        <v>533</v>
      </c>
      <c r="Q318">
        <v>592</v>
      </c>
      <c r="R318">
        <v>317</v>
      </c>
    </row>
    <row r="319" spans="1:18">
      <c r="A319" s="1" t="s">
        <v>260</v>
      </c>
      <c r="B319">
        <v>28</v>
      </c>
      <c r="C319">
        <v>11</v>
      </c>
      <c r="D319">
        <v>17</v>
      </c>
      <c r="E319">
        <v>-1.58</v>
      </c>
      <c r="F319">
        <v>1879</v>
      </c>
      <c r="G319">
        <v>657</v>
      </c>
      <c r="H319">
        <v>1435</v>
      </c>
      <c r="I319">
        <v>402</v>
      </c>
      <c r="J319">
        <v>599</v>
      </c>
      <c r="K319">
        <v>297</v>
      </c>
      <c r="L319">
        <v>911</v>
      </c>
      <c r="M319">
        <v>370</v>
      </c>
      <c r="N319">
        <v>206</v>
      </c>
      <c r="O319">
        <v>68</v>
      </c>
      <c r="P319">
        <v>441</v>
      </c>
      <c r="Q319">
        <v>488</v>
      </c>
      <c r="R319">
        <v>318</v>
      </c>
    </row>
    <row r="320" spans="1:18">
      <c r="A320" s="1" t="s">
        <v>261</v>
      </c>
      <c r="B320">
        <v>31</v>
      </c>
      <c r="C320">
        <v>22</v>
      </c>
      <c r="D320">
        <v>9</v>
      </c>
      <c r="E320">
        <v>-0.49</v>
      </c>
      <c r="F320">
        <v>2388</v>
      </c>
      <c r="G320">
        <v>866</v>
      </c>
      <c r="H320">
        <v>1876</v>
      </c>
      <c r="I320">
        <v>416</v>
      </c>
      <c r="J320">
        <v>585</v>
      </c>
      <c r="K320">
        <v>426</v>
      </c>
      <c r="L320">
        <v>1079</v>
      </c>
      <c r="M320">
        <v>434</v>
      </c>
      <c r="N320">
        <v>241</v>
      </c>
      <c r="O320">
        <v>121</v>
      </c>
      <c r="P320">
        <v>415</v>
      </c>
      <c r="Q320">
        <v>570</v>
      </c>
      <c r="R320">
        <v>319</v>
      </c>
    </row>
    <row r="321" spans="1:18">
      <c r="A321" s="1" t="s">
        <v>262</v>
      </c>
      <c r="B321">
        <v>33</v>
      </c>
      <c r="C321">
        <v>20</v>
      </c>
      <c r="D321">
        <v>13</v>
      </c>
      <c r="E321">
        <v>2.0099999999999998</v>
      </c>
      <c r="F321">
        <v>2407</v>
      </c>
      <c r="G321">
        <v>814</v>
      </c>
      <c r="H321">
        <v>1901</v>
      </c>
      <c r="I321">
        <v>530</v>
      </c>
      <c r="J321">
        <v>749</v>
      </c>
      <c r="K321">
        <v>478</v>
      </c>
      <c r="L321">
        <v>1293</v>
      </c>
      <c r="M321">
        <v>424</v>
      </c>
      <c r="N321">
        <v>210</v>
      </c>
      <c r="O321">
        <v>53</v>
      </c>
      <c r="P321">
        <v>437</v>
      </c>
      <c r="Q321">
        <v>590</v>
      </c>
      <c r="R321">
        <v>320</v>
      </c>
    </row>
    <row r="322" spans="1:18">
      <c r="A322" s="1" t="s">
        <v>263</v>
      </c>
      <c r="B322">
        <v>32</v>
      </c>
      <c r="C322">
        <v>22</v>
      </c>
      <c r="D322">
        <v>10</v>
      </c>
      <c r="E322">
        <v>4.3600000000000003</v>
      </c>
      <c r="F322">
        <v>2300</v>
      </c>
      <c r="G322">
        <v>769</v>
      </c>
      <c r="H322">
        <v>1644</v>
      </c>
      <c r="I322">
        <v>533</v>
      </c>
      <c r="J322">
        <v>743</v>
      </c>
      <c r="K322">
        <v>355</v>
      </c>
      <c r="L322">
        <v>1157</v>
      </c>
      <c r="M322">
        <v>499</v>
      </c>
      <c r="N322">
        <v>161</v>
      </c>
      <c r="O322">
        <v>76</v>
      </c>
      <c r="P322">
        <v>444</v>
      </c>
      <c r="Q322">
        <v>604</v>
      </c>
      <c r="R322">
        <v>321</v>
      </c>
    </row>
    <row r="323" spans="1:18">
      <c r="A323" s="1" t="s">
        <v>264</v>
      </c>
      <c r="B323">
        <v>29</v>
      </c>
      <c r="C323">
        <v>8</v>
      </c>
      <c r="D323">
        <v>21</v>
      </c>
      <c r="E323">
        <v>-2.13</v>
      </c>
      <c r="F323">
        <v>1880</v>
      </c>
      <c r="G323">
        <v>625</v>
      </c>
      <c r="H323">
        <v>1516</v>
      </c>
      <c r="I323">
        <v>481</v>
      </c>
      <c r="J323">
        <v>663</v>
      </c>
      <c r="K323">
        <v>327</v>
      </c>
      <c r="L323">
        <v>1017</v>
      </c>
      <c r="M323">
        <v>373</v>
      </c>
      <c r="N323">
        <v>160</v>
      </c>
      <c r="O323">
        <v>75</v>
      </c>
      <c r="P323">
        <v>500</v>
      </c>
      <c r="Q323">
        <v>540</v>
      </c>
      <c r="R323">
        <v>322</v>
      </c>
    </row>
    <row r="324" spans="1:18">
      <c r="A324" s="1" t="s">
        <v>325</v>
      </c>
      <c r="B324">
        <v>33</v>
      </c>
      <c r="C324">
        <v>27</v>
      </c>
      <c r="D324">
        <v>6</v>
      </c>
      <c r="E324">
        <v>-6.65</v>
      </c>
      <c r="F324">
        <v>2245</v>
      </c>
      <c r="G324">
        <v>767</v>
      </c>
      <c r="H324">
        <v>1724</v>
      </c>
      <c r="I324">
        <v>491</v>
      </c>
      <c r="J324">
        <v>725</v>
      </c>
      <c r="K324">
        <v>371</v>
      </c>
      <c r="L324">
        <v>1154</v>
      </c>
      <c r="M324">
        <v>477</v>
      </c>
      <c r="N324">
        <v>269</v>
      </c>
      <c r="O324">
        <v>125</v>
      </c>
      <c r="P324">
        <v>464</v>
      </c>
      <c r="Q324">
        <v>616</v>
      </c>
      <c r="R324">
        <v>323</v>
      </c>
    </row>
    <row r="325" spans="1:18">
      <c r="A325" s="1" t="s">
        <v>367</v>
      </c>
      <c r="B325">
        <v>34</v>
      </c>
      <c r="C325">
        <v>25</v>
      </c>
      <c r="D325">
        <v>9</v>
      </c>
      <c r="E325">
        <v>9.61</v>
      </c>
      <c r="F325">
        <v>2290</v>
      </c>
      <c r="G325">
        <v>788</v>
      </c>
      <c r="H325">
        <v>1789</v>
      </c>
      <c r="I325">
        <v>464</v>
      </c>
      <c r="J325">
        <v>685</v>
      </c>
      <c r="K325">
        <v>342</v>
      </c>
      <c r="L325">
        <v>1176</v>
      </c>
      <c r="M325">
        <v>444</v>
      </c>
      <c r="N325">
        <v>179</v>
      </c>
      <c r="O325">
        <v>62</v>
      </c>
      <c r="P325">
        <v>389</v>
      </c>
      <c r="Q325">
        <v>513</v>
      </c>
      <c r="R325">
        <v>324</v>
      </c>
    </row>
    <row r="326" spans="1:18">
      <c r="A326" s="1" t="s">
        <v>265</v>
      </c>
      <c r="B326">
        <v>28</v>
      </c>
      <c r="C326">
        <v>14</v>
      </c>
      <c r="D326">
        <v>14</v>
      </c>
      <c r="E326">
        <v>-3.76</v>
      </c>
      <c r="F326">
        <v>2040</v>
      </c>
      <c r="G326">
        <v>737</v>
      </c>
      <c r="H326">
        <v>1606</v>
      </c>
      <c r="I326">
        <v>378</v>
      </c>
      <c r="J326">
        <v>590</v>
      </c>
      <c r="K326">
        <v>310</v>
      </c>
      <c r="L326">
        <v>941</v>
      </c>
      <c r="M326">
        <v>438</v>
      </c>
      <c r="N326">
        <v>262</v>
      </c>
      <c r="O326">
        <v>62</v>
      </c>
      <c r="P326">
        <v>397</v>
      </c>
      <c r="Q326">
        <v>485</v>
      </c>
      <c r="R326">
        <v>325</v>
      </c>
    </row>
    <row r="327" spans="1:18">
      <c r="A327" s="1" t="s">
        <v>266</v>
      </c>
      <c r="B327">
        <v>30</v>
      </c>
      <c r="C327">
        <v>15</v>
      </c>
      <c r="D327">
        <v>15</v>
      </c>
      <c r="E327">
        <v>0.35</v>
      </c>
      <c r="F327">
        <v>1918</v>
      </c>
      <c r="G327">
        <v>690</v>
      </c>
      <c r="H327">
        <v>1484</v>
      </c>
      <c r="I327">
        <v>408</v>
      </c>
      <c r="J327">
        <v>610</v>
      </c>
      <c r="K327">
        <v>317</v>
      </c>
      <c r="L327">
        <v>981</v>
      </c>
      <c r="M327">
        <v>348</v>
      </c>
      <c r="N327">
        <v>137</v>
      </c>
      <c r="O327">
        <v>50</v>
      </c>
      <c r="P327">
        <v>410</v>
      </c>
      <c r="Q327">
        <v>481</v>
      </c>
      <c r="R327">
        <v>326</v>
      </c>
    </row>
    <row r="328" spans="1:18">
      <c r="A328" s="1" t="s">
        <v>267</v>
      </c>
      <c r="B328">
        <v>28</v>
      </c>
      <c r="C328">
        <v>15</v>
      </c>
      <c r="D328">
        <v>13</v>
      </c>
      <c r="E328">
        <v>3.91</v>
      </c>
      <c r="F328">
        <v>1986</v>
      </c>
      <c r="G328">
        <v>684</v>
      </c>
      <c r="H328">
        <v>1547</v>
      </c>
      <c r="I328">
        <v>459</v>
      </c>
      <c r="J328">
        <v>687</v>
      </c>
      <c r="K328">
        <v>362</v>
      </c>
      <c r="L328">
        <v>1082</v>
      </c>
      <c r="M328">
        <v>335</v>
      </c>
      <c r="N328">
        <v>170</v>
      </c>
      <c r="O328">
        <v>144</v>
      </c>
      <c r="P328">
        <v>452</v>
      </c>
      <c r="Q328">
        <v>564</v>
      </c>
      <c r="R328">
        <v>327</v>
      </c>
    </row>
    <row r="329" spans="1:18">
      <c r="A329" s="1" t="s">
        <v>268</v>
      </c>
      <c r="B329">
        <v>29</v>
      </c>
      <c r="C329">
        <v>17</v>
      </c>
      <c r="D329">
        <v>12</v>
      </c>
      <c r="E329">
        <v>1.9</v>
      </c>
      <c r="F329">
        <v>2033</v>
      </c>
      <c r="G329">
        <v>690</v>
      </c>
      <c r="H329">
        <v>1521</v>
      </c>
      <c r="I329">
        <v>442</v>
      </c>
      <c r="J329">
        <v>604</v>
      </c>
      <c r="K329">
        <v>330</v>
      </c>
      <c r="L329">
        <v>972</v>
      </c>
      <c r="M329">
        <v>439</v>
      </c>
      <c r="N329">
        <v>166</v>
      </c>
      <c r="O329">
        <v>93</v>
      </c>
      <c r="P329">
        <v>398</v>
      </c>
      <c r="Q329">
        <v>518</v>
      </c>
      <c r="R329">
        <v>328</v>
      </c>
    </row>
    <row r="330" spans="1:18">
      <c r="A330" s="1" t="s">
        <v>269</v>
      </c>
      <c r="B330">
        <v>27</v>
      </c>
      <c r="C330">
        <v>11</v>
      </c>
      <c r="D330">
        <v>16</v>
      </c>
      <c r="E330">
        <v>-2.82</v>
      </c>
      <c r="F330">
        <v>1831</v>
      </c>
      <c r="G330">
        <v>652</v>
      </c>
      <c r="H330">
        <v>1492</v>
      </c>
      <c r="I330">
        <v>398</v>
      </c>
      <c r="J330">
        <v>606</v>
      </c>
      <c r="K330">
        <v>293</v>
      </c>
      <c r="L330">
        <v>967</v>
      </c>
      <c r="M330">
        <v>372</v>
      </c>
      <c r="N330">
        <v>175</v>
      </c>
      <c r="O330">
        <v>78</v>
      </c>
      <c r="P330">
        <v>390</v>
      </c>
      <c r="Q330">
        <v>487</v>
      </c>
      <c r="R330">
        <v>329</v>
      </c>
    </row>
    <row r="331" spans="1:18">
      <c r="A331" s="1" t="s">
        <v>270</v>
      </c>
      <c r="B331">
        <v>28</v>
      </c>
      <c r="C331">
        <v>5</v>
      </c>
      <c r="D331">
        <v>23</v>
      </c>
      <c r="E331">
        <v>-0.72</v>
      </c>
      <c r="F331">
        <v>1681</v>
      </c>
      <c r="G331">
        <v>591</v>
      </c>
      <c r="H331">
        <v>1442</v>
      </c>
      <c r="I331">
        <v>361</v>
      </c>
      <c r="J331">
        <v>552</v>
      </c>
      <c r="K331">
        <v>297</v>
      </c>
      <c r="L331">
        <v>870</v>
      </c>
      <c r="M331">
        <v>293</v>
      </c>
      <c r="N331">
        <v>157</v>
      </c>
      <c r="O331">
        <v>112</v>
      </c>
      <c r="P331">
        <v>438</v>
      </c>
      <c r="Q331">
        <v>506</v>
      </c>
      <c r="R331">
        <v>330</v>
      </c>
    </row>
    <row r="332" spans="1:18">
      <c r="R332">
        <v>331</v>
      </c>
    </row>
    <row r="333" spans="1:18">
      <c r="R333">
        <v>332</v>
      </c>
    </row>
    <row r="334" spans="1:18">
      <c r="R334">
        <v>333</v>
      </c>
    </row>
    <row r="335" spans="1:18">
      <c r="R335">
        <v>334</v>
      </c>
    </row>
    <row r="336" spans="1:18">
      <c r="R336">
        <v>335</v>
      </c>
    </row>
    <row r="337" spans="18:18">
      <c r="R337">
        <v>336</v>
      </c>
    </row>
    <row r="338" spans="18:18">
      <c r="R338">
        <v>337</v>
      </c>
    </row>
    <row r="339" spans="18:18">
      <c r="R339">
        <v>338</v>
      </c>
    </row>
    <row r="340" spans="18:18">
      <c r="R340">
        <v>339</v>
      </c>
    </row>
    <row r="341" spans="18:18">
      <c r="R341">
        <v>340</v>
      </c>
    </row>
    <row r="342" spans="18:18">
      <c r="R342">
        <v>341</v>
      </c>
    </row>
    <row r="343" spans="18:18">
      <c r="R343">
        <v>342</v>
      </c>
    </row>
    <row r="344" spans="18:18">
      <c r="R344">
        <v>343</v>
      </c>
    </row>
    <row r="345" spans="18:18">
      <c r="R345">
        <v>344</v>
      </c>
    </row>
    <row r="346" spans="18:18">
      <c r="R346">
        <v>345</v>
      </c>
    </row>
    <row r="347" spans="18:18">
      <c r="R347">
        <v>346</v>
      </c>
    </row>
    <row r="348" spans="18:18">
      <c r="R348">
        <v>347</v>
      </c>
    </row>
    <row r="349" spans="18:18">
      <c r="R349">
        <v>348</v>
      </c>
    </row>
    <row r="350" spans="18:18">
      <c r="R350">
        <v>349</v>
      </c>
    </row>
    <row r="351" spans="18:18">
      <c r="R351">
        <v>350</v>
      </c>
    </row>
    <row r="352" spans="18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7F76E-376E-424C-9FD4-7A583132EA0C}">
  <sheetPr codeName="Sheet7"/>
  <dimension ref="A1:R357"/>
  <sheetViews>
    <sheetView topLeftCell="A199" workbookViewId="0">
      <selection activeCell="R199" sqref="R1:R1048576"/>
    </sheetView>
  </sheetViews>
  <sheetFormatPr defaultColWidth="8.85546875" defaultRowHeight="15"/>
  <cols>
    <col min="1" max="1" width="31.28515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31</v>
      </c>
      <c r="C2">
        <v>24</v>
      </c>
      <c r="D2">
        <v>7</v>
      </c>
      <c r="E2">
        <v>2.4900000000000002</v>
      </c>
      <c r="F2">
        <v>1990</v>
      </c>
      <c r="G2">
        <v>683</v>
      </c>
      <c r="H2">
        <v>1413</v>
      </c>
      <c r="I2">
        <v>348</v>
      </c>
      <c r="J2">
        <v>467</v>
      </c>
      <c r="K2">
        <v>204</v>
      </c>
      <c r="L2">
        <v>763</v>
      </c>
      <c r="M2">
        <v>445</v>
      </c>
      <c r="N2">
        <v>249</v>
      </c>
      <c r="O2">
        <v>67</v>
      </c>
      <c r="P2">
        <v>335</v>
      </c>
      <c r="Q2">
        <v>472</v>
      </c>
      <c r="R2">
        <v>1</v>
      </c>
    </row>
    <row r="3" spans="1:18">
      <c r="A3" s="1" t="s">
        <v>18</v>
      </c>
      <c r="B3">
        <v>33</v>
      </c>
      <c r="C3">
        <v>23</v>
      </c>
      <c r="D3">
        <v>10</v>
      </c>
      <c r="E3">
        <v>0.13</v>
      </c>
      <c r="F3">
        <v>2407</v>
      </c>
      <c r="G3">
        <v>826</v>
      </c>
      <c r="H3">
        <v>1825</v>
      </c>
      <c r="I3">
        <v>491</v>
      </c>
      <c r="J3">
        <v>682</v>
      </c>
      <c r="K3">
        <v>373</v>
      </c>
      <c r="L3">
        <v>1116</v>
      </c>
      <c r="M3">
        <v>535</v>
      </c>
      <c r="N3">
        <v>202</v>
      </c>
      <c r="O3">
        <v>102</v>
      </c>
      <c r="P3">
        <v>412</v>
      </c>
      <c r="Q3">
        <v>631</v>
      </c>
      <c r="R3">
        <v>2</v>
      </c>
    </row>
    <row r="4" spans="1:18">
      <c r="A4" s="1" t="s">
        <v>19</v>
      </c>
      <c r="B4">
        <v>26</v>
      </c>
      <c r="C4">
        <v>13</v>
      </c>
      <c r="D4">
        <v>13</v>
      </c>
      <c r="E4">
        <v>-10.43</v>
      </c>
      <c r="F4">
        <v>1917</v>
      </c>
      <c r="G4">
        <v>669</v>
      </c>
      <c r="H4">
        <v>1606</v>
      </c>
      <c r="I4">
        <v>420</v>
      </c>
      <c r="J4">
        <v>654</v>
      </c>
      <c r="K4">
        <v>355</v>
      </c>
      <c r="L4">
        <v>1018</v>
      </c>
      <c r="M4">
        <v>324</v>
      </c>
      <c r="N4">
        <v>231</v>
      </c>
      <c r="O4">
        <v>157</v>
      </c>
      <c r="P4">
        <v>424</v>
      </c>
      <c r="Q4">
        <v>499</v>
      </c>
      <c r="R4">
        <v>3</v>
      </c>
    </row>
    <row r="5" spans="1:18">
      <c r="A5" s="1" t="s">
        <v>20</v>
      </c>
      <c r="B5">
        <v>31</v>
      </c>
      <c r="C5">
        <v>24</v>
      </c>
      <c r="D5">
        <v>7</v>
      </c>
      <c r="E5">
        <v>1.57</v>
      </c>
      <c r="F5">
        <v>2306</v>
      </c>
      <c r="G5">
        <v>822</v>
      </c>
      <c r="H5">
        <v>1816</v>
      </c>
      <c r="I5">
        <v>440</v>
      </c>
      <c r="J5">
        <v>680</v>
      </c>
      <c r="K5">
        <v>337</v>
      </c>
      <c r="L5">
        <v>971</v>
      </c>
      <c r="M5">
        <v>482</v>
      </c>
      <c r="N5">
        <v>337</v>
      </c>
      <c r="O5">
        <v>111</v>
      </c>
      <c r="P5">
        <v>395</v>
      </c>
      <c r="Q5">
        <v>560</v>
      </c>
      <c r="R5">
        <v>4</v>
      </c>
    </row>
    <row r="6" spans="1:18">
      <c r="A6" s="1" t="s">
        <v>21</v>
      </c>
      <c r="B6">
        <v>30</v>
      </c>
      <c r="C6">
        <v>12</v>
      </c>
      <c r="D6">
        <v>18</v>
      </c>
      <c r="E6">
        <v>-8.58</v>
      </c>
      <c r="F6">
        <v>1985</v>
      </c>
      <c r="G6">
        <v>689</v>
      </c>
      <c r="H6">
        <v>1686</v>
      </c>
      <c r="I6">
        <v>433</v>
      </c>
      <c r="J6">
        <v>690</v>
      </c>
      <c r="K6">
        <v>395</v>
      </c>
      <c r="L6">
        <v>1069</v>
      </c>
      <c r="M6">
        <v>308</v>
      </c>
      <c r="N6">
        <v>179</v>
      </c>
      <c r="O6">
        <v>83</v>
      </c>
      <c r="P6">
        <v>476</v>
      </c>
      <c r="Q6">
        <v>639</v>
      </c>
      <c r="R6">
        <v>5</v>
      </c>
    </row>
    <row r="7" spans="1:18">
      <c r="A7" s="1" t="s">
        <v>22</v>
      </c>
      <c r="B7">
        <v>31</v>
      </c>
      <c r="C7">
        <v>18</v>
      </c>
      <c r="D7">
        <v>13</v>
      </c>
      <c r="E7">
        <v>8.08</v>
      </c>
      <c r="F7">
        <v>2178</v>
      </c>
      <c r="G7">
        <v>758</v>
      </c>
      <c r="H7">
        <v>1662</v>
      </c>
      <c r="I7">
        <v>488</v>
      </c>
      <c r="J7">
        <v>689</v>
      </c>
      <c r="K7">
        <v>389</v>
      </c>
      <c r="L7">
        <v>1135</v>
      </c>
      <c r="M7">
        <v>379</v>
      </c>
      <c r="N7">
        <v>195</v>
      </c>
      <c r="O7">
        <v>152</v>
      </c>
      <c r="P7">
        <v>421</v>
      </c>
      <c r="Q7">
        <v>433</v>
      </c>
      <c r="R7">
        <v>6</v>
      </c>
    </row>
    <row r="8" spans="1:18">
      <c r="A8" s="1" t="s">
        <v>23</v>
      </c>
      <c r="B8">
        <v>32</v>
      </c>
      <c r="C8">
        <v>21</v>
      </c>
      <c r="D8">
        <v>11</v>
      </c>
      <c r="E8">
        <v>-4.25</v>
      </c>
      <c r="F8">
        <v>2194</v>
      </c>
      <c r="G8">
        <v>743</v>
      </c>
      <c r="H8">
        <v>1660</v>
      </c>
      <c r="I8">
        <v>485</v>
      </c>
      <c r="J8">
        <v>682</v>
      </c>
      <c r="K8">
        <v>349</v>
      </c>
      <c r="L8">
        <v>1077</v>
      </c>
      <c r="M8">
        <v>403</v>
      </c>
      <c r="N8">
        <v>209</v>
      </c>
      <c r="O8">
        <v>81</v>
      </c>
      <c r="P8">
        <v>451</v>
      </c>
      <c r="Q8">
        <v>606</v>
      </c>
      <c r="R8">
        <v>7</v>
      </c>
    </row>
    <row r="9" spans="1:18">
      <c r="A9" s="1" t="s">
        <v>24</v>
      </c>
      <c r="B9">
        <v>28</v>
      </c>
      <c r="C9">
        <v>8</v>
      </c>
      <c r="D9">
        <v>20</v>
      </c>
      <c r="E9">
        <v>-8.0299999999999994</v>
      </c>
      <c r="F9">
        <v>1848</v>
      </c>
      <c r="G9">
        <v>652</v>
      </c>
      <c r="H9">
        <v>1544</v>
      </c>
      <c r="I9">
        <v>374</v>
      </c>
      <c r="J9">
        <v>570</v>
      </c>
      <c r="K9">
        <v>317</v>
      </c>
      <c r="L9">
        <v>991</v>
      </c>
      <c r="M9">
        <v>337</v>
      </c>
      <c r="N9">
        <v>195</v>
      </c>
      <c r="O9">
        <v>85</v>
      </c>
      <c r="P9">
        <v>512</v>
      </c>
      <c r="Q9">
        <v>614</v>
      </c>
      <c r="R9">
        <v>8</v>
      </c>
    </row>
    <row r="10" spans="1:18">
      <c r="A10" s="1" t="s">
        <v>25</v>
      </c>
      <c r="B10">
        <v>29</v>
      </c>
      <c r="C10">
        <v>12</v>
      </c>
      <c r="D10">
        <v>17</v>
      </c>
      <c r="E10">
        <v>-4.32</v>
      </c>
      <c r="F10">
        <v>1850</v>
      </c>
      <c r="G10">
        <v>655</v>
      </c>
      <c r="H10">
        <v>1573</v>
      </c>
      <c r="I10">
        <v>375</v>
      </c>
      <c r="J10">
        <v>543</v>
      </c>
      <c r="K10">
        <v>366</v>
      </c>
      <c r="L10">
        <v>1007</v>
      </c>
      <c r="M10">
        <v>379</v>
      </c>
      <c r="N10">
        <v>190</v>
      </c>
      <c r="O10">
        <v>89</v>
      </c>
      <c r="P10">
        <v>452</v>
      </c>
      <c r="Q10">
        <v>549</v>
      </c>
      <c r="R10">
        <v>9</v>
      </c>
    </row>
    <row r="11" spans="1:18">
      <c r="A11" s="1" t="s">
        <v>271</v>
      </c>
      <c r="B11">
        <v>30</v>
      </c>
      <c r="C11">
        <v>14</v>
      </c>
      <c r="D11">
        <v>16</v>
      </c>
      <c r="E11">
        <v>-4.79</v>
      </c>
      <c r="F11">
        <v>2100</v>
      </c>
      <c r="G11">
        <v>731</v>
      </c>
      <c r="H11">
        <v>1703</v>
      </c>
      <c r="I11">
        <v>389</v>
      </c>
      <c r="J11">
        <v>550</v>
      </c>
      <c r="K11">
        <v>371</v>
      </c>
      <c r="L11">
        <v>1032</v>
      </c>
      <c r="M11">
        <v>427</v>
      </c>
      <c r="N11">
        <v>224</v>
      </c>
      <c r="O11">
        <v>112</v>
      </c>
      <c r="P11">
        <v>455</v>
      </c>
      <c r="Q11">
        <v>567</v>
      </c>
      <c r="R11">
        <v>10</v>
      </c>
    </row>
    <row r="12" spans="1:18">
      <c r="A12" s="1" t="s">
        <v>26</v>
      </c>
      <c r="B12">
        <v>28</v>
      </c>
      <c r="C12">
        <v>11</v>
      </c>
      <c r="D12">
        <v>17</v>
      </c>
      <c r="E12">
        <v>7.18</v>
      </c>
      <c r="F12">
        <v>1878</v>
      </c>
      <c r="G12">
        <v>655</v>
      </c>
      <c r="H12">
        <v>1520</v>
      </c>
      <c r="I12">
        <v>410</v>
      </c>
      <c r="J12">
        <v>568</v>
      </c>
      <c r="K12">
        <v>310</v>
      </c>
      <c r="L12">
        <v>927</v>
      </c>
      <c r="M12">
        <v>403</v>
      </c>
      <c r="N12">
        <v>180</v>
      </c>
      <c r="O12">
        <v>90</v>
      </c>
      <c r="P12">
        <v>422</v>
      </c>
      <c r="Q12">
        <v>562</v>
      </c>
      <c r="R12">
        <v>11</v>
      </c>
    </row>
    <row r="13" spans="1:18">
      <c r="A13" s="1" t="s">
        <v>356</v>
      </c>
      <c r="B13">
        <v>33</v>
      </c>
      <c r="C13">
        <v>20</v>
      </c>
      <c r="D13">
        <v>13</v>
      </c>
      <c r="E13">
        <v>10.09</v>
      </c>
      <c r="F13">
        <v>2433</v>
      </c>
      <c r="G13">
        <v>909</v>
      </c>
      <c r="H13">
        <v>2037</v>
      </c>
      <c r="I13">
        <v>473</v>
      </c>
      <c r="J13">
        <v>667</v>
      </c>
      <c r="K13">
        <v>453</v>
      </c>
      <c r="L13">
        <v>1140</v>
      </c>
      <c r="M13">
        <v>492</v>
      </c>
      <c r="N13">
        <v>322</v>
      </c>
      <c r="O13">
        <v>125</v>
      </c>
      <c r="P13">
        <v>437</v>
      </c>
      <c r="Q13">
        <v>549</v>
      </c>
      <c r="R13">
        <v>12</v>
      </c>
    </row>
    <row r="14" spans="1:18">
      <c r="A14" s="1" t="s">
        <v>27</v>
      </c>
      <c r="B14">
        <v>29</v>
      </c>
      <c r="C14">
        <v>14</v>
      </c>
      <c r="D14">
        <v>15</v>
      </c>
      <c r="E14">
        <v>-3.14</v>
      </c>
      <c r="F14">
        <v>1861</v>
      </c>
      <c r="G14">
        <v>637</v>
      </c>
      <c r="H14">
        <v>1541</v>
      </c>
      <c r="I14">
        <v>463</v>
      </c>
      <c r="J14">
        <v>678</v>
      </c>
      <c r="K14">
        <v>386</v>
      </c>
      <c r="L14">
        <v>1003</v>
      </c>
      <c r="M14">
        <v>413</v>
      </c>
      <c r="N14">
        <v>224</v>
      </c>
      <c r="O14">
        <v>76</v>
      </c>
      <c r="P14">
        <v>448</v>
      </c>
      <c r="Q14">
        <v>520</v>
      </c>
      <c r="R14">
        <v>13</v>
      </c>
    </row>
    <row r="15" spans="1:18">
      <c r="A15" s="1" t="s">
        <v>28</v>
      </c>
      <c r="B15">
        <v>29</v>
      </c>
      <c r="C15">
        <v>13</v>
      </c>
      <c r="D15">
        <v>16</v>
      </c>
      <c r="E15">
        <v>-10.81</v>
      </c>
      <c r="F15">
        <v>1829</v>
      </c>
      <c r="G15">
        <v>666</v>
      </c>
      <c r="H15">
        <v>1634</v>
      </c>
      <c r="I15">
        <v>351</v>
      </c>
      <c r="J15">
        <v>516</v>
      </c>
      <c r="K15">
        <v>298</v>
      </c>
      <c r="L15">
        <v>1036</v>
      </c>
      <c r="M15">
        <v>329</v>
      </c>
      <c r="N15">
        <v>225</v>
      </c>
      <c r="O15">
        <v>128</v>
      </c>
      <c r="P15">
        <v>472</v>
      </c>
      <c r="Q15">
        <v>557</v>
      </c>
      <c r="R15">
        <v>14</v>
      </c>
    </row>
    <row r="16" spans="1:18">
      <c r="A16" s="1" t="s">
        <v>29</v>
      </c>
      <c r="B16">
        <v>30</v>
      </c>
      <c r="C16">
        <v>12</v>
      </c>
      <c r="D16">
        <v>18</v>
      </c>
      <c r="E16">
        <v>-1.45</v>
      </c>
      <c r="F16">
        <v>2189</v>
      </c>
      <c r="G16">
        <v>789</v>
      </c>
      <c r="H16">
        <v>1690</v>
      </c>
      <c r="I16">
        <v>439</v>
      </c>
      <c r="J16">
        <v>667</v>
      </c>
      <c r="K16">
        <v>330</v>
      </c>
      <c r="L16">
        <v>1045</v>
      </c>
      <c r="M16">
        <v>406</v>
      </c>
      <c r="N16">
        <v>198</v>
      </c>
      <c r="O16">
        <v>78</v>
      </c>
      <c r="P16">
        <v>461</v>
      </c>
      <c r="Q16">
        <v>556</v>
      </c>
      <c r="R16">
        <v>15</v>
      </c>
    </row>
    <row r="17" spans="1:18">
      <c r="A17" s="1" t="s">
        <v>302</v>
      </c>
      <c r="B17">
        <v>32</v>
      </c>
      <c r="C17">
        <v>22</v>
      </c>
      <c r="D17">
        <v>10</v>
      </c>
      <c r="E17">
        <v>6.17</v>
      </c>
      <c r="F17">
        <v>2359</v>
      </c>
      <c r="G17">
        <v>841</v>
      </c>
      <c r="H17">
        <v>1837</v>
      </c>
      <c r="I17">
        <v>498</v>
      </c>
      <c r="J17">
        <v>720</v>
      </c>
      <c r="K17">
        <v>390</v>
      </c>
      <c r="L17">
        <v>1118</v>
      </c>
      <c r="M17">
        <v>495</v>
      </c>
      <c r="N17">
        <v>266</v>
      </c>
      <c r="O17">
        <v>194</v>
      </c>
      <c r="P17">
        <v>428</v>
      </c>
      <c r="Q17">
        <v>541</v>
      </c>
      <c r="R17">
        <v>16</v>
      </c>
    </row>
    <row r="18" spans="1:18">
      <c r="A18" s="1" t="s">
        <v>30</v>
      </c>
      <c r="B18">
        <v>27</v>
      </c>
      <c r="C18">
        <v>5</v>
      </c>
      <c r="D18">
        <v>22</v>
      </c>
      <c r="E18">
        <v>-5.69</v>
      </c>
      <c r="F18">
        <v>1491</v>
      </c>
      <c r="G18">
        <v>529</v>
      </c>
      <c r="H18">
        <v>1321</v>
      </c>
      <c r="I18">
        <v>285</v>
      </c>
      <c r="J18">
        <v>415</v>
      </c>
      <c r="K18">
        <v>224</v>
      </c>
      <c r="L18">
        <v>807</v>
      </c>
      <c r="M18">
        <v>297</v>
      </c>
      <c r="N18">
        <v>153</v>
      </c>
      <c r="O18">
        <v>44</v>
      </c>
      <c r="P18">
        <v>425</v>
      </c>
      <c r="Q18">
        <v>539</v>
      </c>
      <c r="R18">
        <v>17</v>
      </c>
    </row>
    <row r="19" spans="1:18">
      <c r="A19" s="1" t="s">
        <v>272</v>
      </c>
      <c r="B19">
        <v>28</v>
      </c>
      <c r="C19">
        <v>12</v>
      </c>
      <c r="D19">
        <v>16</v>
      </c>
      <c r="E19">
        <v>7.06</v>
      </c>
      <c r="F19">
        <v>1836</v>
      </c>
      <c r="G19">
        <v>654</v>
      </c>
      <c r="H19">
        <v>1509</v>
      </c>
      <c r="I19">
        <v>334</v>
      </c>
      <c r="J19">
        <v>529</v>
      </c>
      <c r="K19">
        <v>347</v>
      </c>
      <c r="L19">
        <v>924</v>
      </c>
      <c r="M19">
        <v>378</v>
      </c>
      <c r="N19">
        <v>226</v>
      </c>
      <c r="O19">
        <v>118</v>
      </c>
      <c r="P19">
        <v>446</v>
      </c>
      <c r="Q19">
        <v>552</v>
      </c>
      <c r="R19">
        <v>18</v>
      </c>
    </row>
    <row r="20" spans="1:18">
      <c r="A20" s="1" t="s">
        <v>31</v>
      </c>
      <c r="B20">
        <v>31</v>
      </c>
      <c r="C20">
        <v>17</v>
      </c>
      <c r="D20">
        <v>14</v>
      </c>
      <c r="E20">
        <v>-6.29</v>
      </c>
      <c r="F20">
        <v>2228</v>
      </c>
      <c r="G20">
        <v>765</v>
      </c>
      <c r="H20">
        <v>1680</v>
      </c>
      <c r="I20">
        <v>528</v>
      </c>
      <c r="J20">
        <v>707</v>
      </c>
      <c r="K20">
        <v>326</v>
      </c>
      <c r="L20">
        <v>1018</v>
      </c>
      <c r="M20">
        <v>435</v>
      </c>
      <c r="N20">
        <v>217</v>
      </c>
      <c r="O20">
        <v>93</v>
      </c>
      <c r="P20">
        <v>447</v>
      </c>
      <c r="Q20">
        <v>576</v>
      </c>
      <c r="R20">
        <v>19</v>
      </c>
    </row>
    <row r="21" spans="1:18">
      <c r="A21" s="1" t="s">
        <v>273</v>
      </c>
      <c r="B21">
        <v>28</v>
      </c>
      <c r="C21">
        <v>10</v>
      </c>
      <c r="D21">
        <v>18</v>
      </c>
      <c r="E21">
        <v>-0.6</v>
      </c>
      <c r="F21">
        <v>1779</v>
      </c>
      <c r="G21">
        <v>632</v>
      </c>
      <c r="H21">
        <v>1483</v>
      </c>
      <c r="I21">
        <v>368</v>
      </c>
      <c r="J21">
        <v>556</v>
      </c>
      <c r="K21">
        <v>327</v>
      </c>
      <c r="L21">
        <v>926</v>
      </c>
      <c r="M21">
        <v>328</v>
      </c>
      <c r="N21">
        <v>207</v>
      </c>
      <c r="O21">
        <v>100</v>
      </c>
      <c r="P21">
        <v>397</v>
      </c>
      <c r="Q21">
        <v>629</v>
      </c>
      <c r="R21">
        <v>20</v>
      </c>
    </row>
    <row r="22" spans="1:18">
      <c r="A22" s="1" t="s">
        <v>32</v>
      </c>
      <c r="B22">
        <v>17</v>
      </c>
      <c r="C22">
        <v>4</v>
      </c>
      <c r="D22">
        <v>13</v>
      </c>
      <c r="E22">
        <v>11.65</v>
      </c>
      <c r="F22">
        <v>1074</v>
      </c>
      <c r="G22">
        <v>367</v>
      </c>
      <c r="H22">
        <v>923</v>
      </c>
      <c r="I22">
        <v>206</v>
      </c>
      <c r="J22">
        <v>298</v>
      </c>
      <c r="K22">
        <v>170</v>
      </c>
      <c r="L22">
        <v>542</v>
      </c>
      <c r="M22">
        <v>186</v>
      </c>
      <c r="N22">
        <v>105</v>
      </c>
      <c r="O22">
        <v>72</v>
      </c>
      <c r="P22">
        <v>259</v>
      </c>
      <c r="Q22">
        <v>340</v>
      </c>
      <c r="R22">
        <v>21</v>
      </c>
    </row>
    <row r="23" spans="1:18">
      <c r="A23" s="1" t="s">
        <v>33</v>
      </c>
      <c r="B23">
        <v>31</v>
      </c>
      <c r="C23">
        <v>20</v>
      </c>
      <c r="D23">
        <v>11</v>
      </c>
      <c r="E23">
        <v>-6.72</v>
      </c>
      <c r="F23">
        <v>2499</v>
      </c>
      <c r="G23">
        <v>897</v>
      </c>
      <c r="H23">
        <v>1819</v>
      </c>
      <c r="I23">
        <v>444</v>
      </c>
      <c r="J23">
        <v>643</v>
      </c>
      <c r="K23">
        <v>364</v>
      </c>
      <c r="L23">
        <v>1099</v>
      </c>
      <c r="M23">
        <v>518</v>
      </c>
      <c r="N23">
        <v>240</v>
      </c>
      <c r="O23">
        <v>110</v>
      </c>
      <c r="P23">
        <v>503</v>
      </c>
      <c r="Q23">
        <v>612</v>
      </c>
      <c r="R23">
        <v>22</v>
      </c>
    </row>
    <row r="24" spans="1:18">
      <c r="A24" s="1" t="s">
        <v>34</v>
      </c>
      <c r="B24">
        <v>30</v>
      </c>
      <c r="C24">
        <v>15</v>
      </c>
      <c r="D24">
        <v>15</v>
      </c>
      <c r="E24">
        <v>-10.49</v>
      </c>
      <c r="F24">
        <v>1962</v>
      </c>
      <c r="G24">
        <v>706</v>
      </c>
      <c r="H24">
        <v>1675</v>
      </c>
      <c r="I24">
        <v>378</v>
      </c>
      <c r="J24">
        <v>614</v>
      </c>
      <c r="K24">
        <v>337</v>
      </c>
      <c r="L24">
        <v>998</v>
      </c>
      <c r="M24">
        <v>369</v>
      </c>
      <c r="N24">
        <v>276</v>
      </c>
      <c r="O24">
        <v>60</v>
      </c>
      <c r="P24">
        <v>458</v>
      </c>
      <c r="Q24">
        <v>585</v>
      </c>
      <c r="R24">
        <v>23</v>
      </c>
    </row>
    <row r="25" spans="1:18">
      <c r="A25" s="1" t="s">
        <v>303</v>
      </c>
      <c r="B25">
        <v>29</v>
      </c>
      <c r="C25">
        <v>16</v>
      </c>
      <c r="D25">
        <v>13</v>
      </c>
      <c r="E25">
        <v>-5.52</v>
      </c>
      <c r="F25">
        <v>1812</v>
      </c>
      <c r="G25">
        <v>616</v>
      </c>
      <c r="H25">
        <v>1612</v>
      </c>
      <c r="I25">
        <v>401</v>
      </c>
      <c r="J25">
        <v>541</v>
      </c>
      <c r="K25">
        <v>344</v>
      </c>
      <c r="L25">
        <v>977</v>
      </c>
      <c r="M25">
        <v>293</v>
      </c>
      <c r="N25">
        <v>203</v>
      </c>
      <c r="O25">
        <v>49</v>
      </c>
      <c r="P25">
        <v>345</v>
      </c>
      <c r="Q25">
        <v>564</v>
      </c>
      <c r="R25">
        <v>24</v>
      </c>
    </row>
    <row r="26" spans="1:18">
      <c r="A26" s="1" t="s">
        <v>317</v>
      </c>
      <c r="B26">
        <v>28</v>
      </c>
      <c r="C26">
        <v>19</v>
      </c>
      <c r="D26">
        <v>9</v>
      </c>
      <c r="E26">
        <v>-8.1199999999999992</v>
      </c>
      <c r="F26">
        <v>1922</v>
      </c>
      <c r="G26">
        <v>650</v>
      </c>
      <c r="H26">
        <v>1408</v>
      </c>
      <c r="I26">
        <v>410</v>
      </c>
      <c r="J26">
        <v>601</v>
      </c>
      <c r="L26">
        <v>928</v>
      </c>
      <c r="M26">
        <v>364</v>
      </c>
      <c r="N26">
        <v>177</v>
      </c>
      <c r="O26">
        <v>50</v>
      </c>
      <c r="P26">
        <v>349</v>
      </c>
      <c r="Q26">
        <v>508</v>
      </c>
      <c r="R26">
        <v>25</v>
      </c>
    </row>
    <row r="27" spans="1:18">
      <c r="A27" s="1" t="s">
        <v>35</v>
      </c>
      <c r="B27">
        <v>29</v>
      </c>
      <c r="C27">
        <v>14</v>
      </c>
      <c r="D27">
        <v>15</v>
      </c>
      <c r="E27">
        <v>1.0900000000000001</v>
      </c>
      <c r="F27">
        <v>2095</v>
      </c>
      <c r="G27">
        <v>744</v>
      </c>
      <c r="H27">
        <v>1684</v>
      </c>
      <c r="I27">
        <v>377</v>
      </c>
      <c r="J27">
        <v>530</v>
      </c>
      <c r="K27">
        <v>292</v>
      </c>
      <c r="L27">
        <v>1037</v>
      </c>
      <c r="M27">
        <v>413</v>
      </c>
      <c r="N27">
        <v>166</v>
      </c>
      <c r="O27">
        <v>60</v>
      </c>
      <c r="P27">
        <v>445</v>
      </c>
      <c r="Q27">
        <v>530</v>
      </c>
      <c r="R27">
        <v>26</v>
      </c>
    </row>
    <row r="28" spans="1:18">
      <c r="A28" s="1" t="s">
        <v>36</v>
      </c>
      <c r="B28">
        <v>36</v>
      </c>
      <c r="C28">
        <v>28</v>
      </c>
      <c r="D28">
        <v>8</v>
      </c>
      <c r="E28">
        <v>6.1</v>
      </c>
      <c r="F28">
        <v>2671</v>
      </c>
      <c r="G28">
        <v>949</v>
      </c>
      <c r="H28">
        <v>1958</v>
      </c>
      <c r="I28">
        <v>562</v>
      </c>
      <c r="J28">
        <v>833</v>
      </c>
      <c r="K28">
        <v>466</v>
      </c>
      <c r="L28">
        <v>1277</v>
      </c>
      <c r="M28">
        <v>639</v>
      </c>
      <c r="N28">
        <v>222</v>
      </c>
      <c r="O28">
        <v>161</v>
      </c>
      <c r="P28">
        <v>472</v>
      </c>
      <c r="Q28">
        <v>586</v>
      </c>
      <c r="R28">
        <v>27</v>
      </c>
    </row>
    <row r="29" spans="1:18">
      <c r="A29" s="1" t="s">
        <v>37</v>
      </c>
      <c r="B29">
        <v>28</v>
      </c>
      <c r="C29">
        <v>12</v>
      </c>
      <c r="D29">
        <v>16</v>
      </c>
      <c r="E29">
        <v>-3.77</v>
      </c>
      <c r="F29">
        <v>1650</v>
      </c>
      <c r="G29">
        <v>593</v>
      </c>
      <c r="H29">
        <v>1448</v>
      </c>
      <c r="I29">
        <v>314</v>
      </c>
      <c r="J29">
        <v>474</v>
      </c>
      <c r="K29">
        <v>312</v>
      </c>
      <c r="L29">
        <v>959</v>
      </c>
      <c r="M29">
        <v>377</v>
      </c>
      <c r="N29">
        <v>187</v>
      </c>
      <c r="O29">
        <v>84</v>
      </c>
      <c r="P29">
        <v>376</v>
      </c>
      <c r="Q29">
        <v>488</v>
      </c>
      <c r="R29">
        <v>28</v>
      </c>
    </row>
    <row r="30" spans="1:18">
      <c r="A30" s="1" t="s">
        <v>38</v>
      </c>
      <c r="B30">
        <v>30</v>
      </c>
      <c r="C30">
        <v>9</v>
      </c>
      <c r="D30">
        <v>21</v>
      </c>
      <c r="E30">
        <v>0.38</v>
      </c>
      <c r="F30">
        <v>1978</v>
      </c>
      <c r="G30">
        <v>666</v>
      </c>
      <c r="H30">
        <v>1531</v>
      </c>
      <c r="I30">
        <v>432</v>
      </c>
      <c r="J30">
        <v>600</v>
      </c>
      <c r="K30">
        <v>252</v>
      </c>
      <c r="L30">
        <v>848</v>
      </c>
      <c r="M30">
        <v>411</v>
      </c>
      <c r="N30">
        <v>200</v>
      </c>
      <c r="O30">
        <v>49</v>
      </c>
      <c r="P30">
        <v>496</v>
      </c>
      <c r="Q30">
        <v>720</v>
      </c>
      <c r="R30">
        <v>29</v>
      </c>
    </row>
    <row r="31" spans="1:18">
      <c r="A31" s="1" t="s">
        <v>39</v>
      </c>
      <c r="B31">
        <v>33</v>
      </c>
      <c r="C31">
        <v>22</v>
      </c>
      <c r="D31">
        <v>11</v>
      </c>
      <c r="E31">
        <v>5.38</v>
      </c>
      <c r="F31">
        <v>2359</v>
      </c>
      <c r="G31">
        <v>848</v>
      </c>
      <c r="H31">
        <v>1933</v>
      </c>
      <c r="I31">
        <v>478</v>
      </c>
      <c r="J31">
        <v>666</v>
      </c>
      <c r="K31">
        <v>419</v>
      </c>
      <c r="L31">
        <v>1241</v>
      </c>
      <c r="M31">
        <v>533</v>
      </c>
      <c r="N31">
        <v>294</v>
      </c>
      <c r="O31">
        <v>151</v>
      </c>
      <c r="P31">
        <v>497</v>
      </c>
      <c r="Q31">
        <v>614</v>
      </c>
      <c r="R31">
        <v>30</v>
      </c>
    </row>
    <row r="32" spans="1:18">
      <c r="A32" s="1" t="s">
        <v>40</v>
      </c>
      <c r="B32">
        <v>29</v>
      </c>
      <c r="C32">
        <v>20</v>
      </c>
      <c r="D32">
        <v>9</v>
      </c>
      <c r="E32">
        <v>3.19</v>
      </c>
      <c r="F32">
        <v>2209</v>
      </c>
      <c r="G32">
        <v>782</v>
      </c>
      <c r="H32">
        <v>1692</v>
      </c>
      <c r="I32">
        <v>443</v>
      </c>
      <c r="J32">
        <v>620</v>
      </c>
      <c r="K32">
        <v>325</v>
      </c>
      <c r="L32">
        <v>1024</v>
      </c>
      <c r="M32">
        <v>462</v>
      </c>
      <c r="N32">
        <v>197</v>
      </c>
      <c r="O32">
        <v>108</v>
      </c>
      <c r="P32">
        <v>425</v>
      </c>
      <c r="Q32">
        <v>582</v>
      </c>
      <c r="R32">
        <v>31</v>
      </c>
    </row>
    <row r="33" spans="1:18">
      <c r="A33" s="1" t="s">
        <v>41</v>
      </c>
      <c r="B33">
        <v>27</v>
      </c>
      <c r="C33">
        <v>10</v>
      </c>
      <c r="D33">
        <v>17</v>
      </c>
      <c r="E33">
        <v>-6.66</v>
      </c>
      <c r="F33">
        <v>1613</v>
      </c>
      <c r="G33">
        <v>545</v>
      </c>
      <c r="H33">
        <v>1317</v>
      </c>
      <c r="I33">
        <v>390</v>
      </c>
      <c r="J33">
        <v>591</v>
      </c>
      <c r="K33">
        <v>263</v>
      </c>
      <c r="L33">
        <v>867</v>
      </c>
      <c r="M33">
        <v>338</v>
      </c>
      <c r="N33">
        <v>190</v>
      </c>
      <c r="O33">
        <v>80</v>
      </c>
      <c r="P33">
        <v>434</v>
      </c>
      <c r="Q33">
        <v>464</v>
      </c>
      <c r="R33">
        <v>32</v>
      </c>
    </row>
    <row r="34" spans="1:18">
      <c r="A34" s="1" t="s">
        <v>42</v>
      </c>
      <c r="B34">
        <v>32</v>
      </c>
      <c r="C34">
        <v>27</v>
      </c>
      <c r="D34">
        <v>5</v>
      </c>
      <c r="E34">
        <v>-2.29</v>
      </c>
      <c r="F34">
        <v>2114</v>
      </c>
      <c r="G34">
        <v>726</v>
      </c>
      <c r="H34">
        <v>1560</v>
      </c>
      <c r="I34">
        <v>466</v>
      </c>
      <c r="J34">
        <v>670</v>
      </c>
      <c r="K34">
        <v>308</v>
      </c>
      <c r="L34">
        <v>1032</v>
      </c>
      <c r="M34">
        <v>457</v>
      </c>
      <c r="N34">
        <v>279</v>
      </c>
      <c r="O34">
        <v>55</v>
      </c>
      <c r="P34">
        <v>474</v>
      </c>
      <c r="Q34">
        <v>561</v>
      </c>
      <c r="R34">
        <v>33</v>
      </c>
    </row>
    <row r="35" spans="1:18">
      <c r="A35" s="1" t="s">
        <v>43</v>
      </c>
      <c r="B35">
        <v>32</v>
      </c>
      <c r="C35">
        <v>19</v>
      </c>
      <c r="D35">
        <v>13</v>
      </c>
      <c r="E35">
        <v>-1.22</v>
      </c>
      <c r="F35">
        <v>2317</v>
      </c>
      <c r="G35">
        <v>766</v>
      </c>
      <c r="H35">
        <v>1748</v>
      </c>
      <c r="I35">
        <v>577</v>
      </c>
      <c r="J35">
        <v>768</v>
      </c>
      <c r="K35">
        <v>405</v>
      </c>
      <c r="L35">
        <v>1086</v>
      </c>
      <c r="M35">
        <v>410</v>
      </c>
      <c r="N35">
        <v>254</v>
      </c>
      <c r="O35">
        <v>71</v>
      </c>
      <c r="P35">
        <v>522</v>
      </c>
      <c r="Q35">
        <v>629</v>
      </c>
      <c r="R35">
        <v>34</v>
      </c>
    </row>
    <row r="36" spans="1:18">
      <c r="A36" s="1" t="s">
        <v>304</v>
      </c>
      <c r="B36">
        <v>33</v>
      </c>
      <c r="C36">
        <v>20</v>
      </c>
      <c r="D36">
        <v>13</v>
      </c>
      <c r="E36">
        <v>0.44</v>
      </c>
      <c r="F36">
        <v>2254</v>
      </c>
      <c r="G36">
        <v>784</v>
      </c>
      <c r="H36">
        <v>1726</v>
      </c>
      <c r="I36">
        <v>386</v>
      </c>
      <c r="J36">
        <v>548</v>
      </c>
      <c r="K36">
        <v>256</v>
      </c>
      <c r="L36">
        <v>855</v>
      </c>
      <c r="M36">
        <v>436</v>
      </c>
      <c r="N36">
        <v>212</v>
      </c>
      <c r="O36">
        <v>75</v>
      </c>
      <c r="P36">
        <v>292</v>
      </c>
      <c r="Q36">
        <v>559</v>
      </c>
      <c r="R36">
        <v>35</v>
      </c>
    </row>
    <row r="37" spans="1:18">
      <c r="A37" s="1" t="s">
        <v>44</v>
      </c>
      <c r="B37">
        <v>29</v>
      </c>
      <c r="C37">
        <v>10</v>
      </c>
      <c r="D37">
        <v>19</v>
      </c>
      <c r="E37">
        <v>-0.56000000000000005</v>
      </c>
      <c r="F37">
        <v>1907</v>
      </c>
      <c r="G37">
        <v>659</v>
      </c>
      <c r="H37">
        <v>1575</v>
      </c>
      <c r="I37">
        <v>367</v>
      </c>
      <c r="J37">
        <v>529</v>
      </c>
      <c r="K37">
        <v>349</v>
      </c>
      <c r="L37">
        <v>1013</v>
      </c>
      <c r="M37">
        <v>332</v>
      </c>
      <c r="N37">
        <v>152</v>
      </c>
      <c r="O37">
        <v>60</v>
      </c>
      <c r="P37">
        <v>437</v>
      </c>
      <c r="Q37">
        <v>540</v>
      </c>
      <c r="R37">
        <v>36</v>
      </c>
    </row>
    <row r="38" spans="1:18">
      <c r="A38" s="1" t="s">
        <v>45</v>
      </c>
      <c r="B38">
        <v>29</v>
      </c>
      <c r="C38">
        <v>16</v>
      </c>
      <c r="D38">
        <v>13</v>
      </c>
      <c r="E38">
        <v>-3.07</v>
      </c>
      <c r="F38">
        <v>2293</v>
      </c>
      <c r="G38">
        <v>840</v>
      </c>
      <c r="H38">
        <v>1808</v>
      </c>
      <c r="I38">
        <v>392</v>
      </c>
      <c r="J38">
        <v>588</v>
      </c>
      <c r="K38">
        <v>399</v>
      </c>
      <c r="L38">
        <v>1124</v>
      </c>
      <c r="M38">
        <v>433</v>
      </c>
      <c r="N38">
        <v>207</v>
      </c>
      <c r="O38">
        <v>65</v>
      </c>
      <c r="P38">
        <v>437</v>
      </c>
      <c r="Q38">
        <v>548</v>
      </c>
      <c r="R38">
        <v>37</v>
      </c>
    </row>
    <row r="39" spans="1:18">
      <c r="A39" s="1" t="s">
        <v>46</v>
      </c>
      <c r="B39">
        <v>28</v>
      </c>
      <c r="C39">
        <v>11</v>
      </c>
      <c r="D39">
        <v>17</v>
      </c>
      <c r="E39">
        <v>-1.46</v>
      </c>
      <c r="F39">
        <v>1986</v>
      </c>
      <c r="G39">
        <v>668</v>
      </c>
      <c r="H39">
        <v>1540</v>
      </c>
      <c r="I39">
        <v>494</v>
      </c>
      <c r="J39">
        <v>673</v>
      </c>
      <c r="K39">
        <v>313</v>
      </c>
      <c r="L39">
        <v>926</v>
      </c>
      <c r="M39">
        <v>389</v>
      </c>
      <c r="N39">
        <v>219</v>
      </c>
      <c r="O39">
        <v>84</v>
      </c>
      <c r="P39">
        <v>491</v>
      </c>
      <c r="Q39">
        <v>573</v>
      </c>
      <c r="R39">
        <v>38</v>
      </c>
    </row>
    <row r="40" spans="1:18">
      <c r="A40" s="1" t="s">
        <v>330</v>
      </c>
      <c r="B40">
        <v>28</v>
      </c>
      <c r="C40">
        <v>8</v>
      </c>
      <c r="D40">
        <v>20</v>
      </c>
      <c r="F40">
        <v>1843</v>
      </c>
      <c r="G40">
        <v>636</v>
      </c>
      <c r="H40">
        <v>1484</v>
      </c>
      <c r="I40">
        <v>399</v>
      </c>
      <c r="J40">
        <v>566</v>
      </c>
      <c r="K40">
        <v>257</v>
      </c>
      <c r="L40">
        <v>792</v>
      </c>
      <c r="M40">
        <v>341</v>
      </c>
      <c r="N40">
        <v>189</v>
      </c>
      <c r="O40">
        <v>49</v>
      </c>
      <c r="P40">
        <v>391</v>
      </c>
      <c r="Q40">
        <v>572</v>
      </c>
      <c r="R40">
        <v>39</v>
      </c>
    </row>
    <row r="41" spans="1:18">
      <c r="A41" s="1" t="s">
        <v>47</v>
      </c>
      <c r="B41">
        <v>29</v>
      </c>
      <c r="C41">
        <v>16</v>
      </c>
      <c r="D41">
        <v>13</v>
      </c>
      <c r="E41">
        <v>-1.87</v>
      </c>
      <c r="F41">
        <v>2068</v>
      </c>
      <c r="G41">
        <v>726</v>
      </c>
      <c r="H41">
        <v>1529</v>
      </c>
      <c r="I41">
        <v>367</v>
      </c>
      <c r="J41">
        <v>495</v>
      </c>
      <c r="K41">
        <v>289</v>
      </c>
      <c r="L41">
        <v>971</v>
      </c>
      <c r="M41">
        <v>440</v>
      </c>
      <c r="N41">
        <v>146</v>
      </c>
      <c r="O41">
        <v>79</v>
      </c>
      <c r="P41">
        <v>400</v>
      </c>
      <c r="Q41">
        <v>470</v>
      </c>
      <c r="R41">
        <v>40</v>
      </c>
    </row>
    <row r="42" spans="1:18">
      <c r="A42" s="1" t="s">
        <v>305</v>
      </c>
      <c r="B42">
        <v>28</v>
      </c>
      <c r="C42">
        <v>5</v>
      </c>
      <c r="D42">
        <v>23</v>
      </c>
      <c r="E42">
        <v>-0.75</v>
      </c>
      <c r="F42">
        <v>1885</v>
      </c>
      <c r="G42">
        <v>685</v>
      </c>
      <c r="H42">
        <v>1725</v>
      </c>
      <c r="I42">
        <v>352</v>
      </c>
      <c r="J42">
        <v>511</v>
      </c>
      <c r="K42">
        <v>374</v>
      </c>
      <c r="L42">
        <v>1025</v>
      </c>
      <c r="M42">
        <v>320</v>
      </c>
      <c r="N42">
        <v>204</v>
      </c>
      <c r="O42">
        <v>80</v>
      </c>
      <c r="P42">
        <v>499</v>
      </c>
      <c r="Q42">
        <v>577</v>
      </c>
      <c r="R42">
        <v>41</v>
      </c>
    </row>
    <row r="43" spans="1:18">
      <c r="A43" s="1" t="s">
        <v>48</v>
      </c>
      <c r="B43">
        <v>29</v>
      </c>
      <c r="C43">
        <v>15</v>
      </c>
      <c r="D43">
        <v>14</v>
      </c>
      <c r="E43">
        <v>-1.34</v>
      </c>
      <c r="F43">
        <v>1930</v>
      </c>
      <c r="G43">
        <v>678</v>
      </c>
      <c r="H43">
        <v>1536</v>
      </c>
      <c r="I43">
        <v>408</v>
      </c>
      <c r="J43">
        <v>576</v>
      </c>
      <c r="K43">
        <v>302</v>
      </c>
      <c r="L43">
        <v>966</v>
      </c>
      <c r="M43">
        <v>359</v>
      </c>
      <c r="N43">
        <v>176</v>
      </c>
      <c r="O43">
        <v>93</v>
      </c>
      <c r="P43">
        <v>388</v>
      </c>
      <c r="Q43">
        <v>505</v>
      </c>
      <c r="R43">
        <v>42</v>
      </c>
    </row>
    <row r="44" spans="1:18">
      <c r="A44" s="1" t="s">
        <v>49</v>
      </c>
      <c r="B44">
        <v>31</v>
      </c>
      <c r="C44">
        <v>20</v>
      </c>
      <c r="D44">
        <v>11</v>
      </c>
      <c r="E44">
        <v>8.84</v>
      </c>
      <c r="F44">
        <v>2128</v>
      </c>
      <c r="G44">
        <v>717</v>
      </c>
      <c r="H44">
        <v>1598</v>
      </c>
      <c r="I44">
        <v>525</v>
      </c>
      <c r="J44">
        <v>716</v>
      </c>
      <c r="K44">
        <v>301</v>
      </c>
      <c r="L44">
        <v>1002</v>
      </c>
      <c r="M44">
        <v>402</v>
      </c>
      <c r="N44">
        <v>162</v>
      </c>
      <c r="O44">
        <v>83</v>
      </c>
      <c r="P44">
        <v>384</v>
      </c>
      <c r="Q44">
        <v>518</v>
      </c>
      <c r="R44">
        <v>43</v>
      </c>
    </row>
    <row r="45" spans="1:18">
      <c r="A45" s="1" t="s">
        <v>50</v>
      </c>
      <c r="B45">
        <v>28</v>
      </c>
      <c r="C45">
        <v>10</v>
      </c>
      <c r="D45">
        <v>18</v>
      </c>
      <c r="E45">
        <v>-8.11</v>
      </c>
      <c r="F45">
        <v>2319</v>
      </c>
      <c r="G45">
        <v>807</v>
      </c>
      <c r="H45">
        <v>1837</v>
      </c>
      <c r="I45">
        <v>429</v>
      </c>
      <c r="J45">
        <v>671</v>
      </c>
      <c r="K45">
        <v>441</v>
      </c>
      <c r="L45">
        <v>1098</v>
      </c>
      <c r="M45">
        <v>476</v>
      </c>
      <c r="N45">
        <v>208</v>
      </c>
      <c r="O45">
        <v>73</v>
      </c>
      <c r="P45">
        <v>509</v>
      </c>
      <c r="Q45">
        <v>597</v>
      </c>
      <c r="R45">
        <v>44</v>
      </c>
    </row>
    <row r="46" spans="1:18">
      <c r="A46" s="1" t="s">
        <v>51</v>
      </c>
      <c r="B46">
        <v>29</v>
      </c>
      <c r="C46">
        <v>9</v>
      </c>
      <c r="D46">
        <v>20</v>
      </c>
      <c r="E46">
        <v>-1.8</v>
      </c>
      <c r="F46">
        <v>2050</v>
      </c>
      <c r="G46">
        <v>749</v>
      </c>
      <c r="H46">
        <v>1653</v>
      </c>
      <c r="I46">
        <v>360</v>
      </c>
      <c r="J46">
        <v>497</v>
      </c>
      <c r="K46">
        <v>312</v>
      </c>
      <c r="L46">
        <v>951</v>
      </c>
      <c r="M46">
        <v>394</v>
      </c>
      <c r="N46">
        <v>214</v>
      </c>
      <c r="O46">
        <v>84</v>
      </c>
      <c r="P46">
        <v>394</v>
      </c>
      <c r="Q46">
        <v>500</v>
      </c>
      <c r="R46">
        <v>45</v>
      </c>
    </row>
    <row r="47" spans="1:18">
      <c r="A47" s="1" t="s">
        <v>52</v>
      </c>
      <c r="B47">
        <v>27</v>
      </c>
      <c r="C47">
        <v>4</v>
      </c>
      <c r="D47">
        <v>23</v>
      </c>
      <c r="E47">
        <v>-3.78</v>
      </c>
      <c r="F47">
        <v>1796</v>
      </c>
      <c r="G47">
        <v>641</v>
      </c>
      <c r="H47">
        <v>1462</v>
      </c>
      <c r="I47">
        <v>347</v>
      </c>
      <c r="J47">
        <v>490</v>
      </c>
      <c r="L47">
        <v>871</v>
      </c>
      <c r="M47">
        <v>402</v>
      </c>
      <c r="N47">
        <v>176</v>
      </c>
      <c r="O47">
        <v>70</v>
      </c>
      <c r="P47">
        <v>479</v>
      </c>
      <c r="Q47">
        <v>532</v>
      </c>
      <c r="R47">
        <v>46</v>
      </c>
    </row>
    <row r="48" spans="1:18">
      <c r="A48" s="1" t="s">
        <v>274</v>
      </c>
      <c r="B48">
        <v>29</v>
      </c>
      <c r="C48">
        <v>18</v>
      </c>
      <c r="D48">
        <v>11</v>
      </c>
      <c r="E48">
        <v>-6.76</v>
      </c>
      <c r="F48">
        <v>2102</v>
      </c>
      <c r="G48">
        <v>721</v>
      </c>
      <c r="H48">
        <v>1624</v>
      </c>
      <c r="I48">
        <v>430</v>
      </c>
      <c r="J48">
        <v>596</v>
      </c>
      <c r="K48">
        <v>380</v>
      </c>
      <c r="L48">
        <v>995</v>
      </c>
      <c r="M48">
        <v>428</v>
      </c>
      <c r="N48">
        <v>191</v>
      </c>
      <c r="O48">
        <v>68</v>
      </c>
      <c r="P48">
        <v>372</v>
      </c>
      <c r="Q48">
        <v>448</v>
      </c>
      <c r="R48">
        <v>47</v>
      </c>
    </row>
    <row r="49" spans="1:18">
      <c r="A49" s="1" t="s">
        <v>53</v>
      </c>
      <c r="B49">
        <v>29</v>
      </c>
      <c r="C49">
        <v>14</v>
      </c>
      <c r="D49">
        <v>15</v>
      </c>
      <c r="E49">
        <v>-0.69</v>
      </c>
      <c r="F49">
        <v>1836</v>
      </c>
      <c r="G49">
        <v>655</v>
      </c>
      <c r="H49">
        <v>1509</v>
      </c>
      <c r="I49">
        <v>320</v>
      </c>
      <c r="J49">
        <v>498</v>
      </c>
      <c r="K49">
        <v>331</v>
      </c>
      <c r="L49">
        <v>999</v>
      </c>
      <c r="M49">
        <v>420</v>
      </c>
      <c r="N49">
        <v>186</v>
      </c>
      <c r="O49">
        <v>108</v>
      </c>
      <c r="P49">
        <v>455</v>
      </c>
      <c r="Q49">
        <v>554</v>
      </c>
      <c r="R49">
        <v>48</v>
      </c>
    </row>
    <row r="50" spans="1:18">
      <c r="A50" s="1" t="s">
        <v>54</v>
      </c>
      <c r="B50">
        <v>28</v>
      </c>
      <c r="C50">
        <v>4</v>
      </c>
      <c r="D50">
        <v>24</v>
      </c>
      <c r="E50">
        <v>-1.01</v>
      </c>
      <c r="F50">
        <v>1681</v>
      </c>
      <c r="G50">
        <v>587</v>
      </c>
      <c r="H50">
        <v>1436</v>
      </c>
      <c r="I50">
        <v>360</v>
      </c>
      <c r="J50">
        <v>539</v>
      </c>
      <c r="K50">
        <v>312</v>
      </c>
      <c r="L50">
        <v>909</v>
      </c>
      <c r="M50">
        <v>290</v>
      </c>
      <c r="N50">
        <v>186</v>
      </c>
      <c r="O50">
        <v>122</v>
      </c>
      <c r="P50">
        <v>535</v>
      </c>
      <c r="Q50">
        <v>568</v>
      </c>
      <c r="R50">
        <v>49</v>
      </c>
    </row>
    <row r="51" spans="1:18">
      <c r="A51" s="1" t="s">
        <v>55</v>
      </c>
      <c r="B51">
        <v>29</v>
      </c>
      <c r="C51">
        <v>13</v>
      </c>
      <c r="D51">
        <v>16</v>
      </c>
      <c r="E51">
        <v>-6.6</v>
      </c>
      <c r="F51">
        <v>2027</v>
      </c>
      <c r="G51">
        <v>709</v>
      </c>
      <c r="H51">
        <v>1666</v>
      </c>
      <c r="I51">
        <v>399</v>
      </c>
      <c r="J51">
        <v>600</v>
      </c>
      <c r="K51">
        <v>354</v>
      </c>
      <c r="L51">
        <v>1000</v>
      </c>
      <c r="M51">
        <v>376</v>
      </c>
      <c r="N51">
        <v>210</v>
      </c>
      <c r="O51">
        <v>87</v>
      </c>
      <c r="P51">
        <v>402</v>
      </c>
      <c r="Q51">
        <v>591</v>
      </c>
      <c r="R51">
        <v>50</v>
      </c>
    </row>
    <row r="52" spans="1:18">
      <c r="A52" s="1" t="s">
        <v>56</v>
      </c>
      <c r="B52">
        <v>32</v>
      </c>
      <c r="C52">
        <v>19</v>
      </c>
      <c r="D52">
        <v>13</v>
      </c>
      <c r="E52">
        <v>1.97</v>
      </c>
      <c r="F52">
        <v>2234</v>
      </c>
      <c r="G52">
        <v>760</v>
      </c>
      <c r="H52">
        <v>1898</v>
      </c>
      <c r="I52">
        <v>439</v>
      </c>
      <c r="J52">
        <v>672</v>
      </c>
      <c r="K52">
        <v>471</v>
      </c>
      <c r="L52">
        <v>1238</v>
      </c>
      <c r="M52">
        <v>451</v>
      </c>
      <c r="N52">
        <v>220</v>
      </c>
      <c r="O52">
        <v>90</v>
      </c>
      <c r="P52">
        <v>410</v>
      </c>
      <c r="Q52">
        <v>569</v>
      </c>
      <c r="R52">
        <v>51</v>
      </c>
    </row>
    <row r="53" spans="1:18">
      <c r="A53" s="1" t="s">
        <v>57</v>
      </c>
      <c r="B53">
        <v>32</v>
      </c>
      <c r="C53">
        <v>19</v>
      </c>
      <c r="D53">
        <v>13</v>
      </c>
      <c r="E53">
        <v>-5.22</v>
      </c>
      <c r="F53">
        <v>2320</v>
      </c>
      <c r="G53">
        <v>804</v>
      </c>
      <c r="H53">
        <v>1795</v>
      </c>
      <c r="I53">
        <v>521</v>
      </c>
      <c r="J53">
        <v>811</v>
      </c>
      <c r="K53">
        <v>372</v>
      </c>
      <c r="L53">
        <v>1208</v>
      </c>
      <c r="M53">
        <v>442</v>
      </c>
      <c r="N53">
        <v>241</v>
      </c>
      <c r="O53">
        <v>78</v>
      </c>
      <c r="P53">
        <v>456</v>
      </c>
      <c r="Q53">
        <v>539</v>
      </c>
      <c r="R53">
        <v>52</v>
      </c>
    </row>
    <row r="54" spans="1:18">
      <c r="A54" s="1" t="s">
        <v>58</v>
      </c>
      <c r="B54">
        <v>30</v>
      </c>
      <c r="C54">
        <v>11</v>
      </c>
      <c r="D54">
        <v>19</v>
      </c>
      <c r="E54">
        <v>-2.13</v>
      </c>
      <c r="F54">
        <v>2060</v>
      </c>
      <c r="G54">
        <v>711</v>
      </c>
      <c r="H54">
        <v>1712</v>
      </c>
      <c r="I54">
        <v>434</v>
      </c>
      <c r="J54">
        <v>630</v>
      </c>
      <c r="K54">
        <v>383</v>
      </c>
      <c r="L54">
        <v>974</v>
      </c>
      <c r="M54">
        <v>370</v>
      </c>
      <c r="N54">
        <v>241</v>
      </c>
      <c r="O54">
        <v>98</v>
      </c>
      <c r="P54">
        <v>408</v>
      </c>
      <c r="Q54">
        <v>627</v>
      </c>
      <c r="R54">
        <v>53</v>
      </c>
    </row>
    <row r="55" spans="1:18">
      <c r="A55" s="1" t="s">
        <v>335</v>
      </c>
      <c r="B55">
        <v>34</v>
      </c>
      <c r="C55">
        <v>21</v>
      </c>
      <c r="D55">
        <v>13</v>
      </c>
      <c r="E55">
        <v>8.41</v>
      </c>
      <c r="F55">
        <v>2530</v>
      </c>
      <c r="G55">
        <v>907</v>
      </c>
      <c r="H55">
        <v>2117</v>
      </c>
      <c r="I55">
        <v>505</v>
      </c>
      <c r="J55">
        <v>676</v>
      </c>
      <c r="K55">
        <v>442</v>
      </c>
      <c r="L55">
        <v>1267</v>
      </c>
      <c r="M55">
        <v>459</v>
      </c>
      <c r="N55">
        <v>236</v>
      </c>
      <c r="O55">
        <v>193</v>
      </c>
      <c r="P55">
        <v>399</v>
      </c>
      <c r="Q55">
        <v>566</v>
      </c>
      <c r="R55">
        <v>54</v>
      </c>
    </row>
    <row r="56" spans="1:18">
      <c r="A56" s="1" t="s">
        <v>59</v>
      </c>
      <c r="B56">
        <v>31</v>
      </c>
      <c r="C56">
        <v>10</v>
      </c>
      <c r="D56">
        <v>21</v>
      </c>
      <c r="E56">
        <v>-7.76</v>
      </c>
      <c r="F56">
        <v>2088</v>
      </c>
      <c r="G56">
        <v>726</v>
      </c>
      <c r="H56">
        <v>1803</v>
      </c>
      <c r="I56">
        <v>427</v>
      </c>
      <c r="J56">
        <v>677</v>
      </c>
      <c r="K56">
        <v>433</v>
      </c>
      <c r="L56">
        <v>1085</v>
      </c>
      <c r="M56">
        <v>378</v>
      </c>
      <c r="N56">
        <v>253</v>
      </c>
      <c r="O56">
        <v>104</v>
      </c>
      <c r="P56">
        <v>460</v>
      </c>
      <c r="Q56">
        <v>622</v>
      </c>
      <c r="R56">
        <v>55</v>
      </c>
    </row>
    <row r="57" spans="1:18">
      <c r="A57" s="1" t="s">
        <v>60</v>
      </c>
      <c r="B57">
        <v>32</v>
      </c>
      <c r="C57">
        <v>19</v>
      </c>
      <c r="D57">
        <v>13</v>
      </c>
      <c r="E57">
        <v>4.97</v>
      </c>
      <c r="F57">
        <v>2378</v>
      </c>
      <c r="G57">
        <v>853</v>
      </c>
      <c r="H57">
        <v>1955</v>
      </c>
      <c r="I57">
        <v>434</v>
      </c>
      <c r="J57">
        <v>703</v>
      </c>
      <c r="K57">
        <v>466</v>
      </c>
      <c r="L57">
        <v>1184</v>
      </c>
      <c r="M57">
        <v>456</v>
      </c>
      <c r="N57">
        <v>352</v>
      </c>
      <c r="O57">
        <v>141</v>
      </c>
      <c r="P57">
        <v>497</v>
      </c>
      <c r="Q57">
        <v>636</v>
      </c>
      <c r="R57">
        <v>56</v>
      </c>
    </row>
    <row r="58" spans="1:18">
      <c r="A58" s="1" t="s">
        <v>61</v>
      </c>
      <c r="B58">
        <v>28</v>
      </c>
      <c r="C58">
        <v>10</v>
      </c>
      <c r="D58">
        <v>18</v>
      </c>
      <c r="E58">
        <v>-0.08</v>
      </c>
      <c r="F58">
        <v>1803</v>
      </c>
      <c r="G58">
        <v>646</v>
      </c>
      <c r="H58">
        <v>1610</v>
      </c>
      <c r="I58">
        <v>355</v>
      </c>
      <c r="J58">
        <v>547</v>
      </c>
      <c r="K58">
        <v>365</v>
      </c>
      <c r="L58">
        <v>995</v>
      </c>
      <c r="M58">
        <v>366</v>
      </c>
      <c r="N58">
        <v>230</v>
      </c>
      <c r="O58">
        <v>82</v>
      </c>
      <c r="P58">
        <v>451</v>
      </c>
      <c r="Q58">
        <v>574</v>
      </c>
      <c r="R58">
        <v>57</v>
      </c>
    </row>
    <row r="59" spans="1:18">
      <c r="A59" s="1" t="s">
        <v>62</v>
      </c>
      <c r="B59">
        <v>30</v>
      </c>
      <c r="C59">
        <v>20</v>
      </c>
      <c r="D59">
        <v>10</v>
      </c>
      <c r="E59">
        <v>-7.09</v>
      </c>
      <c r="F59">
        <v>2144</v>
      </c>
      <c r="G59">
        <v>761</v>
      </c>
      <c r="H59">
        <v>1650</v>
      </c>
      <c r="I59">
        <v>381</v>
      </c>
      <c r="J59">
        <v>512</v>
      </c>
      <c r="K59">
        <v>340</v>
      </c>
      <c r="L59">
        <v>988</v>
      </c>
      <c r="M59">
        <v>460</v>
      </c>
      <c r="N59">
        <v>228</v>
      </c>
      <c r="O59">
        <v>64</v>
      </c>
      <c r="P59">
        <v>408</v>
      </c>
      <c r="Q59">
        <v>539</v>
      </c>
      <c r="R59">
        <v>58</v>
      </c>
    </row>
    <row r="60" spans="1:18">
      <c r="A60" s="1" t="s">
        <v>63</v>
      </c>
      <c r="B60">
        <v>29</v>
      </c>
      <c r="C60">
        <v>10</v>
      </c>
      <c r="D60">
        <v>19</v>
      </c>
      <c r="E60">
        <v>-5.61</v>
      </c>
      <c r="F60">
        <v>1690</v>
      </c>
      <c r="G60">
        <v>597</v>
      </c>
      <c r="H60">
        <v>1467</v>
      </c>
      <c r="I60">
        <v>313</v>
      </c>
      <c r="J60">
        <v>461</v>
      </c>
      <c r="K60">
        <v>312</v>
      </c>
      <c r="L60">
        <v>939</v>
      </c>
      <c r="M60">
        <v>311</v>
      </c>
      <c r="N60">
        <v>170</v>
      </c>
      <c r="O60">
        <v>83</v>
      </c>
      <c r="P60">
        <v>460</v>
      </c>
      <c r="Q60">
        <v>545</v>
      </c>
      <c r="R60">
        <v>59</v>
      </c>
    </row>
    <row r="61" spans="1:18">
      <c r="A61" s="1" t="s">
        <v>64</v>
      </c>
      <c r="B61">
        <v>28</v>
      </c>
      <c r="C61">
        <v>17</v>
      </c>
      <c r="D61">
        <v>11</v>
      </c>
      <c r="E61">
        <v>-5.83</v>
      </c>
      <c r="F61">
        <v>2052</v>
      </c>
      <c r="G61">
        <v>745</v>
      </c>
      <c r="H61">
        <v>1690</v>
      </c>
      <c r="I61">
        <v>407</v>
      </c>
      <c r="J61">
        <v>622</v>
      </c>
      <c r="K61">
        <v>451</v>
      </c>
      <c r="L61">
        <v>1172</v>
      </c>
      <c r="M61">
        <v>375</v>
      </c>
      <c r="N61">
        <v>225</v>
      </c>
      <c r="O61">
        <v>74</v>
      </c>
      <c r="P61">
        <v>457</v>
      </c>
      <c r="Q61">
        <v>517</v>
      </c>
      <c r="R61">
        <v>60</v>
      </c>
    </row>
    <row r="62" spans="1:18">
      <c r="A62" s="1" t="s">
        <v>65</v>
      </c>
      <c r="B62">
        <v>31</v>
      </c>
      <c r="C62">
        <v>16</v>
      </c>
      <c r="D62">
        <v>15</v>
      </c>
      <c r="E62">
        <v>4.2699999999999996</v>
      </c>
      <c r="F62">
        <v>2294</v>
      </c>
      <c r="G62">
        <v>801</v>
      </c>
      <c r="H62">
        <v>1630</v>
      </c>
      <c r="I62">
        <v>507</v>
      </c>
      <c r="J62">
        <v>704</v>
      </c>
      <c r="K62">
        <v>321</v>
      </c>
      <c r="L62">
        <v>1056</v>
      </c>
      <c r="M62">
        <v>479</v>
      </c>
      <c r="N62">
        <v>224</v>
      </c>
      <c r="O62">
        <v>202</v>
      </c>
      <c r="P62">
        <v>528</v>
      </c>
      <c r="Q62">
        <v>614</v>
      </c>
      <c r="R62">
        <v>61</v>
      </c>
    </row>
    <row r="63" spans="1:18">
      <c r="A63" s="1" t="s">
        <v>66</v>
      </c>
      <c r="B63">
        <v>30</v>
      </c>
      <c r="C63">
        <v>20</v>
      </c>
      <c r="D63">
        <v>10</v>
      </c>
      <c r="E63">
        <v>4.57</v>
      </c>
      <c r="F63">
        <v>2305</v>
      </c>
      <c r="G63">
        <v>834</v>
      </c>
      <c r="H63">
        <v>1920</v>
      </c>
      <c r="I63">
        <v>397</v>
      </c>
      <c r="J63">
        <v>615</v>
      </c>
      <c r="K63">
        <v>476</v>
      </c>
      <c r="L63">
        <v>1227</v>
      </c>
      <c r="M63">
        <v>497</v>
      </c>
      <c r="N63">
        <v>254</v>
      </c>
      <c r="O63">
        <v>174</v>
      </c>
      <c r="P63">
        <v>420</v>
      </c>
      <c r="Q63">
        <v>588</v>
      </c>
      <c r="R63">
        <v>62</v>
      </c>
    </row>
    <row r="64" spans="1:18">
      <c r="A64" s="1" t="s">
        <v>67</v>
      </c>
      <c r="B64">
        <v>27</v>
      </c>
      <c r="C64">
        <v>11</v>
      </c>
      <c r="D64">
        <v>16</v>
      </c>
      <c r="E64">
        <v>-6.32</v>
      </c>
      <c r="F64">
        <v>1729</v>
      </c>
      <c r="G64">
        <v>604</v>
      </c>
      <c r="H64">
        <v>1366</v>
      </c>
      <c r="I64">
        <v>360</v>
      </c>
      <c r="J64">
        <v>490</v>
      </c>
      <c r="K64">
        <v>281</v>
      </c>
      <c r="L64">
        <v>923</v>
      </c>
      <c r="M64">
        <v>339</v>
      </c>
      <c r="N64">
        <v>139</v>
      </c>
      <c r="O64">
        <v>50</v>
      </c>
      <c r="P64">
        <v>455</v>
      </c>
      <c r="Q64">
        <v>558</v>
      </c>
      <c r="R64">
        <v>63</v>
      </c>
    </row>
    <row r="65" spans="1:18">
      <c r="A65" s="1" t="s">
        <v>275</v>
      </c>
      <c r="B65">
        <v>34</v>
      </c>
      <c r="C65">
        <v>30</v>
      </c>
      <c r="D65">
        <v>4</v>
      </c>
      <c r="E65">
        <v>6.57</v>
      </c>
      <c r="F65">
        <v>2781</v>
      </c>
      <c r="G65">
        <v>988</v>
      </c>
      <c r="H65">
        <v>2088</v>
      </c>
      <c r="I65">
        <v>617</v>
      </c>
      <c r="J65">
        <v>874</v>
      </c>
      <c r="K65">
        <v>533</v>
      </c>
      <c r="L65">
        <v>1488</v>
      </c>
      <c r="M65">
        <v>541</v>
      </c>
      <c r="N65">
        <v>225</v>
      </c>
      <c r="O65">
        <v>298</v>
      </c>
      <c r="P65">
        <v>489</v>
      </c>
      <c r="Q65">
        <v>531</v>
      </c>
      <c r="R65">
        <v>64</v>
      </c>
    </row>
    <row r="66" spans="1:18">
      <c r="A66" s="1" t="s">
        <v>68</v>
      </c>
      <c r="B66">
        <v>30</v>
      </c>
      <c r="C66">
        <v>12</v>
      </c>
      <c r="D66">
        <v>18</v>
      </c>
      <c r="E66">
        <v>-6.07</v>
      </c>
      <c r="F66">
        <v>1919</v>
      </c>
      <c r="G66">
        <v>667</v>
      </c>
      <c r="H66">
        <v>1668</v>
      </c>
      <c r="I66">
        <v>412</v>
      </c>
      <c r="J66">
        <v>599</v>
      </c>
      <c r="K66">
        <v>306</v>
      </c>
      <c r="L66">
        <v>921</v>
      </c>
      <c r="M66">
        <v>293</v>
      </c>
      <c r="N66">
        <v>240</v>
      </c>
      <c r="O66">
        <v>53</v>
      </c>
      <c r="P66">
        <v>391</v>
      </c>
      <c r="Q66">
        <v>552</v>
      </c>
      <c r="R66">
        <v>65</v>
      </c>
    </row>
    <row r="67" spans="1:18">
      <c r="A67" s="1" t="s">
        <v>69</v>
      </c>
      <c r="B67">
        <v>28</v>
      </c>
      <c r="C67">
        <v>13</v>
      </c>
      <c r="D67">
        <v>15</v>
      </c>
      <c r="E67">
        <v>-5.19</v>
      </c>
      <c r="F67">
        <v>1762</v>
      </c>
      <c r="G67">
        <v>616</v>
      </c>
      <c r="H67">
        <v>1446</v>
      </c>
      <c r="I67">
        <v>334</v>
      </c>
      <c r="J67">
        <v>468</v>
      </c>
      <c r="K67">
        <v>267</v>
      </c>
      <c r="L67">
        <v>901</v>
      </c>
      <c r="M67">
        <v>358</v>
      </c>
      <c r="N67">
        <v>199</v>
      </c>
      <c r="O67">
        <v>72</v>
      </c>
      <c r="P67">
        <v>392</v>
      </c>
      <c r="Q67">
        <v>507</v>
      </c>
      <c r="R67">
        <v>66</v>
      </c>
    </row>
    <row r="68" spans="1:18">
      <c r="A68" s="1" t="s">
        <v>326</v>
      </c>
      <c r="B68">
        <v>30</v>
      </c>
      <c r="C68">
        <v>20</v>
      </c>
      <c r="D68">
        <v>10</v>
      </c>
      <c r="E68">
        <v>4.88</v>
      </c>
      <c r="F68">
        <v>1982</v>
      </c>
      <c r="G68">
        <v>659</v>
      </c>
      <c r="H68">
        <v>1573</v>
      </c>
      <c r="I68">
        <v>450</v>
      </c>
      <c r="J68">
        <v>653</v>
      </c>
      <c r="K68">
        <v>342</v>
      </c>
      <c r="L68">
        <v>1033</v>
      </c>
      <c r="M68">
        <v>398</v>
      </c>
      <c r="N68">
        <v>236</v>
      </c>
      <c r="O68">
        <v>94</v>
      </c>
      <c r="P68">
        <v>400</v>
      </c>
      <c r="Q68">
        <v>502</v>
      </c>
      <c r="R68">
        <v>67</v>
      </c>
    </row>
    <row r="69" spans="1:18">
      <c r="A69" s="1" t="s">
        <v>70</v>
      </c>
      <c r="B69">
        <v>27</v>
      </c>
      <c r="C69">
        <v>6</v>
      </c>
      <c r="D69">
        <v>21</v>
      </c>
      <c r="E69">
        <v>-5.43</v>
      </c>
      <c r="F69">
        <v>1632</v>
      </c>
      <c r="G69">
        <v>609</v>
      </c>
      <c r="H69">
        <v>1470</v>
      </c>
      <c r="I69">
        <v>247</v>
      </c>
      <c r="J69">
        <v>356</v>
      </c>
      <c r="K69">
        <v>286</v>
      </c>
      <c r="L69">
        <v>838</v>
      </c>
      <c r="M69">
        <v>330</v>
      </c>
      <c r="N69">
        <v>189</v>
      </c>
      <c r="O69">
        <v>95</v>
      </c>
      <c r="P69">
        <v>368</v>
      </c>
      <c r="Q69">
        <v>536</v>
      </c>
      <c r="R69">
        <v>68</v>
      </c>
    </row>
    <row r="70" spans="1:18">
      <c r="A70" s="1" t="s">
        <v>71</v>
      </c>
      <c r="B70">
        <v>31</v>
      </c>
      <c r="C70">
        <v>20</v>
      </c>
      <c r="D70">
        <v>11</v>
      </c>
      <c r="E70">
        <v>-3.04</v>
      </c>
      <c r="F70">
        <v>2403</v>
      </c>
      <c r="G70">
        <v>855</v>
      </c>
      <c r="H70">
        <v>1885</v>
      </c>
      <c r="I70">
        <v>416</v>
      </c>
      <c r="J70">
        <v>547</v>
      </c>
      <c r="K70">
        <v>393</v>
      </c>
      <c r="L70">
        <v>1215</v>
      </c>
      <c r="M70">
        <v>567</v>
      </c>
      <c r="N70">
        <v>151</v>
      </c>
      <c r="O70">
        <v>51</v>
      </c>
      <c r="P70">
        <v>399</v>
      </c>
      <c r="Q70">
        <v>570</v>
      </c>
      <c r="R70">
        <v>69</v>
      </c>
    </row>
    <row r="71" spans="1:18">
      <c r="A71" s="1" t="s">
        <v>276</v>
      </c>
      <c r="B71">
        <v>31</v>
      </c>
      <c r="C71">
        <v>14</v>
      </c>
      <c r="D71">
        <v>17</v>
      </c>
      <c r="E71">
        <v>2.04</v>
      </c>
      <c r="F71">
        <v>1964</v>
      </c>
      <c r="G71">
        <v>715</v>
      </c>
      <c r="H71">
        <v>1669</v>
      </c>
      <c r="I71">
        <v>347</v>
      </c>
      <c r="J71">
        <v>520</v>
      </c>
      <c r="K71">
        <v>379</v>
      </c>
      <c r="L71">
        <v>1113</v>
      </c>
      <c r="M71">
        <v>411</v>
      </c>
      <c r="N71">
        <v>154</v>
      </c>
      <c r="O71">
        <v>87</v>
      </c>
      <c r="P71">
        <v>434</v>
      </c>
      <c r="Q71">
        <v>589</v>
      </c>
      <c r="R71">
        <v>70</v>
      </c>
    </row>
    <row r="72" spans="1:18">
      <c r="A72" s="1" t="s">
        <v>72</v>
      </c>
      <c r="B72">
        <v>35</v>
      </c>
      <c r="C72">
        <v>21</v>
      </c>
      <c r="D72">
        <v>14</v>
      </c>
      <c r="E72">
        <v>-6.22</v>
      </c>
      <c r="F72">
        <v>2014</v>
      </c>
      <c r="G72">
        <v>690</v>
      </c>
      <c r="H72">
        <v>1597</v>
      </c>
      <c r="I72">
        <v>427</v>
      </c>
      <c r="J72">
        <v>636</v>
      </c>
      <c r="K72">
        <v>337</v>
      </c>
      <c r="L72">
        <v>918</v>
      </c>
      <c r="M72">
        <v>373</v>
      </c>
      <c r="N72">
        <v>270</v>
      </c>
      <c r="O72">
        <v>91</v>
      </c>
      <c r="P72">
        <v>450</v>
      </c>
      <c r="Q72">
        <v>553</v>
      </c>
      <c r="R72">
        <v>71</v>
      </c>
    </row>
    <row r="73" spans="1:18">
      <c r="A73" s="1" t="s">
        <v>73</v>
      </c>
      <c r="B73">
        <v>30</v>
      </c>
      <c r="C73">
        <v>9</v>
      </c>
      <c r="D73">
        <v>21</v>
      </c>
      <c r="E73">
        <v>-0.54</v>
      </c>
      <c r="F73">
        <v>1983</v>
      </c>
      <c r="G73">
        <v>689</v>
      </c>
      <c r="H73">
        <v>1679</v>
      </c>
      <c r="I73">
        <v>391</v>
      </c>
      <c r="J73">
        <v>603</v>
      </c>
      <c r="K73">
        <v>366</v>
      </c>
      <c r="L73">
        <v>1067</v>
      </c>
      <c r="M73">
        <v>389</v>
      </c>
      <c r="N73">
        <v>229</v>
      </c>
      <c r="O73">
        <v>107</v>
      </c>
      <c r="P73">
        <v>486</v>
      </c>
      <c r="Q73">
        <v>637</v>
      </c>
      <c r="R73">
        <v>72</v>
      </c>
    </row>
    <row r="74" spans="1:18">
      <c r="A74" s="1" t="s">
        <v>74</v>
      </c>
      <c r="B74">
        <v>31</v>
      </c>
      <c r="C74">
        <v>16</v>
      </c>
      <c r="D74">
        <v>15</v>
      </c>
      <c r="E74">
        <v>-1.42</v>
      </c>
      <c r="F74">
        <v>2060</v>
      </c>
      <c r="G74">
        <v>723</v>
      </c>
      <c r="H74">
        <v>1629</v>
      </c>
      <c r="I74">
        <v>437</v>
      </c>
      <c r="J74">
        <v>583</v>
      </c>
      <c r="K74">
        <v>287</v>
      </c>
      <c r="L74">
        <v>1086</v>
      </c>
      <c r="M74">
        <v>412</v>
      </c>
      <c r="N74">
        <v>151</v>
      </c>
      <c r="O74">
        <v>129</v>
      </c>
      <c r="P74">
        <v>461</v>
      </c>
      <c r="Q74">
        <v>475</v>
      </c>
      <c r="R74">
        <v>73</v>
      </c>
    </row>
    <row r="75" spans="1:18">
      <c r="A75" s="1" t="s">
        <v>277</v>
      </c>
      <c r="B75">
        <v>27</v>
      </c>
      <c r="C75">
        <v>12</v>
      </c>
      <c r="D75">
        <v>15</v>
      </c>
      <c r="E75">
        <v>8.74</v>
      </c>
      <c r="F75">
        <v>1752</v>
      </c>
      <c r="G75">
        <v>641</v>
      </c>
      <c r="H75">
        <v>1459</v>
      </c>
      <c r="I75">
        <v>326</v>
      </c>
      <c r="J75">
        <v>466</v>
      </c>
      <c r="K75">
        <v>295</v>
      </c>
      <c r="L75">
        <v>900</v>
      </c>
      <c r="M75">
        <v>341</v>
      </c>
      <c r="N75">
        <v>148</v>
      </c>
      <c r="O75">
        <v>105</v>
      </c>
      <c r="P75">
        <v>327</v>
      </c>
      <c r="Q75">
        <v>413</v>
      </c>
      <c r="R75">
        <v>74</v>
      </c>
    </row>
    <row r="76" spans="1:18">
      <c r="A76" s="1" t="s">
        <v>75</v>
      </c>
      <c r="B76">
        <v>32</v>
      </c>
      <c r="C76">
        <v>16</v>
      </c>
      <c r="D76">
        <v>16</v>
      </c>
      <c r="E76">
        <v>7.0000000000000007E-2</v>
      </c>
      <c r="F76">
        <v>2034</v>
      </c>
      <c r="G76">
        <v>759</v>
      </c>
      <c r="H76">
        <v>1707</v>
      </c>
      <c r="I76">
        <v>366</v>
      </c>
      <c r="J76">
        <v>525</v>
      </c>
      <c r="K76">
        <v>402</v>
      </c>
      <c r="L76">
        <v>1084</v>
      </c>
      <c r="M76">
        <v>382</v>
      </c>
      <c r="N76">
        <v>152</v>
      </c>
      <c r="O76">
        <v>105</v>
      </c>
      <c r="P76">
        <v>436</v>
      </c>
      <c r="Q76">
        <v>600</v>
      </c>
      <c r="R76">
        <v>75</v>
      </c>
    </row>
    <row r="77" spans="1:18">
      <c r="A77" s="1" t="s">
        <v>76</v>
      </c>
      <c r="B77">
        <v>31</v>
      </c>
      <c r="C77">
        <v>12</v>
      </c>
      <c r="D77">
        <v>19</v>
      </c>
      <c r="E77">
        <v>5.48</v>
      </c>
      <c r="F77">
        <v>2139</v>
      </c>
      <c r="G77">
        <v>745</v>
      </c>
      <c r="H77">
        <v>1723</v>
      </c>
      <c r="I77">
        <v>492</v>
      </c>
      <c r="J77">
        <v>688</v>
      </c>
      <c r="K77">
        <v>442</v>
      </c>
      <c r="L77">
        <v>1116</v>
      </c>
      <c r="M77">
        <v>402</v>
      </c>
      <c r="N77">
        <v>277</v>
      </c>
      <c r="O77">
        <v>79</v>
      </c>
      <c r="P77">
        <v>490</v>
      </c>
      <c r="Q77">
        <v>516</v>
      </c>
      <c r="R77">
        <v>76</v>
      </c>
    </row>
    <row r="78" spans="1:18">
      <c r="A78" s="1" t="s">
        <v>77</v>
      </c>
      <c r="B78">
        <v>31</v>
      </c>
      <c r="C78">
        <v>15</v>
      </c>
      <c r="D78">
        <v>16</v>
      </c>
      <c r="E78">
        <v>1.17</v>
      </c>
      <c r="F78">
        <v>1930</v>
      </c>
      <c r="G78">
        <v>680</v>
      </c>
      <c r="H78">
        <v>1745</v>
      </c>
      <c r="I78">
        <v>395</v>
      </c>
      <c r="J78">
        <v>589</v>
      </c>
      <c r="K78">
        <v>429</v>
      </c>
      <c r="L78">
        <v>1183</v>
      </c>
      <c r="M78">
        <v>366</v>
      </c>
      <c r="N78">
        <v>208</v>
      </c>
      <c r="O78">
        <v>164</v>
      </c>
      <c r="P78">
        <v>418</v>
      </c>
      <c r="Q78">
        <v>561</v>
      </c>
      <c r="R78">
        <v>77</v>
      </c>
    </row>
    <row r="79" spans="1:18">
      <c r="A79" s="1" t="s">
        <v>373</v>
      </c>
      <c r="B79">
        <v>36</v>
      </c>
      <c r="C79">
        <v>32</v>
      </c>
      <c r="D79">
        <v>4</v>
      </c>
      <c r="E79">
        <v>8.77</v>
      </c>
      <c r="F79">
        <v>2921</v>
      </c>
      <c r="G79">
        <v>979</v>
      </c>
      <c r="H79">
        <v>2011</v>
      </c>
      <c r="I79">
        <v>689</v>
      </c>
      <c r="J79">
        <v>905</v>
      </c>
      <c r="K79">
        <v>350</v>
      </c>
      <c r="L79">
        <v>1204</v>
      </c>
      <c r="M79">
        <v>546</v>
      </c>
      <c r="N79">
        <v>337</v>
      </c>
      <c r="O79">
        <v>202</v>
      </c>
      <c r="P79">
        <v>496</v>
      </c>
      <c r="Q79">
        <v>621</v>
      </c>
      <c r="R79">
        <v>78</v>
      </c>
    </row>
    <row r="80" spans="1:18">
      <c r="A80" s="1" t="s">
        <v>78</v>
      </c>
      <c r="B80">
        <v>27</v>
      </c>
      <c r="C80">
        <v>3</v>
      </c>
      <c r="D80">
        <v>24</v>
      </c>
      <c r="E80">
        <v>1.0900000000000001</v>
      </c>
      <c r="F80">
        <v>1786</v>
      </c>
      <c r="G80">
        <v>650</v>
      </c>
      <c r="H80">
        <v>1536</v>
      </c>
      <c r="I80">
        <v>320</v>
      </c>
      <c r="J80">
        <v>438</v>
      </c>
      <c r="K80">
        <v>290</v>
      </c>
      <c r="L80">
        <v>877</v>
      </c>
      <c r="M80">
        <v>396</v>
      </c>
      <c r="N80">
        <v>122</v>
      </c>
      <c r="O80">
        <v>92</v>
      </c>
      <c r="P80">
        <v>382</v>
      </c>
      <c r="Q80">
        <v>514</v>
      </c>
      <c r="R80">
        <v>79</v>
      </c>
    </row>
    <row r="81" spans="1:18">
      <c r="A81" s="1" t="s">
        <v>79</v>
      </c>
      <c r="B81">
        <v>28</v>
      </c>
      <c r="C81">
        <v>8</v>
      </c>
      <c r="D81">
        <v>20</v>
      </c>
      <c r="E81">
        <v>-1.27</v>
      </c>
      <c r="F81">
        <v>1747</v>
      </c>
      <c r="G81">
        <v>586</v>
      </c>
      <c r="H81">
        <v>1483</v>
      </c>
      <c r="I81">
        <v>402</v>
      </c>
      <c r="J81">
        <v>627</v>
      </c>
      <c r="K81">
        <v>344</v>
      </c>
      <c r="L81">
        <v>975</v>
      </c>
      <c r="M81">
        <v>376</v>
      </c>
      <c r="N81">
        <v>196</v>
      </c>
      <c r="O81">
        <v>46</v>
      </c>
      <c r="P81">
        <v>434</v>
      </c>
      <c r="Q81">
        <v>531</v>
      </c>
      <c r="R81">
        <v>80</v>
      </c>
    </row>
    <row r="82" spans="1:18">
      <c r="A82" s="1" t="s">
        <v>80</v>
      </c>
      <c r="B82">
        <v>28</v>
      </c>
      <c r="C82">
        <v>15</v>
      </c>
      <c r="D82">
        <v>13</v>
      </c>
      <c r="E82">
        <v>-9.14</v>
      </c>
      <c r="F82">
        <v>2284</v>
      </c>
      <c r="G82">
        <v>862</v>
      </c>
      <c r="H82">
        <v>1827</v>
      </c>
      <c r="I82">
        <v>397</v>
      </c>
      <c r="J82">
        <v>615</v>
      </c>
      <c r="K82">
        <v>409</v>
      </c>
      <c r="L82">
        <v>1086</v>
      </c>
      <c r="M82">
        <v>341</v>
      </c>
      <c r="N82">
        <v>288</v>
      </c>
      <c r="O82">
        <v>76</v>
      </c>
      <c r="P82">
        <v>468</v>
      </c>
      <c r="Q82">
        <v>489</v>
      </c>
      <c r="R82">
        <v>81</v>
      </c>
    </row>
    <row r="83" spans="1:18">
      <c r="A83" s="1" t="s">
        <v>81</v>
      </c>
      <c r="B83">
        <v>27</v>
      </c>
      <c r="C83">
        <v>6</v>
      </c>
      <c r="D83">
        <v>21</v>
      </c>
      <c r="E83">
        <v>-5.85</v>
      </c>
      <c r="F83">
        <v>1599</v>
      </c>
      <c r="G83">
        <v>585</v>
      </c>
      <c r="H83">
        <v>1400</v>
      </c>
      <c r="I83">
        <v>286</v>
      </c>
      <c r="J83">
        <v>389</v>
      </c>
      <c r="K83">
        <v>280</v>
      </c>
      <c r="L83">
        <v>858</v>
      </c>
      <c r="M83">
        <v>354</v>
      </c>
      <c r="N83">
        <v>175</v>
      </c>
      <c r="O83">
        <v>68</v>
      </c>
      <c r="P83">
        <v>403</v>
      </c>
      <c r="Q83">
        <v>473</v>
      </c>
      <c r="R83">
        <v>82</v>
      </c>
    </row>
    <row r="84" spans="1:18">
      <c r="A84" s="1" t="s">
        <v>82</v>
      </c>
      <c r="B84">
        <v>30</v>
      </c>
      <c r="C84">
        <v>14</v>
      </c>
      <c r="D84">
        <v>16</v>
      </c>
      <c r="E84">
        <v>-4.97</v>
      </c>
      <c r="F84">
        <v>2105</v>
      </c>
      <c r="G84">
        <v>754</v>
      </c>
      <c r="H84">
        <v>1616</v>
      </c>
      <c r="I84">
        <v>371</v>
      </c>
      <c r="J84">
        <v>542</v>
      </c>
      <c r="K84">
        <v>302</v>
      </c>
      <c r="L84">
        <v>894</v>
      </c>
      <c r="M84">
        <v>408</v>
      </c>
      <c r="N84">
        <v>217</v>
      </c>
      <c r="O84">
        <v>67</v>
      </c>
      <c r="P84">
        <v>394</v>
      </c>
      <c r="Q84">
        <v>414</v>
      </c>
      <c r="R84">
        <v>83</v>
      </c>
    </row>
    <row r="85" spans="1:18">
      <c r="A85" s="1" t="s">
        <v>83</v>
      </c>
      <c r="B85">
        <v>28</v>
      </c>
      <c r="C85">
        <v>7</v>
      </c>
      <c r="D85">
        <v>21</v>
      </c>
      <c r="E85">
        <v>-1.43</v>
      </c>
      <c r="F85">
        <v>1835</v>
      </c>
      <c r="G85">
        <v>623</v>
      </c>
      <c r="H85">
        <v>1394</v>
      </c>
      <c r="I85">
        <v>410</v>
      </c>
      <c r="J85">
        <v>574</v>
      </c>
      <c r="K85">
        <v>289</v>
      </c>
      <c r="L85">
        <v>885</v>
      </c>
      <c r="M85">
        <v>361</v>
      </c>
      <c r="N85">
        <v>168</v>
      </c>
      <c r="O85">
        <v>52</v>
      </c>
      <c r="P85">
        <v>486</v>
      </c>
      <c r="Q85">
        <v>549</v>
      </c>
      <c r="R85">
        <v>84</v>
      </c>
    </row>
    <row r="86" spans="1:18">
      <c r="A86" s="1" t="s">
        <v>84</v>
      </c>
      <c r="B86">
        <v>30</v>
      </c>
      <c r="C86">
        <v>15</v>
      </c>
      <c r="D86">
        <v>15</v>
      </c>
      <c r="E86">
        <v>-0.02</v>
      </c>
      <c r="F86">
        <v>2223</v>
      </c>
      <c r="G86">
        <v>796</v>
      </c>
      <c r="H86">
        <v>1638</v>
      </c>
      <c r="I86">
        <v>464</v>
      </c>
      <c r="J86">
        <v>680</v>
      </c>
      <c r="K86">
        <v>338</v>
      </c>
      <c r="L86">
        <v>991</v>
      </c>
      <c r="M86">
        <v>477</v>
      </c>
      <c r="N86">
        <v>203</v>
      </c>
      <c r="O86">
        <v>130</v>
      </c>
      <c r="P86">
        <v>478</v>
      </c>
      <c r="Q86">
        <v>571</v>
      </c>
      <c r="R86">
        <v>85</v>
      </c>
    </row>
    <row r="87" spans="1:18">
      <c r="A87" s="1" t="s">
        <v>85</v>
      </c>
      <c r="B87">
        <v>29</v>
      </c>
      <c r="C87">
        <v>15</v>
      </c>
      <c r="D87">
        <v>14</v>
      </c>
      <c r="E87">
        <v>-3.45</v>
      </c>
      <c r="F87">
        <v>1946</v>
      </c>
      <c r="G87">
        <v>675</v>
      </c>
      <c r="H87">
        <v>1565</v>
      </c>
      <c r="I87">
        <v>414</v>
      </c>
      <c r="J87">
        <v>608</v>
      </c>
      <c r="K87">
        <v>328</v>
      </c>
      <c r="L87">
        <v>1040</v>
      </c>
      <c r="M87">
        <v>395</v>
      </c>
      <c r="N87">
        <v>221</v>
      </c>
      <c r="O87">
        <v>82</v>
      </c>
      <c r="P87">
        <v>450</v>
      </c>
      <c r="Q87">
        <v>538</v>
      </c>
      <c r="R87">
        <v>86</v>
      </c>
    </row>
    <row r="88" spans="1:18">
      <c r="A88" s="1" t="s">
        <v>86</v>
      </c>
      <c r="B88">
        <v>29</v>
      </c>
      <c r="C88">
        <v>10</v>
      </c>
      <c r="D88">
        <v>19</v>
      </c>
      <c r="E88">
        <v>3.54</v>
      </c>
      <c r="F88">
        <v>1895</v>
      </c>
      <c r="G88">
        <v>640</v>
      </c>
      <c r="H88">
        <v>1517</v>
      </c>
      <c r="I88">
        <v>427</v>
      </c>
      <c r="J88">
        <v>590</v>
      </c>
      <c r="K88">
        <v>270</v>
      </c>
      <c r="L88">
        <v>981</v>
      </c>
      <c r="M88">
        <v>378</v>
      </c>
      <c r="N88">
        <v>135</v>
      </c>
      <c r="O88">
        <v>77</v>
      </c>
      <c r="P88">
        <v>480</v>
      </c>
      <c r="Q88">
        <v>578</v>
      </c>
      <c r="R88">
        <v>87</v>
      </c>
    </row>
    <row r="89" spans="1:18">
      <c r="A89" s="1" t="s">
        <v>87</v>
      </c>
      <c r="B89">
        <v>28</v>
      </c>
      <c r="C89">
        <v>9</v>
      </c>
      <c r="D89">
        <v>19</v>
      </c>
      <c r="E89">
        <v>-0.05</v>
      </c>
      <c r="F89">
        <v>2018</v>
      </c>
      <c r="G89">
        <v>705</v>
      </c>
      <c r="H89">
        <v>1658</v>
      </c>
      <c r="I89">
        <v>376</v>
      </c>
      <c r="J89">
        <v>503</v>
      </c>
      <c r="K89">
        <v>314</v>
      </c>
      <c r="L89">
        <v>897</v>
      </c>
      <c r="M89">
        <v>361</v>
      </c>
      <c r="N89">
        <v>192</v>
      </c>
      <c r="O89">
        <v>67</v>
      </c>
      <c r="P89">
        <v>325</v>
      </c>
      <c r="Q89">
        <v>555</v>
      </c>
      <c r="R89">
        <v>88</v>
      </c>
    </row>
    <row r="90" spans="1:18">
      <c r="A90" s="1" t="s">
        <v>88</v>
      </c>
      <c r="B90">
        <v>32</v>
      </c>
      <c r="C90">
        <v>20</v>
      </c>
      <c r="D90">
        <v>12</v>
      </c>
      <c r="E90">
        <v>-5.28</v>
      </c>
      <c r="F90">
        <v>2377</v>
      </c>
      <c r="G90">
        <v>871</v>
      </c>
      <c r="H90">
        <v>1909</v>
      </c>
      <c r="I90">
        <v>427</v>
      </c>
      <c r="J90">
        <v>662</v>
      </c>
      <c r="K90">
        <v>377</v>
      </c>
      <c r="L90">
        <v>1176</v>
      </c>
      <c r="M90">
        <v>506</v>
      </c>
      <c r="N90">
        <v>238</v>
      </c>
      <c r="O90">
        <v>203</v>
      </c>
      <c r="P90">
        <v>468</v>
      </c>
      <c r="Q90">
        <v>540</v>
      </c>
      <c r="R90">
        <v>89</v>
      </c>
    </row>
    <row r="91" spans="1:18">
      <c r="A91" s="1" t="s">
        <v>89</v>
      </c>
      <c r="B91">
        <v>31</v>
      </c>
      <c r="C91">
        <v>14</v>
      </c>
      <c r="D91">
        <v>17</v>
      </c>
      <c r="E91">
        <v>-8.06</v>
      </c>
      <c r="F91">
        <v>2072</v>
      </c>
      <c r="G91">
        <v>716</v>
      </c>
      <c r="H91">
        <v>1641</v>
      </c>
      <c r="I91">
        <v>501</v>
      </c>
      <c r="J91">
        <v>719</v>
      </c>
      <c r="L91">
        <v>1091</v>
      </c>
      <c r="M91">
        <v>320</v>
      </c>
      <c r="N91">
        <v>257</v>
      </c>
      <c r="O91">
        <v>50</v>
      </c>
      <c r="P91">
        <v>558</v>
      </c>
      <c r="Q91">
        <v>532</v>
      </c>
      <c r="R91">
        <v>90</v>
      </c>
    </row>
    <row r="92" spans="1:18">
      <c r="A92" s="1" t="s">
        <v>90</v>
      </c>
      <c r="B92">
        <v>28</v>
      </c>
      <c r="C92">
        <v>15</v>
      </c>
      <c r="D92">
        <v>13</v>
      </c>
      <c r="E92">
        <v>-8.43</v>
      </c>
      <c r="F92">
        <v>2055</v>
      </c>
      <c r="G92">
        <v>746</v>
      </c>
      <c r="H92">
        <v>1572</v>
      </c>
      <c r="I92">
        <v>347</v>
      </c>
      <c r="J92">
        <v>506</v>
      </c>
      <c r="K92">
        <v>311</v>
      </c>
      <c r="L92">
        <v>898</v>
      </c>
      <c r="M92">
        <v>441</v>
      </c>
      <c r="N92">
        <v>226</v>
      </c>
      <c r="O92">
        <v>55</v>
      </c>
      <c r="P92">
        <v>422</v>
      </c>
      <c r="Q92">
        <v>515</v>
      </c>
      <c r="R92">
        <v>91</v>
      </c>
    </row>
    <row r="93" spans="1:18">
      <c r="A93" s="1" t="s">
        <v>91</v>
      </c>
      <c r="B93">
        <v>28</v>
      </c>
      <c r="C93">
        <v>8</v>
      </c>
      <c r="D93">
        <v>20</v>
      </c>
      <c r="E93">
        <v>-7.0000000000000007E-2</v>
      </c>
      <c r="F93">
        <v>1727</v>
      </c>
      <c r="G93">
        <v>606</v>
      </c>
      <c r="H93">
        <v>1479</v>
      </c>
      <c r="I93">
        <v>353</v>
      </c>
      <c r="J93">
        <v>587</v>
      </c>
      <c r="K93">
        <v>312</v>
      </c>
      <c r="L93">
        <v>999</v>
      </c>
      <c r="M93">
        <v>334</v>
      </c>
      <c r="N93">
        <v>171</v>
      </c>
      <c r="O93">
        <v>97</v>
      </c>
      <c r="P93">
        <v>504</v>
      </c>
      <c r="Q93">
        <v>648</v>
      </c>
      <c r="R93">
        <v>92</v>
      </c>
    </row>
    <row r="94" spans="1:18">
      <c r="A94" s="1" t="s">
        <v>92</v>
      </c>
      <c r="B94">
        <v>30</v>
      </c>
      <c r="C94">
        <v>20</v>
      </c>
      <c r="D94">
        <v>10</v>
      </c>
      <c r="E94">
        <v>4.8600000000000003</v>
      </c>
      <c r="F94">
        <v>2302</v>
      </c>
      <c r="G94">
        <v>806</v>
      </c>
      <c r="H94">
        <v>1681</v>
      </c>
      <c r="I94">
        <v>506</v>
      </c>
      <c r="J94">
        <v>719</v>
      </c>
      <c r="K94">
        <v>338</v>
      </c>
      <c r="L94">
        <v>1019</v>
      </c>
      <c r="M94">
        <v>409</v>
      </c>
      <c r="N94">
        <v>262</v>
      </c>
      <c r="O94">
        <v>72</v>
      </c>
      <c r="P94">
        <v>482</v>
      </c>
      <c r="Q94">
        <v>564</v>
      </c>
      <c r="R94">
        <v>93</v>
      </c>
    </row>
    <row r="95" spans="1:18">
      <c r="A95" s="1" t="s">
        <v>347</v>
      </c>
      <c r="B95">
        <v>39</v>
      </c>
      <c r="C95">
        <v>33</v>
      </c>
      <c r="D95">
        <v>6</v>
      </c>
      <c r="E95">
        <v>5.49</v>
      </c>
      <c r="F95">
        <v>3052</v>
      </c>
      <c r="G95">
        <v>1061</v>
      </c>
      <c r="H95">
        <v>2120</v>
      </c>
      <c r="I95">
        <v>641</v>
      </c>
      <c r="J95">
        <v>862</v>
      </c>
      <c r="K95">
        <v>421</v>
      </c>
      <c r="L95">
        <v>1402</v>
      </c>
      <c r="M95">
        <v>650</v>
      </c>
      <c r="N95">
        <v>297</v>
      </c>
      <c r="O95">
        <v>207</v>
      </c>
      <c r="P95">
        <v>561</v>
      </c>
      <c r="Q95">
        <v>623</v>
      </c>
      <c r="R95">
        <v>94</v>
      </c>
    </row>
    <row r="96" spans="1:18">
      <c r="A96" s="1" t="s">
        <v>93</v>
      </c>
      <c r="B96">
        <v>32</v>
      </c>
      <c r="C96">
        <v>16</v>
      </c>
      <c r="D96">
        <v>16</v>
      </c>
      <c r="E96">
        <v>1.24</v>
      </c>
      <c r="F96">
        <v>2168</v>
      </c>
      <c r="G96">
        <v>746</v>
      </c>
      <c r="H96">
        <v>1746</v>
      </c>
      <c r="I96">
        <v>437</v>
      </c>
      <c r="J96">
        <v>637</v>
      </c>
      <c r="K96">
        <v>382</v>
      </c>
      <c r="L96">
        <v>1081</v>
      </c>
      <c r="M96">
        <v>428</v>
      </c>
      <c r="N96">
        <v>175</v>
      </c>
      <c r="O96">
        <v>121</v>
      </c>
      <c r="P96">
        <v>409</v>
      </c>
      <c r="Q96">
        <v>541</v>
      </c>
      <c r="R96">
        <v>95</v>
      </c>
    </row>
    <row r="97" spans="1:18">
      <c r="A97" s="1" t="s">
        <v>306</v>
      </c>
      <c r="B97">
        <v>28</v>
      </c>
      <c r="C97">
        <v>15</v>
      </c>
      <c r="D97">
        <v>13</v>
      </c>
      <c r="E97">
        <v>1.59</v>
      </c>
      <c r="F97">
        <v>2067</v>
      </c>
      <c r="G97">
        <v>702</v>
      </c>
      <c r="H97">
        <v>1714</v>
      </c>
      <c r="I97">
        <v>398</v>
      </c>
      <c r="J97">
        <v>560</v>
      </c>
      <c r="K97">
        <v>332</v>
      </c>
      <c r="L97">
        <v>967</v>
      </c>
      <c r="M97">
        <v>394</v>
      </c>
      <c r="N97">
        <v>229</v>
      </c>
      <c r="O97">
        <v>108</v>
      </c>
      <c r="P97">
        <v>377</v>
      </c>
      <c r="Q97">
        <v>487</v>
      </c>
      <c r="R97">
        <v>96</v>
      </c>
    </row>
    <row r="98" spans="1:18">
      <c r="A98" s="1" t="s">
        <v>94</v>
      </c>
      <c r="B98">
        <v>28</v>
      </c>
      <c r="C98">
        <v>15</v>
      </c>
      <c r="D98">
        <v>13</v>
      </c>
      <c r="E98">
        <v>-6.38</v>
      </c>
      <c r="F98">
        <v>2021</v>
      </c>
      <c r="G98">
        <v>716</v>
      </c>
      <c r="H98">
        <v>1544</v>
      </c>
      <c r="I98">
        <v>360</v>
      </c>
      <c r="J98">
        <v>497</v>
      </c>
      <c r="K98">
        <v>298</v>
      </c>
      <c r="L98">
        <v>943</v>
      </c>
      <c r="M98">
        <v>438</v>
      </c>
      <c r="N98">
        <v>208</v>
      </c>
      <c r="O98">
        <v>73</v>
      </c>
      <c r="P98">
        <v>401</v>
      </c>
      <c r="Q98">
        <v>457</v>
      </c>
      <c r="R98">
        <v>97</v>
      </c>
    </row>
    <row r="99" spans="1:18">
      <c r="A99" s="1" t="s">
        <v>318</v>
      </c>
      <c r="B99">
        <v>29</v>
      </c>
      <c r="C99">
        <v>17</v>
      </c>
      <c r="D99">
        <v>12</v>
      </c>
      <c r="E99">
        <v>-6.71</v>
      </c>
      <c r="F99">
        <v>2002</v>
      </c>
      <c r="G99">
        <v>727</v>
      </c>
      <c r="H99">
        <v>1604</v>
      </c>
      <c r="I99">
        <v>340</v>
      </c>
      <c r="J99">
        <v>447</v>
      </c>
      <c r="K99">
        <v>322</v>
      </c>
      <c r="L99">
        <v>996</v>
      </c>
      <c r="M99">
        <v>423</v>
      </c>
      <c r="N99">
        <v>183</v>
      </c>
      <c r="O99">
        <v>100</v>
      </c>
      <c r="P99">
        <v>467</v>
      </c>
      <c r="Q99">
        <v>506</v>
      </c>
      <c r="R99">
        <v>98</v>
      </c>
    </row>
    <row r="100" spans="1:18">
      <c r="A100" s="1" t="s">
        <v>95</v>
      </c>
      <c r="B100">
        <v>35</v>
      </c>
      <c r="C100">
        <v>27</v>
      </c>
      <c r="D100">
        <v>8</v>
      </c>
      <c r="E100">
        <v>2.77</v>
      </c>
      <c r="F100">
        <v>2429</v>
      </c>
      <c r="G100">
        <v>897</v>
      </c>
      <c r="H100">
        <v>1863</v>
      </c>
      <c r="I100">
        <v>429</v>
      </c>
      <c r="J100">
        <v>646</v>
      </c>
      <c r="K100">
        <v>352</v>
      </c>
      <c r="L100">
        <v>1221</v>
      </c>
      <c r="M100">
        <v>507</v>
      </c>
      <c r="N100">
        <v>249</v>
      </c>
      <c r="O100">
        <v>123</v>
      </c>
      <c r="P100">
        <v>449</v>
      </c>
      <c r="Q100">
        <v>529</v>
      </c>
      <c r="R100">
        <v>99</v>
      </c>
    </row>
    <row r="101" spans="1:18">
      <c r="A101" s="1" t="s">
        <v>96</v>
      </c>
      <c r="B101">
        <v>30</v>
      </c>
      <c r="C101">
        <v>27</v>
      </c>
      <c r="D101">
        <v>3</v>
      </c>
      <c r="E101">
        <v>-0.33</v>
      </c>
      <c r="F101">
        <v>2360</v>
      </c>
      <c r="G101">
        <v>845</v>
      </c>
      <c r="H101">
        <v>1814</v>
      </c>
      <c r="I101">
        <v>488</v>
      </c>
      <c r="J101">
        <v>755</v>
      </c>
      <c r="K101">
        <v>421</v>
      </c>
      <c r="L101">
        <v>1143</v>
      </c>
      <c r="M101">
        <v>511</v>
      </c>
      <c r="N101">
        <v>278</v>
      </c>
      <c r="O101">
        <v>135</v>
      </c>
      <c r="P101">
        <v>420</v>
      </c>
      <c r="Q101">
        <v>553</v>
      </c>
      <c r="R101">
        <v>100</v>
      </c>
    </row>
    <row r="102" spans="1:18">
      <c r="A102" s="1" t="s">
        <v>97</v>
      </c>
      <c r="B102">
        <v>33</v>
      </c>
      <c r="C102">
        <v>23</v>
      </c>
      <c r="D102">
        <v>10</v>
      </c>
      <c r="E102">
        <v>6.92</v>
      </c>
      <c r="F102">
        <v>2177</v>
      </c>
      <c r="G102">
        <v>787</v>
      </c>
      <c r="H102">
        <v>1682</v>
      </c>
      <c r="I102">
        <v>380</v>
      </c>
      <c r="J102">
        <v>538</v>
      </c>
      <c r="K102">
        <v>354</v>
      </c>
      <c r="L102">
        <v>1079</v>
      </c>
      <c r="M102">
        <v>514</v>
      </c>
      <c r="N102">
        <v>199</v>
      </c>
      <c r="O102">
        <v>119</v>
      </c>
      <c r="P102">
        <v>381</v>
      </c>
      <c r="Q102">
        <v>486</v>
      </c>
      <c r="R102">
        <v>101</v>
      </c>
    </row>
    <row r="103" spans="1:18">
      <c r="A103" s="1" t="s">
        <v>98</v>
      </c>
      <c r="B103">
        <v>30</v>
      </c>
      <c r="C103">
        <v>20</v>
      </c>
      <c r="D103">
        <v>10</v>
      </c>
      <c r="E103">
        <v>-5.8</v>
      </c>
      <c r="F103">
        <v>2325</v>
      </c>
      <c r="G103">
        <v>850</v>
      </c>
      <c r="H103">
        <v>1857</v>
      </c>
      <c r="I103">
        <v>419</v>
      </c>
      <c r="J103">
        <v>605</v>
      </c>
      <c r="K103">
        <v>371</v>
      </c>
      <c r="L103">
        <v>1076</v>
      </c>
      <c r="M103">
        <v>461</v>
      </c>
      <c r="N103">
        <v>266</v>
      </c>
      <c r="O103">
        <v>115</v>
      </c>
      <c r="P103">
        <v>468</v>
      </c>
      <c r="Q103">
        <v>621</v>
      </c>
      <c r="R103">
        <v>102</v>
      </c>
    </row>
    <row r="104" spans="1:18">
      <c r="A104" s="1" t="s">
        <v>99</v>
      </c>
      <c r="B104">
        <v>29</v>
      </c>
      <c r="C104">
        <v>7</v>
      </c>
      <c r="D104">
        <v>22</v>
      </c>
      <c r="E104">
        <v>0.59</v>
      </c>
      <c r="F104">
        <v>1888</v>
      </c>
      <c r="G104">
        <v>666</v>
      </c>
      <c r="H104">
        <v>1609</v>
      </c>
      <c r="I104">
        <v>367</v>
      </c>
      <c r="J104">
        <v>557</v>
      </c>
      <c r="K104">
        <v>336</v>
      </c>
      <c r="L104">
        <v>944</v>
      </c>
      <c r="M104">
        <v>351</v>
      </c>
      <c r="N104">
        <v>189</v>
      </c>
      <c r="O104">
        <v>106</v>
      </c>
      <c r="P104">
        <v>409</v>
      </c>
      <c r="Q104">
        <v>544</v>
      </c>
      <c r="R104">
        <v>103</v>
      </c>
    </row>
    <row r="105" spans="1:18">
      <c r="A105" s="1" t="s">
        <v>100</v>
      </c>
      <c r="B105">
        <v>28</v>
      </c>
      <c r="C105">
        <v>11</v>
      </c>
      <c r="D105">
        <v>17</v>
      </c>
      <c r="E105">
        <v>5.7</v>
      </c>
      <c r="F105">
        <v>2012</v>
      </c>
      <c r="G105">
        <v>739</v>
      </c>
      <c r="H105">
        <v>1608</v>
      </c>
      <c r="I105">
        <v>380</v>
      </c>
      <c r="J105">
        <v>570</v>
      </c>
      <c r="K105">
        <v>374</v>
      </c>
      <c r="L105">
        <v>1042</v>
      </c>
      <c r="M105">
        <v>411</v>
      </c>
      <c r="N105">
        <v>244</v>
      </c>
      <c r="O105">
        <v>116</v>
      </c>
      <c r="P105">
        <v>499</v>
      </c>
      <c r="Q105">
        <v>609</v>
      </c>
      <c r="R105">
        <v>104</v>
      </c>
    </row>
    <row r="106" spans="1:18">
      <c r="A106" s="1" t="s">
        <v>101</v>
      </c>
      <c r="B106">
        <v>30</v>
      </c>
      <c r="C106">
        <v>15</v>
      </c>
      <c r="D106">
        <v>15</v>
      </c>
      <c r="E106">
        <v>5.65</v>
      </c>
      <c r="F106">
        <v>2110</v>
      </c>
      <c r="G106">
        <v>773</v>
      </c>
      <c r="H106">
        <v>1793</v>
      </c>
      <c r="I106">
        <v>355</v>
      </c>
      <c r="J106">
        <v>545</v>
      </c>
      <c r="K106">
        <v>394</v>
      </c>
      <c r="L106">
        <v>1045</v>
      </c>
      <c r="M106">
        <v>377</v>
      </c>
      <c r="N106">
        <v>272</v>
      </c>
      <c r="O106">
        <v>134</v>
      </c>
      <c r="P106">
        <v>464</v>
      </c>
      <c r="Q106">
        <v>586</v>
      </c>
      <c r="R106">
        <v>105</v>
      </c>
    </row>
    <row r="107" spans="1:18">
      <c r="A107" s="1" t="s">
        <v>374</v>
      </c>
      <c r="B107">
        <v>33</v>
      </c>
      <c r="C107">
        <v>29</v>
      </c>
      <c r="D107">
        <v>4</v>
      </c>
      <c r="E107">
        <v>5.0199999999999996</v>
      </c>
      <c r="F107">
        <v>2643</v>
      </c>
      <c r="G107">
        <v>897</v>
      </c>
      <c r="H107">
        <v>1879</v>
      </c>
      <c r="I107">
        <v>667</v>
      </c>
      <c r="J107">
        <v>853</v>
      </c>
      <c r="K107">
        <v>411</v>
      </c>
      <c r="L107">
        <v>1239</v>
      </c>
      <c r="M107">
        <v>459</v>
      </c>
      <c r="N107">
        <v>234</v>
      </c>
      <c r="O107">
        <v>94</v>
      </c>
      <c r="P107">
        <v>434</v>
      </c>
      <c r="Q107">
        <v>625</v>
      </c>
      <c r="R107">
        <v>106</v>
      </c>
    </row>
    <row r="108" spans="1:18">
      <c r="A108" s="1" t="s">
        <v>102</v>
      </c>
      <c r="B108">
        <v>27</v>
      </c>
      <c r="C108">
        <v>14</v>
      </c>
      <c r="D108">
        <v>13</v>
      </c>
      <c r="E108">
        <v>-10.58</v>
      </c>
      <c r="F108">
        <v>1828</v>
      </c>
      <c r="G108">
        <v>676</v>
      </c>
      <c r="H108">
        <v>1614</v>
      </c>
      <c r="I108">
        <v>335</v>
      </c>
      <c r="J108">
        <v>504</v>
      </c>
      <c r="K108">
        <v>344</v>
      </c>
      <c r="L108">
        <v>1014</v>
      </c>
      <c r="M108">
        <v>295</v>
      </c>
      <c r="N108">
        <v>185</v>
      </c>
      <c r="O108">
        <v>49</v>
      </c>
      <c r="P108">
        <v>426</v>
      </c>
      <c r="Q108">
        <v>587</v>
      </c>
      <c r="R108">
        <v>107</v>
      </c>
    </row>
    <row r="109" spans="1:18">
      <c r="A109" s="1" t="s">
        <v>103</v>
      </c>
      <c r="B109">
        <v>31</v>
      </c>
      <c r="C109">
        <v>15</v>
      </c>
      <c r="D109">
        <v>16</v>
      </c>
      <c r="E109">
        <v>0.11</v>
      </c>
      <c r="F109">
        <v>2068</v>
      </c>
      <c r="G109">
        <v>733</v>
      </c>
      <c r="H109">
        <v>1690</v>
      </c>
      <c r="I109">
        <v>398</v>
      </c>
      <c r="J109">
        <v>545</v>
      </c>
      <c r="K109">
        <v>343</v>
      </c>
      <c r="L109">
        <v>1044</v>
      </c>
      <c r="M109">
        <v>358</v>
      </c>
      <c r="N109">
        <v>158</v>
      </c>
      <c r="O109">
        <v>66</v>
      </c>
      <c r="P109">
        <v>403</v>
      </c>
      <c r="Q109">
        <v>542</v>
      </c>
      <c r="R109">
        <v>108</v>
      </c>
    </row>
    <row r="110" spans="1:18">
      <c r="A110" s="1" t="s">
        <v>104</v>
      </c>
      <c r="B110">
        <v>32</v>
      </c>
      <c r="C110">
        <v>16</v>
      </c>
      <c r="D110">
        <v>16</v>
      </c>
      <c r="E110">
        <v>-12.56</v>
      </c>
      <c r="F110">
        <v>2120</v>
      </c>
      <c r="G110">
        <v>762</v>
      </c>
      <c r="H110">
        <v>1840</v>
      </c>
      <c r="I110">
        <v>419</v>
      </c>
      <c r="J110">
        <v>677</v>
      </c>
      <c r="K110">
        <v>442</v>
      </c>
      <c r="L110">
        <v>1258</v>
      </c>
      <c r="M110">
        <v>390</v>
      </c>
      <c r="N110">
        <v>241</v>
      </c>
      <c r="O110">
        <v>99</v>
      </c>
      <c r="P110">
        <v>516</v>
      </c>
      <c r="Q110">
        <v>658</v>
      </c>
      <c r="R110">
        <v>109</v>
      </c>
    </row>
    <row r="111" spans="1:18">
      <c r="A111" s="1" t="s">
        <v>105</v>
      </c>
      <c r="B111">
        <v>28</v>
      </c>
      <c r="C111">
        <v>13</v>
      </c>
      <c r="D111">
        <v>15</v>
      </c>
      <c r="E111">
        <v>-6.61</v>
      </c>
      <c r="F111">
        <v>1890</v>
      </c>
      <c r="G111">
        <v>691</v>
      </c>
      <c r="H111">
        <v>1584</v>
      </c>
      <c r="I111">
        <v>345</v>
      </c>
      <c r="J111">
        <v>543</v>
      </c>
      <c r="K111">
        <v>419</v>
      </c>
      <c r="L111">
        <v>1068</v>
      </c>
      <c r="M111">
        <v>342</v>
      </c>
      <c r="N111">
        <v>203</v>
      </c>
      <c r="O111">
        <v>75</v>
      </c>
      <c r="P111">
        <v>448</v>
      </c>
      <c r="Q111">
        <v>532</v>
      </c>
      <c r="R111">
        <v>110</v>
      </c>
    </row>
    <row r="112" spans="1:18">
      <c r="A112" s="1" t="s">
        <v>106</v>
      </c>
      <c r="B112">
        <v>27</v>
      </c>
      <c r="C112">
        <v>13</v>
      </c>
      <c r="D112">
        <v>14</v>
      </c>
      <c r="E112">
        <v>-5.4</v>
      </c>
      <c r="F112">
        <v>1807</v>
      </c>
      <c r="G112">
        <v>603</v>
      </c>
      <c r="H112">
        <v>1466</v>
      </c>
      <c r="I112">
        <v>456</v>
      </c>
      <c r="J112">
        <v>612</v>
      </c>
      <c r="K112">
        <v>344</v>
      </c>
      <c r="L112">
        <v>949</v>
      </c>
      <c r="M112">
        <v>310</v>
      </c>
      <c r="N112">
        <v>201</v>
      </c>
      <c r="O112">
        <v>111</v>
      </c>
      <c r="P112">
        <v>456</v>
      </c>
      <c r="Q112">
        <v>444</v>
      </c>
      <c r="R112">
        <v>111</v>
      </c>
    </row>
    <row r="113" spans="1:18">
      <c r="A113" s="1" t="s">
        <v>107</v>
      </c>
      <c r="B113">
        <v>28</v>
      </c>
      <c r="C113">
        <v>17</v>
      </c>
      <c r="D113">
        <v>11</v>
      </c>
      <c r="E113">
        <v>2.29</v>
      </c>
      <c r="F113">
        <v>1893</v>
      </c>
      <c r="G113">
        <v>705</v>
      </c>
      <c r="H113">
        <v>1532</v>
      </c>
      <c r="I113">
        <v>337</v>
      </c>
      <c r="J113">
        <v>531</v>
      </c>
      <c r="K113">
        <v>314</v>
      </c>
      <c r="L113">
        <v>966</v>
      </c>
      <c r="M113">
        <v>415</v>
      </c>
      <c r="N113">
        <v>176</v>
      </c>
      <c r="O113">
        <v>166</v>
      </c>
      <c r="P113">
        <v>375</v>
      </c>
      <c r="Q113">
        <v>452</v>
      </c>
      <c r="R113">
        <v>112</v>
      </c>
    </row>
    <row r="114" spans="1:18">
      <c r="A114" s="1" t="s">
        <v>108</v>
      </c>
      <c r="B114">
        <v>29</v>
      </c>
      <c r="C114">
        <v>16</v>
      </c>
      <c r="D114">
        <v>13</v>
      </c>
      <c r="E114">
        <v>-6.4</v>
      </c>
      <c r="F114">
        <v>2187</v>
      </c>
      <c r="G114">
        <v>792</v>
      </c>
      <c r="H114">
        <v>1714</v>
      </c>
      <c r="I114">
        <v>404</v>
      </c>
      <c r="J114">
        <v>597</v>
      </c>
      <c r="K114">
        <v>326</v>
      </c>
      <c r="L114">
        <v>1015</v>
      </c>
      <c r="M114">
        <v>427</v>
      </c>
      <c r="N114">
        <v>255</v>
      </c>
      <c r="O114">
        <v>111</v>
      </c>
      <c r="P114">
        <v>465</v>
      </c>
      <c r="Q114">
        <v>586</v>
      </c>
      <c r="R114">
        <v>113</v>
      </c>
    </row>
    <row r="115" spans="1:18">
      <c r="A115" s="1" t="s">
        <v>307</v>
      </c>
      <c r="B115">
        <v>33</v>
      </c>
      <c r="C115">
        <v>26</v>
      </c>
      <c r="D115">
        <v>7</v>
      </c>
      <c r="E115">
        <v>0.93</v>
      </c>
      <c r="F115">
        <v>2405</v>
      </c>
      <c r="G115">
        <v>875</v>
      </c>
      <c r="H115">
        <v>1902</v>
      </c>
      <c r="I115">
        <v>441</v>
      </c>
      <c r="J115">
        <v>681</v>
      </c>
      <c r="K115">
        <v>417</v>
      </c>
      <c r="L115">
        <v>1197</v>
      </c>
      <c r="M115">
        <v>446</v>
      </c>
      <c r="N115">
        <v>245</v>
      </c>
      <c r="O115">
        <v>153</v>
      </c>
      <c r="P115">
        <v>447</v>
      </c>
      <c r="Q115">
        <v>572</v>
      </c>
      <c r="R115">
        <v>114</v>
      </c>
    </row>
    <row r="116" spans="1:18">
      <c r="A116" s="1" t="s">
        <v>109</v>
      </c>
      <c r="B116">
        <v>32</v>
      </c>
      <c r="C116">
        <v>20</v>
      </c>
      <c r="D116">
        <v>12</v>
      </c>
      <c r="E116">
        <v>-3.7</v>
      </c>
      <c r="F116">
        <v>2124</v>
      </c>
      <c r="G116">
        <v>718</v>
      </c>
      <c r="H116">
        <v>1693</v>
      </c>
      <c r="I116">
        <v>486</v>
      </c>
      <c r="J116">
        <v>677</v>
      </c>
      <c r="K116">
        <v>375</v>
      </c>
      <c r="L116">
        <v>1135</v>
      </c>
      <c r="M116">
        <v>448</v>
      </c>
      <c r="N116">
        <v>290</v>
      </c>
      <c r="O116">
        <v>111</v>
      </c>
      <c r="P116">
        <v>498</v>
      </c>
      <c r="Q116">
        <v>621</v>
      </c>
      <c r="R116">
        <v>115</v>
      </c>
    </row>
    <row r="117" spans="1:18">
      <c r="A117" s="1" t="s">
        <v>110</v>
      </c>
      <c r="B117">
        <v>31</v>
      </c>
      <c r="C117">
        <v>21</v>
      </c>
      <c r="D117">
        <v>10</v>
      </c>
      <c r="E117">
        <v>1.97</v>
      </c>
      <c r="F117">
        <v>2245</v>
      </c>
      <c r="G117">
        <v>776</v>
      </c>
      <c r="H117">
        <v>1908</v>
      </c>
      <c r="I117">
        <v>407</v>
      </c>
      <c r="J117">
        <v>631</v>
      </c>
      <c r="K117">
        <v>408</v>
      </c>
      <c r="L117">
        <v>1071</v>
      </c>
      <c r="M117">
        <v>450</v>
      </c>
      <c r="N117">
        <v>385</v>
      </c>
      <c r="O117">
        <v>127</v>
      </c>
      <c r="P117">
        <v>406</v>
      </c>
      <c r="Q117">
        <v>616</v>
      </c>
      <c r="R117">
        <v>116</v>
      </c>
    </row>
    <row r="118" spans="1:18">
      <c r="A118" s="1" t="s">
        <v>111</v>
      </c>
      <c r="B118">
        <v>29</v>
      </c>
      <c r="C118">
        <v>7</v>
      </c>
      <c r="D118">
        <v>22</v>
      </c>
      <c r="E118">
        <v>-10.37</v>
      </c>
      <c r="F118">
        <v>1883</v>
      </c>
      <c r="G118">
        <v>652</v>
      </c>
      <c r="H118">
        <v>1550</v>
      </c>
      <c r="I118">
        <v>400</v>
      </c>
      <c r="J118">
        <v>533</v>
      </c>
      <c r="K118">
        <v>308</v>
      </c>
      <c r="L118">
        <v>870</v>
      </c>
      <c r="M118">
        <v>334</v>
      </c>
      <c r="N118">
        <v>234</v>
      </c>
      <c r="O118">
        <v>74</v>
      </c>
      <c r="P118">
        <v>473</v>
      </c>
      <c r="Q118">
        <v>547</v>
      </c>
      <c r="R118">
        <v>117</v>
      </c>
    </row>
    <row r="119" spans="1:18">
      <c r="A119" s="1" t="s">
        <v>112</v>
      </c>
      <c r="B119">
        <v>27</v>
      </c>
      <c r="C119">
        <v>13</v>
      </c>
      <c r="D119">
        <v>14</v>
      </c>
      <c r="E119">
        <v>-1.22</v>
      </c>
      <c r="F119">
        <v>2125</v>
      </c>
      <c r="G119">
        <v>722</v>
      </c>
      <c r="H119">
        <v>1577</v>
      </c>
      <c r="I119">
        <v>485</v>
      </c>
      <c r="J119">
        <v>666</v>
      </c>
      <c r="K119">
        <v>329</v>
      </c>
      <c r="L119">
        <v>1018</v>
      </c>
      <c r="M119">
        <v>402</v>
      </c>
      <c r="N119">
        <v>151</v>
      </c>
      <c r="O119">
        <v>179</v>
      </c>
      <c r="P119">
        <v>435</v>
      </c>
      <c r="Q119">
        <v>530</v>
      </c>
      <c r="R119">
        <v>118</v>
      </c>
    </row>
    <row r="120" spans="1:18">
      <c r="A120" s="1" t="s">
        <v>113</v>
      </c>
      <c r="B120">
        <v>29</v>
      </c>
      <c r="C120">
        <v>4</v>
      </c>
      <c r="D120">
        <v>25</v>
      </c>
      <c r="E120">
        <v>3.28</v>
      </c>
      <c r="F120">
        <v>1752</v>
      </c>
      <c r="G120">
        <v>646</v>
      </c>
      <c r="H120">
        <v>1583</v>
      </c>
      <c r="I120">
        <v>295</v>
      </c>
      <c r="J120">
        <v>450</v>
      </c>
      <c r="K120">
        <v>319</v>
      </c>
      <c r="L120">
        <v>890</v>
      </c>
      <c r="M120">
        <v>282</v>
      </c>
      <c r="N120">
        <v>168</v>
      </c>
      <c r="O120">
        <v>39</v>
      </c>
      <c r="P120">
        <v>387</v>
      </c>
      <c r="Q120">
        <v>524</v>
      </c>
      <c r="R120">
        <v>119</v>
      </c>
    </row>
    <row r="121" spans="1:18">
      <c r="A121" s="1" t="s">
        <v>114</v>
      </c>
      <c r="B121">
        <v>31</v>
      </c>
      <c r="C121">
        <v>16</v>
      </c>
      <c r="D121">
        <v>15</v>
      </c>
      <c r="E121">
        <v>-0.18</v>
      </c>
      <c r="F121">
        <v>2130</v>
      </c>
      <c r="G121">
        <v>774</v>
      </c>
      <c r="H121">
        <v>1739</v>
      </c>
      <c r="I121">
        <v>458</v>
      </c>
      <c r="J121">
        <v>666</v>
      </c>
      <c r="K121">
        <v>430</v>
      </c>
      <c r="L121">
        <v>1133</v>
      </c>
      <c r="M121">
        <v>406</v>
      </c>
      <c r="N121">
        <v>209</v>
      </c>
      <c r="O121">
        <v>78</v>
      </c>
      <c r="P121">
        <v>426</v>
      </c>
      <c r="Q121">
        <v>496</v>
      </c>
      <c r="R121">
        <v>120</v>
      </c>
    </row>
    <row r="122" spans="1:18">
      <c r="A122" s="1" t="s">
        <v>115</v>
      </c>
      <c r="B122">
        <v>28</v>
      </c>
      <c r="C122">
        <v>9</v>
      </c>
      <c r="D122">
        <v>19</v>
      </c>
      <c r="E122">
        <v>3.71</v>
      </c>
      <c r="F122">
        <v>1554</v>
      </c>
      <c r="G122">
        <v>575</v>
      </c>
      <c r="H122">
        <v>1421</v>
      </c>
      <c r="I122">
        <v>233</v>
      </c>
      <c r="J122">
        <v>382</v>
      </c>
      <c r="K122">
        <v>272</v>
      </c>
      <c r="L122">
        <v>901</v>
      </c>
      <c r="M122">
        <v>356</v>
      </c>
      <c r="N122">
        <v>190</v>
      </c>
      <c r="O122">
        <v>129</v>
      </c>
      <c r="P122">
        <v>451</v>
      </c>
      <c r="Q122">
        <v>491</v>
      </c>
      <c r="R122">
        <v>121</v>
      </c>
    </row>
    <row r="123" spans="1:18">
      <c r="A123" s="1" t="s">
        <v>348</v>
      </c>
      <c r="B123">
        <v>33</v>
      </c>
      <c r="C123">
        <v>26</v>
      </c>
      <c r="D123">
        <v>7</v>
      </c>
      <c r="E123">
        <v>6.29</v>
      </c>
      <c r="F123">
        <v>2311</v>
      </c>
      <c r="G123">
        <v>848</v>
      </c>
      <c r="H123">
        <v>1853</v>
      </c>
      <c r="I123">
        <v>374</v>
      </c>
      <c r="J123">
        <v>582</v>
      </c>
      <c r="K123">
        <v>403</v>
      </c>
      <c r="L123">
        <v>1179</v>
      </c>
      <c r="M123">
        <v>500</v>
      </c>
      <c r="N123">
        <v>203</v>
      </c>
      <c r="O123">
        <v>79</v>
      </c>
      <c r="P123">
        <v>406</v>
      </c>
      <c r="Q123">
        <v>584</v>
      </c>
      <c r="R123">
        <v>122</v>
      </c>
    </row>
    <row r="124" spans="1:18">
      <c r="A124" s="1" t="s">
        <v>308</v>
      </c>
      <c r="B124">
        <v>29</v>
      </c>
      <c r="C124">
        <v>13</v>
      </c>
      <c r="D124">
        <v>16</v>
      </c>
      <c r="E124">
        <v>4.1900000000000004</v>
      </c>
      <c r="F124">
        <v>1864</v>
      </c>
      <c r="G124">
        <v>666</v>
      </c>
      <c r="H124">
        <v>1584</v>
      </c>
      <c r="I124">
        <v>362</v>
      </c>
      <c r="J124">
        <v>522</v>
      </c>
      <c r="K124">
        <v>288</v>
      </c>
      <c r="L124">
        <v>915</v>
      </c>
      <c r="M124">
        <v>403</v>
      </c>
      <c r="N124">
        <v>197</v>
      </c>
      <c r="O124">
        <v>77</v>
      </c>
      <c r="P124">
        <v>383</v>
      </c>
      <c r="Q124">
        <v>478</v>
      </c>
      <c r="R124">
        <v>123</v>
      </c>
    </row>
    <row r="125" spans="1:18">
      <c r="A125" s="1" t="s">
        <v>327</v>
      </c>
      <c r="B125">
        <v>31</v>
      </c>
      <c r="C125">
        <v>19</v>
      </c>
      <c r="D125">
        <v>12</v>
      </c>
      <c r="E125">
        <v>7.36</v>
      </c>
      <c r="F125">
        <v>2231</v>
      </c>
      <c r="G125">
        <v>797</v>
      </c>
      <c r="H125">
        <v>1730</v>
      </c>
      <c r="I125">
        <v>361</v>
      </c>
      <c r="J125">
        <v>523</v>
      </c>
      <c r="K125">
        <v>319</v>
      </c>
      <c r="L125">
        <v>1053</v>
      </c>
      <c r="M125">
        <v>466</v>
      </c>
      <c r="N125">
        <v>196</v>
      </c>
      <c r="O125">
        <v>72</v>
      </c>
      <c r="P125">
        <v>446</v>
      </c>
      <c r="Q125">
        <v>574</v>
      </c>
      <c r="R125">
        <v>124</v>
      </c>
    </row>
    <row r="126" spans="1:18">
      <c r="A126" s="1" t="s">
        <v>309</v>
      </c>
      <c r="B126">
        <v>31</v>
      </c>
      <c r="C126">
        <v>23</v>
      </c>
      <c r="D126">
        <v>8</v>
      </c>
      <c r="E126">
        <v>-0.78</v>
      </c>
      <c r="F126">
        <v>2475</v>
      </c>
      <c r="G126">
        <v>881</v>
      </c>
      <c r="H126">
        <v>1835</v>
      </c>
      <c r="I126">
        <v>517</v>
      </c>
      <c r="J126">
        <v>748</v>
      </c>
      <c r="K126">
        <v>413</v>
      </c>
      <c r="L126">
        <v>1140</v>
      </c>
      <c r="M126">
        <v>481</v>
      </c>
      <c r="N126">
        <v>239</v>
      </c>
      <c r="O126">
        <v>128</v>
      </c>
      <c r="P126">
        <v>468</v>
      </c>
      <c r="Q126">
        <v>576</v>
      </c>
      <c r="R126">
        <v>125</v>
      </c>
    </row>
    <row r="127" spans="1:18">
      <c r="A127" s="1" t="s">
        <v>310</v>
      </c>
      <c r="B127">
        <v>30</v>
      </c>
      <c r="C127">
        <v>16</v>
      </c>
      <c r="D127">
        <v>14</v>
      </c>
      <c r="E127">
        <v>7.3</v>
      </c>
      <c r="F127">
        <v>2320</v>
      </c>
      <c r="G127">
        <v>868</v>
      </c>
      <c r="H127">
        <v>1924</v>
      </c>
      <c r="I127">
        <v>383</v>
      </c>
      <c r="J127">
        <v>548</v>
      </c>
      <c r="K127">
        <v>393</v>
      </c>
      <c r="L127">
        <v>999</v>
      </c>
      <c r="M127">
        <v>496</v>
      </c>
      <c r="N127">
        <v>290</v>
      </c>
      <c r="O127">
        <v>74</v>
      </c>
      <c r="P127">
        <v>393</v>
      </c>
      <c r="Q127">
        <v>613</v>
      </c>
      <c r="R127">
        <v>126</v>
      </c>
    </row>
    <row r="128" spans="1:18">
      <c r="A128" s="1" t="s">
        <v>116</v>
      </c>
      <c r="B128">
        <v>34</v>
      </c>
      <c r="C128">
        <v>25</v>
      </c>
      <c r="D128">
        <v>9</v>
      </c>
      <c r="E128">
        <v>6.8</v>
      </c>
      <c r="F128">
        <v>2254</v>
      </c>
      <c r="G128">
        <v>781</v>
      </c>
      <c r="H128">
        <v>1811</v>
      </c>
      <c r="I128">
        <v>501</v>
      </c>
      <c r="J128">
        <v>706</v>
      </c>
      <c r="K128">
        <v>372</v>
      </c>
      <c r="L128">
        <v>1285</v>
      </c>
      <c r="M128">
        <v>502</v>
      </c>
      <c r="N128">
        <v>225</v>
      </c>
      <c r="O128">
        <v>167</v>
      </c>
      <c r="P128">
        <v>506</v>
      </c>
      <c r="Q128">
        <v>517</v>
      </c>
      <c r="R128">
        <v>127</v>
      </c>
    </row>
    <row r="129" spans="1:18">
      <c r="A129" s="1" t="s">
        <v>319</v>
      </c>
      <c r="B129">
        <v>28</v>
      </c>
      <c r="C129">
        <v>10</v>
      </c>
      <c r="D129">
        <v>18</v>
      </c>
      <c r="E129">
        <v>-7.0000000000000007E-2</v>
      </c>
      <c r="F129">
        <v>1786</v>
      </c>
      <c r="G129">
        <v>646</v>
      </c>
      <c r="H129">
        <v>1546</v>
      </c>
      <c r="I129">
        <v>292</v>
      </c>
      <c r="J129">
        <v>412</v>
      </c>
      <c r="K129">
        <v>260</v>
      </c>
      <c r="L129">
        <v>865</v>
      </c>
      <c r="M129">
        <v>317</v>
      </c>
      <c r="N129">
        <v>189</v>
      </c>
      <c r="O129">
        <v>58</v>
      </c>
      <c r="P129">
        <v>371</v>
      </c>
      <c r="Q129">
        <v>480</v>
      </c>
      <c r="R129">
        <v>128</v>
      </c>
    </row>
    <row r="130" spans="1:18">
      <c r="A130" s="1" t="s">
        <v>117</v>
      </c>
      <c r="B130">
        <v>29</v>
      </c>
      <c r="C130">
        <v>19</v>
      </c>
      <c r="D130">
        <v>10</v>
      </c>
      <c r="E130">
        <v>-5.13</v>
      </c>
      <c r="F130">
        <v>2024</v>
      </c>
      <c r="G130">
        <v>671</v>
      </c>
      <c r="H130">
        <v>1547</v>
      </c>
      <c r="I130">
        <v>465</v>
      </c>
      <c r="J130">
        <v>625</v>
      </c>
      <c r="K130">
        <v>316</v>
      </c>
      <c r="L130">
        <v>925</v>
      </c>
      <c r="M130">
        <v>362</v>
      </c>
      <c r="N130">
        <v>187</v>
      </c>
      <c r="O130">
        <v>73</v>
      </c>
      <c r="P130">
        <v>334</v>
      </c>
      <c r="Q130">
        <v>522</v>
      </c>
      <c r="R130">
        <v>129</v>
      </c>
    </row>
    <row r="131" spans="1:18">
      <c r="A131" s="1" t="s">
        <v>278</v>
      </c>
      <c r="B131">
        <v>32</v>
      </c>
      <c r="C131">
        <v>15</v>
      </c>
      <c r="D131">
        <v>17</v>
      </c>
      <c r="E131">
        <v>-8.84</v>
      </c>
      <c r="F131">
        <v>2294</v>
      </c>
      <c r="G131">
        <v>810</v>
      </c>
      <c r="H131">
        <v>1940</v>
      </c>
      <c r="I131">
        <v>497</v>
      </c>
      <c r="J131">
        <v>704</v>
      </c>
      <c r="K131">
        <v>384</v>
      </c>
      <c r="L131">
        <v>1120</v>
      </c>
      <c r="M131">
        <v>360</v>
      </c>
      <c r="N131">
        <v>292</v>
      </c>
      <c r="O131">
        <v>140</v>
      </c>
      <c r="P131">
        <v>487</v>
      </c>
      <c r="Q131">
        <v>670</v>
      </c>
      <c r="R131">
        <v>130</v>
      </c>
    </row>
    <row r="132" spans="1:18">
      <c r="A132" s="1" t="s">
        <v>118</v>
      </c>
      <c r="B132">
        <v>29</v>
      </c>
      <c r="C132">
        <v>16</v>
      </c>
      <c r="D132">
        <v>13</v>
      </c>
      <c r="E132">
        <v>-5.82</v>
      </c>
      <c r="F132">
        <v>2220</v>
      </c>
      <c r="G132">
        <v>779</v>
      </c>
      <c r="H132">
        <v>1675</v>
      </c>
      <c r="I132">
        <v>438</v>
      </c>
      <c r="J132">
        <v>629</v>
      </c>
      <c r="K132">
        <v>351</v>
      </c>
      <c r="L132">
        <v>950</v>
      </c>
      <c r="M132">
        <v>400</v>
      </c>
      <c r="N132">
        <v>241</v>
      </c>
      <c r="O132">
        <v>96</v>
      </c>
      <c r="P132">
        <v>409</v>
      </c>
      <c r="Q132">
        <v>557</v>
      </c>
      <c r="R132">
        <v>131</v>
      </c>
    </row>
    <row r="133" spans="1:18">
      <c r="A133" s="1" t="s">
        <v>119</v>
      </c>
      <c r="B133">
        <v>27</v>
      </c>
      <c r="C133">
        <v>1</v>
      </c>
      <c r="D133">
        <v>26</v>
      </c>
      <c r="E133">
        <v>-5.73</v>
      </c>
      <c r="F133">
        <v>1983</v>
      </c>
      <c r="G133">
        <v>707</v>
      </c>
      <c r="H133">
        <v>1627</v>
      </c>
      <c r="I133">
        <v>397</v>
      </c>
      <c r="J133">
        <v>580</v>
      </c>
      <c r="K133">
        <v>327</v>
      </c>
      <c r="L133">
        <v>963</v>
      </c>
      <c r="M133">
        <v>381</v>
      </c>
      <c r="N133">
        <v>172</v>
      </c>
      <c r="O133">
        <v>99</v>
      </c>
      <c r="P133">
        <v>503</v>
      </c>
      <c r="Q133">
        <v>606</v>
      </c>
      <c r="R133">
        <v>132</v>
      </c>
    </row>
    <row r="134" spans="1:18">
      <c r="A134" s="1" t="s">
        <v>120</v>
      </c>
      <c r="B134">
        <v>28</v>
      </c>
      <c r="C134">
        <v>5</v>
      </c>
      <c r="D134">
        <v>23</v>
      </c>
      <c r="E134">
        <v>0.93</v>
      </c>
      <c r="F134">
        <v>1803</v>
      </c>
      <c r="G134">
        <v>653</v>
      </c>
      <c r="H134">
        <v>1622</v>
      </c>
      <c r="I134">
        <v>331</v>
      </c>
      <c r="J134">
        <v>535</v>
      </c>
      <c r="K134">
        <v>406</v>
      </c>
      <c r="L134">
        <v>993</v>
      </c>
      <c r="M134">
        <v>361</v>
      </c>
      <c r="N134">
        <v>165</v>
      </c>
      <c r="O134">
        <v>58</v>
      </c>
      <c r="P134">
        <v>456</v>
      </c>
      <c r="Q134">
        <v>561</v>
      </c>
      <c r="R134">
        <v>133</v>
      </c>
    </row>
    <row r="135" spans="1:18">
      <c r="A135" s="1" t="s">
        <v>121</v>
      </c>
      <c r="B135">
        <v>28</v>
      </c>
      <c r="C135">
        <v>15</v>
      </c>
      <c r="D135">
        <v>13</v>
      </c>
      <c r="E135">
        <v>6.35</v>
      </c>
      <c r="F135">
        <v>1911</v>
      </c>
      <c r="G135">
        <v>683</v>
      </c>
      <c r="H135">
        <v>1538</v>
      </c>
      <c r="I135">
        <v>423</v>
      </c>
      <c r="J135">
        <v>595</v>
      </c>
      <c r="K135">
        <v>357</v>
      </c>
      <c r="L135">
        <v>1018</v>
      </c>
      <c r="M135">
        <v>452</v>
      </c>
      <c r="N135">
        <v>169</v>
      </c>
      <c r="O135">
        <v>95</v>
      </c>
      <c r="P135">
        <v>419</v>
      </c>
      <c r="Q135">
        <v>498</v>
      </c>
      <c r="R135">
        <v>134</v>
      </c>
    </row>
    <row r="136" spans="1:18">
      <c r="A136" s="1" t="s">
        <v>375</v>
      </c>
      <c r="B136">
        <v>33</v>
      </c>
      <c r="C136">
        <v>25</v>
      </c>
      <c r="D136">
        <v>8</v>
      </c>
      <c r="E136">
        <v>7.6</v>
      </c>
      <c r="F136">
        <v>2480</v>
      </c>
      <c r="G136">
        <v>912</v>
      </c>
      <c r="H136">
        <v>1923</v>
      </c>
      <c r="I136">
        <v>451</v>
      </c>
      <c r="J136">
        <v>671</v>
      </c>
      <c r="K136">
        <v>433</v>
      </c>
      <c r="L136">
        <v>1305</v>
      </c>
      <c r="M136">
        <v>589</v>
      </c>
      <c r="N136">
        <v>323</v>
      </c>
      <c r="O136">
        <v>185</v>
      </c>
      <c r="P136">
        <v>516</v>
      </c>
      <c r="Q136">
        <v>599</v>
      </c>
      <c r="R136">
        <v>135</v>
      </c>
    </row>
    <row r="137" spans="1:18">
      <c r="A137" s="1" t="s">
        <v>336</v>
      </c>
      <c r="B137">
        <v>29</v>
      </c>
      <c r="C137">
        <v>12</v>
      </c>
      <c r="D137">
        <v>17</v>
      </c>
      <c r="F137">
        <v>2039</v>
      </c>
      <c r="G137">
        <v>701</v>
      </c>
      <c r="H137">
        <v>1720</v>
      </c>
      <c r="I137">
        <v>426</v>
      </c>
      <c r="J137">
        <v>617</v>
      </c>
      <c r="K137">
        <v>363</v>
      </c>
      <c r="L137">
        <v>902</v>
      </c>
      <c r="M137">
        <v>379</v>
      </c>
      <c r="N137">
        <v>270</v>
      </c>
      <c r="O137">
        <v>70</v>
      </c>
      <c r="P137">
        <v>398</v>
      </c>
      <c r="Q137">
        <v>535</v>
      </c>
      <c r="R137">
        <v>136</v>
      </c>
    </row>
    <row r="138" spans="1:18">
      <c r="A138" s="1" t="s">
        <v>122</v>
      </c>
      <c r="B138">
        <v>34</v>
      </c>
      <c r="C138">
        <v>25</v>
      </c>
      <c r="D138">
        <v>9</v>
      </c>
      <c r="E138">
        <v>0</v>
      </c>
      <c r="F138">
        <v>2458</v>
      </c>
      <c r="G138">
        <v>844</v>
      </c>
      <c r="H138">
        <v>1887</v>
      </c>
      <c r="I138">
        <v>533</v>
      </c>
      <c r="J138">
        <v>745</v>
      </c>
      <c r="K138">
        <v>377</v>
      </c>
      <c r="L138">
        <v>1130</v>
      </c>
      <c r="M138">
        <v>452</v>
      </c>
      <c r="N138">
        <v>265</v>
      </c>
      <c r="O138">
        <v>82</v>
      </c>
      <c r="P138">
        <v>451</v>
      </c>
      <c r="Q138">
        <v>682</v>
      </c>
      <c r="R138">
        <v>137</v>
      </c>
    </row>
    <row r="139" spans="1:18">
      <c r="A139" s="1" t="s">
        <v>354</v>
      </c>
      <c r="B139">
        <v>35</v>
      </c>
      <c r="C139">
        <v>22</v>
      </c>
      <c r="D139">
        <v>13</v>
      </c>
      <c r="E139">
        <v>8.8800000000000008</v>
      </c>
      <c r="F139">
        <v>2477</v>
      </c>
      <c r="G139">
        <v>903</v>
      </c>
      <c r="H139">
        <v>2020</v>
      </c>
      <c r="I139">
        <v>406</v>
      </c>
      <c r="J139">
        <v>601</v>
      </c>
      <c r="K139">
        <v>449</v>
      </c>
      <c r="L139">
        <v>1265</v>
      </c>
      <c r="M139">
        <v>495</v>
      </c>
      <c r="N139">
        <v>206</v>
      </c>
      <c r="O139">
        <v>106</v>
      </c>
      <c r="P139">
        <v>464</v>
      </c>
      <c r="Q139">
        <v>595</v>
      </c>
      <c r="R139">
        <v>138</v>
      </c>
    </row>
    <row r="140" spans="1:18">
      <c r="A140" s="1" t="s">
        <v>123</v>
      </c>
      <c r="B140">
        <v>28</v>
      </c>
      <c r="C140">
        <v>18</v>
      </c>
      <c r="D140">
        <v>10</v>
      </c>
      <c r="E140">
        <v>0.25</v>
      </c>
      <c r="F140">
        <v>1941</v>
      </c>
      <c r="G140">
        <v>687</v>
      </c>
      <c r="H140">
        <v>1552</v>
      </c>
      <c r="I140">
        <v>374</v>
      </c>
      <c r="J140">
        <v>518</v>
      </c>
      <c r="K140">
        <v>327</v>
      </c>
      <c r="L140">
        <v>1002</v>
      </c>
      <c r="M140">
        <v>380</v>
      </c>
      <c r="N140">
        <v>211</v>
      </c>
      <c r="O140">
        <v>92</v>
      </c>
      <c r="P140">
        <v>390</v>
      </c>
      <c r="Q140">
        <v>477</v>
      </c>
      <c r="R140">
        <v>139</v>
      </c>
    </row>
    <row r="141" spans="1:18">
      <c r="A141" s="1" t="s">
        <v>279</v>
      </c>
      <c r="B141">
        <v>28</v>
      </c>
      <c r="C141">
        <v>11</v>
      </c>
      <c r="D141">
        <v>17</v>
      </c>
      <c r="E141">
        <v>-4.3</v>
      </c>
      <c r="F141">
        <v>1860</v>
      </c>
      <c r="G141">
        <v>626</v>
      </c>
      <c r="H141">
        <v>1500</v>
      </c>
      <c r="I141">
        <v>387</v>
      </c>
      <c r="J141">
        <v>523</v>
      </c>
      <c r="K141">
        <v>268</v>
      </c>
      <c r="L141">
        <v>863</v>
      </c>
      <c r="M141">
        <v>365</v>
      </c>
      <c r="N141">
        <v>217</v>
      </c>
      <c r="O141">
        <v>77</v>
      </c>
      <c r="P141">
        <v>458</v>
      </c>
      <c r="Q141">
        <v>509</v>
      </c>
      <c r="R141">
        <v>140</v>
      </c>
    </row>
    <row r="142" spans="1:18">
      <c r="A142" s="1" t="s">
        <v>280</v>
      </c>
      <c r="B142">
        <v>31</v>
      </c>
      <c r="C142">
        <v>17</v>
      </c>
      <c r="D142">
        <v>14</v>
      </c>
      <c r="E142">
        <v>-4.88</v>
      </c>
      <c r="F142">
        <v>2487</v>
      </c>
      <c r="G142">
        <v>889</v>
      </c>
      <c r="H142">
        <v>1957</v>
      </c>
      <c r="I142">
        <v>495</v>
      </c>
      <c r="J142">
        <v>764</v>
      </c>
      <c r="K142">
        <v>409</v>
      </c>
      <c r="L142">
        <v>1203</v>
      </c>
      <c r="M142">
        <v>495</v>
      </c>
      <c r="N142">
        <v>238</v>
      </c>
      <c r="O142">
        <v>158</v>
      </c>
      <c r="P142">
        <v>444</v>
      </c>
      <c r="Q142">
        <v>598</v>
      </c>
      <c r="R142">
        <v>141</v>
      </c>
    </row>
    <row r="143" spans="1:18">
      <c r="A143" s="1" t="s">
        <v>124</v>
      </c>
      <c r="B143">
        <v>31</v>
      </c>
      <c r="C143">
        <v>19</v>
      </c>
      <c r="D143">
        <v>12</v>
      </c>
      <c r="E143">
        <v>-4.96</v>
      </c>
      <c r="F143">
        <v>1925</v>
      </c>
      <c r="G143">
        <v>661</v>
      </c>
      <c r="H143">
        <v>1591</v>
      </c>
      <c r="I143">
        <v>413</v>
      </c>
      <c r="J143">
        <v>606</v>
      </c>
      <c r="K143">
        <v>312</v>
      </c>
      <c r="L143">
        <v>1080</v>
      </c>
      <c r="M143">
        <v>395</v>
      </c>
      <c r="N143">
        <v>196</v>
      </c>
      <c r="O143">
        <v>91</v>
      </c>
      <c r="P143">
        <v>456</v>
      </c>
      <c r="Q143">
        <v>537</v>
      </c>
      <c r="R143">
        <v>142</v>
      </c>
    </row>
    <row r="144" spans="1:18">
      <c r="A144" s="1" t="s">
        <v>125</v>
      </c>
      <c r="B144">
        <v>30</v>
      </c>
      <c r="C144">
        <v>7</v>
      </c>
      <c r="D144">
        <v>23</v>
      </c>
      <c r="E144">
        <v>-4.42</v>
      </c>
      <c r="F144">
        <v>1915</v>
      </c>
      <c r="G144">
        <v>687</v>
      </c>
      <c r="H144">
        <v>1660</v>
      </c>
      <c r="I144">
        <v>389</v>
      </c>
      <c r="J144">
        <v>585</v>
      </c>
      <c r="K144">
        <v>322</v>
      </c>
      <c r="L144">
        <v>1005</v>
      </c>
      <c r="M144">
        <v>312</v>
      </c>
      <c r="N144">
        <v>174</v>
      </c>
      <c r="O144">
        <v>98</v>
      </c>
      <c r="P144">
        <v>442</v>
      </c>
      <c r="Q144">
        <v>666</v>
      </c>
      <c r="R144">
        <v>143</v>
      </c>
    </row>
    <row r="145" spans="1:18">
      <c r="A145" s="1" t="s">
        <v>320</v>
      </c>
      <c r="B145">
        <v>32</v>
      </c>
      <c r="C145">
        <v>21</v>
      </c>
      <c r="D145">
        <v>11</v>
      </c>
      <c r="E145">
        <v>-8.7799999999999994</v>
      </c>
      <c r="F145">
        <v>2329</v>
      </c>
      <c r="G145">
        <v>817</v>
      </c>
      <c r="H145">
        <v>1829</v>
      </c>
      <c r="I145">
        <v>462</v>
      </c>
      <c r="J145">
        <v>630</v>
      </c>
      <c r="K145">
        <v>401</v>
      </c>
      <c r="L145">
        <v>1172</v>
      </c>
      <c r="M145">
        <v>431</v>
      </c>
      <c r="N145">
        <v>244</v>
      </c>
      <c r="O145">
        <v>88</v>
      </c>
      <c r="P145">
        <v>487</v>
      </c>
      <c r="Q145">
        <v>567</v>
      </c>
      <c r="R145">
        <v>144</v>
      </c>
    </row>
    <row r="146" spans="1:18">
      <c r="A146" s="1" t="s">
        <v>126</v>
      </c>
      <c r="B146">
        <v>30</v>
      </c>
      <c r="C146">
        <v>18</v>
      </c>
      <c r="D146">
        <v>12</v>
      </c>
      <c r="E146">
        <v>-1.66</v>
      </c>
      <c r="F146">
        <v>2498</v>
      </c>
      <c r="G146">
        <v>876</v>
      </c>
      <c r="H146">
        <v>1922</v>
      </c>
      <c r="I146">
        <v>490</v>
      </c>
      <c r="J146">
        <v>698</v>
      </c>
      <c r="K146">
        <v>386</v>
      </c>
      <c r="L146">
        <v>1095</v>
      </c>
      <c r="M146">
        <v>407</v>
      </c>
      <c r="N146">
        <v>223</v>
      </c>
      <c r="O146">
        <v>101</v>
      </c>
      <c r="P146">
        <v>441</v>
      </c>
      <c r="Q146">
        <v>564</v>
      </c>
      <c r="R146">
        <v>145</v>
      </c>
    </row>
    <row r="147" spans="1:18">
      <c r="A147" s="1" t="s">
        <v>127</v>
      </c>
      <c r="B147">
        <v>28</v>
      </c>
      <c r="C147">
        <v>12</v>
      </c>
      <c r="D147">
        <v>16</v>
      </c>
      <c r="E147">
        <v>-6.75</v>
      </c>
      <c r="F147">
        <v>1931</v>
      </c>
      <c r="G147">
        <v>662</v>
      </c>
      <c r="H147">
        <v>1604</v>
      </c>
      <c r="I147">
        <v>365</v>
      </c>
      <c r="J147">
        <v>536</v>
      </c>
      <c r="K147">
        <v>323</v>
      </c>
      <c r="L147">
        <v>942</v>
      </c>
      <c r="M147">
        <v>360</v>
      </c>
      <c r="N147">
        <v>189</v>
      </c>
      <c r="O147">
        <v>67</v>
      </c>
      <c r="P147">
        <v>411</v>
      </c>
      <c r="Q147">
        <v>552</v>
      </c>
      <c r="R147">
        <v>146</v>
      </c>
    </row>
    <row r="148" spans="1:18">
      <c r="A148" s="1" t="s">
        <v>331</v>
      </c>
      <c r="B148">
        <v>30</v>
      </c>
      <c r="C148">
        <v>10</v>
      </c>
      <c r="D148">
        <v>20</v>
      </c>
      <c r="F148">
        <v>2194</v>
      </c>
      <c r="G148">
        <v>782</v>
      </c>
      <c r="H148">
        <v>1814</v>
      </c>
      <c r="I148">
        <v>465</v>
      </c>
      <c r="J148">
        <v>694</v>
      </c>
      <c r="K148">
        <v>405</v>
      </c>
      <c r="L148">
        <v>1116</v>
      </c>
      <c r="M148">
        <v>458</v>
      </c>
      <c r="N148">
        <v>223</v>
      </c>
      <c r="O148">
        <v>89</v>
      </c>
      <c r="P148">
        <v>494</v>
      </c>
      <c r="Q148">
        <v>598</v>
      </c>
      <c r="R148">
        <v>147</v>
      </c>
    </row>
    <row r="149" spans="1:18">
      <c r="A149" s="1" t="s">
        <v>281</v>
      </c>
      <c r="B149">
        <v>29</v>
      </c>
      <c r="C149">
        <v>13</v>
      </c>
      <c r="D149">
        <v>16</v>
      </c>
      <c r="E149">
        <v>0.59</v>
      </c>
      <c r="F149">
        <v>1936</v>
      </c>
      <c r="G149">
        <v>688</v>
      </c>
      <c r="H149">
        <v>1556</v>
      </c>
      <c r="I149">
        <v>393</v>
      </c>
      <c r="J149">
        <v>610</v>
      </c>
      <c r="K149">
        <v>307</v>
      </c>
      <c r="L149">
        <v>1057</v>
      </c>
      <c r="M149">
        <v>412</v>
      </c>
      <c r="N149">
        <v>196</v>
      </c>
      <c r="O149">
        <v>163</v>
      </c>
      <c r="P149">
        <v>494</v>
      </c>
      <c r="Q149">
        <v>540</v>
      </c>
      <c r="R149">
        <v>148</v>
      </c>
    </row>
    <row r="150" spans="1:18">
      <c r="A150" s="1" t="s">
        <v>128</v>
      </c>
      <c r="B150">
        <v>28</v>
      </c>
      <c r="C150">
        <v>10</v>
      </c>
      <c r="D150">
        <v>18</v>
      </c>
      <c r="E150">
        <v>-1.1100000000000001</v>
      </c>
      <c r="F150">
        <v>1821</v>
      </c>
      <c r="G150">
        <v>632</v>
      </c>
      <c r="H150">
        <v>1564</v>
      </c>
      <c r="I150">
        <v>351</v>
      </c>
      <c r="J150">
        <v>523</v>
      </c>
      <c r="K150">
        <v>332</v>
      </c>
      <c r="L150">
        <v>981</v>
      </c>
      <c r="M150">
        <v>309</v>
      </c>
      <c r="N150">
        <v>206</v>
      </c>
      <c r="O150">
        <v>55</v>
      </c>
      <c r="P150">
        <v>456</v>
      </c>
      <c r="Q150">
        <v>530</v>
      </c>
      <c r="R150">
        <v>149</v>
      </c>
    </row>
    <row r="151" spans="1:18">
      <c r="A151" s="1" t="s">
        <v>282</v>
      </c>
      <c r="B151">
        <v>36</v>
      </c>
      <c r="C151">
        <v>27</v>
      </c>
      <c r="D151">
        <v>9</v>
      </c>
      <c r="E151">
        <v>8.77</v>
      </c>
      <c r="F151">
        <v>2633</v>
      </c>
      <c r="G151">
        <v>972</v>
      </c>
      <c r="H151">
        <v>2092</v>
      </c>
      <c r="I151">
        <v>542</v>
      </c>
      <c r="J151">
        <v>786</v>
      </c>
      <c r="K151">
        <v>496</v>
      </c>
      <c r="L151">
        <v>1447</v>
      </c>
      <c r="M151">
        <v>547</v>
      </c>
      <c r="N151">
        <v>298</v>
      </c>
      <c r="O151">
        <v>236</v>
      </c>
      <c r="P151">
        <v>555</v>
      </c>
      <c r="Q151">
        <v>567</v>
      </c>
      <c r="R151">
        <v>150</v>
      </c>
    </row>
    <row r="152" spans="1:18">
      <c r="A152" s="1" t="s">
        <v>129</v>
      </c>
      <c r="B152">
        <v>33</v>
      </c>
      <c r="C152">
        <v>20</v>
      </c>
      <c r="D152">
        <v>13</v>
      </c>
      <c r="E152">
        <v>2.5499999999999998</v>
      </c>
      <c r="F152">
        <v>2182</v>
      </c>
      <c r="G152">
        <v>817</v>
      </c>
      <c r="H152">
        <v>1947</v>
      </c>
      <c r="I152">
        <v>401</v>
      </c>
      <c r="J152">
        <v>632</v>
      </c>
      <c r="K152">
        <v>523</v>
      </c>
      <c r="L152">
        <v>1322</v>
      </c>
      <c r="M152">
        <v>475</v>
      </c>
      <c r="N152">
        <v>258</v>
      </c>
      <c r="O152">
        <v>132</v>
      </c>
      <c r="P152">
        <v>503</v>
      </c>
      <c r="Q152">
        <v>615</v>
      </c>
      <c r="R152">
        <v>151</v>
      </c>
    </row>
    <row r="153" spans="1:18">
      <c r="A153" s="1" t="s">
        <v>283</v>
      </c>
      <c r="B153">
        <v>34</v>
      </c>
      <c r="C153">
        <v>21</v>
      </c>
      <c r="D153">
        <v>13</v>
      </c>
      <c r="E153">
        <v>6.5</v>
      </c>
      <c r="F153">
        <v>2376</v>
      </c>
      <c r="G153">
        <v>813</v>
      </c>
      <c r="H153">
        <v>1905</v>
      </c>
      <c r="I153">
        <v>471</v>
      </c>
      <c r="J153">
        <v>667</v>
      </c>
      <c r="K153">
        <v>407</v>
      </c>
      <c r="L153">
        <v>1222</v>
      </c>
      <c r="M153">
        <v>522</v>
      </c>
      <c r="N153">
        <v>222</v>
      </c>
      <c r="O153">
        <v>110</v>
      </c>
      <c r="P153">
        <v>449</v>
      </c>
      <c r="Q153">
        <v>628</v>
      </c>
      <c r="R153">
        <v>152</v>
      </c>
    </row>
    <row r="154" spans="1:18">
      <c r="A154" s="1" t="s">
        <v>130</v>
      </c>
      <c r="B154">
        <v>30</v>
      </c>
      <c r="C154">
        <v>19</v>
      </c>
      <c r="D154">
        <v>11</v>
      </c>
      <c r="E154">
        <v>-1.08</v>
      </c>
      <c r="F154">
        <v>2152</v>
      </c>
      <c r="G154">
        <v>762</v>
      </c>
      <c r="H154">
        <v>1673</v>
      </c>
      <c r="I154">
        <v>447</v>
      </c>
      <c r="J154">
        <v>593</v>
      </c>
      <c r="K154">
        <v>363</v>
      </c>
      <c r="L154">
        <v>1033</v>
      </c>
      <c r="M154">
        <v>375</v>
      </c>
      <c r="N154">
        <v>186</v>
      </c>
      <c r="O154">
        <v>121</v>
      </c>
      <c r="P154">
        <v>383</v>
      </c>
      <c r="Q154">
        <v>543</v>
      </c>
      <c r="R154">
        <v>153</v>
      </c>
    </row>
    <row r="155" spans="1:18">
      <c r="A155" s="1" t="s">
        <v>131</v>
      </c>
      <c r="B155">
        <v>30</v>
      </c>
      <c r="C155">
        <v>12</v>
      </c>
      <c r="D155">
        <v>18</v>
      </c>
      <c r="E155">
        <v>3.68</v>
      </c>
      <c r="F155">
        <v>2178</v>
      </c>
      <c r="G155">
        <v>773</v>
      </c>
      <c r="H155">
        <v>1841</v>
      </c>
      <c r="I155">
        <v>489</v>
      </c>
      <c r="J155">
        <v>714</v>
      </c>
      <c r="K155">
        <v>401</v>
      </c>
      <c r="L155">
        <v>1119</v>
      </c>
      <c r="M155">
        <v>468</v>
      </c>
      <c r="N155">
        <v>229</v>
      </c>
      <c r="O155">
        <v>97</v>
      </c>
      <c r="P155">
        <v>468</v>
      </c>
      <c r="Q155">
        <v>584</v>
      </c>
      <c r="R155">
        <v>154</v>
      </c>
    </row>
    <row r="156" spans="1:18">
      <c r="A156" s="1" t="s">
        <v>132</v>
      </c>
      <c r="B156">
        <v>28</v>
      </c>
      <c r="C156">
        <v>15</v>
      </c>
      <c r="D156">
        <v>13</v>
      </c>
      <c r="E156">
        <v>-2.85</v>
      </c>
      <c r="F156">
        <v>2152</v>
      </c>
      <c r="G156">
        <v>779</v>
      </c>
      <c r="H156">
        <v>1709</v>
      </c>
      <c r="I156">
        <v>371</v>
      </c>
      <c r="J156">
        <v>539</v>
      </c>
      <c r="K156">
        <v>380</v>
      </c>
      <c r="L156">
        <v>1022</v>
      </c>
      <c r="M156">
        <v>395</v>
      </c>
      <c r="N156">
        <v>208</v>
      </c>
      <c r="O156">
        <v>67</v>
      </c>
      <c r="P156">
        <v>435</v>
      </c>
      <c r="Q156">
        <v>557</v>
      </c>
      <c r="R156">
        <v>155</v>
      </c>
    </row>
    <row r="157" spans="1:18">
      <c r="A157" s="1" t="s">
        <v>133</v>
      </c>
      <c r="B157">
        <v>28</v>
      </c>
      <c r="C157">
        <v>12</v>
      </c>
      <c r="D157">
        <v>16</v>
      </c>
      <c r="E157">
        <v>-6.75</v>
      </c>
      <c r="F157">
        <v>1812</v>
      </c>
      <c r="G157">
        <v>627</v>
      </c>
      <c r="H157">
        <v>1514</v>
      </c>
      <c r="I157">
        <v>342</v>
      </c>
      <c r="J157">
        <v>484</v>
      </c>
      <c r="K157">
        <v>277</v>
      </c>
      <c r="L157">
        <v>962</v>
      </c>
      <c r="M157">
        <v>336</v>
      </c>
      <c r="N157">
        <v>178</v>
      </c>
      <c r="O157">
        <v>120</v>
      </c>
      <c r="P157">
        <v>424</v>
      </c>
      <c r="Q157">
        <v>486</v>
      </c>
      <c r="R157">
        <v>156</v>
      </c>
    </row>
    <row r="158" spans="1:18">
      <c r="A158" s="1" t="s">
        <v>134</v>
      </c>
      <c r="B158">
        <v>31</v>
      </c>
      <c r="C158">
        <v>20</v>
      </c>
      <c r="D158">
        <v>11</v>
      </c>
      <c r="E158">
        <v>0</v>
      </c>
      <c r="F158">
        <v>2380</v>
      </c>
      <c r="G158">
        <v>832</v>
      </c>
      <c r="H158">
        <v>1833</v>
      </c>
      <c r="I158">
        <v>508</v>
      </c>
      <c r="J158">
        <v>740</v>
      </c>
      <c r="K158">
        <v>368</v>
      </c>
      <c r="L158">
        <v>1091</v>
      </c>
      <c r="M158">
        <v>405</v>
      </c>
      <c r="N158">
        <v>253</v>
      </c>
      <c r="O158">
        <v>172</v>
      </c>
      <c r="P158">
        <v>400</v>
      </c>
      <c r="Q158">
        <v>657</v>
      </c>
      <c r="R158">
        <v>157</v>
      </c>
    </row>
    <row r="159" spans="1:18">
      <c r="A159" s="1" t="s">
        <v>135</v>
      </c>
      <c r="B159">
        <v>29</v>
      </c>
      <c r="C159">
        <v>19</v>
      </c>
      <c r="D159">
        <v>10</v>
      </c>
      <c r="E159">
        <v>-2.25</v>
      </c>
      <c r="F159">
        <v>2230</v>
      </c>
      <c r="G159">
        <v>790</v>
      </c>
      <c r="H159">
        <v>1613</v>
      </c>
      <c r="I159">
        <v>396</v>
      </c>
      <c r="J159">
        <v>581</v>
      </c>
      <c r="K159">
        <v>305</v>
      </c>
      <c r="L159">
        <v>1021</v>
      </c>
      <c r="M159">
        <v>456</v>
      </c>
      <c r="N159">
        <v>146</v>
      </c>
      <c r="O159">
        <v>77</v>
      </c>
      <c r="P159">
        <v>387</v>
      </c>
      <c r="Q159">
        <v>513</v>
      </c>
      <c r="R159">
        <v>158</v>
      </c>
    </row>
    <row r="160" spans="1:18">
      <c r="A160" s="1" t="s">
        <v>136</v>
      </c>
      <c r="B160">
        <v>31</v>
      </c>
      <c r="C160">
        <v>20</v>
      </c>
      <c r="D160">
        <v>11</v>
      </c>
      <c r="E160">
        <v>8.16</v>
      </c>
      <c r="F160">
        <v>2325</v>
      </c>
      <c r="G160">
        <v>830</v>
      </c>
      <c r="H160">
        <v>1823</v>
      </c>
      <c r="I160">
        <v>402</v>
      </c>
      <c r="J160">
        <v>549</v>
      </c>
      <c r="K160">
        <v>377</v>
      </c>
      <c r="L160">
        <v>1112</v>
      </c>
      <c r="M160">
        <v>482</v>
      </c>
      <c r="N160">
        <v>233</v>
      </c>
      <c r="O160">
        <v>94</v>
      </c>
      <c r="P160">
        <v>458</v>
      </c>
      <c r="Q160">
        <v>597</v>
      </c>
      <c r="R160">
        <v>159</v>
      </c>
    </row>
    <row r="161" spans="1:18">
      <c r="A161" s="1" t="s">
        <v>137</v>
      </c>
      <c r="B161">
        <v>28</v>
      </c>
      <c r="C161">
        <v>12</v>
      </c>
      <c r="D161">
        <v>16</v>
      </c>
      <c r="E161">
        <v>-1.56</v>
      </c>
      <c r="F161">
        <v>1845</v>
      </c>
      <c r="G161">
        <v>640</v>
      </c>
      <c r="H161">
        <v>1579</v>
      </c>
      <c r="I161">
        <v>384</v>
      </c>
      <c r="J161">
        <v>569</v>
      </c>
      <c r="K161">
        <v>388</v>
      </c>
      <c r="L161">
        <v>1024</v>
      </c>
      <c r="M161">
        <v>376</v>
      </c>
      <c r="N161">
        <v>218</v>
      </c>
      <c r="O161">
        <v>73</v>
      </c>
      <c r="P161">
        <v>455</v>
      </c>
      <c r="Q161">
        <v>519</v>
      </c>
      <c r="R161">
        <v>160</v>
      </c>
    </row>
    <row r="162" spans="1:18">
      <c r="A162" s="1" t="s">
        <v>138</v>
      </c>
      <c r="B162">
        <v>29</v>
      </c>
      <c r="C162">
        <v>10</v>
      </c>
      <c r="D162">
        <v>19</v>
      </c>
      <c r="E162">
        <v>-5.24</v>
      </c>
      <c r="F162">
        <v>1940</v>
      </c>
      <c r="G162">
        <v>711</v>
      </c>
      <c r="H162">
        <v>1634</v>
      </c>
      <c r="I162">
        <v>346</v>
      </c>
      <c r="J162">
        <v>542</v>
      </c>
      <c r="K162">
        <v>339</v>
      </c>
      <c r="L162">
        <v>955</v>
      </c>
      <c r="M162">
        <v>405</v>
      </c>
      <c r="N162">
        <v>207</v>
      </c>
      <c r="O162">
        <v>69</v>
      </c>
      <c r="P162">
        <v>398</v>
      </c>
      <c r="Q162">
        <v>511</v>
      </c>
      <c r="R162">
        <v>161</v>
      </c>
    </row>
    <row r="163" spans="1:18">
      <c r="A163" s="1" t="s">
        <v>139</v>
      </c>
      <c r="B163">
        <v>29</v>
      </c>
      <c r="C163">
        <v>7</v>
      </c>
      <c r="D163">
        <v>22</v>
      </c>
      <c r="E163">
        <v>-10.16</v>
      </c>
      <c r="F163">
        <v>1882</v>
      </c>
      <c r="G163">
        <v>679</v>
      </c>
      <c r="H163">
        <v>1699</v>
      </c>
      <c r="I163">
        <v>359</v>
      </c>
      <c r="J163">
        <v>613</v>
      </c>
      <c r="K163">
        <v>390</v>
      </c>
      <c r="L163">
        <v>1036</v>
      </c>
      <c r="M163">
        <v>340</v>
      </c>
      <c r="N163">
        <v>174</v>
      </c>
      <c r="O163">
        <v>87</v>
      </c>
      <c r="P163">
        <v>497</v>
      </c>
      <c r="Q163">
        <v>533</v>
      </c>
      <c r="R163">
        <v>162</v>
      </c>
    </row>
    <row r="164" spans="1:18">
      <c r="A164" s="1" t="s">
        <v>332</v>
      </c>
      <c r="B164">
        <v>32</v>
      </c>
      <c r="C164">
        <v>19</v>
      </c>
      <c r="D164">
        <v>13</v>
      </c>
      <c r="E164">
        <v>6.73</v>
      </c>
      <c r="F164">
        <v>2505</v>
      </c>
      <c r="G164">
        <v>875</v>
      </c>
      <c r="H164">
        <v>1952</v>
      </c>
      <c r="I164">
        <v>600</v>
      </c>
      <c r="J164">
        <v>821</v>
      </c>
      <c r="K164">
        <v>458</v>
      </c>
      <c r="L164">
        <v>1272</v>
      </c>
      <c r="M164">
        <v>512</v>
      </c>
      <c r="N164">
        <v>258</v>
      </c>
      <c r="O164">
        <v>191</v>
      </c>
      <c r="P164">
        <v>528</v>
      </c>
      <c r="Q164">
        <v>623</v>
      </c>
      <c r="R164">
        <v>163</v>
      </c>
    </row>
    <row r="165" spans="1:18">
      <c r="A165" s="1" t="s">
        <v>140</v>
      </c>
      <c r="B165">
        <v>28</v>
      </c>
      <c r="C165">
        <v>13</v>
      </c>
      <c r="D165">
        <v>15</v>
      </c>
      <c r="E165">
        <v>2.63</v>
      </c>
      <c r="F165">
        <v>1816</v>
      </c>
      <c r="G165">
        <v>647</v>
      </c>
      <c r="H165">
        <v>1476</v>
      </c>
      <c r="I165">
        <v>371</v>
      </c>
      <c r="J165">
        <v>577</v>
      </c>
      <c r="K165">
        <v>362</v>
      </c>
      <c r="L165">
        <v>1043</v>
      </c>
      <c r="M165">
        <v>374</v>
      </c>
      <c r="N165">
        <v>162</v>
      </c>
      <c r="O165">
        <v>202</v>
      </c>
      <c r="P165">
        <v>476</v>
      </c>
      <c r="Q165">
        <v>525</v>
      </c>
      <c r="R165">
        <v>164</v>
      </c>
    </row>
    <row r="166" spans="1:18">
      <c r="A166" s="1" t="s">
        <v>141</v>
      </c>
      <c r="B166">
        <v>28</v>
      </c>
      <c r="C166">
        <v>14</v>
      </c>
      <c r="D166">
        <v>14</v>
      </c>
      <c r="E166">
        <v>-3.64</v>
      </c>
      <c r="F166">
        <v>2015</v>
      </c>
      <c r="G166">
        <v>704</v>
      </c>
      <c r="H166">
        <v>1685</v>
      </c>
      <c r="I166">
        <v>439</v>
      </c>
      <c r="J166">
        <v>640</v>
      </c>
      <c r="K166">
        <v>410</v>
      </c>
      <c r="L166">
        <v>1013</v>
      </c>
      <c r="M166">
        <v>327</v>
      </c>
      <c r="N166">
        <v>278</v>
      </c>
      <c r="O166">
        <v>79</v>
      </c>
      <c r="P166">
        <v>470</v>
      </c>
      <c r="Q166">
        <v>617</v>
      </c>
      <c r="R166">
        <v>165</v>
      </c>
    </row>
    <row r="167" spans="1:18">
      <c r="A167" s="1" t="s">
        <v>142</v>
      </c>
      <c r="B167">
        <v>37</v>
      </c>
      <c r="C167">
        <v>33</v>
      </c>
      <c r="D167">
        <v>4</v>
      </c>
      <c r="E167">
        <v>4.24</v>
      </c>
      <c r="F167">
        <v>2961</v>
      </c>
      <c r="G167">
        <v>1034</v>
      </c>
      <c r="H167">
        <v>2291</v>
      </c>
      <c r="I167">
        <v>616</v>
      </c>
      <c r="J167">
        <v>903</v>
      </c>
      <c r="K167">
        <v>568</v>
      </c>
      <c r="L167">
        <v>1528</v>
      </c>
      <c r="M167">
        <v>566</v>
      </c>
      <c r="N167">
        <v>361</v>
      </c>
      <c r="O167">
        <v>235</v>
      </c>
      <c r="P167">
        <v>575</v>
      </c>
      <c r="Q167">
        <v>757</v>
      </c>
      <c r="R167">
        <v>166</v>
      </c>
    </row>
    <row r="168" spans="1:18">
      <c r="A168" s="1" t="s">
        <v>143</v>
      </c>
      <c r="B168">
        <v>28</v>
      </c>
      <c r="C168">
        <v>9</v>
      </c>
      <c r="D168">
        <v>19</v>
      </c>
      <c r="E168">
        <v>-10.119999999999999</v>
      </c>
      <c r="F168">
        <v>2058</v>
      </c>
      <c r="G168">
        <v>755</v>
      </c>
      <c r="H168">
        <v>1705</v>
      </c>
      <c r="I168">
        <v>376</v>
      </c>
      <c r="J168">
        <v>549</v>
      </c>
      <c r="K168">
        <v>351</v>
      </c>
      <c r="L168">
        <v>1028</v>
      </c>
      <c r="M168">
        <v>333</v>
      </c>
      <c r="N168">
        <v>170</v>
      </c>
      <c r="O168">
        <v>80</v>
      </c>
      <c r="P168">
        <v>416</v>
      </c>
      <c r="Q168">
        <v>492</v>
      </c>
      <c r="R168">
        <v>167</v>
      </c>
    </row>
    <row r="169" spans="1:18">
      <c r="A169" s="1" t="s">
        <v>284</v>
      </c>
      <c r="B169">
        <v>34</v>
      </c>
      <c r="C169">
        <v>18</v>
      </c>
      <c r="D169">
        <v>16</v>
      </c>
      <c r="E169">
        <v>7</v>
      </c>
      <c r="F169">
        <v>2308</v>
      </c>
      <c r="G169">
        <v>825</v>
      </c>
      <c r="H169">
        <v>1895</v>
      </c>
      <c r="I169">
        <v>440</v>
      </c>
      <c r="J169">
        <v>631</v>
      </c>
      <c r="K169">
        <v>446</v>
      </c>
      <c r="L169">
        <v>1187</v>
      </c>
      <c r="M169">
        <v>399</v>
      </c>
      <c r="N169">
        <v>241</v>
      </c>
      <c r="O169">
        <v>135</v>
      </c>
      <c r="P169">
        <v>421</v>
      </c>
      <c r="Q169">
        <v>603</v>
      </c>
      <c r="R169">
        <v>168</v>
      </c>
    </row>
    <row r="170" spans="1:18">
      <c r="A170" s="1" t="s">
        <v>144</v>
      </c>
      <c r="B170">
        <v>29</v>
      </c>
      <c r="C170">
        <v>18</v>
      </c>
      <c r="D170">
        <v>11</v>
      </c>
      <c r="E170">
        <v>1.1499999999999999</v>
      </c>
      <c r="F170">
        <v>1822</v>
      </c>
      <c r="G170">
        <v>657</v>
      </c>
      <c r="H170">
        <v>1424</v>
      </c>
      <c r="I170">
        <v>338</v>
      </c>
      <c r="J170">
        <v>459</v>
      </c>
      <c r="K170">
        <v>231</v>
      </c>
      <c r="L170">
        <v>912</v>
      </c>
      <c r="M170">
        <v>357</v>
      </c>
      <c r="N170">
        <v>156</v>
      </c>
      <c r="O170">
        <v>79</v>
      </c>
      <c r="P170">
        <v>386</v>
      </c>
      <c r="Q170">
        <v>526</v>
      </c>
      <c r="R170">
        <v>169</v>
      </c>
    </row>
    <row r="171" spans="1:18">
      <c r="A171" s="1" t="s">
        <v>377</v>
      </c>
      <c r="B171">
        <v>34</v>
      </c>
      <c r="C171">
        <v>22</v>
      </c>
      <c r="D171">
        <v>12</v>
      </c>
      <c r="E171">
        <v>7.27</v>
      </c>
      <c r="F171">
        <v>2520</v>
      </c>
      <c r="G171">
        <v>896</v>
      </c>
      <c r="H171">
        <v>1879</v>
      </c>
      <c r="I171">
        <v>524</v>
      </c>
      <c r="J171">
        <v>681</v>
      </c>
      <c r="K171">
        <v>373</v>
      </c>
      <c r="L171">
        <v>1212</v>
      </c>
      <c r="M171">
        <v>567</v>
      </c>
      <c r="N171">
        <v>214</v>
      </c>
      <c r="O171">
        <v>101</v>
      </c>
      <c r="P171">
        <v>478</v>
      </c>
      <c r="Q171">
        <v>627</v>
      </c>
      <c r="R171">
        <v>170</v>
      </c>
    </row>
    <row r="172" spans="1:18">
      <c r="A172" s="1" t="s">
        <v>145</v>
      </c>
      <c r="B172">
        <v>33</v>
      </c>
      <c r="C172">
        <v>22</v>
      </c>
      <c r="D172">
        <v>11</v>
      </c>
      <c r="E172">
        <v>7.04</v>
      </c>
      <c r="F172">
        <v>2367</v>
      </c>
      <c r="G172">
        <v>842</v>
      </c>
      <c r="H172">
        <v>1753</v>
      </c>
      <c r="I172">
        <v>465</v>
      </c>
      <c r="J172">
        <v>617</v>
      </c>
      <c r="K172">
        <v>342</v>
      </c>
      <c r="L172">
        <v>1115</v>
      </c>
      <c r="M172">
        <v>488</v>
      </c>
      <c r="N172">
        <v>215</v>
      </c>
      <c r="O172">
        <v>132</v>
      </c>
      <c r="P172">
        <v>495</v>
      </c>
      <c r="Q172">
        <v>544</v>
      </c>
      <c r="R172">
        <v>171</v>
      </c>
    </row>
    <row r="173" spans="1:18">
      <c r="A173" s="1" t="s">
        <v>146</v>
      </c>
      <c r="B173">
        <v>28</v>
      </c>
      <c r="C173">
        <v>16</v>
      </c>
      <c r="D173">
        <v>12</v>
      </c>
      <c r="E173">
        <v>-1.17</v>
      </c>
      <c r="F173">
        <v>1977</v>
      </c>
      <c r="G173">
        <v>679</v>
      </c>
      <c r="H173">
        <v>1550</v>
      </c>
      <c r="I173">
        <v>429</v>
      </c>
      <c r="J173">
        <v>604</v>
      </c>
      <c r="K173">
        <v>335</v>
      </c>
      <c r="L173">
        <v>972</v>
      </c>
      <c r="M173">
        <v>369</v>
      </c>
      <c r="N173">
        <v>183</v>
      </c>
      <c r="O173">
        <v>61</v>
      </c>
      <c r="P173">
        <v>396</v>
      </c>
      <c r="Q173">
        <v>552</v>
      </c>
      <c r="R173">
        <v>172</v>
      </c>
    </row>
    <row r="174" spans="1:18">
      <c r="A174" s="1" t="s">
        <v>147</v>
      </c>
      <c r="B174">
        <v>31</v>
      </c>
      <c r="C174">
        <v>22</v>
      </c>
      <c r="D174">
        <v>9</v>
      </c>
      <c r="E174">
        <v>1.47</v>
      </c>
      <c r="F174">
        <v>2294</v>
      </c>
      <c r="G174">
        <v>797</v>
      </c>
      <c r="H174">
        <v>1832</v>
      </c>
      <c r="I174">
        <v>496</v>
      </c>
      <c r="J174">
        <v>719</v>
      </c>
      <c r="K174">
        <v>452</v>
      </c>
      <c r="L174">
        <v>1185</v>
      </c>
      <c r="M174">
        <v>389</v>
      </c>
      <c r="N174">
        <v>216</v>
      </c>
      <c r="O174">
        <v>91</v>
      </c>
      <c r="P174">
        <v>421</v>
      </c>
      <c r="Q174">
        <v>595</v>
      </c>
      <c r="R174">
        <v>173</v>
      </c>
    </row>
    <row r="175" spans="1:18">
      <c r="A175" s="1" t="s">
        <v>148</v>
      </c>
      <c r="B175">
        <v>31</v>
      </c>
      <c r="C175">
        <v>16</v>
      </c>
      <c r="D175">
        <v>15</v>
      </c>
      <c r="E175">
        <v>7.29</v>
      </c>
      <c r="F175">
        <v>2046</v>
      </c>
      <c r="G175">
        <v>742</v>
      </c>
      <c r="H175">
        <v>1697</v>
      </c>
      <c r="I175">
        <v>416</v>
      </c>
      <c r="J175">
        <v>625</v>
      </c>
      <c r="K175">
        <v>376</v>
      </c>
      <c r="L175">
        <v>1075</v>
      </c>
      <c r="M175">
        <v>442</v>
      </c>
      <c r="N175">
        <v>261</v>
      </c>
      <c r="O175">
        <v>108</v>
      </c>
      <c r="P175">
        <v>447</v>
      </c>
      <c r="Q175">
        <v>522</v>
      </c>
      <c r="R175">
        <v>174</v>
      </c>
    </row>
    <row r="176" spans="1:18">
      <c r="A176" s="1" t="s">
        <v>149</v>
      </c>
      <c r="B176">
        <v>30</v>
      </c>
      <c r="C176">
        <v>15</v>
      </c>
      <c r="D176">
        <v>15</v>
      </c>
      <c r="E176">
        <v>5.66</v>
      </c>
      <c r="F176">
        <v>2043</v>
      </c>
      <c r="G176">
        <v>748</v>
      </c>
      <c r="H176">
        <v>1682</v>
      </c>
      <c r="I176">
        <v>380</v>
      </c>
      <c r="J176">
        <v>600</v>
      </c>
      <c r="K176">
        <v>402</v>
      </c>
      <c r="L176">
        <v>1168</v>
      </c>
      <c r="M176">
        <v>330</v>
      </c>
      <c r="N176">
        <v>186</v>
      </c>
      <c r="O176">
        <v>136</v>
      </c>
      <c r="P176">
        <v>520</v>
      </c>
      <c r="Q176">
        <v>530</v>
      </c>
      <c r="R176">
        <v>175</v>
      </c>
    </row>
    <row r="177" spans="1:18">
      <c r="A177" s="1" t="s">
        <v>150</v>
      </c>
      <c r="B177">
        <v>28</v>
      </c>
      <c r="C177">
        <v>9</v>
      </c>
      <c r="D177">
        <v>19</v>
      </c>
      <c r="E177">
        <v>-8.99</v>
      </c>
      <c r="F177">
        <v>1713</v>
      </c>
      <c r="G177">
        <v>623</v>
      </c>
      <c r="H177">
        <v>1478</v>
      </c>
      <c r="I177">
        <v>313</v>
      </c>
      <c r="J177">
        <v>514</v>
      </c>
      <c r="K177">
        <v>348</v>
      </c>
      <c r="L177">
        <v>919</v>
      </c>
      <c r="M177">
        <v>311</v>
      </c>
      <c r="N177">
        <v>148</v>
      </c>
      <c r="O177">
        <v>56</v>
      </c>
      <c r="P177">
        <v>430</v>
      </c>
      <c r="Q177">
        <v>540</v>
      </c>
      <c r="R177">
        <v>176</v>
      </c>
    </row>
    <row r="178" spans="1:18">
      <c r="A178" s="1" t="s">
        <v>151</v>
      </c>
      <c r="B178">
        <v>30</v>
      </c>
      <c r="C178">
        <v>14</v>
      </c>
      <c r="D178">
        <v>16</v>
      </c>
      <c r="E178">
        <v>4.3499999999999996</v>
      </c>
      <c r="F178">
        <v>1951</v>
      </c>
      <c r="G178">
        <v>711</v>
      </c>
      <c r="H178">
        <v>1617</v>
      </c>
      <c r="I178">
        <v>349</v>
      </c>
      <c r="J178">
        <v>554</v>
      </c>
      <c r="K178">
        <v>378</v>
      </c>
      <c r="L178">
        <v>1013</v>
      </c>
      <c r="M178">
        <v>406</v>
      </c>
      <c r="N178">
        <v>214</v>
      </c>
      <c r="O178">
        <v>84</v>
      </c>
      <c r="P178">
        <v>474</v>
      </c>
      <c r="Q178">
        <v>578</v>
      </c>
      <c r="R178">
        <v>177</v>
      </c>
    </row>
    <row r="179" spans="1:18">
      <c r="A179" s="1" t="s">
        <v>152</v>
      </c>
      <c r="B179">
        <v>28</v>
      </c>
      <c r="C179">
        <v>14</v>
      </c>
      <c r="D179">
        <v>14</v>
      </c>
      <c r="E179">
        <v>-4.87</v>
      </c>
      <c r="F179">
        <v>1974</v>
      </c>
      <c r="G179">
        <v>685</v>
      </c>
      <c r="H179">
        <v>1609</v>
      </c>
      <c r="I179">
        <v>388</v>
      </c>
      <c r="J179">
        <v>535</v>
      </c>
      <c r="K179">
        <v>308</v>
      </c>
      <c r="L179">
        <v>886</v>
      </c>
      <c r="M179">
        <v>326</v>
      </c>
      <c r="N179">
        <v>201</v>
      </c>
      <c r="O179">
        <v>79</v>
      </c>
      <c r="P179">
        <v>338</v>
      </c>
      <c r="Q179">
        <v>532</v>
      </c>
      <c r="R179">
        <v>178</v>
      </c>
    </row>
    <row r="180" spans="1:18">
      <c r="A180" s="1" t="s">
        <v>153</v>
      </c>
      <c r="B180">
        <v>31</v>
      </c>
      <c r="C180">
        <v>22</v>
      </c>
      <c r="D180">
        <v>9</v>
      </c>
      <c r="E180">
        <v>5.19</v>
      </c>
      <c r="F180">
        <v>2301</v>
      </c>
      <c r="G180">
        <v>801</v>
      </c>
      <c r="H180">
        <v>1767</v>
      </c>
      <c r="I180">
        <v>509</v>
      </c>
      <c r="J180">
        <v>682</v>
      </c>
      <c r="K180">
        <v>378</v>
      </c>
      <c r="L180">
        <v>1144</v>
      </c>
      <c r="M180">
        <v>460</v>
      </c>
      <c r="N180">
        <v>263</v>
      </c>
      <c r="O180">
        <v>99</v>
      </c>
      <c r="P180">
        <v>442</v>
      </c>
      <c r="Q180">
        <v>570</v>
      </c>
      <c r="R180">
        <v>179</v>
      </c>
    </row>
    <row r="181" spans="1:18">
      <c r="A181" s="1" t="s">
        <v>328</v>
      </c>
      <c r="B181">
        <v>28</v>
      </c>
      <c r="C181">
        <v>12</v>
      </c>
      <c r="D181">
        <v>16</v>
      </c>
      <c r="E181">
        <v>6.13</v>
      </c>
      <c r="F181">
        <v>1856</v>
      </c>
      <c r="G181">
        <v>660</v>
      </c>
      <c r="H181">
        <v>1542</v>
      </c>
      <c r="I181">
        <v>364</v>
      </c>
      <c r="J181">
        <v>559</v>
      </c>
      <c r="K181">
        <v>354</v>
      </c>
      <c r="L181">
        <v>944</v>
      </c>
      <c r="M181">
        <v>337</v>
      </c>
      <c r="N181">
        <v>167</v>
      </c>
      <c r="O181">
        <v>63</v>
      </c>
      <c r="P181">
        <v>442</v>
      </c>
      <c r="Q181">
        <v>508</v>
      </c>
      <c r="R181">
        <v>180</v>
      </c>
    </row>
    <row r="182" spans="1:18">
      <c r="A182" s="1" t="s">
        <v>154</v>
      </c>
      <c r="B182">
        <v>34</v>
      </c>
      <c r="C182">
        <v>19</v>
      </c>
      <c r="D182">
        <v>15</v>
      </c>
      <c r="E182">
        <v>-4.05</v>
      </c>
      <c r="F182">
        <v>2191</v>
      </c>
      <c r="G182">
        <v>787</v>
      </c>
      <c r="H182">
        <v>1785</v>
      </c>
      <c r="I182">
        <v>400</v>
      </c>
      <c r="J182">
        <v>597</v>
      </c>
      <c r="K182">
        <v>296</v>
      </c>
      <c r="L182">
        <v>1114</v>
      </c>
      <c r="M182">
        <v>502</v>
      </c>
      <c r="N182">
        <v>254</v>
      </c>
      <c r="O182">
        <v>123</v>
      </c>
      <c r="P182">
        <v>510</v>
      </c>
      <c r="Q182">
        <v>570</v>
      </c>
      <c r="R182">
        <v>181</v>
      </c>
    </row>
    <row r="183" spans="1:18">
      <c r="A183" s="1" t="s">
        <v>155</v>
      </c>
      <c r="B183">
        <v>30</v>
      </c>
      <c r="C183">
        <v>15</v>
      </c>
      <c r="D183">
        <v>15</v>
      </c>
      <c r="E183">
        <v>-2.17</v>
      </c>
      <c r="F183">
        <v>2195</v>
      </c>
      <c r="G183">
        <v>781</v>
      </c>
      <c r="H183">
        <v>1682</v>
      </c>
      <c r="I183">
        <v>380</v>
      </c>
      <c r="J183">
        <v>591</v>
      </c>
      <c r="K183">
        <v>315</v>
      </c>
      <c r="L183">
        <v>1025</v>
      </c>
      <c r="M183">
        <v>468</v>
      </c>
      <c r="N183">
        <v>170</v>
      </c>
      <c r="O183">
        <v>108</v>
      </c>
      <c r="P183">
        <v>434</v>
      </c>
      <c r="Q183">
        <v>538</v>
      </c>
      <c r="R183">
        <v>182</v>
      </c>
    </row>
    <row r="184" spans="1:18">
      <c r="A184" s="1" t="s">
        <v>156</v>
      </c>
      <c r="B184">
        <v>31</v>
      </c>
      <c r="C184">
        <v>24</v>
      </c>
      <c r="D184">
        <v>7</v>
      </c>
      <c r="E184">
        <v>-0.96</v>
      </c>
      <c r="F184">
        <v>2449</v>
      </c>
      <c r="G184">
        <v>876</v>
      </c>
      <c r="H184">
        <v>1781</v>
      </c>
      <c r="I184">
        <v>469</v>
      </c>
      <c r="J184">
        <v>653</v>
      </c>
      <c r="K184">
        <v>348</v>
      </c>
      <c r="L184">
        <v>1096</v>
      </c>
      <c r="M184">
        <v>565</v>
      </c>
      <c r="N184">
        <v>229</v>
      </c>
      <c r="O184">
        <v>95</v>
      </c>
      <c r="P184">
        <v>431</v>
      </c>
      <c r="Q184">
        <v>563</v>
      </c>
      <c r="R184">
        <v>183</v>
      </c>
    </row>
    <row r="185" spans="1:18">
      <c r="A185" s="1" t="s">
        <v>157</v>
      </c>
      <c r="B185">
        <v>27</v>
      </c>
      <c r="C185">
        <v>4</v>
      </c>
      <c r="D185">
        <v>23</v>
      </c>
      <c r="E185">
        <v>-5.43</v>
      </c>
      <c r="F185">
        <v>1679</v>
      </c>
      <c r="G185">
        <v>619</v>
      </c>
      <c r="H185">
        <v>1444</v>
      </c>
      <c r="I185">
        <v>316</v>
      </c>
      <c r="J185">
        <v>455</v>
      </c>
      <c r="K185">
        <v>283</v>
      </c>
      <c r="L185">
        <v>847</v>
      </c>
      <c r="M185">
        <v>354</v>
      </c>
      <c r="N185">
        <v>193</v>
      </c>
      <c r="O185">
        <v>86</v>
      </c>
      <c r="P185">
        <v>454</v>
      </c>
      <c r="Q185">
        <v>520</v>
      </c>
      <c r="R185">
        <v>184</v>
      </c>
    </row>
    <row r="186" spans="1:18">
      <c r="A186" s="1" t="s">
        <v>158</v>
      </c>
      <c r="B186">
        <v>30</v>
      </c>
      <c r="C186">
        <v>4</v>
      </c>
      <c r="D186">
        <v>26</v>
      </c>
      <c r="E186">
        <v>-7.75</v>
      </c>
      <c r="F186">
        <v>1644</v>
      </c>
      <c r="G186">
        <v>602</v>
      </c>
      <c r="H186">
        <v>1607</v>
      </c>
      <c r="I186">
        <v>313</v>
      </c>
      <c r="J186">
        <v>504</v>
      </c>
      <c r="K186">
        <v>319</v>
      </c>
      <c r="L186">
        <v>949</v>
      </c>
      <c r="M186">
        <v>292</v>
      </c>
      <c r="N186">
        <v>163</v>
      </c>
      <c r="O186">
        <v>99</v>
      </c>
      <c r="P186">
        <v>562</v>
      </c>
      <c r="Q186">
        <v>592</v>
      </c>
      <c r="R186">
        <v>185</v>
      </c>
    </row>
    <row r="187" spans="1:18">
      <c r="A187" s="1" t="s">
        <v>159</v>
      </c>
      <c r="B187">
        <v>30</v>
      </c>
      <c r="C187">
        <v>13</v>
      </c>
      <c r="D187">
        <v>17</v>
      </c>
      <c r="E187">
        <v>-5.58</v>
      </c>
      <c r="F187">
        <v>1939</v>
      </c>
      <c r="G187">
        <v>680</v>
      </c>
      <c r="H187">
        <v>1642</v>
      </c>
      <c r="I187">
        <v>404</v>
      </c>
      <c r="J187">
        <v>562</v>
      </c>
      <c r="K187">
        <v>326</v>
      </c>
      <c r="L187">
        <v>964</v>
      </c>
      <c r="M187">
        <v>366</v>
      </c>
      <c r="N187">
        <v>226</v>
      </c>
      <c r="O187">
        <v>78</v>
      </c>
      <c r="P187">
        <v>411</v>
      </c>
      <c r="Q187">
        <v>621</v>
      </c>
      <c r="R187">
        <v>186</v>
      </c>
    </row>
    <row r="188" spans="1:18">
      <c r="A188" s="1" t="s">
        <v>160</v>
      </c>
      <c r="B188">
        <v>31</v>
      </c>
      <c r="C188">
        <v>24</v>
      </c>
      <c r="D188">
        <v>7</v>
      </c>
      <c r="E188">
        <v>-5.07</v>
      </c>
      <c r="F188">
        <v>2203</v>
      </c>
      <c r="G188">
        <v>808</v>
      </c>
      <c r="H188">
        <v>1795</v>
      </c>
      <c r="I188">
        <v>357</v>
      </c>
      <c r="J188">
        <v>548</v>
      </c>
      <c r="K188">
        <v>410</v>
      </c>
      <c r="L188">
        <v>1141</v>
      </c>
      <c r="M188">
        <v>485</v>
      </c>
      <c r="N188">
        <v>250</v>
      </c>
      <c r="O188">
        <v>147</v>
      </c>
      <c r="P188">
        <v>387</v>
      </c>
      <c r="Q188">
        <v>568</v>
      </c>
      <c r="R188">
        <v>187</v>
      </c>
    </row>
    <row r="189" spans="1:18">
      <c r="A189" s="1" t="s">
        <v>161</v>
      </c>
      <c r="B189">
        <v>28</v>
      </c>
      <c r="C189">
        <v>10</v>
      </c>
      <c r="D189">
        <v>18</v>
      </c>
      <c r="E189">
        <v>-6.16</v>
      </c>
      <c r="F189">
        <v>1899</v>
      </c>
      <c r="G189">
        <v>633</v>
      </c>
      <c r="H189">
        <v>1567</v>
      </c>
      <c r="I189">
        <v>442</v>
      </c>
      <c r="J189">
        <v>612</v>
      </c>
      <c r="K189">
        <v>381</v>
      </c>
      <c r="L189">
        <v>997</v>
      </c>
      <c r="M189">
        <v>342</v>
      </c>
      <c r="N189">
        <v>235</v>
      </c>
      <c r="O189">
        <v>61</v>
      </c>
      <c r="P189">
        <v>509</v>
      </c>
      <c r="Q189">
        <v>612</v>
      </c>
      <c r="R189">
        <v>188</v>
      </c>
    </row>
    <row r="190" spans="1:18">
      <c r="A190" s="1" t="s">
        <v>162</v>
      </c>
      <c r="B190">
        <v>33</v>
      </c>
      <c r="C190">
        <v>19</v>
      </c>
      <c r="D190">
        <v>14</v>
      </c>
      <c r="E190">
        <v>6.74</v>
      </c>
      <c r="F190">
        <v>2201</v>
      </c>
      <c r="G190">
        <v>736</v>
      </c>
      <c r="H190">
        <v>1794</v>
      </c>
      <c r="I190">
        <v>508</v>
      </c>
      <c r="J190">
        <v>758</v>
      </c>
      <c r="K190">
        <v>441</v>
      </c>
      <c r="L190">
        <v>1275</v>
      </c>
      <c r="M190">
        <v>439</v>
      </c>
      <c r="N190">
        <v>213</v>
      </c>
      <c r="O190">
        <v>130</v>
      </c>
      <c r="P190">
        <v>515</v>
      </c>
      <c r="Q190">
        <v>544</v>
      </c>
      <c r="R190">
        <v>189</v>
      </c>
    </row>
    <row r="191" spans="1:18">
      <c r="A191" s="1" t="s">
        <v>285</v>
      </c>
      <c r="B191">
        <v>30</v>
      </c>
      <c r="C191">
        <v>17</v>
      </c>
      <c r="D191">
        <v>13</v>
      </c>
      <c r="E191">
        <v>4.51</v>
      </c>
      <c r="F191">
        <v>2084</v>
      </c>
      <c r="G191">
        <v>775</v>
      </c>
      <c r="H191">
        <v>1741</v>
      </c>
      <c r="I191">
        <v>351</v>
      </c>
      <c r="J191">
        <v>524</v>
      </c>
      <c r="K191">
        <v>379</v>
      </c>
      <c r="L191">
        <v>1081</v>
      </c>
      <c r="M191">
        <v>472</v>
      </c>
      <c r="N191">
        <v>220</v>
      </c>
      <c r="O191">
        <v>94</v>
      </c>
      <c r="P191">
        <v>444</v>
      </c>
      <c r="Q191">
        <v>570</v>
      </c>
      <c r="R191">
        <v>190</v>
      </c>
    </row>
    <row r="192" spans="1:18">
      <c r="A192" s="1" t="s">
        <v>163</v>
      </c>
      <c r="B192">
        <v>33</v>
      </c>
      <c r="C192">
        <v>27</v>
      </c>
      <c r="D192">
        <v>6</v>
      </c>
      <c r="E192">
        <v>2.2599999999999998</v>
      </c>
      <c r="F192">
        <v>2401</v>
      </c>
      <c r="G192">
        <v>866</v>
      </c>
      <c r="H192">
        <v>1901</v>
      </c>
      <c r="I192">
        <v>490</v>
      </c>
      <c r="J192">
        <v>682</v>
      </c>
      <c r="K192">
        <v>420</v>
      </c>
      <c r="L192">
        <v>1268</v>
      </c>
      <c r="M192">
        <v>514</v>
      </c>
      <c r="N192">
        <v>179</v>
      </c>
      <c r="O192">
        <v>160</v>
      </c>
      <c r="P192">
        <v>426</v>
      </c>
      <c r="Q192">
        <v>537</v>
      </c>
      <c r="R192">
        <v>191</v>
      </c>
    </row>
    <row r="193" spans="1:18">
      <c r="A193" s="1" t="s">
        <v>164</v>
      </c>
      <c r="B193">
        <v>29</v>
      </c>
      <c r="C193">
        <v>12</v>
      </c>
      <c r="D193">
        <v>17</v>
      </c>
      <c r="E193">
        <v>-4.93</v>
      </c>
      <c r="F193">
        <v>1720</v>
      </c>
      <c r="G193">
        <v>569</v>
      </c>
      <c r="H193">
        <v>1362</v>
      </c>
      <c r="I193">
        <v>357</v>
      </c>
      <c r="J193">
        <v>455</v>
      </c>
      <c r="K193">
        <v>228</v>
      </c>
      <c r="L193">
        <v>833</v>
      </c>
      <c r="M193">
        <v>351</v>
      </c>
      <c r="N193">
        <v>129</v>
      </c>
      <c r="O193">
        <v>57</v>
      </c>
      <c r="P193">
        <v>417</v>
      </c>
      <c r="Q193">
        <v>495</v>
      </c>
      <c r="R193">
        <v>192</v>
      </c>
    </row>
    <row r="194" spans="1:18">
      <c r="A194" s="1" t="s">
        <v>165</v>
      </c>
      <c r="B194">
        <v>30</v>
      </c>
      <c r="C194">
        <v>16</v>
      </c>
      <c r="D194">
        <v>14</v>
      </c>
      <c r="E194">
        <v>2.97</v>
      </c>
      <c r="F194">
        <v>2106</v>
      </c>
      <c r="G194">
        <v>735</v>
      </c>
      <c r="H194">
        <v>1619</v>
      </c>
      <c r="I194">
        <v>468</v>
      </c>
      <c r="J194">
        <v>670</v>
      </c>
      <c r="K194">
        <v>332</v>
      </c>
      <c r="L194">
        <v>1030</v>
      </c>
      <c r="M194">
        <v>335</v>
      </c>
      <c r="N194">
        <v>211</v>
      </c>
      <c r="O194">
        <v>69</v>
      </c>
      <c r="P194">
        <v>490</v>
      </c>
      <c r="Q194">
        <v>529</v>
      </c>
      <c r="R194">
        <v>193</v>
      </c>
    </row>
    <row r="195" spans="1:18">
      <c r="A195" s="1" t="s">
        <v>166</v>
      </c>
      <c r="B195">
        <v>30</v>
      </c>
      <c r="C195">
        <v>17</v>
      </c>
      <c r="D195">
        <v>13</v>
      </c>
      <c r="E195">
        <v>2.98</v>
      </c>
      <c r="F195">
        <v>1939</v>
      </c>
      <c r="G195">
        <v>690</v>
      </c>
      <c r="H195">
        <v>1515</v>
      </c>
      <c r="I195">
        <v>366</v>
      </c>
      <c r="J195">
        <v>547</v>
      </c>
      <c r="K195">
        <v>255</v>
      </c>
      <c r="L195">
        <v>884</v>
      </c>
      <c r="M195">
        <v>408</v>
      </c>
      <c r="N195">
        <v>219</v>
      </c>
      <c r="O195">
        <v>67</v>
      </c>
      <c r="P195">
        <v>365</v>
      </c>
      <c r="Q195">
        <v>493</v>
      </c>
      <c r="R195">
        <v>194</v>
      </c>
    </row>
    <row r="196" spans="1:18">
      <c r="A196" s="1" t="s">
        <v>167</v>
      </c>
      <c r="B196">
        <v>29</v>
      </c>
      <c r="C196">
        <v>10</v>
      </c>
      <c r="D196">
        <v>19</v>
      </c>
      <c r="E196">
        <v>0.21</v>
      </c>
      <c r="F196">
        <v>1912</v>
      </c>
      <c r="G196">
        <v>685</v>
      </c>
      <c r="H196">
        <v>1596</v>
      </c>
      <c r="I196">
        <v>364</v>
      </c>
      <c r="J196">
        <v>557</v>
      </c>
      <c r="K196">
        <v>330</v>
      </c>
      <c r="L196">
        <v>964</v>
      </c>
      <c r="M196">
        <v>395</v>
      </c>
      <c r="N196">
        <v>196</v>
      </c>
      <c r="O196">
        <v>80</v>
      </c>
      <c r="P196">
        <v>430</v>
      </c>
      <c r="Q196">
        <v>515</v>
      </c>
      <c r="R196">
        <v>195</v>
      </c>
    </row>
    <row r="197" spans="1:18">
      <c r="A197" s="1" t="s">
        <v>168</v>
      </c>
      <c r="B197">
        <v>29</v>
      </c>
      <c r="C197">
        <v>11</v>
      </c>
      <c r="D197">
        <v>18</v>
      </c>
      <c r="E197">
        <v>-0.87</v>
      </c>
      <c r="F197">
        <v>2138</v>
      </c>
      <c r="G197">
        <v>706</v>
      </c>
      <c r="H197">
        <v>1702</v>
      </c>
      <c r="I197">
        <v>503</v>
      </c>
      <c r="J197">
        <v>674</v>
      </c>
      <c r="K197">
        <v>421</v>
      </c>
      <c r="L197">
        <v>1111</v>
      </c>
      <c r="M197">
        <v>402</v>
      </c>
      <c r="N197">
        <v>170</v>
      </c>
      <c r="O197">
        <v>67</v>
      </c>
      <c r="P197">
        <v>417</v>
      </c>
      <c r="Q197">
        <v>493</v>
      </c>
      <c r="R197">
        <v>196</v>
      </c>
    </row>
    <row r="198" spans="1:18">
      <c r="A198" s="1" t="s">
        <v>169</v>
      </c>
      <c r="B198">
        <v>27</v>
      </c>
      <c r="C198">
        <v>9</v>
      </c>
      <c r="D198">
        <v>18</v>
      </c>
      <c r="E198">
        <v>-3.82</v>
      </c>
      <c r="F198">
        <v>1897</v>
      </c>
      <c r="G198">
        <v>678</v>
      </c>
      <c r="H198">
        <v>1545</v>
      </c>
      <c r="I198">
        <v>355</v>
      </c>
      <c r="J198">
        <v>503</v>
      </c>
      <c r="K198">
        <v>263</v>
      </c>
      <c r="L198">
        <v>934</v>
      </c>
      <c r="M198">
        <v>345</v>
      </c>
      <c r="N198">
        <v>150</v>
      </c>
      <c r="O198">
        <v>90</v>
      </c>
      <c r="P198">
        <v>450</v>
      </c>
      <c r="Q198">
        <v>495</v>
      </c>
      <c r="R198">
        <v>197</v>
      </c>
    </row>
    <row r="199" spans="1:18">
      <c r="A199" s="1" t="s">
        <v>337</v>
      </c>
      <c r="B199">
        <v>27</v>
      </c>
      <c r="C199">
        <v>8</v>
      </c>
      <c r="D199">
        <v>19</v>
      </c>
      <c r="F199">
        <v>1801</v>
      </c>
      <c r="G199">
        <v>638</v>
      </c>
      <c r="H199">
        <v>1460</v>
      </c>
      <c r="I199">
        <v>362</v>
      </c>
      <c r="J199">
        <v>544</v>
      </c>
      <c r="L199">
        <v>897</v>
      </c>
      <c r="M199">
        <v>277</v>
      </c>
      <c r="N199">
        <v>187</v>
      </c>
      <c r="O199">
        <v>59</v>
      </c>
      <c r="R199">
        <v>198</v>
      </c>
    </row>
    <row r="200" spans="1:18">
      <c r="A200" s="1" t="s">
        <v>170</v>
      </c>
      <c r="B200">
        <v>31</v>
      </c>
      <c r="C200">
        <v>13</v>
      </c>
      <c r="D200">
        <v>18</v>
      </c>
      <c r="E200">
        <v>-8.6300000000000008</v>
      </c>
      <c r="F200">
        <v>1918</v>
      </c>
      <c r="G200">
        <v>708</v>
      </c>
      <c r="H200">
        <v>1687</v>
      </c>
      <c r="I200">
        <v>384</v>
      </c>
      <c r="J200">
        <v>625</v>
      </c>
      <c r="K200">
        <v>442</v>
      </c>
      <c r="L200">
        <v>1183</v>
      </c>
      <c r="M200">
        <v>294</v>
      </c>
      <c r="N200">
        <v>229</v>
      </c>
      <c r="O200">
        <v>86</v>
      </c>
      <c r="P200">
        <v>537</v>
      </c>
      <c r="Q200">
        <v>641</v>
      </c>
      <c r="R200">
        <v>199</v>
      </c>
    </row>
    <row r="201" spans="1:18">
      <c r="A201" s="1" t="s">
        <v>171</v>
      </c>
      <c r="B201">
        <v>28</v>
      </c>
      <c r="C201">
        <v>9</v>
      </c>
      <c r="D201">
        <v>19</v>
      </c>
      <c r="E201">
        <v>-4</v>
      </c>
      <c r="F201">
        <v>1885</v>
      </c>
      <c r="G201">
        <v>657</v>
      </c>
      <c r="H201">
        <v>1552</v>
      </c>
      <c r="I201">
        <v>417</v>
      </c>
      <c r="J201">
        <v>581</v>
      </c>
      <c r="K201">
        <v>359</v>
      </c>
      <c r="L201">
        <v>1023</v>
      </c>
      <c r="M201">
        <v>391</v>
      </c>
      <c r="N201">
        <v>188</v>
      </c>
      <c r="O201">
        <v>67</v>
      </c>
      <c r="P201">
        <v>469</v>
      </c>
      <c r="Q201">
        <v>505</v>
      </c>
      <c r="R201">
        <v>200</v>
      </c>
    </row>
    <row r="202" spans="1:18">
      <c r="A202" s="1" t="s">
        <v>172</v>
      </c>
      <c r="B202">
        <v>29</v>
      </c>
      <c r="C202">
        <v>6</v>
      </c>
      <c r="D202">
        <v>23</v>
      </c>
      <c r="E202">
        <v>-8.6199999999999992</v>
      </c>
      <c r="F202">
        <v>1790</v>
      </c>
      <c r="G202">
        <v>628</v>
      </c>
      <c r="H202">
        <v>1611</v>
      </c>
      <c r="I202">
        <v>366</v>
      </c>
      <c r="J202">
        <v>617</v>
      </c>
      <c r="K202">
        <v>339</v>
      </c>
      <c r="L202">
        <v>954</v>
      </c>
      <c r="M202">
        <v>328</v>
      </c>
      <c r="N202">
        <v>198</v>
      </c>
      <c r="O202">
        <v>79</v>
      </c>
      <c r="P202">
        <v>472</v>
      </c>
      <c r="Q202">
        <v>560</v>
      </c>
      <c r="R202">
        <v>201</v>
      </c>
    </row>
    <row r="203" spans="1:18">
      <c r="A203" s="1" t="s">
        <v>173</v>
      </c>
      <c r="B203">
        <v>31</v>
      </c>
      <c r="C203">
        <v>12</v>
      </c>
      <c r="D203">
        <v>19</v>
      </c>
      <c r="E203">
        <v>-4.72</v>
      </c>
      <c r="F203">
        <v>2132</v>
      </c>
      <c r="G203">
        <v>746</v>
      </c>
      <c r="H203">
        <v>1687</v>
      </c>
      <c r="I203">
        <v>455</v>
      </c>
      <c r="J203">
        <v>700</v>
      </c>
      <c r="K203">
        <v>377</v>
      </c>
      <c r="L203">
        <v>1030</v>
      </c>
      <c r="M203">
        <v>407</v>
      </c>
      <c r="N203">
        <v>287</v>
      </c>
      <c r="O203">
        <v>148</v>
      </c>
      <c r="P203">
        <v>507</v>
      </c>
      <c r="Q203">
        <v>564</v>
      </c>
      <c r="R203">
        <v>202</v>
      </c>
    </row>
    <row r="204" spans="1:18">
      <c r="A204" s="1" t="s">
        <v>174</v>
      </c>
      <c r="B204">
        <v>32</v>
      </c>
      <c r="C204">
        <v>22</v>
      </c>
      <c r="D204">
        <v>10</v>
      </c>
      <c r="E204">
        <v>5.63</v>
      </c>
      <c r="F204">
        <v>2383</v>
      </c>
      <c r="G204">
        <v>793</v>
      </c>
      <c r="H204">
        <v>1704</v>
      </c>
      <c r="I204">
        <v>509</v>
      </c>
      <c r="J204">
        <v>678</v>
      </c>
      <c r="K204">
        <v>284</v>
      </c>
      <c r="L204">
        <v>1050</v>
      </c>
      <c r="M204">
        <v>500</v>
      </c>
      <c r="N204">
        <v>233</v>
      </c>
      <c r="O204">
        <v>150</v>
      </c>
      <c r="P204">
        <v>434</v>
      </c>
      <c r="Q204">
        <v>565</v>
      </c>
      <c r="R204">
        <v>203</v>
      </c>
    </row>
    <row r="205" spans="1:18">
      <c r="A205" s="1" t="s">
        <v>286</v>
      </c>
      <c r="B205">
        <v>33</v>
      </c>
      <c r="C205">
        <v>25</v>
      </c>
      <c r="D205">
        <v>8</v>
      </c>
      <c r="E205">
        <v>0.56999999999999995</v>
      </c>
      <c r="F205">
        <v>2250</v>
      </c>
      <c r="G205">
        <v>807</v>
      </c>
      <c r="H205">
        <v>1867</v>
      </c>
      <c r="I205">
        <v>420</v>
      </c>
      <c r="J205">
        <v>601</v>
      </c>
      <c r="K205">
        <v>389</v>
      </c>
      <c r="L205">
        <v>1191</v>
      </c>
      <c r="M205">
        <v>506</v>
      </c>
      <c r="N205">
        <v>248</v>
      </c>
      <c r="O205">
        <v>55</v>
      </c>
      <c r="P205">
        <v>414</v>
      </c>
      <c r="Q205">
        <v>682</v>
      </c>
      <c r="R205">
        <v>204</v>
      </c>
    </row>
    <row r="206" spans="1:18">
      <c r="A206" s="1" t="s">
        <v>312</v>
      </c>
      <c r="B206">
        <v>31</v>
      </c>
      <c r="C206">
        <v>23</v>
      </c>
      <c r="D206">
        <v>8</v>
      </c>
      <c r="E206">
        <v>7.77</v>
      </c>
      <c r="F206">
        <v>2460</v>
      </c>
      <c r="G206">
        <v>863</v>
      </c>
      <c r="H206">
        <v>1809</v>
      </c>
      <c r="I206">
        <v>519</v>
      </c>
      <c r="J206">
        <v>733</v>
      </c>
      <c r="K206">
        <v>432</v>
      </c>
      <c r="L206">
        <v>1237</v>
      </c>
      <c r="M206">
        <v>552</v>
      </c>
      <c r="N206">
        <v>242</v>
      </c>
      <c r="O206">
        <v>127</v>
      </c>
      <c r="P206">
        <v>512</v>
      </c>
      <c r="Q206">
        <v>531</v>
      </c>
      <c r="R206">
        <v>205</v>
      </c>
    </row>
    <row r="207" spans="1:18">
      <c r="A207" s="1" t="s">
        <v>338</v>
      </c>
      <c r="B207">
        <v>28</v>
      </c>
      <c r="C207">
        <v>16</v>
      </c>
      <c r="D207">
        <v>12</v>
      </c>
      <c r="F207">
        <v>2027</v>
      </c>
      <c r="G207">
        <v>699</v>
      </c>
      <c r="H207">
        <v>1503</v>
      </c>
      <c r="I207">
        <v>453</v>
      </c>
      <c r="J207">
        <v>618</v>
      </c>
      <c r="K207">
        <v>355</v>
      </c>
      <c r="L207">
        <v>1048</v>
      </c>
      <c r="M207">
        <v>397</v>
      </c>
      <c r="N207">
        <v>169</v>
      </c>
      <c r="O207">
        <v>107</v>
      </c>
      <c r="P207">
        <v>447</v>
      </c>
      <c r="Q207">
        <v>512</v>
      </c>
      <c r="R207">
        <v>206</v>
      </c>
    </row>
    <row r="208" spans="1:18">
      <c r="A208" s="1" t="s">
        <v>339</v>
      </c>
      <c r="B208">
        <v>28</v>
      </c>
      <c r="C208">
        <v>6</v>
      </c>
      <c r="D208">
        <v>22</v>
      </c>
      <c r="F208">
        <v>1945</v>
      </c>
      <c r="G208">
        <v>692</v>
      </c>
      <c r="H208">
        <v>1560</v>
      </c>
      <c r="I208">
        <v>408</v>
      </c>
      <c r="J208">
        <v>567</v>
      </c>
      <c r="K208">
        <v>332</v>
      </c>
      <c r="L208">
        <v>945</v>
      </c>
      <c r="M208">
        <v>370</v>
      </c>
      <c r="N208">
        <v>176</v>
      </c>
      <c r="O208">
        <v>71</v>
      </c>
      <c r="P208">
        <v>458</v>
      </c>
      <c r="Q208">
        <v>511</v>
      </c>
      <c r="R208">
        <v>207</v>
      </c>
    </row>
    <row r="209" spans="1:18">
      <c r="A209" s="1" t="s">
        <v>175</v>
      </c>
      <c r="B209">
        <v>28</v>
      </c>
      <c r="C209">
        <v>14</v>
      </c>
      <c r="D209">
        <v>14</v>
      </c>
      <c r="E209">
        <v>-1.88</v>
      </c>
      <c r="F209">
        <v>2144</v>
      </c>
      <c r="G209">
        <v>764</v>
      </c>
      <c r="H209">
        <v>1754</v>
      </c>
      <c r="I209">
        <v>411</v>
      </c>
      <c r="J209">
        <v>621</v>
      </c>
      <c r="K209">
        <v>407</v>
      </c>
      <c r="L209">
        <v>1085</v>
      </c>
      <c r="M209">
        <v>353</v>
      </c>
      <c r="N209">
        <v>265</v>
      </c>
      <c r="O209">
        <v>140</v>
      </c>
      <c r="P209">
        <v>448</v>
      </c>
      <c r="Q209">
        <v>617</v>
      </c>
      <c r="R209">
        <v>208</v>
      </c>
    </row>
    <row r="210" spans="1:18">
      <c r="A210" s="1" t="s">
        <v>176</v>
      </c>
      <c r="B210">
        <v>30</v>
      </c>
      <c r="C210">
        <v>19</v>
      </c>
      <c r="D210">
        <v>11</v>
      </c>
      <c r="E210">
        <v>-0.3</v>
      </c>
      <c r="F210">
        <v>2256</v>
      </c>
      <c r="G210">
        <v>812</v>
      </c>
      <c r="H210">
        <v>1798</v>
      </c>
      <c r="I210">
        <v>402</v>
      </c>
      <c r="J210">
        <v>546</v>
      </c>
      <c r="K210">
        <v>353</v>
      </c>
      <c r="L210">
        <v>1111</v>
      </c>
      <c r="M210">
        <v>489</v>
      </c>
      <c r="N210">
        <v>196</v>
      </c>
      <c r="O210">
        <v>240</v>
      </c>
      <c r="P210">
        <v>411</v>
      </c>
      <c r="Q210">
        <v>471</v>
      </c>
      <c r="R210">
        <v>209</v>
      </c>
    </row>
    <row r="211" spans="1:18">
      <c r="A211" s="1" t="s">
        <v>287</v>
      </c>
      <c r="B211">
        <v>32</v>
      </c>
      <c r="C211">
        <v>21</v>
      </c>
      <c r="D211">
        <v>11</v>
      </c>
      <c r="E211">
        <v>-1.35</v>
      </c>
      <c r="F211">
        <v>2444</v>
      </c>
      <c r="G211">
        <v>856</v>
      </c>
      <c r="H211">
        <v>1754</v>
      </c>
      <c r="I211">
        <v>532</v>
      </c>
      <c r="J211">
        <v>706</v>
      </c>
      <c r="K211">
        <v>327</v>
      </c>
      <c r="L211">
        <v>1080</v>
      </c>
      <c r="M211">
        <v>516</v>
      </c>
      <c r="N211">
        <v>221</v>
      </c>
      <c r="O211">
        <v>90</v>
      </c>
      <c r="P211">
        <v>532</v>
      </c>
      <c r="Q211">
        <v>640</v>
      </c>
      <c r="R211">
        <v>210</v>
      </c>
    </row>
    <row r="212" spans="1:18">
      <c r="A212" s="1" t="s">
        <v>333</v>
      </c>
      <c r="B212">
        <v>29</v>
      </c>
      <c r="C212">
        <v>5</v>
      </c>
      <c r="D212">
        <v>24</v>
      </c>
      <c r="F212">
        <v>1913</v>
      </c>
      <c r="G212">
        <v>686</v>
      </c>
      <c r="H212">
        <v>1539</v>
      </c>
      <c r="I212">
        <v>378</v>
      </c>
      <c r="J212">
        <v>568</v>
      </c>
      <c r="K212">
        <v>361</v>
      </c>
      <c r="L212">
        <v>985</v>
      </c>
      <c r="M212">
        <v>447</v>
      </c>
      <c r="N212">
        <v>152</v>
      </c>
      <c r="O212">
        <v>72</v>
      </c>
      <c r="P212">
        <v>501</v>
      </c>
      <c r="Q212">
        <v>595</v>
      </c>
      <c r="R212">
        <v>211</v>
      </c>
    </row>
    <row r="213" spans="1:18">
      <c r="A213" s="1" t="s">
        <v>177</v>
      </c>
      <c r="B213">
        <v>28</v>
      </c>
      <c r="C213">
        <v>17</v>
      </c>
      <c r="D213">
        <v>11</v>
      </c>
      <c r="E213">
        <v>-0.03</v>
      </c>
      <c r="F213">
        <v>2006</v>
      </c>
      <c r="G213">
        <v>708</v>
      </c>
      <c r="H213">
        <v>1460</v>
      </c>
      <c r="I213">
        <v>400</v>
      </c>
      <c r="J213">
        <v>562</v>
      </c>
      <c r="K213">
        <v>284</v>
      </c>
      <c r="L213">
        <v>908</v>
      </c>
      <c r="M213">
        <v>450</v>
      </c>
      <c r="N213">
        <v>160</v>
      </c>
      <c r="O213">
        <v>103</v>
      </c>
      <c r="P213">
        <v>378</v>
      </c>
      <c r="Q213">
        <v>488</v>
      </c>
      <c r="R213">
        <v>212</v>
      </c>
    </row>
    <row r="214" spans="1:18">
      <c r="A214" s="1" t="s">
        <v>178</v>
      </c>
      <c r="B214">
        <v>33</v>
      </c>
      <c r="C214">
        <v>23</v>
      </c>
      <c r="D214">
        <v>10</v>
      </c>
      <c r="E214">
        <v>5.13</v>
      </c>
      <c r="F214">
        <v>2165</v>
      </c>
      <c r="G214">
        <v>754</v>
      </c>
      <c r="H214">
        <v>1662</v>
      </c>
      <c r="I214">
        <v>438</v>
      </c>
      <c r="J214">
        <v>608</v>
      </c>
      <c r="K214">
        <v>279</v>
      </c>
      <c r="L214">
        <v>1100</v>
      </c>
      <c r="M214">
        <v>439</v>
      </c>
      <c r="N214">
        <v>179</v>
      </c>
      <c r="O214">
        <v>124</v>
      </c>
      <c r="P214">
        <v>401</v>
      </c>
      <c r="Q214">
        <v>480</v>
      </c>
      <c r="R214">
        <v>213</v>
      </c>
    </row>
    <row r="215" spans="1:18">
      <c r="A215" s="1" t="s">
        <v>179</v>
      </c>
      <c r="B215">
        <v>34</v>
      </c>
      <c r="C215">
        <v>26</v>
      </c>
      <c r="D215">
        <v>8</v>
      </c>
      <c r="E215">
        <v>-1.38</v>
      </c>
      <c r="F215">
        <v>2573</v>
      </c>
      <c r="G215">
        <v>914</v>
      </c>
      <c r="H215">
        <v>1981</v>
      </c>
      <c r="I215">
        <v>519</v>
      </c>
      <c r="J215">
        <v>779</v>
      </c>
      <c r="K215">
        <v>458</v>
      </c>
      <c r="L215">
        <v>1224</v>
      </c>
      <c r="M215">
        <v>589</v>
      </c>
      <c r="N215">
        <v>312</v>
      </c>
      <c r="O215">
        <v>113</v>
      </c>
      <c r="P215">
        <v>535</v>
      </c>
      <c r="Q215">
        <v>698</v>
      </c>
      <c r="R215">
        <v>214</v>
      </c>
    </row>
    <row r="216" spans="1:18">
      <c r="A216" s="1" t="s">
        <v>180</v>
      </c>
      <c r="B216">
        <v>29</v>
      </c>
      <c r="C216">
        <v>14</v>
      </c>
      <c r="D216">
        <v>15</v>
      </c>
      <c r="E216">
        <v>6.44</v>
      </c>
      <c r="F216">
        <v>1696</v>
      </c>
      <c r="G216">
        <v>611</v>
      </c>
      <c r="H216">
        <v>1369</v>
      </c>
      <c r="I216">
        <v>273</v>
      </c>
      <c r="J216">
        <v>404</v>
      </c>
      <c r="K216">
        <v>195</v>
      </c>
      <c r="L216">
        <v>771</v>
      </c>
      <c r="M216">
        <v>433</v>
      </c>
      <c r="N216">
        <v>225</v>
      </c>
      <c r="O216">
        <v>72</v>
      </c>
      <c r="P216">
        <v>356</v>
      </c>
      <c r="Q216">
        <v>443</v>
      </c>
      <c r="R216">
        <v>215</v>
      </c>
    </row>
    <row r="217" spans="1:18">
      <c r="A217" s="1" t="s">
        <v>181</v>
      </c>
      <c r="B217">
        <v>30</v>
      </c>
      <c r="C217">
        <v>16</v>
      </c>
      <c r="D217">
        <v>14</v>
      </c>
      <c r="E217">
        <v>6.68</v>
      </c>
      <c r="F217">
        <v>2291</v>
      </c>
      <c r="G217">
        <v>772</v>
      </c>
      <c r="H217">
        <v>1718</v>
      </c>
      <c r="I217">
        <v>459</v>
      </c>
      <c r="J217">
        <v>630</v>
      </c>
      <c r="K217">
        <v>355</v>
      </c>
      <c r="L217">
        <v>1138</v>
      </c>
      <c r="M217">
        <v>468</v>
      </c>
      <c r="N217">
        <v>174</v>
      </c>
      <c r="O217">
        <v>102</v>
      </c>
      <c r="P217">
        <v>364</v>
      </c>
      <c r="Q217">
        <v>492</v>
      </c>
      <c r="R217">
        <v>216</v>
      </c>
    </row>
    <row r="218" spans="1:18">
      <c r="A218" s="1" t="s">
        <v>182</v>
      </c>
      <c r="B218">
        <v>29</v>
      </c>
      <c r="C218">
        <v>11</v>
      </c>
      <c r="D218">
        <v>18</v>
      </c>
      <c r="E218">
        <v>-3.71</v>
      </c>
      <c r="F218">
        <v>2142</v>
      </c>
      <c r="G218">
        <v>744</v>
      </c>
      <c r="H218">
        <v>1652</v>
      </c>
      <c r="I218">
        <v>463</v>
      </c>
      <c r="J218">
        <v>678</v>
      </c>
      <c r="K218">
        <v>407</v>
      </c>
      <c r="L218">
        <v>1054</v>
      </c>
      <c r="M218">
        <v>355</v>
      </c>
      <c r="N218">
        <v>213</v>
      </c>
      <c r="O218">
        <v>61</v>
      </c>
      <c r="P218">
        <v>450</v>
      </c>
      <c r="Q218">
        <v>495</v>
      </c>
      <c r="R218">
        <v>217</v>
      </c>
    </row>
    <row r="219" spans="1:18">
      <c r="A219" s="1" t="s">
        <v>321</v>
      </c>
      <c r="B219">
        <v>32</v>
      </c>
      <c r="C219">
        <v>26</v>
      </c>
      <c r="D219">
        <v>6</v>
      </c>
      <c r="E219">
        <v>5.9</v>
      </c>
      <c r="F219">
        <v>2363</v>
      </c>
      <c r="G219">
        <v>833</v>
      </c>
      <c r="H219">
        <v>1791</v>
      </c>
      <c r="I219">
        <v>435</v>
      </c>
      <c r="J219">
        <v>606</v>
      </c>
      <c r="K219">
        <v>321</v>
      </c>
      <c r="L219">
        <v>1088</v>
      </c>
      <c r="M219">
        <v>491</v>
      </c>
      <c r="N219">
        <v>216</v>
      </c>
      <c r="O219">
        <v>89</v>
      </c>
      <c r="P219">
        <v>379</v>
      </c>
      <c r="Q219">
        <v>489</v>
      </c>
      <c r="R219">
        <v>218</v>
      </c>
    </row>
    <row r="220" spans="1:18">
      <c r="A220" s="1" t="s">
        <v>183</v>
      </c>
      <c r="B220">
        <v>30</v>
      </c>
      <c r="C220">
        <v>19</v>
      </c>
      <c r="D220">
        <v>11</v>
      </c>
      <c r="E220">
        <v>-0.5</v>
      </c>
      <c r="F220">
        <v>2077</v>
      </c>
      <c r="G220">
        <v>719</v>
      </c>
      <c r="H220">
        <v>1570</v>
      </c>
      <c r="I220">
        <v>421</v>
      </c>
      <c r="J220">
        <v>606</v>
      </c>
      <c r="K220">
        <v>330</v>
      </c>
      <c r="L220">
        <v>986</v>
      </c>
      <c r="M220">
        <v>427</v>
      </c>
      <c r="N220">
        <v>255</v>
      </c>
      <c r="O220">
        <v>70</v>
      </c>
      <c r="P220">
        <v>424</v>
      </c>
      <c r="Q220">
        <v>502</v>
      </c>
      <c r="R220">
        <v>219</v>
      </c>
    </row>
    <row r="221" spans="1:18">
      <c r="A221" s="1" t="s">
        <v>340</v>
      </c>
      <c r="B221">
        <v>33</v>
      </c>
      <c r="C221">
        <v>17</v>
      </c>
      <c r="D221">
        <v>16</v>
      </c>
      <c r="E221">
        <v>6.67</v>
      </c>
      <c r="F221">
        <v>2322</v>
      </c>
      <c r="G221">
        <v>844</v>
      </c>
      <c r="H221">
        <v>1755</v>
      </c>
      <c r="I221">
        <v>480</v>
      </c>
      <c r="J221">
        <v>651</v>
      </c>
      <c r="K221">
        <v>388</v>
      </c>
      <c r="L221">
        <v>1115</v>
      </c>
      <c r="M221">
        <v>494</v>
      </c>
      <c r="N221">
        <v>267</v>
      </c>
      <c r="O221">
        <v>111</v>
      </c>
      <c r="P221">
        <v>570</v>
      </c>
      <c r="Q221">
        <v>647</v>
      </c>
      <c r="R221">
        <v>220</v>
      </c>
    </row>
    <row r="222" spans="1:18">
      <c r="A222" s="1" t="s">
        <v>329</v>
      </c>
      <c r="B222">
        <v>29</v>
      </c>
      <c r="C222">
        <v>20</v>
      </c>
      <c r="D222">
        <v>9</v>
      </c>
      <c r="E222">
        <v>6.79</v>
      </c>
      <c r="F222">
        <v>1995</v>
      </c>
      <c r="G222">
        <v>716</v>
      </c>
      <c r="H222">
        <v>1586</v>
      </c>
      <c r="I222">
        <v>389</v>
      </c>
      <c r="J222">
        <v>545</v>
      </c>
      <c r="K222">
        <v>420</v>
      </c>
      <c r="L222">
        <v>1060</v>
      </c>
      <c r="M222">
        <v>423</v>
      </c>
      <c r="N222">
        <v>207</v>
      </c>
      <c r="O222">
        <v>100</v>
      </c>
      <c r="P222">
        <v>411</v>
      </c>
      <c r="Q222">
        <v>499</v>
      </c>
      <c r="R222">
        <v>221</v>
      </c>
    </row>
    <row r="223" spans="1:18">
      <c r="A223" s="1" t="s">
        <v>184</v>
      </c>
      <c r="B223">
        <v>34</v>
      </c>
      <c r="C223">
        <v>24</v>
      </c>
      <c r="D223">
        <v>10</v>
      </c>
      <c r="E223">
        <v>1.45</v>
      </c>
      <c r="F223">
        <v>2379</v>
      </c>
      <c r="G223">
        <v>810</v>
      </c>
      <c r="H223">
        <v>1892</v>
      </c>
      <c r="I223">
        <v>533</v>
      </c>
      <c r="J223">
        <v>744</v>
      </c>
      <c r="K223">
        <v>426</v>
      </c>
      <c r="L223">
        <v>1262</v>
      </c>
      <c r="M223">
        <v>517</v>
      </c>
      <c r="N223">
        <v>257</v>
      </c>
      <c r="O223">
        <v>114</v>
      </c>
      <c r="P223">
        <v>438</v>
      </c>
      <c r="Q223">
        <v>554</v>
      </c>
      <c r="R223">
        <v>222</v>
      </c>
    </row>
    <row r="224" spans="1:18">
      <c r="A224" s="1" t="s">
        <v>185</v>
      </c>
      <c r="B224">
        <v>33</v>
      </c>
      <c r="C224">
        <v>21</v>
      </c>
      <c r="D224">
        <v>12</v>
      </c>
      <c r="E224">
        <v>-2.35</v>
      </c>
      <c r="F224">
        <v>2472</v>
      </c>
      <c r="G224">
        <v>866</v>
      </c>
      <c r="H224">
        <v>1883</v>
      </c>
      <c r="I224">
        <v>522</v>
      </c>
      <c r="J224">
        <v>736</v>
      </c>
      <c r="K224">
        <v>435</v>
      </c>
      <c r="L224">
        <v>1215</v>
      </c>
      <c r="M224">
        <v>528</v>
      </c>
      <c r="N224">
        <v>220</v>
      </c>
      <c r="O224">
        <v>140</v>
      </c>
      <c r="P224">
        <v>472</v>
      </c>
      <c r="Q224">
        <v>583</v>
      </c>
      <c r="R224">
        <v>223</v>
      </c>
    </row>
    <row r="225" spans="1:18">
      <c r="A225" s="1" t="s">
        <v>186</v>
      </c>
      <c r="B225">
        <v>31</v>
      </c>
      <c r="C225">
        <v>13</v>
      </c>
      <c r="D225">
        <v>18</v>
      </c>
      <c r="E225">
        <v>6.31</v>
      </c>
      <c r="F225">
        <v>2043</v>
      </c>
      <c r="G225">
        <v>704</v>
      </c>
      <c r="H225">
        <v>1605</v>
      </c>
      <c r="I225">
        <v>469</v>
      </c>
      <c r="J225">
        <v>674</v>
      </c>
      <c r="K225">
        <v>321</v>
      </c>
      <c r="L225">
        <v>1028</v>
      </c>
      <c r="M225">
        <v>363</v>
      </c>
      <c r="N225">
        <v>171</v>
      </c>
      <c r="O225">
        <v>147</v>
      </c>
      <c r="P225">
        <v>479</v>
      </c>
      <c r="Q225">
        <v>530</v>
      </c>
      <c r="R225">
        <v>224</v>
      </c>
    </row>
    <row r="226" spans="1:18">
      <c r="A226" s="1" t="s">
        <v>288</v>
      </c>
      <c r="B226">
        <v>33</v>
      </c>
      <c r="C226">
        <v>15</v>
      </c>
      <c r="D226">
        <v>18</v>
      </c>
      <c r="E226">
        <v>6.85</v>
      </c>
      <c r="F226">
        <v>2295</v>
      </c>
      <c r="G226">
        <v>832</v>
      </c>
      <c r="H226">
        <v>1826</v>
      </c>
      <c r="I226">
        <v>406</v>
      </c>
      <c r="J226">
        <v>596</v>
      </c>
      <c r="K226">
        <v>377</v>
      </c>
      <c r="L226">
        <v>1110</v>
      </c>
      <c r="M226">
        <v>444</v>
      </c>
      <c r="N226">
        <v>181</v>
      </c>
      <c r="O226">
        <v>96</v>
      </c>
      <c r="P226">
        <v>419</v>
      </c>
      <c r="Q226">
        <v>589</v>
      </c>
      <c r="R226">
        <v>225</v>
      </c>
    </row>
    <row r="227" spans="1:18">
      <c r="A227" s="1" t="s">
        <v>187</v>
      </c>
      <c r="B227">
        <v>32</v>
      </c>
      <c r="C227">
        <v>24</v>
      </c>
      <c r="D227">
        <v>8</v>
      </c>
      <c r="E227">
        <v>-1.57</v>
      </c>
      <c r="F227">
        <v>2377</v>
      </c>
      <c r="G227">
        <v>858</v>
      </c>
      <c r="H227">
        <v>1763</v>
      </c>
      <c r="I227">
        <v>446</v>
      </c>
      <c r="J227">
        <v>598</v>
      </c>
      <c r="K227">
        <v>320</v>
      </c>
      <c r="L227">
        <v>1135</v>
      </c>
      <c r="M227">
        <v>514</v>
      </c>
      <c r="N227">
        <v>188</v>
      </c>
      <c r="O227">
        <v>67</v>
      </c>
      <c r="P227">
        <v>419</v>
      </c>
      <c r="Q227">
        <v>501</v>
      </c>
      <c r="R227">
        <v>226</v>
      </c>
    </row>
    <row r="228" spans="1:18">
      <c r="A228" s="1" t="s">
        <v>188</v>
      </c>
      <c r="B228">
        <v>30</v>
      </c>
      <c r="C228">
        <v>15</v>
      </c>
      <c r="D228">
        <v>15</v>
      </c>
      <c r="E228">
        <v>4.9800000000000004</v>
      </c>
      <c r="F228">
        <v>2021</v>
      </c>
      <c r="G228">
        <v>732</v>
      </c>
      <c r="H228">
        <v>1666</v>
      </c>
      <c r="I228">
        <v>371</v>
      </c>
      <c r="J228">
        <v>554</v>
      </c>
      <c r="K228">
        <v>358</v>
      </c>
      <c r="L228">
        <v>1017</v>
      </c>
      <c r="M228">
        <v>471</v>
      </c>
      <c r="N228">
        <v>213</v>
      </c>
      <c r="O228">
        <v>57</v>
      </c>
      <c r="P228">
        <v>378</v>
      </c>
      <c r="Q228">
        <v>422</v>
      </c>
      <c r="R228">
        <v>227</v>
      </c>
    </row>
    <row r="229" spans="1:18">
      <c r="A229" s="1" t="s">
        <v>289</v>
      </c>
      <c r="B229">
        <v>29</v>
      </c>
      <c r="C229">
        <v>20</v>
      </c>
      <c r="D229">
        <v>9</v>
      </c>
      <c r="E229">
        <v>-2.31</v>
      </c>
      <c r="F229">
        <v>1987</v>
      </c>
      <c r="G229">
        <v>710</v>
      </c>
      <c r="H229">
        <v>1595</v>
      </c>
      <c r="I229">
        <v>371</v>
      </c>
      <c r="J229">
        <v>550</v>
      </c>
      <c r="K229">
        <v>302</v>
      </c>
      <c r="L229">
        <v>919</v>
      </c>
      <c r="M229">
        <v>413</v>
      </c>
      <c r="N229">
        <v>283</v>
      </c>
      <c r="O229">
        <v>78</v>
      </c>
      <c r="P229">
        <v>382</v>
      </c>
      <c r="Q229">
        <v>532</v>
      </c>
      <c r="R229">
        <v>228</v>
      </c>
    </row>
    <row r="230" spans="1:18">
      <c r="A230" s="1" t="s">
        <v>290</v>
      </c>
      <c r="B230">
        <v>27</v>
      </c>
      <c r="C230">
        <v>7</v>
      </c>
      <c r="D230">
        <v>20</v>
      </c>
      <c r="E230">
        <v>4.0199999999999996</v>
      </c>
      <c r="F230">
        <v>1781</v>
      </c>
      <c r="G230">
        <v>638</v>
      </c>
      <c r="H230">
        <v>1556</v>
      </c>
      <c r="I230">
        <v>381</v>
      </c>
      <c r="J230">
        <v>563</v>
      </c>
      <c r="K230">
        <v>323</v>
      </c>
      <c r="L230">
        <v>970</v>
      </c>
      <c r="M230">
        <v>281</v>
      </c>
      <c r="N230">
        <v>177</v>
      </c>
      <c r="O230">
        <v>86</v>
      </c>
      <c r="P230">
        <v>408</v>
      </c>
      <c r="Q230">
        <v>566</v>
      </c>
      <c r="R230">
        <v>229</v>
      </c>
    </row>
    <row r="231" spans="1:18">
      <c r="A231" s="1" t="s">
        <v>189</v>
      </c>
      <c r="B231">
        <v>33</v>
      </c>
      <c r="C231">
        <v>25</v>
      </c>
      <c r="D231">
        <v>8</v>
      </c>
      <c r="E231">
        <v>7.01</v>
      </c>
      <c r="F231">
        <v>2391</v>
      </c>
      <c r="G231">
        <v>840</v>
      </c>
      <c r="H231">
        <v>1842</v>
      </c>
      <c r="I231">
        <v>505</v>
      </c>
      <c r="J231">
        <v>729</v>
      </c>
      <c r="K231">
        <v>422</v>
      </c>
      <c r="L231">
        <v>1281</v>
      </c>
      <c r="M231">
        <v>541</v>
      </c>
      <c r="N231">
        <v>203</v>
      </c>
      <c r="O231">
        <v>128</v>
      </c>
      <c r="P231">
        <v>452</v>
      </c>
      <c r="Q231">
        <v>565</v>
      </c>
      <c r="R231">
        <v>230</v>
      </c>
    </row>
    <row r="232" spans="1:18">
      <c r="A232" s="1" t="s">
        <v>190</v>
      </c>
      <c r="B232">
        <v>28</v>
      </c>
      <c r="C232">
        <v>12</v>
      </c>
      <c r="D232">
        <v>16</v>
      </c>
      <c r="E232">
        <v>-1.21</v>
      </c>
      <c r="F232">
        <v>2017</v>
      </c>
      <c r="G232">
        <v>701</v>
      </c>
      <c r="H232">
        <v>1548</v>
      </c>
      <c r="I232">
        <v>414</v>
      </c>
      <c r="J232">
        <v>615</v>
      </c>
      <c r="K232">
        <v>355</v>
      </c>
      <c r="L232">
        <v>1002</v>
      </c>
      <c r="M232">
        <v>425</v>
      </c>
      <c r="N232">
        <v>175</v>
      </c>
      <c r="O232">
        <v>82</v>
      </c>
      <c r="P232">
        <v>466</v>
      </c>
      <c r="Q232">
        <v>557</v>
      </c>
      <c r="R232">
        <v>231</v>
      </c>
    </row>
    <row r="233" spans="1:18">
      <c r="A233" s="1" t="s">
        <v>191</v>
      </c>
      <c r="B233">
        <v>29</v>
      </c>
      <c r="C233">
        <v>11</v>
      </c>
      <c r="D233">
        <v>18</v>
      </c>
      <c r="E233">
        <v>1.17</v>
      </c>
      <c r="F233">
        <v>2013</v>
      </c>
      <c r="G233">
        <v>696</v>
      </c>
      <c r="H233">
        <v>1612</v>
      </c>
      <c r="I233">
        <v>457</v>
      </c>
      <c r="J233">
        <v>634</v>
      </c>
      <c r="K233">
        <v>296</v>
      </c>
      <c r="L233">
        <v>925</v>
      </c>
      <c r="M233">
        <v>358</v>
      </c>
      <c r="N233">
        <v>207</v>
      </c>
      <c r="O233">
        <v>60</v>
      </c>
      <c r="P233">
        <v>406</v>
      </c>
      <c r="Q233">
        <v>563</v>
      </c>
      <c r="R233">
        <v>232</v>
      </c>
    </row>
    <row r="234" spans="1:18">
      <c r="A234" s="1" t="s">
        <v>192</v>
      </c>
      <c r="B234">
        <v>29</v>
      </c>
      <c r="C234">
        <v>5</v>
      </c>
      <c r="D234">
        <v>24</v>
      </c>
      <c r="E234">
        <v>-9.19</v>
      </c>
      <c r="F234">
        <v>1928</v>
      </c>
      <c r="G234">
        <v>713</v>
      </c>
      <c r="H234">
        <v>1767</v>
      </c>
      <c r="I234">
        <v>356</v>
      </c>
      <c r="J234">
        <v>597</v>
      </c>
      <c r="K234">
        <v>374</v>
      </c>
      <c r="L234">
        <v>1001</v>
      </c>
      <c r="M234">
        <v>314</v>
      </c>
      <c r="N234">
        <v>249</v>
      </c>
      <c r="O234">
        <v>57</v>
      </c>
      <c r="P234">
        <v>514</v>
      </c>
      <c r="Q234">
        <v>575</v>
      </c>
      <c r="R234">
        <v>233</v>
      </c>
    </row>
    <row r="235" spans="1:18">
      <c r="A235" s="1" t="s">
        <v>193</v>
      </c>
      <c r="B235">
        <v>27</v>
      </c>
      <c r="C235">
        <v>12</v>
      </c>
      <c r="D235">
        <v>15</v>
      </c>
      <c r="E235">
        <v>-3.58</v>
      </c>
      <c r="F235">
        <v>1402</v>
      </c>
      <c r="G235">
        <v>464</v>
      </c>
      <c r="H235">
        <v>1123</v>
      </c>
      <c r="I235">
        <v>266</v>
      </c>
      <c r="J235">
        <v>344</v>
      </c>
      <c r="K235">
        <v>150</v>
      </c>
      <c r="L235">
        <v>605</v>
      </c>
      <c r="M235">
        <v>293</v>
      </c>
      <c r="N235">
        <v>201</v>
      </c>
      <c r="O235">
        <v>53</v>
      </c>
      <c r="P235">
        <v>360</v>
      </c>
      <c r="Q235">
        <v>511</v>
      </c>
      <c r="R235">
        <v>234</v>
      </c>
    </row>
    <row r="236" spans="1:18">
      <c r="A236" s="1" t="s">
        <v>194</v>
      </c>
      <c r="B236">
        <v>27</v>
      </c>
      <c r="C236">
        <v>12</v>
      </c>
      <c r="D236">
        <v>15</v>
      </c>
      <c r="E236">
        <v>7.68</v>
      </c>
      <c r="F236">
        <v>2020</v>
      </c>
      <c r="G236">
        <v>713</v>
      </c>
      <c r="H236">
        <v>1556</v>
      </c>
      <c r="I236">
        <v>435</v>
      </c>
      <c r="J236">
        <v>631</v>
      </c>
      <c r="K236">
        <v>367</v>
      </c>
      <c r="L236">
        <v>962</v>
      </c>
      <c r="M236">
        <v>356</v>
      </c>
      <c r="N236">
        <v>213</v>
      </c>
      <c r="O236">
        <v>133</v>
      </c>
      <c r="P236">
        <v>404</v>
      </c>
      <c r="Q236">
        <v>485</v>
      </c>
      <c r="R236">
        <v>235</v>
      </c>
    </row>
    <row r="237" spans="1:18">
      <c r="A237" s="1" t="s">
        <v>291</v>
      </c>
      <c r="B237">
        <v>28</v>
      </c>
      <c r="C237">
        <v>9</v>
      </c>
      <c r="D237">
        <v>19</v>
      </c>
      <c r="E237">
        <v>6.61</v>
      </c>
      <c r="F237">
        <v>1811</v>
      </c>
      <c r="G237">
        <v>669</v>
      </c>
      <c r="H237">
        <v>1484</v>
      </c>
      <c r="I237">
        <v>320</v>
      </c>
      <c r="J237">
        <v>468</v>
      </c>
      <c r="K237">
        <v>306</v>
      </c>
      <c r="L237">
        <v>915</v>
      </c>
      <c r="M237">
        <v>366</v>
      </c>
      <c r="N237">
        <v>151</v>
      </c>
      <c r="O237">
        <v>93</v>
      </c>
      <c r="P237">
        <v>495</v>
      </c>
      <c r="Q237">
        <v>533</v>
      </c>
      <c r="R237">
        <v>236</v>
      </c>
    </row>
    <row r="238" spans="1:18">
      <c r="A238" s="1" t="s">
        <v>195</v>
      </c>
      <c r="B238">
        <v>28</v>
      </c>
      <c r="C238">
        <v>12</v>
      </c>
      <c r="D238">
        <v>16</v>
      </c>
      <c r="E238">
        <v>-5.83</v>
      </c>
      <c r="F238">
        <v>2059</v>
      </c>
      <c r="G238">
        <v>710</v>
      </c>
      <c r="H238">
        <v>1605</v>
      </c>
      <c r="I238">
        <v>444</v>
      </c>
      <c r="J238">
        <v>614</v>
      </c>
      <c r="K238">
        <v>331</v>
      </c>
      <c r="L238">
        <v>1024</v>
      </c>
      <c r="M238">
        <v>416</v>
      </c>
      <c r="N238">
        <v>193</v>
      </c>
      <c r="O238">
        <v>87</v>
      </c>
      <c r="P238">
        <v>475</v>
      </c>
      <c r="Q238">
        <v>573</v>
      </c>
      <c r="R238">
        <v>237</v>
      </c>
    </row>
    <row r="239" spans="1:18">
      <c r="A239" s="1" t="s">
        <v>196</v>
      </c>
      <c r="B239">
        <v>29</v>
      </c>
      <c r="C239">
        <v>16</v>
      </c>
      <c r="D239">
        <v>13</v>
      </c>
      <c r="E239">
        <v>-6.91</v>
      </c>
      <c r="F239">
        <v>2134</v>
      </c>
      <c r="G239">
        <v>716</v>
      </c>
      <c r="H239">
        <v>1689</v>
      </c>
      <c r="I239">
        <v>494</v>
      </c>
      <c r="J239">
        <v>677</v>
      </c>
      <c r="K239">
        <v>345</v>
      </c>
      <c r="L239">
        <v>1031</v>
      </c>
      <c r="M239">
        <v>344</v>
      </c>
      <c r="N239">
        <v>199</v>
      </c>
      <c r="O239">
        <v>133</v>
      </c>
      <c r="P239">
        <v>375</v>
      </c>
      <c r="Q239">
        <v>571</v>
      </c>
      <c r="R239">
        <v>238</v>
      </c>
    </row>
    <row r="240" spans="1:18">
      <c r="A240" s="1" t="s">
        <v>197</v>
      </c>
      <c r="B240">
        <v>28</v>
      </c>
      <c r="C240">
        <v>14</v>
      </c>
      <c r="D240">
        <v>14</v>
      </c>
      <c r="E240">
        <v>1.84</v>
      </c>
      <c r="F240">
        <v>1779</v>
      </c>
      <c r="G240">
        <v>648</v>
      </c>
      <c r="H240">
        <v>1535</v>
      </c>
      <c r="I240">
        <v>359</v>
      </c>
      <c r="J240">
        <v>525</v>
      </c>
      <c r="K240">
        <v>372</v>
      </c>
      <c r="L240">
        <v>1011</v>
      </c>
      <c r="M240">
        <v>347</v>
      </c>
      <c r="N240">
        <v>155</v>
      </c>
      <c r="O240">
        <v>88</v>
      </c>
      <c r="P240">
        <v>351</v>
      </c>
      <c r="Q240">
        <v>498</v>
      </c>
      <c r="R240">
        <v>239</v>
      </c>
    </row>
    <row r="241" spans="1:18">
      <c r="A241" s="1" t="s">
        <v>198</v>
      </c>
      <c r="B241">
        <v>28</v>
      </c>
      <c r="C241">
        <v>12</v>
      </c>
      <c r="D241">
        <v>16</v>
      </c>
      <c r="E241">
        <v>0.5</v>
      </c>
      <c r="F241">
        <v>1897</v>
      </c>
      <c r="G241">
        <v>674</v>
      </c>
      <c r="H241">
        <v>1550</v>
      </c>
      <c r="I241">
        <v>425</v>
      </c>
      <c r="J241">
        <v>582</v>
      </c>
      <c r="K241">
        <v>305</v>
      </c>
      <c r="L241">
        <v>948</v>
      </c>
      <c r="M241">
        <v>386</v>
      </c>
      <c r="N241">
        <v>216</v>
      </c>
      <c r="O241">
        <v>82</v>
      </c>
      <c r="P241">
        <v>428</v>
      </c>
      <c r="Q241">
        <v>488</v>
      </c>
      <c r="R241">
        <v>240</v>
      </c>
    </row>
    <row r="242" spans="1:18">
      <c r="A242" s="1" t="s">
        <v>199</v>
      </c>
      <c r="B242">
        <v>30</v>
      </c>
      <c r="C242">
        <v>13</v>
      </c>
      <c r="D242">
        <v>17</v>
      </c>
      <c r="E242">
        <v>1.36</v>
      </c>
      <c r="F242">
        <v>1562</v>
      </c>
      <c r="G242">
        <v>545</v>
      </c>
      <c r="H242">
        <v>1364</v>
      </c>
      <c r="I242">
        <v>280</v>
      </c>
      <c r="J242">
        <v>426</v>
      </c>
      <c r="K242">
        <v>253</v>
      </c>
      <c r="L242">
        <v>832</v>
      </c>
      <c r="M242">
        <v>364</v>
      </c>
      <c r="N242">
        <v>152</v>
      </c>
      <c r="O242">
        <v>139</v>
      </c>
      <c r="P242">
        <v>418</v>
      </c>
      <c r="Q242">
        <v>509</v>
      </c>
      <c r="R242">
        <v>241</v>
      </c>
    </row>
    <row r="243" spans="1:18">
      <c r="A243" s="1" t="s">
        <v>200</v>
      </c>
      <c r="B243">
        <v>28</v>
      </c>
      <c r="C243">
        <v>8</v>
      </c>
      <c r="D243">
        <v>20</v>
      </c>
      <c r="E243">
        <v>-0.6</v>
      </c>
      <c r="F243">
        <v>1981</v>
      </c>
      <c r="G243">
        <v>666</v>
      </c>
      <c r="H243">
        <v>1565</v>
      </c>
      <c r="I243">
        <v>421</v>
      </c>
      <c r="J243">
        <v>588</v>
      </c>
      <c r="K243">
        <v>291</v>
      </c>
      <c r="L243">
        <v>977</v>
      </c>
      <c r="M243">
        <v>418</v>
      </c>
      <c r="N243">
        <v>177</v>
      </c>
      <c r="O243">
        <v>98</v>
      </c>
      <c r="P243">
        <v>438</v>
      </c>
      <c r="Q243">
        <v>512</v>
      </c>
      <c r="R243">
        <v>242</v>
      </c>
    </row>
    <row r="244" spans="1:18">
      <c r="A244" s="1" t="s">
        <v>201</v>
      </c>
      <c r="B244">
        <v>29</v>
      </c>
      <c r="C244">
        <v>15</v>
      </c>
      <c r="D244">
        <v>14</v>
      </c>
      <c r="E244">
        <v>-6.27</v>
      </c>
      <c r="F244">
        <v>2136</v>
      </c>
      <c r="G244">
        <v>738</v>
      </c>
      <c r="H244">
        <v>1711</v>
      </c>
      <c r="I244">
        <v>400</v>
      </c>
      <c r="J244">
        <v>558</v>
      </c>
      <c r="K244">
        <v>392</v>
      </c>
      <c r="L244">
        <v>1047</v>
      </c>
      <c r="M244">
        <v>419</v>
      </c>
      <c r="N244">
        <v>218</v>
      </c>
      <c r="O244">
        <v>81</v>
      </c>
      <c r="P244">
        <v>427</v>
      </c>
      <c r="Q244">
        <v>498</v>
      </c>
      <c r="R244">
        <v>243</v>
      </c>
    </row>
    <row r="245" spans="1:18">
      <c r="A245" s="1" t="s">
        <v>202</v>
      </c>
      <c r="B245">
        <v>33</v>
      </c>
      <c r="C245">
        <v>19</v>
      </c>
      <c r="D245">
        <v>14</v>
      </c>
      <c r="E245">
        <v>5.16</v>
      </c>
      <c r="F245">
        <v>2273</v>
      </c>
      <c r="G245">
        <v>767</v>
      </c>
      <c r="H245">
        <v>1786</v>
      </c>
      <c r="I245">
        <v>506</v>
      </c>
      <c r="J245">
        <v>700</v>
      </c>
      <c r="K245">
        <v>359</v>
      </c>
      <c r="L245">
        <v>1145</v>
      </c>
      <c r="M245">
        <v>409</v>
      </c>
      <c r="N245">
        <v>188</v>
      </c>
      <c r="O245">
        <v>147</v>
      </c>
      <c r="P245">
        <v>413</v>
      </c>
      <c r="Q245">
        <v>668</v>
      </c>
      <c r="R245">
        <v>244</v>
      </c>
    </row>
    <row r="246" spans="1:18">
      <c r="A246" s="1" t="s">
        <v>203</v>
      </c>
      <c r="B246">
        <v>30</v>
      </c>
      <c r="C246">
        <v>15</v>
      </c>
      <c r="D246">
        <v>15</v>
      </c>
      <c r="E246">
        <v>-1.19</v>
      </c>
      <c r="F246">
        <v>2273</v>
      </c>
      <c r="G246">
        <v>802</v>
      </c>
      <c r="H246">
        <v>1866</v>
      </c>
      <c r="I246">
        <v>450</v>
      </c>
      <c r="J246">
        <v>635</v>
      </c>
      <c r="K246">
        <v>397</v>
      </c>
      <c r="L246">
        <v>994</v>
      </c>
      <c r="M246">
        <v>375</v>
      </c>
      <c r="N246">
        <v>295</v>
      </c>
      <c r="O246">
        <v>113</v>
      </c>
      <c r="P246">
        <v>377</v>
      </c>
      <c r="Q246">
        <v>675</v>
      </c>
      <c r="R246">
        <v>245</v>
      </c>
    </row>
    <row r="247" spans="1:18">
      <c r="A247" s="1" t="s">
        <v>204</v>
      </c>
      <c r="B247">
        <v>28</v>
      </c>
      <c r="C247">
        <v>11</v>
      </c>
      <c r="D247">
        <v>17</v>
      </c>
      <c r="E247">
        <v>-5.97</v>
      </c>
      <c r="F247">
        <v>1853</v>
      </c>
      <c r="G247">
        <v>656</v>
      </c>
      <c r="H247">
        <v>1458</v>
      </c>
      <c r="I247">
        <v>415</v>
      </c>
      <c r="J247">
        <v>598</v>
      </c>
      <c r="K247">
        <v>318</v>
      </c>
      <c r="L247">
        <v>978</v>
      </c>
      <c r="M247">
        <v>342</v>
      </c>
      <c r="N247">
        <v>207</v>
      </c>
      <c r="O247">
        <v>73</v>
      </c>
      <c r="P247">
        <v>460</v>
      </c>
      <c r="Q247">
        <v>507</v>
      </c>
      <c r="R247">
        <v>246</v>
      </c>
    </row>
    <row r="248" spans="1:18">
      <c r="A248" s="1" t="s">
        <v>205</v>
      </c>
      <c r="B248">
        <v>28</v>
      </c>
      <c r="C248">
        <v>4</v>
      </c>
      <c r="D248">
        <v>24</v>
      </c>
      <c r="E248">
        <v>-5.05</v>
      </c>
      <c r="F248">
        <v>1679</v>
      </c>
      <c r="G248">
        <v>602</v>
      </c>
      <c r="H248">
        <v>1507</v>
      </c>
      <c r="I248">
        <v>273</v>
      </c>
      <c r="J248">
        <v>409</v>
      </c>
      <c r="K248">
        <v>296</v>
      </c>
      <c r="L248">
        <v>871</v>
      </c>
      <c r="M248">
        <v>361</v>
      </c>
      <c r="N248">
        <v>156</v>
      </c>
      <c r="O248">
        <v>84</v>
      </c>
      <c r="P248">
        <v>411</v>
      </c>
      <c r="Q248">
        <v>462</v>
      </c>
      <c r="R248">
        <v>247</v>
      </c>
    </row>
    <row r="249" spans="1:18">
      <c r="A249" s="1" t="s">
        <v>206</v>
      </c>
      <c r="B249">
        <v>33</v>
      </c>
      <c r="C249">
        <v>19</v>
      </c>
      <c r="D249">
        <v>14</v>
      </c>
      <c r="E249">
        <v>5.12</v>
      </c>
      <c r="F249">
        <v>2182</v>
      </c>
      <c r="G249">
        <v>711</v>
      </c>
      <c r="H249">
        <v>1657</v>
      </c>
      <c r="I249">
        <v>525</v>
      </c>
      <c r="J249">
        <v>657</v>
      </c>
      <c r="K249">
        <v>305</v>
      </c>
      <c r="L249">
        <v>1066</v>
      </c>
      <c r="M249">
        <v>449</v>
      </c>
      <c r="N249">
        <v>188</v>
      </c>
      <c r="O249">
        <v>132</v>
      </c>
      <c r="P249">
        <v>420</v>
      </c>
      <c r="Q249">
        <v>622</v>
      </c>
      <c r="R249">
        <v>248</v>
      </c>
    </row>
    <row r="250" spans="1:18">
      <c r="A250" s="1" t="s">
        <v>292</v>
      </c>
      <c r="B250">
        <v>29</v>
      </c>
      <c r="C250">
        <v>16</v>
      </c>
      <c r="D250">
        <v>13</v>
      </c>
      <c r="E250">
        <v>3</v>
      </c>
      <c r="F250">
        <v>1749</v>
      </c>
      <c r="G250">
        <v>618</v>
      </c>
      <c r="H250">
        <v>1494</v>
      </c>
      <c r="I250">
        <v>373</v>
      </c>
      <c r="J250">
        <v>536</v>
      </c>
      <c r="K250">
        <v>316</v>
      </c>
      <c r="L250">
        <v>995</v>
      </c>
      <c r="M250">
        <v>352</v>
      </c>
      <c r="N250">
        <v>149</v>
      </c>
      <c r="O250">
        <v>108</v>
      </c>
      <c r="P250">
        <v>385</v>
      </c>
      <c r="Q250">
        <v>493</v>
      </c>
      <c r="R250">
        <v>249</v>
      </c>
    </row>
    <row r="251" spans="1:18">
      <c r="A251" s="1" t="s">
        <v>207</v>
      </c>
      <c r="B251">
        <v>29</v>
      </c>
      <c r="C251">
        <v>17</v>
      </c>
      <c r="D251">
        <v>12</v>
      </c>
      <c r="E251">
        <v>2.2799999999999998</v>
      </c>
      <c r="F251">
        <v>2049</v>
      </c>
      <c r="G251">
        <v>695</v>
      </c>
      <c r="H251">
        <v>1580</v>
      </c>
      <c r="I251">
        <v>456</v>
      </c>
      <c r="J251">
        <v>638</v>
      </c>
      <c r="K251">
        <v>360</v>
      </c>
      <c r="L251">
        <v>1085</v>
      </c>
      <c r="M251">
        <v>323</v>
      </c>
      <c r="N251">
        <v>170</v>
      </c>
      <c r="O251">
        <v>112</v>
      </c>
      <c r="P251">
        <v>437</v>
      </c>
      <c r="Q251">
        <v>540</v>
      </c>
      <c r="R251">
        <v>250</v>
      </c>
    </row>
    <row r="252" spans="1:18">
      <c r="A252" s="1" t="s">
        <v>208</v>
      </c>
      <c r="B252">
        <v>32</v>
      </c>
      <c r="C252">
        <v>17</v>
      </c>
      <c r="D252">
        <v>15</v>
      </c>
      <c r="E252">
        <v>-0.98</v>
      </c>
      <c r="F252">
        <v>2385</v>
      </c>
      <c r="G252">
        <v>861</v>
      </c>
      <c r="H252">
        <v>2042</v>
      </c>
      <c r="I252">
        <v>422</v>
      </c>
      <c r="J252">
        <v>582</v>
      </c>
      <c r="K252">
        <v>475</v>
      </c>
      <c r="L252">
        <v>1205</v>
      </c>
      <c r="M252">
        <v>433</v>
      </c>
      <c r="N252">
        <v>256</v>
      </c>
      <c r="O252">
        <v>111</v>
      </c>
      <c r="P252">
        <v>419</v>
      </c>
      <c r="Q252">
        <v>626</v>
      </c>
      <c r="R252">
        <v>251</v>
      </c>
    </row>
    <row r="253" spans="1:18">
      <c r="A253" s="1" t="s">
        <v>209</v>
      </c>
      <c r="B253">
        <v>31</v>
      </c>
      <c r="C253">
        <v>22</v>
      </c>
      <c r="D253">
        <v>9</v>
      </c>
      <c r="E253">
        <v>-3.36</v>
      </c>
      <c r="F253">
        <v>2309</v>
      </c>
      <c r="G253">
        <v>802</v>
      </c>
      <c r="H253">
        <v>1754</v>
      </c>
      <c r="I253">
        <v>479</v>
      </c>
      <c r="J253">
        <v>779</v>
      </c>
      <c r="K253">
        <v>400</v>
      </c>
      <c r="L253">
        <v>1156</v>
      </c>
      <c r="M253">
        <v>574</v>
      </c>
      <c r="N253">
        <v>259</v>
      </c>
      <c r="O253">
        <v>114</v>
      </c>
      <c r="P253">
        <v>500</v>
      </c>
      <c r="Q253">
        <v>632</v>
      </c>
      <c r="R253">
        <v>252</v>
      </c>
    </row>
    <row r="254" spans="1:18">
      <c r="A254" s="1" t="s">
        <v>293</v>
      </c>
      <c r="B254">
        <v>31</v>
      </c>
      <c r="C254">
        <v>20</v>
      </c>
      <c r="D254">
        <v>11</v>
      </c>
      <c r="E254">
        <v>-4.92</v>
      </c>
      <c r="F254">
        <v>2036</v>
      </c>
      <c r="G254">
        <v>721</v>
      </c>
      <c r="H254">
        <v>1509</v>
      </c>
      <c r="I254">
        <v>296</v>
      </c>
      <c r="J254">
        <v>412</v>
      </c>
      <c r="K254">
        <v>235</v>
      </c>
      <c r="L254">
        <v>833</v>
      </c>
      <c r="M254">
        <v>474</v>
      </c>
      <c r="N254">
        <v>201</v>
      </c>
      <c r="O254">
        <v>47</v>
      </c>
      <c r="P254">
        <v>332</v>
      </c>
      <c r="Q254">
        <v>447</v>
      </c>
      <c r="R254">
        <v>253</v>
      </c>
    </row>
    <row r="255" spans="1:18">
      <c r="A255" s="1" t="s">
        <v>210</v>
      </c>
      <c r="B255">
        <v>33</v>
      </c>
      <c r="C255">
        <v>24</v>
      </c>
      <c r="D255">
        <v>9</v>
      </c>
      <c r="E255">
        <v>3.65</v>
      </c>
      <c r="F255">
        <v>2456</v>
      </c>
      <c r="G255">
        <v>839</v>
      </c>
      <c r="H255">
        <v>1823</v>
      </c>
      <c r="I255">
        <v>558</v>
      </c>
      <c r="J255">
        <v>767</v>
      </c>
      <c r="K255">
        <v>430</v>
      </c>
      <c r="L255">
        <v>1176</v>
      </c>
      <c r="M255">
        <v>432</v>
      </c>
      <c r="N255">
        <v>251</v>
      </c>
      <c r="O255">
        <v>101</v>
      </c>
      <c r="P255">
        <v>498</v>
      </c>
      <c r="Q255">
        <v>545</v>
      </c>
      <c r="R255">
        <v>254</v>
      </c>
    </row>
    <row r="256" spans="1:18">
      <c r="A256" s="1" t="s">
        <v>211</v>
      </c>
      <c r="B256">
        <v>30</v>
      </c>
      <c r="C256">
        <v>18</v>
      </c>
      <c r="D256">
        <v>12</v>
      </c>
      <c r="E256">
        <v>-0.31</v>
      </c>
      <c r="F256">
        <v>2356</v>
      </c>
      <c r="G256">
        <v>849</v>
      </c>
      <c r="H256">
        <v>1766</v>
      </c>
      <c r="I256">
        <v>431</v>
      </c>
      <c r="J256">
        <v>623</v>
      </c>
      <c r="K256">
        <v>342</v>
      </c>
      <c r="L256">
        <v>1053</v>
      </c>
      <c r="M256">
        <v>481</v>
      </c>
      <c r="N256">
        <v>222</v>
      </c>
      <c r="O256">
        <v>112</v>
      </c>
      <c r="P256">
        <v>503</v>
      </c>
      <c r="Q256">
        <v>591</v>
      </c>
      <c r="R256">
        <v>255</v>
      </c>
    </row>
    <row r="257" spans="1:18">
      <c r="A257" s="1" t="s">
        <v>212</v>
      </c>
      <c r="B257">
        <v>28</v>
      </c>
      <c r="C257">
        <v>11</v>
      </c>
      <c r="D257">
        <v>17</v>
      </c>
      <c r="E257">
        <v>2.61</v>
      </c>
      <c r="F257">
        <v>1935</v>
      </c>
      <c r="G257">
        <v>711</v>
      </c>
      <c r="H257">
        <v>1657</v>
      </c>
      <c r="I257">
        <v>329</v>
      </c>
      <c r="J257">
        <v>497</v>
      </c>
      <c r="K257">
        <v>355</v>
      </c>
      <c r="L257">
        <v>989</v>
      </c>
      <c r="M257">
        <v>365</v>
      </c>
      <c r="N257">
        <v>183</v>
      </c>
      <c r="O257">
        <v>103</v>
      </c>
      <c r="P257">
        <v>399</v>
      </c>
      <c r="Q257">
        <v>523</v>
      </c>
      <c r="R257">
        <v>256</v>
      </c>
    </row>
    <row r="258" spans="1:18">
      <c r="A258" s="1" t="s">
        <v>213</v>
      </c>
      <c r="B258">
        <v>31</v>
      </c>
      <c r="C258">
        <v>6</v>
      </c>
      <c r="D258">
        <v>25</v>
      </c>
      <c r="E258">
        <v>2.23</v>
      </c>
      <c r="F258">
        <v>2015</v>
      </c>
      <c r="G258">
        <v>756</v>
      </c>
      <c r="H258">
        <v>1849</v>
      </c>
      <c r="I258">
        <v>378</v>
      </c>
      <c r="J258">
        <v>576</v>
      </c>
      <c r="K258">
        <v>385</v>
      </c>
      <c r="L258">
        <v>1105</v>
      </c>
      <c r="M258">
        <v>370</v>
      </c>
      <c r="N258">
        <v>175</v>
      </c>
      <c r="O258">
        <v>95</v>
      </c>
      <c r="P258">
        <v>429</v>
      </c>
      <c r="Q258">
        <v>555</v>
      </c>
      <c r="R258">
        <v>257</v>
      </c>
    </row>
    <row r="259" spans="1:18">
      <c r="A259" s="1" t="s">
        <v>214</v>
      </c>
      <c r="B259">
        <v>29</v>
      </c>
      <c r="C259">
        <v>13</v>
      </c>
      <c r="D259">
        <v>16</v>
      </c>
      <c r="E259">
        <v>2.58</v>
      </c>
      <c r="F259">
        <v>1984</v>
      </c>
      <c r="G259">
        <v>697</v>
      </c>
      <c r="H259">
        <v>1647</v>
      </c>
      <c r="I259">
        <v>420</v>
      </c>
      <c r="J259">
        <v>592</v>
      </c>
      <c r="K259">
        <v>353</v>
      </c>
      <c r="L259">
        <v>1088</v>
      </c>
      <c r="M259">
        <v>399</v>
      </c>
      <c r="N259">
        <v>191</v>
      </c>
      <c r="O259">
        <v>100</v>
      </c>
      <c r="P259">
        <v>416</v>
      </c>
      <c r="Q259">
        <v>541</v>
      </c>
      <c r="R259">
        <v>258</v>
      </c>
    </row>
    <row r="260" spans="1:18">
      <c r="A260" s="1" t="s">
        <v>322</v>
      </c>
      <c r="B260">
        <v>30</v>
      </c>
      <c r="C260">
        <v>2</v>
      </c>
      <c r="D260">
        <v>28</v>
      </c>
      <c r="E260">
        <v>-4.26</v>
      </c>
      <c r="F260">
        <v>1693</v>
      </c>
      <c r="G260">
        <v>571</v>
      </c>
      <c r="H260">
        <v>1561</v>
      </c>
      <c r="I260">
        <v>398</v>
      </c>
      <c r="J260">
        <v>568</v>
      </c>
      <c r="K260">
        <v>289</v>
      </c>
      <c r="L260">
        <v>886</v>
      </c>
      <c r="M260">
        <v>264</v>
      </c>
      <c r="N260">
        <v>188</v>
      </c>
      <c r="O260">
        <v>94</v>
      </c>
      <c r="P260">
        <v>606</v>
      </c>
      <c r="Q260">
        <v>663</v>
      </c>
      <c r="R260">
        <v>259</v>
      </c>
    </row>
    <row r="261" spans="1:18">
      <c r="A261" s="1" t="s">
        <v>294</v>
      </c>
      <c r="B261">
        <v>30</v>
      </c>
      <c r="C261">
        <v>18</v>
      </c>
      <c r="D261">
        <v>12</v>
      </c>
      <c r="E261">
        <v>6.11</v>
      </c>
      <c r="F261">
        <v>2033</v>
      </c>
      <c r="G261">
        <v>692</v>
      </c>
      <c r="H261">
        <v>1690</v>
      </c>
      <c r="I261">
        <v>475</v>
      </c>
      <c r="J261">
        <v>637</v>
      </c>
      <c r="K261">
        <v>375</v>
      </c>
      <c r="L261">
        <v>1105</v>
      </c>
      <c r="M261">
        <v>373</v>
      </c>
      <c r="N261">
        <v>206</v>
      </c>
      <c r="O261">
        <v>81</v>
      </c>
      <c r="P261">
        <v>403</v>
      </c>
      <c r="Q261">
        <v>569</v>
      </c>
      <c r="R261">
        <v>260</v>
      </c>
    </row>
    <row r="262" spans="1:18">
      <c r="A262" s="1" t="s">
        <v>215</v>
      </c>
      <c r="B262">
        <v>28</v>
      </c>
      <c r="C262">
        <v>15</v>
      </c>
      <c r="D262">
        <v>13</v>
      </c>
      <c r="E262">
        <v>-0.67</v>
      </c>
      <c r="F262">
        <v>2084</v>
      </c>
      <c r="G262">
        <v>693</v>
      </c>
      <c r="H262">
        <v>1624</v>
      </c>
      <c r="I262">
        <v>476</v>
      </c>
      <c r="J262">
        <v>627</v>
      </c>
      <c r="K262">
        <v>306</v>
      </c>
      <c r="L262">
        <v>947</v>
      </c>
      <c r="M262">
        <v>387</v>
      </c>
      <c r="N262">
        <v>229</v>
      </c>
      <c r="O262">
        <v>61</v>
      </c>
      <c r="P262">
        <v>371</v>
      </c>
      <c r="Q262">
        <v>442</v>
      </c>
      <c r="R262">
        <v>261</v>
      </c>
    </row>
    <row r="263" spans="1:18">
      <c r="A263" s="1" t="s">
        <v>216</v>
      </c>
      <c r="B263">
        <v>31</v>
      </c>
      <c r="C263">
        <v>24</v>
      </c>
      <c r="D263">
        <v>7</v>
      </c>
      <c r="E263">
        <v>-2.1800000000000002</v>
      </c>
      <c r="F263">
        <v>2283</v>
      </c>
      <c r="G263">
        <v>797</v>
      </c>
      <c r="H263">
        <v>1760</v>
      </c>
      <c r="I263">
        <v>422</v>
      </c>
      <c r="J263">
        <v>600</v>
      </c>
      <c r="K263">
        <v>346</v>
      </c>
      <c r="L263">
        <v>1049</v>
      </c>
      <c r="M263">
        <v>436</v>
      </c>
      <c r="N263">
        <v>264</v>
      </c>
      <c r="O263">
        <v>43</v>
      </c>
      <c r="P263">
        <v>415</v>
      </c>
      <c r="Q263">
        <v>578</v>
      </c>
      <c r="R263">
        <v>262</v>
      </c>
    </row>
    <row r="264" spans="1:18">
      <c r="A264" s="1" t="s">
        <v>295</v>
      </c>
      <c r="B264">
        <v>30</v>
      </c>
      <c r="C264">
        <v>14</v>
      </c>
      <c r="D264">
        <v>16</v>
      </c>
      <c r="E264">
        <v>-8.59</v>
      </c>
      <c r="F264">
        <v>1809</v>
      </c>
      <c r="G264">
        <v>651</v>
      </c>
      <c r="H264">
        <v>1509</v>
      </c>
      <c r="I264">
        <v>395</v>
      </c>
      <c r="J264">
        <v>571</v>
      </c>
      <c r="K264">
        <v>335</v>
      </c>
      <c r="L264">
        <v>1034</v>
      </c>
      <c r="M264">
        <v>287</v>
      </c>
      <c r="N264">
        <v>189</v>
      </c>
      <c r="O264">
        <v>73</v>
      </c>
      <c r="P264">
        <v>536</v>
      </c>
      <c r="Q264">
        <v>606</v>
      </c>
      <c r="R264">
        <v>263</v>
      </c>
    </row>
    <row r="265" spans="1:18">
      <c r="A265" s="1" t="s">
        <v>217</v>
      </c>
      <c r="B265">
        <v>38</v>
      </c>
      <c r="C265">
        <v>23</v>
      </c>
      <c r="D265">
        <v>15</v>
      </c>
      <c r="E265">
        <v>8.14</v>
      </c>
      <c r="F265">
        <v>2575</v>
      </c>
      <c r="G265">
        <v>967</v>
      </c>
      <c r="H265">
        <v>2101</v>
      </c>
      <c r="I265">
        <v>379</v>
      </c>
      <c r="J265">
        <v>559</v>
      </c>
      <c r="K265">
        <v>439</v>
      </c>
      <c r="L265">
        <v>1218</v>
      </c>
      <c r="M265">
        <v>555</v>
      </c>
      <c r="N265">
        <v>294</v>
      </c>
      <c r="O265">
        <v>189</v>
      </c>
      <c r="P265">
        <v>450</v>
      </c>
      <c r="Q265">
        <v>548</v>
      </c>
      <c r="R265">
        <v>264</v>
      </c>
    </row>
    <row r="266" spans="1:18">
      <c r="A266" s="1" t="s">
        <v>341</v>
      </c>
      <c r="B266">
        <v>29</v>
      </c>
      <c r="C266">
        <v>9</v>
      </c>
      <c r="D266">
        <v>20</v>
      </c>
      <c r="F266">
        <v>1836</v>
      </c>
      <c r="G266">
        <v>651</v>
      </c>
      <c r="H266">
        <v>1617</v>
      </c>
      <c r="I266">
        <v>378</v>
      </c>
      <c r="J266">
        <v>549</v>
      </c>
      <c r="K266">
        <v>383</v>
      </c>
      <c r="L266">
        <v>1036</v>
      </c>
      <c r="M266">
        <v>344</v>
      </c>
      <c r="N266">
        <v>194</v>
      </c>
      <c r="O266">
        <v>60</v>
      </c>
      <c r="P266">
        <v>536</v>
      </c>
      <c r="Q266">
        <v>523</v>
      </c>
      <c r="R266">
        <v>265</v>
      </c>
    </row>
    <row r="267" spans="1:18">
      <c r="A267" s="1" t="s">
        <v>218</v>
      </c>
      <c r="B267">
        <v>29</v>
      </c>
      <c r="C267">
        <v>7</v>
      </c>
      <c r="D267">
        <v>22</v>
      </c>
      <c r="E267">
        <v>4.6500000000000004</v>
      </c>
      <c r="F267">
        <v>1736</v>
      </c>
      <c r="G267">
        <v>615</v>
      </c>
      <c r="H267">
        <v>1465</v>
      </c>
      <c r="I267">
        <v>360</v>
      </c>
      <c r="J267">
        <v>524</v>
      </c>
      <c r="K267">
        <v>328</v>
      </c>
      <c r="L267">
        <v>980</v>
      </c>
      <c r="M267">
        <v>339</v>
      </c>
      <c r="N267">
        <v>166</v>
      </c>
      <c r="O267">
        <v>164</v>
      </c>
      <c r="P267">
        <v>529</v>
      </c>
      <c r="Q267">
        <v>539</v>
      </c>
      <c r="R267">
        <v>266</v>
      </c>
    </row>
    <row r="268" spans="1:18">
      <c r="A268" s="1" t="s">
        <v>296</v>
      </c>
      <c r="B268">
        <v>27</v>
      </c>
      <c r="C268">
        <v>7</v>
      </c>
      <c r="D268">
        <v>20</v>
      </c>
      <c r="E268">
        <v>-6.06</v>
      </c>
      <c r="F268">
        <v>1711</v>
      </c>
      <c r="G268">
        <v>582</v>
      </c>
      <c r="H268">
        <v>1481</v>
      </c>
      <c r="I268">
        <v>346</v>
      </c>
      <c r="J268">
        <v>462</v>
      </c>
      <c r="K268">
        <v>313</v>
      </c>
      <c r="L268">
        <v>961</v>
      </c>
      <c r="M268">
        <v>340</v>
      </c>
      <c r="N268">
        <v>139</v>
      </c>
      <c r="O268">
        <v>87</v>
      </c>
      <c r="P268">
        <v>403</v>
      </c>
      <c r="Q268">
        <v>458</v>
      </c>
      <c r="R268">
        <v>267</v>
      </c>
    </row>
    <row r="269" spans="1:18">
      <c r="A269" s="1" t="s">
        <v>219</v>
      </c>
      <c r="B269">
        <v>28</v>
      </c>
      <c r="C269">
        <v>16</v>
      </c>
      <c r="D269">
        <v>12</v>
      </c>
      <c r="E269">
        <v>-4.2</v>
      </c>
      <c r="F269">
        <v>1914</v>
      </c>
      <c r="G269">
        <v>678</v>
      </c>
      <c r="H269">
        <v>1540</v>
      </c>
      <c r="I269">
        <v>403</v>
      </c>
      <c r="J269">
        <v>611</v>
      </c>
      <c r="K269">
        <v>345</v>
      </c>
      <c r="L269">
        <v>953</v>
      </c>
      <c r="M269">
        <v>354</v>
      </c>
      <c r="N269">
        <v>183</v>
      </c>
      <c r="O269">
        <v>114</v>
      </c>
      <c r="P269">
        <v>357</v>
      </c>
      <c r="Q269">
        <v>528</v>
      </c>
      <c r="R269">
        <v>268</v>
      </c>
    </row>
    <row r="270" spans="1:18">
      <c r="A270" s="1" t="s">
        <v>220</v>
      </c>
      <c r="B270">
        <v>30</v>
      </c>
      <c r="C270">
        <v>17</v>
      </c>
      <c r="D270">
        <v>13</v>
      </c>
      <c r="E270">
        <v>5.99</v>
      </c>
      <c r="F270">
        <v>2055</v>
      </c>
      <c r="G270">
        <v>727</v>
      </c>
      <c r="H270">
        <v>1678</v>
      </c>
      <c r="I270">
        <v>405</v>
      </c>
      <c r="J270">
        <v>586</v>
      </c>
      <c r="K270">
        <v>294</v>
      </c>
      <c r="L270">
        <v>946</v>
      </c>
      <c r="M270">
        <v>388</v>
      </c>
      <c r="N270">
        <v>221</v>
      </c>
      <c r="O270">
        <v>99</v>
      </c>
      <c r="P270">
        <v>426</v>
      </c>
      <c r="Q270">
        <v>557</v>
      </c>
      <c r="R270">
        <v>269</v>
      </c>
    </row>
    <row r="271" spans="1:18">
      <c r="A271" s="1" t="s">
        <v>221</v>
      </c>
      <c r="B271">
        <v>33</v>
      </c>
      <c r="C271">
        <v>22</v>
      </c>
      <c r="D271">
        <v>11</v>
      </c>
      <c r="E271">
        <v>4.62</v>
      </c>
      <c r="F271">
        <v>1994</v>
      </c>
      <c r="G271">
        <v>707</v>
      </c>
      <c r="H271">
        <v>1714</v>
      </c>
      <c r="I271">
        <v>397</v>
      </c>
      <c r="J271">
        <v>579</v>
      </c>
      <c r="K271">
        <v>384</v>
      </c>
      <c r="L271">
        <v>1073</v>
      </c>
      <c r="M271">
        <v>404</v>
      </c>
      <c r="N271">
        <v>278</v>
      </c>
      <c r="O271">
        <v>105</v>
      </c>
      <c r="P271">
        <v>473</v>
      </c>
      <c r="Q271">
        <v>653</v>
      </c>
      <c r="R271">
        <v>270</v>
      </c>
    </row>
    <row r="272" spans="1:18">
      <c r="A272" s="1" t="s">
        <v>222</v>
      </c>
      <c r="B272">
        <v>29</v>
      </c>
      <c r="C272">
        <v>13</v>
      </c>
      <c r="D272">
        <v>16</v>
      </c>
      <c r="E272">
        <v>-2.78</v>
      </c>
      <c r="F272">
        <v>1921</v>
      </c>
      <c r="G272">
        <v>686</v>
      </c>
      <c r="H272">
        <v>1588</v>
      </c>
      <c r="I272">
        <v>407</v>
      </c>
      <c r="J272">
        <v>580</v>
      </c>
      <c r="K272">
        <v>362</v>
      </c>
      <c r="L272">
        <v>1059</v>
      </c>
      <c r="M272">
        <v>376</v>
      </c>
      <c r="N272">
        <v>222</v>
      </c>
      <c r="O272">
        <v>138</v>
      </c>
      <c r="P272">
        <v>455</v>
      </c>
      <c r="Q272">
        <v>540</v>
      </c>
      <c r="R272">
        <v>271</v>
      </c>
    </row>
    <row r="273" spans="1:18">
      <c r="A273" s="1" t="s">
        <v>223</v>
      </c>
      <c r="B273">
        <v>31</v>
      </c>
      <c r="C273">
        <v>10</v>
      </c>
      <c r="D273">
        <v>21</v>
      </c>
      <c r="E273">
        <v>1.91</v>
      </c>
      <c r="F273">
        <v>1879</v>
      </c>
      <c r="G273">
        <v>652</v>
      </c>
      <c r="H273">
        <v>1545</v>
      </c>
      <c r="I273">
        <v>465</v>
      </c>
      <c r="J273">
        <v>672</v>
      </c>
      <c r="K273">
        <v>342</v>
      </c>
      <c r="L273">
        <v>1004</v>
      </c>
      <c r="M273">
        <v>347</v>
      </c>
      <c r="N273">
        <v>181</v>
      </c>
      <c r="O273">
        <v>47</v>
      </c>
      <c r="P273">
        <v>455</v>
      </c>
      <c r="Q273">
        <v>634</v>
      </c>
      <c r="R273">
        <v>272</v>
      </c>
    </row>
    <row r="274" spans="1:18">
      <c r="A274" s="1" t="s">
        <v>224</v>
      </c>
      <c r="B274">
        <v>30</v>
      </c>
      <c r="C274">
        <v>10</v>
      </c>
      <c r="D274">
        <v>20</v>
      </c>
      <c r="E274">
        <v>-4.09</v>
      </c>
      <c r="F274">
        <v>2055</v>
      </c>
      <c r="G274">
        <v>726</v>
      </c>
      <c r="H274">
        <v>1524</v>
      </c>
      <c r="I274">
        <v>377</v>
      </c>
      <c r="J274">
        <v>535</v>
      </c>
      <c r="K274">
        <v>214</v>
      </c>
      <c r="L274">
        <v>876</v>
      </c>
      <c r="M274">
        <v>469</v>
      </c>
      <c r="N274">
        <v>190</v>
      </c>
      <c r="O274">
        <v>67</v>
      </c>
      <c r="P274">
        <v>439</v>
      </c>
      <c r="Q274">
        <v>562</v>
      </c>
      <c r="R274">
        <v>273</v>
      </c>
    </row>
    <row r="275" spans="1:18">
      <c r="A275" s="1" t="s">
        <v>225</v>
      </c>
      <c r="B275">
        <v>33</v>
      </c>
      <c r="C275">
        <v>20</v>
      </c>
      <c r="D275">
        <v>13</v>
      </c>
      <c r="E275">
        <v>-6.69</v>
      </c>
      <c r="F275">
        <v>2093</v>
      </c>
      <c r="G275">
        <v>787</v>
      </c>
      <c r="H275">
        <v>1796</v>
      </c>
      <c r="I275">
        <v>376</v>
      </c>
      <c r="J275">
        <v>581</v>
      </c>
      <c r="K275">
        <v>422</v>
      </c>
      <c r="L275">
        <v>1234</v>
      </c>
      <c r="M275">
        <v>391</v>
      </c>
      <c r="N275">
        <v>249</v>
      </c>
      <c r="O275">
        <v>122</v>
      </c>
      <c r="P275">
        <v>561</v>
      </c>
      <c r="Q275">
        <v>574</v>
      </c>
      <c r="R275">
        <v>274</v>
      </c>
    </row>
    <row r="276" spans="1:18">
      <c r="A276" s="1" t="s">
        <v>297</v>
      </c>
      <c r="B276">
        <v>27</v>
      </c>
      <c r="C276">
        <v>8</v>
      </c>
      <c r="D276">
        <v>19</v>
      </c>
      <c r="E276">
        <v>-0.37</v>
      </c>
      <c r="F276">
        <v>1839</v>
      </c>
      <c r="G276">
        <v>694</v>
      </c>
      <c r="H276">
        <v>1622</v>
      </c>
      <c r="I276">
        <v>329</v>
      </c>
      <c r="J276">
        <v>525</v>
      </c>
      <c r="K276">
        <v>372</v>
      </c>
      <c r="L276">
        <v>984</v>
      </c>
      <c r="M276">
        <v>364</v>
      </c>
      <c r="N276">
        <v>154</v>
      </c>
      <c r="O276">
        <v>74</v>
      </c>
      <c r="P276">
        <v>365</v>
      </c>
      <c r="Q276">
        <v>446</v>
      </c>
      <c r="R276">
        <v>275</v>
      </c>
    </row>
    <row r="277" spans="1:18">
      <c r="A277" s="1" t="s">
        <v>226</v>
      </c>
      <c r="B277">
        <v>27</v>
      </c>
      <c r="C277">
        <v>10</v>
      </c>
      <c r="D277">
        <v>17</v>
      </c>
      <c r="E277">
        <v>-5.0599999999999996</v>
      </c>
      <c r="F277">
        <v>1721</v>
      </c>
      <c r="G277">
        <v>617</v>
      </c>
      <c r="H277">
        <v>1501</v>
      </c>
      <c r="I277">
        <v>312</v>
      </c>
      <c r="J277">
        <v>474</v>
      </c>
      <c r="K277">
        <v>315</v>
      </c>
      <c r="L277">
        <v>931</v>
      </c>
      <c r="M277">
        <v>318</v>
      </c>
      <c r="N277">
        <v>208</v>
      </c>
      <c r="O277">
        <v>97</v>
      </c>
      <c r="P277">
        <v>411</v>
      </c>
      <c r="Q277">
        <v>569</v>
      </c>
      <c r="R277">
        <v>276</v>
      </c>
    </row>
    <row r="278" spans="1:18">
      <c r="A278" s="1" t="s">
        <v>298</v>
      </c>
      <c r="B278">
        <v>27</v>
      </c>
      <c r="C278">
        <v>12</v>
      </c>
      <c r="D278">
        <v>15</v>
      </c>
      <c r="E278">
        <v>5.64</v>
      </c>
      <c r="F278">
        <v>1619</v>
      </c>
      <c r="G278">
        <v>590</v>
      </c>
      <c r="H278">
        <v>1426</v>
      </c>
      <c r="I278">
        <v>346</v>
      </c>
      <c r="J278">
        <v>527</v>
      </c>
      <c r="K278">
        <v>371</v>
      </c>
      <c r="L278">
        <v>1029</v>
      </c>
      <c r="M278">
        <v>352</v>
      </c>
      <c r="N278">
        <v>190</v>
      </c>
      <c r="O278">
        <v>106</v>
      </c>
      <c r="P278">
        <v>436</v>
      </c>
      <c r="Q278">
        <v>523</v>
      </c>
      <c r="R278">
        <v>277</v>
      </c>
    </row>
    <row r="279" spans="1:18">
      <c r="A279" s="1" t="s">
        <v>342</v>
      </c>
      <c r="B279">
        <v>30</v>
      </c>
      <c r="C279">
        <v>16</v>
      </c>
      <c r="D279">
        <v>14</v>
      </c>
      <c r="E279">
        <v>8.2100000000000009</v>
      </c>
      <c r="F279">
        <v>1992</v>
      </c>
      <c r="G279">
        <v>673</v>
      </c>
      <c r="H279">
        <v>1580</v>
      </c>
      <c r="I279">
        <v>500</v>
      </c>
      <c r="J279">
        <v>655</v>
      </c>
      <c r="K279">
        <v>337</v>
      </c>
      <c r="L279">
        <v>1028</v>
      </c>
      <c r="M279">
        <v>425</v>
      </c>
      <c r="N279">
        <v>165</v>
      </c>
      <c r="O279">
        <v>138</v>
      </c>
      <c r="P279">
        <v>426</v>
      </c>
      <c r="Q279">
        <v>517</v>
      </c>
      <c r="R279">
        <v>278</v>
      </c>
    </row>
    <row r="280" spans="1:18">
      <c r="A280" s="1" t="s">
        <v>227</v>
      </c>
      <c r="B280">
        <v>29</v>
      </c>
      <c r="C280">
        <v>17</v>
      </c>
      <c r="D280">
        <v>12</v>
      </c>
      <c r="E280">
        <v>-7.22</v>
      </c>
      <c r="F280">
        <v>2104</v>
      </c>
      <c r="G280">
        <v>768</v>
      </c>
      <c r="H280">
        <v>1671</v>
      </c>
      <c r="I280">
        <v>408</v>
      </c>
      <c r="J280">
        <v>589</v>
      </c>
      <c r="K280">
        <v>364</v>
      </c>
      <c r="L280">
        <v>1023</v>
      </c>
      <c r="M280">
        <v>425</v>
      </c>
      <c r="N280">
        <v>215</v>
      </c>
      <c r="O280">
        <v>37</v>
      </c>
      <c r="P280">
        <v>382</v>
      </c>
      <c r="Q280">
        <v>540</v>
      </c>
      <c r="R280">
        <v>279</v>
      </c>
    </row>
    <row r="281" spans="1:18">
      <c r="A281" s="1" t="s">
        <v>228</v>
      </c>
      <c r="B281">
        <v>32</v>
      </c>
      <c r="C281">
        <v>14</v>
      </c>
      <c r="D281">
        <v>18</v>
      </c>
      <c r="E281">
        <v>-8.3699999999999992</v>
      </c>
      <c r="F281">
        <v>2129</v>
      </c>
      <c r="G281">
        <v>746</v>
      </c>
      <c r="H281">
        <v>1735</v>
      </c>
      <c r="I281">
        <v>462</v>
      </c>
      <c r="J281">
        <v>628</v>
      </c>
      <c r="K281">
        <v>352</v>
      </c>
      <c r="L281">
        <v>980</v>
      </c>
      <c r="M281">
        <v>377</v>
      </c>
      <c r="N281">
        <v>277</v>
      </c>
      <c r="O281">
        <v>86</v>
      </c>
      <c r="P281">
        <v>463</v>
      </c>
      <c r="Q281">
        <v>626</v>
      </c>
      <c r="R281">
        <v>280</v>
      </c>
    </row>
    <row r="282" spans="1:18">
      <c r="A282" s="1" t="s">
        <v>229</v>
      </c>
      <c r="B282">
        <v>28</v>
      </c>
      <c r="C282">
        <v>4</v>
      </c>
      <c r="D282">
        <v>24</v>
      </c>
      <c r="E282">
        <v>-3.02</v>
      </c>
      <c r="F282">
        <v>1629</v>
      </c>
      <c r="G282">
        <v>599</v>
      </c>
      <c r="H282">
        <v>1571</v>
      </c>
      <c r="I282">
        <v>282</v>
      </c>
      <c r="J282">
        <v>465</v>
      </c>
      <c r="K282">
        <v>326</v>
      </c>
      <c r="L282">
        <v>868</v>
      </c>
      <c r="M282">
        <v>274</v>
      </c>
      <c r="N282">
        <v>184</v>
      </c>
      <c r="O282">
        <v>58</v>
      </c>
      <c r="P282">
        <v>366</v>
      </c>
      <c r="Q282">
        <v>598</v>
      </c>
      <c r="R282">
        <v>281</v>
      </c>
    </row>
    <row r="283" spans="1:18">
      <c r="A283" s="1" t="s">
        <v>313</v>
      </c>
      <c r="B283">
        <v>35</v>
      </c>
      <c r="C283">
        <v>23</v>
      </c>
      <c r="D283">
        <v>12</v>
      </c>
      <c r="E283">
        <v>8.16</v>
      </c>
      <c r="F283">
        <v>2535</v>
      </c>
      <c r="G283">
        <v>913</v>
      </c>
      <c r="H283">
        <v>2083</v>
      </c>
      <c r="I283">
        <v>449</v>
      </c>
      <c r="J283">
        <v>698</v>
      </c>
      <c r="K283">
        <v>476</v>
      </c>
      <c r="L283">
        <v>1338</v>
      </c>
      <c r="M283">
        <v>541</v>
      </c>
      <c r="N283">
        <v>313</v>
      </c>
      <c r="O283">
        <v>221</v>
      </c>
      <c r="P283">
        <v>532</v>
      </c>
      <c r="Q283">
        <v>625</v>
      </c>
      <c r="R283">
        <v>282</v>
      </c>
    </row>
    <row r="284" spans="1:18">
      <c r="A284" s="1" t="s">
        <v>314</v>
      </c>
      <c r="B284">
        <v>32</v>
      </c>
      <c r="C284">
        <v>17</v>
      </c>
      <c r="D284">
        <v>15</v>
      </c>
      <c r="E284">
        <v>5.19</v>
      </c>
      <c r="F284">
        <v>2004</v>
      </c>
      <c r="G284">
        <v>706</v>
      </c>
      <c r="H284">
        <v>1785</v>
      </c>
      <c r="I284">
        <v>368</v>
      </c>
      <c r="J284">
        <v>610</v>
      </c>
      <c r="K284">
        <v>386</v>
      </c>
      <c r="L284">
        <v>1014</v>
      </c>
      <c r="M284">
        <v>318</v>
      </c>
      <c r="N284">
        <v>318</v>
      </c>
      <c r="O284">
        <v>81</v>
      </c>
      <c r="P284">
        <v>247</v>
      </c>
      <c r="Q284">
        <v>492</v>
      </c>
      <c r="R284">
        <v>283</v>
      </c>
    </row>
    <row r="285" spans="1:18">
      <c r="A285" s="1" t="s">
        <v>230</v>
      </c>
      <c r="B285">
        <v>28</v>
      </c>
      <c r="C285">
        <v>13</v>
      </c>
      <c r="D285">
        <v>15</v>
      </c>
      <c r="E285">
        <v>-5.0599999999999996</v>
      </c>
      <c r="F285">
        <v>2040</v>
      </c>
      <c r="G285">
        <v>678</v>
      </c>
      <c r="H285">
        <v>1534</v>
      </c>
      <c r="I285">
        <v>547</v>
      </c>
      <c r="J285">
        <v>774</v>
      </c>
      <c r="K285">
        <v>332</v>
      </c>
      <c r="L285">
        <v>959</v>
      </c>
      <c r="M285">
        <v>338</v>
      </c>
      <c r="N285">
        <v>227</v>
      </c>
      <c r="O285">
        <v>80</v>
      </c>
      <c r="P285">
        <v>407</v>
      </c>
      <c r="Q285">
        <v>587</v>
      </c>
      <c r="R285">
        <v>284</v>
      </c>
    </row>
    <row r="286" spans="1:18">
      <c r="A286" s="1" t="s">
        <v>231</v>
      </c>
      <c r="B286">
        <v>28</v>
      </c>
      <c r="C286">
        <v>13</v>
      </c>
      <c r="D286">
        <v>15</v>
      </c>
      <c r="E286">
        <v>-5.36</v>
      </c>
      <c r="F286">
        <v>1946</v>
      </c>
      <c r="G286">
        <v>685</v>
      </c>
      <c r="H286">
        <v>1523</v>
      </c>
      <c r="I286">
        <v>376</v>
      </c>
      <c r="J286">
        <v>560</v>
      </c>
      <c r="K286">
        <v>336</v>
      </c>
      <c r="L286">
        <v>936</v>
      </c>
      <c r="M286">
        <v>422</v>
      </c>
      <c r="N286">
        <v>201</v>
      </c>
      <c r="O286">
        <v>108</v>
      </c>
      <c r="P286">
        <v>399</v>
      </c>
      <c r="Q286">
        <v>570</v>
      </c>
      <c r="R286">
        <v>285</v>
      </c>
    </row>
    <row r="287" spans="1:18">
      <c r="A287" s="1" t="s">
        <v>232</v>
      </c>
      <c r="B287">
        <v>31</v>
      </c>
      <c r="C287">
        <v>19</v>
      </c>
      <c r="D287">
        <v>12</v>
      </c>
      <c r="E287">
        <v>-4.5999999999999996</v>
      </c>
      <c r="F287">
        <v>2264</v>
      </c>
      <c r="G287">
        <v>794</v>
      </c>
      <c r="H287">
        <v>1804</v>
      </c>
      <c r="I287">
        <v>474</v>
      </c>
      <c r="J287">
        <v>687</v>
      </c>
      <c r="K287">
        <v>416</v>
      </c>
      <c r="L287">
        <v>1129</v>
      </c>
      <c r="M287">
        <v>394</v>
      </c>
      <c r="N287">
        <v>242</v>
      </c>
      <c r="O287">
        <v>86</v>
      </c>
      <c r="P287">
        <v>494</v>
      </c>
      <c r="Q287">
        <v>693</v>
      </c>
      <c r="R287">
        <v>286</v>
      </c>
    </row>
    <row r="288" spans="1:18">
      <c r="A288" s="1" t="s">
        <v>315</v>
      </c>
      <c r="B288">
        <v>30</v>
      </c>
      <c r="C288">
        <v>22</v>
      </c>
      <c r="D288">
        <v>8</v>
      </c>
      <c r="E288">
        <v>7.76</v>
      </c>
      <c r="F288">
        <v>2413</v>
      </c>
      <c r="G288">
        <v>859</v>
      </c>
      <c r="H288">
        <v>1852</v>
      </c>
      <c r="I288">
        <v>431</v>
      </c>
      <c r="J288">
        <v>615</v>
      </c>
      <c r="K288">
        <v>352</v>
      </c>
      <c r="L288">
        <v>1005</v>
      </c>
      <c r="M288">
        <v>509</v>
      </c>
      <c r="N288">
        <v>301</v>
      </c>
      <c r="O288">
        <v>98</v>
      </c>
      <c r="P288">
        <v>386</v>
      </c>
      <c r="Q288">
        <v>542</v>
      </c>
      <c r="R288">
        <v>287</v>
      </c>
    </row>
    <row r="289" spans="1:18">
      <c r="A289" s="1" t="s">
        <v>323</v>
      </c>
      <c r="B289">
        <v>28</v>
      </c>
      <c r="C289">
        <v>20</v>
      </c>
      <c r="D289">
        <v>8</v>
      </c>
      <c r="E289">
        <v>-5.7</v>
      </c>
      <c r="F289">
        <v>2307</v>
      </c>
      <c r="G289">
        <v>837</v>
      </c>
      <c r="H289">
        <v>1671</v>
      </c>
      <c r="I289">
        <v>446</v>
      </c>
      <c r="J289">
        <v>629</v>
      </c>
      <c r="K289">
        <v>342</v>
      </c>
      <c r="L289">
        <v>1068</v>
      </c>
      <c r="M289">
        <v>550</v>
      </c>
      <c r="N289">
        <v>272</v>
      </c>
      <c r="O289">
        <v>118</v>
      </c>
      <c r="P289">
        <v>482</v>
      </c>
      <c r="Q289">
        <v>590</v>
      </c>
      <c r="R289">
        <v>288</v>
      </c>
    </row>
    <row r="290" spans="1:18">
      <c r="A290" s="1" t="s">
        <v>233</v>
      </c>
      <c r="B290">
        <v>31</v>
      </c>
      <c r="C290">
        <v>22</v>
      </c>
      <c r="D290">
        <v>9</v>
      </c>
      <c r="E290">
        <v>4.7699999999999996</v>
      </c>
      <c r="F290">
        <v>2130</v>
      </c>
      <c r="G290">
        <v>725</v>
      </c>
      <c r="H290">
        <v>1627</v>
      </c>
      <c r="I290">
        <v>477</v>
      </c>
      <c r="J290">
        <v>702</v>
      </c>
      <c r="K290">
        <v>325</v>
      </c>
      <c r="L290">
        <v>993</v>
      </c>
      <c r="M290">
        <v>509</v>
      </c>
      <c r="N290">
        <v>266</v>
      </c>
      <c r="O290">
        <v>94</v>
      </c>
      <c r="P290">
        <v>416</v>
      </c>
      <c r="Q290">
        <v>668</v>
      </c>
      <c r="R290">
        <v>289</v>
      </c>
    </row>
    <row r="291" spans="1:18">
      <c r="A291" s="1" t="s">
        <v>234</v>
      </c>
      <c r="B291">
        <v>30</v>
      </c>
      <c r="C291">
        <v>14</v>
      </c>
      <c r="D291">
        <v>16</v>
      </c>
      <c r="E291">
        <v>-2.46</v>
      </c>
      <c r="F291">
        <v>2184</v>
      </c>
      <c r="G291">
        <v>754</v>
      </c>
      <c r="H291">
        <v>1655</v>
      </c>
      <c r="I291">
        <v>485</v>
      </c>
      <c r="J291">
        <v>714</v>
      </c>
      <c r="K291">
        <v>383</v>
      </c>
      <c r="L291">
        <v>1111</v>
      </c>
      <c r="M291">
        <v>450</v>
      </c>
      <c r="N291">
        <v>197</v>
      </c>
      <c r="O291">
        <v>82</v>
      </c>
      <c r="P291">
        <v>528</v>
      </c>
      <c r="Q291">
        <v>587</v>
      </c>
      <c r="R291">
        <v>290</v>
      </c>
    </row>
    <row r="292" spans="1:18">
      <c r="A292" s="1" t="s">
        <v>235</v>
      </c>
      <c r="B292">
        <v>31</v>
      </c>
      <c r="C292">
        <v>6</v>
      </c>
      <c r="D292">
        <v>25</v>
      </c>
      <c r="E292">
        <v>3.5</v>
      </c>
      <c r="F292">
        <v>1929</v>
      </c>
      <c r="G292">
        <v>639</v>
      </c>
      <c r="H292">
        <v>1729</v>
      </c>
      <c r="I292">
        <v>447</v>
      </c>
      <c r="J292">
        <v>703</v>
      </c>
      <c r="K292">
        <v>414</v>
      </c>
      <c r="L292">
        <v>1054</v>
      </c>
      <c r="M292">
        <v>370</v>
      </c>
      <c r="N292">
        <v>242</v>
      </c>
      <c r="O292">
        <v>67</v>
      </c>
      <c r="P292">
        <v>491</v>
      </c>
      <c r="Q292">
        <v>608</v>
      </c>
      <c r="R292">
        <v>291</v>
      </c>
    </row>
    <row r="293" spans="1:18">
      <c r="A293" s="1" t="s">
        <v>236</v>
      </c>
      <c r="B293">
        <v>31</v>
      </c>
      <c r="C293">
        <v>21</v>
      </c>
      <c r="D293">
        <v>10</v>
      </c>
      <c r="E293">
        <v>0.38</v>
      </c>
      <c r="F293">
        <v>2074</v>
      </c>
      <c r="G293">
        <v>723</v>
      </c>
      <c r="H293">
        <v>1610</v>
      </c>
      <c r="I293">
        <v>459</v>
      </c>
      <c r="J293">
        <v>695</v>
      </c>
      <c r="K293">
        <v>326</v>
      </c>
      <c r="L293">
        <v>1108</v>
      </c>
      <c r="M293">
        <v>478</v>
      </c>
      <c r="N293">
        <v>239</v>
      </c>
      <c r="O293">
        <v>89</v>
      </c>
      <c r="P293">
        <v>409</v>
      </c>
      <c r="Q293">
        <v>461</v>
      </c>
      <c r="R293">
        <v>292</v>
      </c>
    </row>
    <row r="294" spans="1:18">
      <c r="A294" s="1" t="s">
        <v>237</v>
      </c>
      <c r="B294">
        <v>31</v>
      </c>
      <c r="C294">
        <v>7</v>
      </c>
      <c r="D294">
        <v>24</v>
      </c>
      <c r="E294">
        <v>0.11</v>
      </c>
      <c r="F294">
        <v>1807</v>
      </c>
      <c r="G294">
        <v>619</v>
      </c>
      <c r="H294">
        <v>1571</v>
      </c>
      <c r="I294">
        <v>450</v>
      </c>
      <c r="J294">
        <v>661</v>
      </c>
      <c r="K294">
        <v>357</v>
      </c>
      <c r="L294">
        <v>983</v>
      </c>
      <c r="M294">
        <v>320</v>
      </c>
      <c r="N294">
        <v>195</v>
      </c>
      <c r="O294">
        <v>54</v>
      </c>
      <c r="P294">
        <v>501</v>
      </c>
      <c r="Q294">
        <v>547</v>
      </c>
      <c r="R294">
        <v>293</v>
      </c>
    </row>
    <row r="295" spans="1:18">
      <c r="A295" s="1" t="s">
        <v>238</v>
      </c>
      <c r="B295">
        <v>28</v>
      </c>
      <c r="C295">
        <v>11</v>
      </c>
      <c r="D295">
        <v>17</v>
      </c>
      <c r="E295">
        <v>-3.38</v>
      </c>
      <c r="F295">
        <v>2054</v>
      </c>
      <c r="G295">
        <v>751</v>
      </c>
      <c r="H295">
        <v>1631</v>
      </c>
      <c r="I295">
        <v>367</v>
      </c>
      <c r="J295">
        <v>557</v>
      </c>
      <c r="K295">
        <v>365</v>
      </c>
      <c r="L295">
        <v>1087</v>
      </c>
      <c r="M295">
        <v>431</v>
      </c>
      <c r="N295">
        <v>222</v>
      </c>
      <c r="O295">
        <v>111</v>
      </c>
      <c r="P295">
        <v>531</v>
      </c>
      <c r="Q295">
        <v>577</v>
      </c>
      <c r="R295">
        <v>294</v>
      </c>
    </row>
    <row r="296" spans="1:18">
      <c r="A296" s="1" t="s">
        <v>239</v>
      </c>
      <c r="B296">
        <v>30</v>
      </c>
      <c r="C296">
        <v>8</v>
      </c>
      <c r="D296">
        <v>22</v>
      </c>
      <c r="E296">
        <v>-6.37</v>
      </c>
      <c r="F296">
        <v>2062</v>
      </c>
      <c r="G296">
        <v>697</v>
      </c>
      <c r="H296">
        <v>1696</v>
      </c>
      <c r="I296">
        <v>502</v>
      </c>
      <c r="J296">
        <v>784</v>
      </c>
      <c r="K296">
        <v>385</v>
      </c>
      <c r="L296">
        <v>1133</v>
      </c>
      <c r="M296">
        <v>344</v>
      </c>
      <c r="N296">
        <v>200</v>
      </c>
      <c r="O296">
        <v>101</v>
      </c>
      <c r="P296">
        <v>565</v>
      </c>
      <c r="Q296">
        <v>584</v>
      </c>
      <c r="R296">
        <v>295</v>
      </c>
    </row>
    <row r="297" spans="1:18">
      <c r="A297" s="1" t="s">
        <v>240</v>
      </c>
      <c r="B297">
        <v>27</v>
      </c>
      <c r="C297">
        <v>3</v>
      </c>
      <c r="D297">
        <v>24</v>
      </c>
      <c r="E297">
        <v>-3.2</v>
      </c>
      <c r="F297">
        <v>1721</v>
      </c>
      <c r="G297">
        <v>629</v>
      </c>
      <c r="H297">
        <v>1480</v>
      </c>
      <c r="I297">
        <v>328</v>
      </c>
      <c r="J297">
        <v>482</v>
      </c>
      <c r="K297">
        <v>327</v>
      </c>
      <c r="L297">
        <v>908</v>
      </c>
      <c r="M297">
        <v>345</v>
      </c>
      <c r="N297">
        <v>179</v>
      </c>
      <c r="O297">
        <v>120</v>
      </c>
      <c r="P297">
        <v>472</v>
      </c>
      <c r="Q297">
        <v>539</v>
      </c>
      <c r="R297">
        <v>296</v>
      </c>
    </row>
    <row r="298" spans="1:18">
      <c r="A298" s="1" t="s">
        <v>241</v>
      </c>
      <c r="B298">
        <v>32</v>
      </c>
      <c r="C298">
        <v>15</v>
      </c>
      <c r="D298">
        <v>17</v>
      </c>
      <c r="E298">
        <v>6.56</v>
      </c>
      <c r="F298">
        <v>2187</v>
      </c>
      <c r="G298">
        <v>775</v>
      </c>
      <c r="H298">
        <v>1764</v>
      </c>
      <c r="I298">
        <v>465</v>
      </c>
      <c r="J298">
        <v>653</v>
      </c>
      <c r="K298">
        <v>308</v>
      </c>
      <c r="L298">
        <v>1068</v>
      </c>
      <c r="M298">
        <v>482</v>
      </c>
      <c r="N298">
        <v>177</v>
      </c>
      <c r="O298">
        <v>78</v>
      </c>
      <c r="P298">
        <v>448</v>
      </c>
      <c r="Q298">
        <v>517</v>
      </c>
      <c r="R298">
        <v>297</v>
      </c>
    </row>
    <row r="299" spans="1:18">
      <c r="A299" s="1" t="s">
        <v>362</v>
      </c>
      <c r="B299">
        <v>37</v>
      </c>
      <c r="C299">
        <v>30</v>
      </c>
      <c r="D299">
        <v>7</v>
      </c>
      <c r="E299">
        <v>6.99</v>
      </c>
      <c r="F299">
        <v>2781</v>
      </c>
      <c r="G299">
        <v>983</v>
      </c>
      <c r="H299">
        <v>2132</v>
      </c>
      <c r="I299">
        <v>546</v>
      </c>
      <c r="J299">
        <v>751</v>
      </c>
      <c r="K299">
        <v>518</v>
      </c>
      <c r="L299">
        <v>1498</v>
      </c>
      <c r="M299">
        <v>549</v>
      </c>
      <c r="N299">
        <v>296</v>
      </c>
      <c r="O299">
        <v>186</v>
      </c>
      <c r="P299">
        <v>498</v>
      </c>
      <c r="Q299">
        <v>561</v>
      </c>
      <c r="R299">
        <v>298</v>
      </c>
    </row>
    <row r="300" spans="1:18">
      <c r="A300" s="1" t="s">
        <v>242</v>
      </c>
      <c r="B300">
        <v>31</v>
      </c>
      <c r="C300">
        <v>20</v>
      </c>
      <c r="D300">
        <v>11</v>
      </c>
      <c r="E300">
        <v>-2.14</v>
      </c>
      <c r="F300">
        <v>2151</v>
      </c>
      <c r="G300">
        <v>765</v>
      </c>
      <c r="H300">
        <v>1648</v>
      </c>
      <c r="I300">
        <v>423</v>
      </c>
      <c r="J300">
        <v>616</v>
      </c>
      <c r="K300">
        <v>305</v>
      </c>
      <c r="L300">
        <v>915</v>
      </c>
      <c r="M300">
        <v>397</v>
      </c>
      <c r="N300">
        <v>300</v>
      </c>
      <c r="O300">
        <v>82</v>
      </c>
      <c r="P300">
        <v>483</v>
      </c>
      <c r="Q300">
        <v>610</v>
      </c>
      <c r="R300">
        <v>299</v>
      </c>
    </row>
    <row r="301" spans="1:18">
      <c r="A301" s="1" t="s">
        <v>243</v>
      </c>
      <c r="B301">
        <v>28</v>
      </c>
      <c r="C301">
        <v>12</v>
      </c>
      <c r="D301">
        <v>16</v>
      </c>
      <c r="E301">
        <v>-2.38</v>
      </c>
      <c r="F301">
        <v>1952</v>
      </c>
      <c r="G301">
        <v>696</v>
      </c>
      <c r="H301">
        <v>1565</v>
      </c>
      <c r="I301">
        <v>375</v>
      </c>
      <c r="J301">
        <v>537</v>
      </c>
      <c r="K301">
        <v>302</v>
      </c>
      <c r="L301">
        <v>988</v>
      </c>
      <c r="M301">
        <v>432</v>
      </c>
      <c r="N301">
        <v>189</v>
      </c>
      <c r="O301">
        <v>71</v>
      </c>
      <c r="P301">
        <v>421</v>
      </c>
      <c r="Q301">
        <v>490</v>
      </c>
      <c r="R301">
        <v>300</v>
      </c>
    </row>
    <row r="302" spans="1:18">
      <c r="A302" s="1" t="s">
        <v>244</v>
      </c>
      <c r="B302">
        <v>29</v>
      </c>
      <c r="C302">
        <v>14</v>
      </c>
      <c r="D302">
        <v>15</v>
      </c>
      <c r="E302">
        <v>-3.09</v>
      </c>
      <c r="F302">
        <v>2166</v>
      </c>
      <c r="G302">
        <v>772</v>
      </c>
      <c r="H302">
        <v>1800</v>
      </c>
      <c r="I302">
        <v>278</v>
      </c>
      <c r="J302">
        <v>396</v>
      </c>
      <c r="K302">
        <v>329</v>
      </c>
      <c r="L302">
        <v>1035</v>
      </c>
      <c r="M302">
        <v>454</v>
      </c>
      <c r="N302">
        <v>230</v>
      </c>
      <c r="O302">
        <v>95</v>
      </c>
      <c r="P302">
        <v>364</v>
      </c>
      <c r="Q302">
        <v>463</v>
      </c>
      <c r="R302">
        <v>301</v>
      </c>
    </row>
    <row r="303" spans="1:18">
      <c r="A303" s="1" t="s">
        <v>245</v>
      </c>
      <c r="B303">
        <v>29</v>
      </c>
      <c r="C303">
        <v>12</v>
      </c>
      <c r="D303">
        <v>17</v>
      </c>
      <c r="E303">
        <v>-0.67</v>
      </c>
      <c r="F303">
        <v>1833</v>
      </c>
      <c r="G303">
        <v>640</v>
      </c>
      <c r="H303">
        <v>1450</v>
      </c>
      <c r="I303">
        <v>439</v>
      </c>
      <c r="J303">
        <v>652</v>
      </c>
      <c r="K303">
        <v>323</v>
      </c>
      <c r="L303">
        <v>1040</v>
      </c>
      <c r="M303">
        <v>396</v>
      </c>
      <c r="N303">
        <v>185</v>
      </c>
      <c r="O303">
        <v>145</v>
      </c>
      <c r="P303">
        <v>532</v>
      </c>
      <c r="Q303">
        <v>558</v>
      </c>
      <c r="R303">
        <v>302</v>
      </c>
    </row>
    <row r="304" spans="1:18">
      <c r="A304" s="1" t="s">
        <v>299</v>
      </c>
      <c r="B304">
        <v>28</v>
      </c>
      <c r="C304">
        <v>11</v>
      </c>
      <c r="D304">
        <v>17</v>
      </c>
      <c r="E304">
        <v>-7.0000000000000007E-2</v>
      </c>
      <c r="F304">
        <v>1714</v>
      </c>
      <c r="G304">
        <v>585</v>
      </c>
      <c r="H304">
        <v>1386</v>
      </c>
      <c r="I304">
        <v>400</v>
      </c>
      <c r="J304">
        <v>576</v>
      </c>
      <c r="K304">
        <v>273</v>
      </c>
      <c r="L304">
        <v>995</v>
      </c>
      <c r="M304">
        <v>336</v>
      </c>
      <c r="N304">
        <v>174</v>
      </c>
      <c r="O304">
        <v>101</v>
      </c>
      <c r="P304">
        <v>516</v>
      </c>
      <c r="Q304">
        <v>597</v>
      </c>
      <c r="R304">
        <v>303</v>
      </c>
    </row>
    <row r="305" spans="1:18">
      <c r="A305" s="1" t="s">
        <v>324</v>
      </c>
      <c r="B305">
        <v>39</v>
      </c>
      <c r="C305">
        <v>32</v>
      </c>
      <c r="D305">
        <v>7</v>
      </c>
      <c r="E305">
        <v>8.27</v>
      </c>
      <c r="F305">
        <v>2642</v>
      </c>
      <c r="G305">
        <v>939</v>
      </c>
      <c r="H305">
        <v>1987</v>
      </c>
      <c r="I305">
        <v>528</v>
      </c>
      <c r="J305">
        <v>764</v>
      </c>
      <c r="K305">
        <v>429</v>
      </c>
      <c r="L305">
        <v>1303</v>
      </c>
      <c r="M305">
        <v>541</v>
      </c>
      <c r="N305">
        <v>224</v>
      </c>
      <c r="O305">
        <v>111</v>
      </c>
      <c r="P305">
        <v>562</v>
      </c>
      <c r="Q305">
        <v>649</v>
      </c>
      <c r="R305">
        <v>304</v>
      </c>
    </row>
    <row r="306" spans="1:18">
      <c r="A306" s="1" t="s">
        <v>316</v>
      </c>
      <c r="B306">
        <v>32</v>
      </c>
      <c r="C306">
        <v>23</v>
      </c>
      <c r="D306">
        <v>9</v>
      </c>
      <c r="E306">
        <v>1.79</v>
      </c>
      <c r="F306">
        <v>2307</v>
      </c>
      <c r="G306">
        <v>853</v>
      </c>
      <c r="H306">
        <v>1714</v>
      </c>
      <c r="I306">
        <v>369</v>
      </c>
      <c r="J306">
        <v>511</v>
      </c>
      <c r="K306">
        <v>304</v>
      </c>
      <c r="L306">
        <v>1080</v>
      </c>
      <c r="M306">
        <v>552</v>
      </c>
      <c r="N306">
        <v>165</v>
      </c>
      <c r="O306">
        <v>91</v>
      </c>
      <c r="P306">
        <v>421</v>
      </c>
      <c r="Q306">
        <v>492</v>
      </c>
      <c r="R306">
        <v>305</v>
      </c>
    </row>
    <row r="307" spans="1:18">
      <c r="A307" s="1" t="s">
        <v>334</v>
      </c>
      <c r="B307">
        <v>29</v>
      </c>
      <c r="C307">
        <v>16</v>
      </c>
      <c r="D307">
        <v>13</v>
      </c>
      <c r="F307">
        <v>1923</v>
      </c>
      <c r="G307">
        <v>689</v>
      </c>
      <c r="H307">
        <v>1526</v>
      </c>
      <c r="I307">
        <v>395</v>
      </c>
      <c r="J307">
        <v>562</v>
      </c>
      <c r="K307">
        <v>275</v>
      </c>
      <c r="L307">
        <v>887</v>
      </c>
      <c r="M307">
        <v>409</v>
      </c>
      <c r="N307">
        <v>200</v>
      </c>
      <c r="O307">
        <v>77</v>
      </c>
      <c r="P307">
        <v>338</v>
      </c>
      <c r="Q307">
        <v>537</v>
      </c>
      <c r="R307">
        <v>306</v>
      </c>
    </row>
    <row r="308" spans="1:18">
      <c r="A308" s="1" t="s">
        <v>300</v>
      </c>
      <c r="B308">
        <v>29</v>
      </c>
      <c r="C308">
        <v>14</v>
      </c>
      <c r="D308">
        <v>15</v>
      </c>
      <c r="E308">
        <v>3.39</v>
      </c>
      <c r="F308">
        <v>1879</v>
      </c>
      <c r="G308">
        <v>668</v>
      </c>
      <c r="H308">
        <v>1433</v>
      </c>
      <c r="I308">
        <v>361</v>
      </c>
      <c r="J308">
        <v>540</v>
      </c>
      <c r="K308">
        <v>305</v>
      </c>
      <c r="L308">
        <v>962</v>
      </c>
      <c r="M308">
        <v>390</v>
      </c>
      <c r="N308">
        <v>162</v>
      </c>
      <c r="O308">
        <v>60</v>
      </c>
      <c r="P308">
        <v>465</v>
      </c>
      <c r="Q308">
        <v>502</v>
      </c>
      <c r="R308">
        <v>307</v>
      </c>
    </row>
    <row r="309" spans="1:18">
      <c r="A309" s="1" t="s">
        <v>301</v>
      </c>
      <c r="B309">
        <v>29</v>
      </c>
      <c r="C309">
        <v>17</v>
      </c>
      <c r="D309">
        <v>12</v>
      </c>
      <c r="E309">
        <v>-4.05</v>
      </c>
      <c r="F309">
        <v>2284</v>
      </c>
      <c r="G309">
        <v>828</v>
      </c>
      <c r="H309">
        <v>1738</v>
      </c>
      <c r="I309">
        <v>410</v>
      </c>
      <c r="J309">
        <v>603</v>
      </c>
      <c r="K309">
        <v>358</v>
      </c>
      <c r="L309">
        <v>1085</v>
      </c>
      <c r="M309">
        <v>512</v>
      </c>
      <c r="N309">
        <v>205</v>
      </c>
      <c r="O309">
        <v>88</v>
      </c>
      <c r="P309">
        <v>421</v>
      </c>
      <c r="Q309">
        <v>589</v>
      </c>
      <c r="R309">
        <v>308</v>
      </c>
    </row>
    <row r="310" spans="1:18">
      <c r="A310" s="1" t="s">
        <v>246</v>
      </c>
      <c r="B310">
        <v>30</v>
      </c>
      <c r="C310">
        <v>17</v>
      </c>
      <c r="D310">
        <v>13</v>
      </c>
      <c r="E310">
        <v>7.53</v>
      </c>
      <c r="F310">
        <v>2104</v>
      </c>
      <c r="G310">
        <v>756</v>
      </c>
      <c r="H310">
        <v>1642</v>
      </c>
      <c r="I310">
        <v>350</v>
      </c>
      <c r="J310">
        <v>502</v>
      </c>
      <c r="K310">
        <v>327</v>
      </c>
      <c r="L310">
        <v>944</v>
      </c>
      <c r="M310">
        <v>464</v>
      </c>
      <c r="N310">
        <v>182</v>
      </c>
      <c r="O310">
        <v>87</v>
      </c>
      <c r="P310">
        <v>386</v>
      </c>
      <c r="Q310">
        <v>491</v>
      </c>
      <c r="R310">
        <v>309</v>
      </c>
    </row>
    <row r="311" spans="1:18">
      <c r="A311" s="1" t="s">
        <v>247</v>
      </c>
      <c r="B311">
        <v>30</v>
      </c>
      <c r="C311">
        <v>13</v>
      </c>
      <c r="D311">
        <v>17</v>
      </c>
      <c r="E311">
        <v>-4.07</v>
      </c>
      <c r="F311">
        <v>1936</v>
      </c>
      <c r="G311">
        <v>670</v>
      </c>
      <c r="H311">
        <v>1564</v>
      </c>
      <c r="I311">
        <v>427</v>
      </c>
      <c r="J311">
        <v>649</v>
      </c>
      <c r="K311">
        <v>358</v>
      </c>
      <c r="L311">
        <v>1104</v>
      </c>
      <c r="M311">
        <v>401</v>
      </c>
      <c r="N311">
        <v>176</v>
      </c>
      <c r="O311">
        <v>99</v>
      </c>
      <c r="P311">
        <v>464</v>
      </c>
      <c r="Q311">
        <v>592</v>
      </c>
      <c r="R311">
        <v>310</v>
      </c>
    </row>
    <row r="312" spans="1:18">
      <c r="A312" s="1" t="s">
        <v>248</v>
      </c>
      <c r="B312">
        <v>33</v>
      </c>
      <c r="C312">
        <v>28</v>
      </c>
      <c r="D312">
        <v>5</v>
      </c>
      <c r="E312">
        <v>9.23</v>
      </c>
      <c r="F312">
        <v>2449</v>
      </c>
      <c r="G312">
        <v>809</v>
      </c>
      <c r="H312">
        <v>1942</v>
      </c>
      <c r="I312">
        <v>543</v>
      </c>
      <c r="J312">
        <v>717</v>
      </c>
      <c r="K312">
        <v>459</v>
      </c>
      <c r="L312">
        <v>1198</v>
      </c>
      <c r="M312">
        <v>403</v>
      </c>
      <c r="N312">
        <v>256</v>
      </c>
      <c r="O312">
        <v>159</v>
      </c>
      <c r="P312">
        <v>370</v>
      </c>
      <c r="Q312">
        <v>615</v>
      </c>
      <c r="R312">
        <v>311</v>
      </c>
    </row>
    <row r="313" spans="1:18">
      <c r="A313" s="1" t="s">
        <v>249</v>
      </c>
      <c r="B313">
        <v>29</v>
      </c>
      <c r="C313">
        <v>19</v>
      </c>
      <c r="D313">
        <v>10</v>
      </c>
      <c r="E313">
        <v>-0.53</v>
      </c>
      <c r="F313">
        <v>1964</v>
      </c>
      <c r="G313">
        <v>690</v>
      </c>
      <c r="H313">
        <v>1589</v>
      </c>
      <c r="I313">
        <v>359</v>
      </c>
      <c r="J313">
        <v>495</v>
      </c>
      <c r="K313">
        <v>315</v>
      </c>
      <c r="L313">
        <v>926</v>
      </c>
      <c r="M313">
        <v>356</v>
      </c>
      <c r="N313">
        <v>237</v>
      </c>
      <c r="O313">
        <v>82</v>
      </c>
      <c r="P313">
        <v>362</v>
      </c>
      <c r="Q313">
        <v>496</v>
      </c>
      <c r="R313">
        <v>312</v>
      </c>
    </row>
    <row r="314" spans="1:18">
      <c r="A314" s="1" t="s">
        <v>250</v>
      </c>
      <c r="B314">
        <v>27</v>
      </c>
      <c r="C314">
        <v>7</v>
      </c>
      <c r="D314">
        <v>20</v>
      </c>
      <c r="E314">
        <v>-6.72</v>
      </c>
      <c r="F314">
        <v>1924</v>
      </c>
      <c r="G314">
        <v>685</v>
      </c>
      <c r="H314">
        <v>1550</v>
      </c>
      <c r="I314">
        <v>388</v>
      </c>
      <c r="J314">
        <v>563</v>
      </c>
      <c r="K314">
        <v>305</v>
      </c>
      <c r="L314">
        <v>1009</v>
      </c>
      <c r="M314">
        <v>384</v>
      </c>
      <c r="N314">
        <v>196</v>
      </c>
      <c r="O314">
        <v>52</v>
      </c>
      <c r="P314">
        <v>492</v>
      </c>
      <c r="Q314">
        <v>467</v>
      </c>
      <c r="R314">
        <v>313</v>
      </c>
    </row>
    <row r="315" spans="1:18">
      <c r="A315" s="1" t="s">
        <v>251</v>
      </c>
      <c r="B315">
        <v>30</v>
      </c>
      <c r="C315">
        <v>14</v>
      </c>
      <c r="D315">
        <v>16</v>
      </c>
      <c r="E315">
        <v>4.67</v>
      </c>
      <c r="F315">
        <v>2060</v>
      </c>
      <c r="G315">
        <v>767</v>
      </c>
      <c r="H315">
        <v>1688</v>
      </c>
      <c r="I315">
        <v>387</v>
      </c>
      <c r="J315">
        <v>600</v>
      </c>
      <c r="K315">
        <v>329</v>
      </c>
      <c r="L315">
        <v>950</v>
      </c>
      <c r="M315">
        <v>389</v>
      </c>
      <c r="N315">
        <v>273</v>
      </c>
      <c r="O315">
        <v>128</v>
      </c>
      <c r="P315">
        <v>337</v>
      </c>
      <c r="Q315">
        <v>532</v>
      </c>
      <c r="R315">
        <v>314</v>
      </c>
    </row>
    <row r="316" spans="1:18">
      <c r="A316" s="1" t="s">
        <v>252</v>
      </c>
      <c r="B316">
        <v>30</v>
      </c>
      <c r="C316">
        <v>15</v>
      </c>
      <c r="D316">
        <v>15</v>
      </c>
      <c r="E316">
        <v>7.71</v>
      </c>
      <c r="F316">
        <v>2038</v>
      </c>
      <c r="G316">
        <v>703</v>
      </c>
      <c r="H316">
        <v>1692</v>
      </c>
      <c r="I316">
        <v>451</v>
      </c>
      <c r="J316">
        <v>603</v>
      </c>
      <c r="K316">
        <v>404</v>
      </c>
      <c r="L316">
        <v>1121</v>
      </c>
      <c r="M316">
        <v>340</v>
      </c>
      <c r="N316">
        <v>168</v>
      </c>
      <c r="O316">
        <v>109</v>
      </c>
      <c r="P316">
        <v>434</v>
      </c>
      <c r="Q316">
        <v>547</v>
      </c>
      <c r="R316">
        <v>315</v>
      </c>
    </row>
    <row r="317" spans="1:18">
      <c r="A317" s="1" t="s">
        <v>253</v>
      </c>
      <c r="B317">
        <v>27</v>
      </c>
      <c r="C317">
        <v>13</v>
      </c>
      <c r="D317">
        <v>14</v>
      </c>
      <c r="E317">
        <v>-6.35</v>
      </c>
      <c r="F317">
        <v>1812</v>
      </c>
      <c r="G317">
        <v>663</v>
      </c>
      <c r="H317">
        <v>1509</v>
      </c>
      <c r="I317">
        <v>337</v>
      </c>
      <c r="J317">
        <v>530</v>
      </c>
      <c r="K317">
        <v>352</v>
      </c>
      <c r="L317">
        <v>1040</v>
      </c>
      <c r="M317">
        <v>345</v>
      </c>
      <c r="N317">
        <v>145</v>
      </c>
      <c r="O317">
        <v>93</v>
      </c>
      <c r="P317">
        <v>391</v>
      </c>
      <c r="Q317">
        <v>494</v>
      </c>
      <c r="R317">
        <v>316</v>
      </c>
    </row>
    <row r="318" spans="1:18">
      <c r="A318" s="1" t="s">
        <v>254</v>
      </c>
      <c r="B318">
        <v>34</v>
      </c>
      <c r="C318">
        <v>17</v>
      </c>
      <c r="D318">
        <v>17</v>
      </c>
      <c r="E318">
        <v>6.89</v>
      </c>
      <c r="F318">
        <v>2482</v>
      </c>
      <c r="G318">
        <v>851</v>
      </c>
      <c r="H318">
        <v>1880</v>
      </c>
      <c r="I318">
        <v>562</v>
      </c>
      <c r="J318">
        <v>837</v>
      </c>
      <c r="K318">
        <v>473</v>
      </c>
      <c r="L318">
        <v>1338</v>
      </c>
      <c r="M318">
        <v>471</v>
      </c>
      <c r="N318">
        <v>193</v>
      </c>
      <c r="O318">
        <v>149</v>
      </c>
      <c r="P318">
        <v>554</v>
      </c>
      <c r="Q318">
        <v>637</v>
      </c>
      <c r="R318">
        <v>317</v>
      </c>
    </row>
    <row r="319" spans="1:18">
      <c r="A319" s="1" t="s">
        <v>255</v>
      </c>
      <c r="B319">
        <v>28</v>
      </c>
      <c r="C319">
        <v>11</v>
      </c>
      <c r="D319">
        <v>17</v>
      </c>
      <c r="E319">
        <v>7.79</v>
      </c>
      <c r="F319">
        <v>1629</v>
      </c>
      <c r="G319">
        <v>606</v>
      </c>
      <c r="H319">
        <v>1410</v>
      </c>
      <c r="I319">
        <v>288</v>
      </c>
      <c r="J319">
        <v>402</v>
      </c>
      <c r="K319">
        <v>236</v>
      </c>
      <c r="L319">
        <v>874</v>
      </c>
      <c r="M319">
        <v>353</v>
      </c>
      <c r="N319">
        <v>169</v>
      </c>
      <c r="O319">
        <v>130</v>
      </c>
      <c r="P319">
        <v>393</v>
      </c>
      <c r="Q319">
        <v>512</v>
      </c>
      <c r="R319">
        <v>318</v>
      </c>
    </row>
    <row r="320" spans="1:18">
      <c r="A320" s="1" t="s">
        <v>256</v>
      </c>
      <c r="B320">
        <v>33</v>
      </c>
      <c r="C320">
        <v>26</v>
      </c>
      <c r="D320">
        <v>7</v>
      </c>
      <c r="E320">
        <v>5.96</v>
      </c>
      <c r="F320">
        <v>2706</v>
      </c>
      <c r="G320">
        <v>982</v>
      </c>
      <c r="H320">
        <v>2087</v>
      </c>
      <c r="I320">
        <v>522</v>
      </c>
      <c r="J320">
        <v>697</v>
      </c>
      <c r="K320">
        <v>475</v>
      </c>
      <c r="L320">
        <v>1232</v>
      </c>
      <c r="M320">
        <v>529</v>
      </c>
      <c r="N320">
        <v>273</v>
      </c>
      <c r="O320">
        <v>114</v>
      </c>
      <c r="P320">
        <v>486</v>
      </c>
      <c r="Q320">
        <v>634</v>
      </c>
      <c r="R320">
        <v>319</v>
      </c>
    </row>
    <row r="321" spans="1:18">
      <c r="A321" s="1" t="s">
        <v>257</v>
      </c>
      <c r="B321">
        <v>27</v>
      </c>
      <c r="C321">
        <v>10</v>
      </c>
      <c r="D321">
        <v>17</v>
      </c>
      <c r="E321">
        <v>-1.1000000000000001</v>
      </c>
      <c r="F321">
        <v>1789</v>
      </c>
      <c r="G321">
        <v>625</v>
      </c>
      <c r="H321">
        <v>1416</v>
      </c>
      <c r="I321">
        <v>406</v>
      </c>
      <c r="J321">
        <v>578</v>
      </c>
      <c r="K321">
        <v>306</v>
      </c>
      <c r="L321">
        <v>881</v>
      </c>
      <c r="M321">
        <v>325</v>
      </c>
      <c r="N321">
        <v>161</v>
      </c>
      <c r="O321">
        <v>57</v>
      </c>
      <c r="P321">
        <v>391</v>
      </c>
      <c r="Q321">
        <v>498</v>
      </c>
      <c r="R321">
        <v>320</v>
      </c>
    </row>
    <row r="322" spans="1:18">
      <c r="A322" s="1" t="s">
        <v>258</v>
      </c>
      <c r="B322">
        <v>33</v>
      </c>
      <c r="C322">
        <v>22</v>
      </c>
      <c r="D322">
        <v>11</v>
      </c>
      <c r="E322">
        <v>8.5399999999999991</v>
      </c>
      <c r="F322">
        <v>2334</v>
      </c>
      <c r="G322">
        <v>835</v>
      </c>
      <c r="H322">
        <v>1875</v>
      </c>
      <c r="I322">
        <v>327</v>
      </c>
      <c r="J322">
        <v>439</v>
      </c>
      <c r="K322">
        <v>258</v>
      </c>
      <c r="L322">
        <v>915</v>
      </c>
      <c r="M322">
        <v>576</v>
      </c>
      <c r="N322">
        <v>266</v>
      </c>
      <c r="O322">
        <v>93</v>
      </c>
      <c r="P322">
        <v>287</v>
      </c>
      <c r="Q322">
        <v>419</v>
      </c>
      <c r="R322">
        <v>321</v>
      </c>
    </row>
    <row r="323" spans="1:18">
      <c r="A323" s="1" t="s">
        <v>259</v>
      </c>
      <c r="B323">
        <v>30</v>
      </c>
      <c r="C323">
        <v>13</v>
      </c>
      <c r="D323">
        <v>17</v>
      </c>
      <c r="E323">
        <v>-4.62</v>
      </c>
      <c r="F323">
        <v>2048</v>
      </c>
      <c r="G323">
        <v>700</v>
      </c>
      <c r="H323">
        <v>1597</v>
      </c>
      <c r="I323">
        <v>427</v>
      </c>
      <c r="J323">
        <v>621</v>
      </c>
      <c r="K323">
        <v>327</v>
      </c>
      <c r="L323">
        <v>980</v>
      </c>
      <c r="M323">
        <v>365</v>
      </c>
      <c r="N323">
        <v>244</v>
      </c>
      <c r="O323">
        <v>49</v>
      </c>
      <c r="P323">
        <v>441</v>
      </c>
      <c r="Q323">
        <v>620</v>
      </c>
      <c r="R323">
        <v>322</v>
      </c>
    </row>
    <row r="324" spans="1:18">
      <c r="A324" s="1" t="s">
        <v>260</v>
      </c>
      <c r="B324">
        <v>28</v>
      </c>
      <c r="C324">
        <v>7</v>
      </c>
      <c r="D324">
        <v>21</v>
      </c>
      <c r="E324">
        <v>-3.1</v>
      </c>
      <c r="F324">
        <v>1897</v>
      </c>
      <c r="G324">
        <v>638</v>
      </c>
      <c r="H324">
        <v>1534</v>
      </c>
      <c r="I324">
        <v>450</v>
      </c>
      <c r="J324">
        <v>636</v>
      </c>
      <c r="K324">
        <v>335</v>
      </c>
      <c r="L324">
        <v>974</v>
      </c>
      <c r="M324">
        <v>353</v>
      </c>
      <c r="N324">
        <v>165</v>
      </c>
      <c r="O324">
        <v>68</v>
      </c>
      <c r="P324">
        <v>421</v>
      </c>
      <c r="Q324">
        <v>575</v>
      </c>
      <c r="R324">
        <v>323</v>
      </c>
    </row>
    <row r="325" spans="1:18">
      <c r="A325" s="1" t="s">
        <v>261</v>
      </c>
      <c r="B325">
        <v>31</v>
      </c>
      <c r="C325">
        <v>23</v>
      </c>
      <c r="D325">
        <v>8</v>
      </c>
      <c r="E325">
        <v>-0.35</v>
      </c>
      <c r="F325">
        <v>2408</v>
      </c>
      <c r="G325">
        <v>864</v>
      </c>
      <c r="H325">
        <v>1827</v>
      </c>
      <c r="I325">
        <v>423</v>
      </c>
      <c r="J325">
        <v>618</v>
      </c>
      <c r="K325">
        <v>468</v>
      </c>
      <c r="L325">
        <v>1160</v>
      </c>
      <c r="M325">
        <v>405</v>
      </c>
      <c r="N325">
        <v>236</v>
      </c>
      <c r="O325">
        <v>114</v>
      </c>
      <c r="P325">
        <v>540</v>
      </c>
      <c r="Q325">
        <v>616</v>
      </c>
      <c r="R325">
        <v>324</v>
      </c>
    </row>
    <row r="326" spans="1:18">
      <c r="A326" s="1" t="s">
        <v>262</v>
      </c>
      <c r="B326">
        <v>31</v>
      </c>
      <c r="C326">
        <v>14</v>
      </c>
      <c r="D326">
        <v>17</v>
      </c>
      <c r="E326">
        <v>0.23</v>
      </c>
      <c r="F326">
        <v>1970</v>
      </c>
      <c r="G326">
        <v>689</v>
      </c>
      <c r="H326">
        <v>1687</v>
      </c>
      <c r="I326">
        <v>460</v>
      </c>
      <c r="J326">
        <v>693</v>
      </c>
      <c r="K326">
        <v>387</v>
      </c>
      <c r="L326">
        <v>1075</v>
      </c>
      <c r="M326">
        <v>316</v>
      </c>
      <c r="N326">
        <v>207</v>
      </c>
      <c r="O326">
        <v>69</v>
      </c>
      <c r="P326">
        <v>450</v>
      </c>
      <c r="Q326">
        <v>576</v>
      </c>
      <c r="R326">
        <v>325</v>
      </c>
    </row>
    <row r="327" spans="1:18">
      <c r="A327" s="1" t="s">
        <v>263</v>
      </c>
      <c r="B327">
        <v>35</v>
      </c>
      <c r="C327">
        <v>26</v>
      </c>
      <c r="D327">
        <v>9</v>
      </c>
      <c r="E327">
        <v>4.72</v>
      </c>
      <c r="F327">
        <v>2422</v>
      </c>
      <c r="G327">
        <v>839</v>
      </c>
      <c r="H327">
        <v>1903</v>
      </c>
      <c r="I327">
        <v>507</v>
      </c>
      <c r="J327">
        <v>700</v>
      </c>
      <c r="K327">
        <v>425</v>
      </c>
      <c r="L327">
        <v>1317</v>
      </c>
      <c r="M327">
        <v>522</v>
      </c>
      <c r="N327">
        <v>183</v>
      </c>
      <c r="O327">
        <v>64</v>
      </c>
      <c r="P327">
        <v>449</v>
      </c>
      <c r="Q327">
        <v>547</v>
      </c>
      <c r="R327">
        <v>326</v>
      </c>
    </row>
    <row r="328" spans="1:18">
      <c r="A328" s="1" t="s">
        <v>264</v>
      </c>
      <c r="B328">
        <v>28</v>
      </c>
      <c r="C328">
        <v>8</v>
      </c>
      <c r="D328">
        <v>20</v>
      </c>
      <c r="E328">
        <v>-0.41</v>
      </c>
      <c r="F328">
        <v>1815</v>
      </c>
      <c r="G328">
        <v>647</v>
      </c>
      <c r="H328">
        <v>1526</v>
      </c>
      <c r="I328">
        <v>377</v>
      </c>
      <c r="J328">
        <v>545</v>
      </c>
      <c r="K328">
        <v>340</v>
      </c>
      <c r="L328">
        <v>947</v>
      </c>
      <c r="M328">
        <v>383</v>
      </c>
      <c r="N328">
        <v>196</v>
      </c>
      <c r="O328">
        <v>47</v>
      </c>
      <c r="P328">
        <v>441</v>
      </c>
      <c r="Q328">
        <v>499</v>
      </c>
      <c r="R328">
        <v>327</v>
      </c>
    </row>
    <row r="329" spans="1:18">
      <c r="A329" s="1" t="s">
        <v>325</v>
      </c>
      <c r="B329">
        <v>31</v>
      </c>
      <c r="C329">
        <v>23</v>
      </c>
      <c r="D329">
        <v>8</v>
      </c>
      <c r="E329">
        <v>-4.93</v>
      </c>
      <c r="F329">
        <v>2276</v>
      </c>
      <c r="G329">
        <v>778</v>
      </c>
      <c r="H329">
        <v>1735</v>
      </c>
      <c r="I329">
        <v>482</v>
      </c>
      <c r="J329">
        <v>697</v>
      </c>
      <c r="K329">
        <v>402</v>
      </c>
      <c r="L329">
        <v>1127</v>
      </c>
      <c r="M329">
        <v>490</v>
      </c>
      <c r="N329">
        <v>298</v>
      </c>
      <c r="O329">
        <v>102</v>
      </c>
      <c r="P329">
        <v>439</v>
      </c>
      <c r="Q329">
        <v>530</v>
      </c>
      <c r="R329">
        <v>328</v>
      </c>
    </row>
    <row r="330" spans="1:18">
      <c r="A330" s="1" t="s">
        <v>367</v>
      </c>
      <c r="B330">
        <v>31</v>
      </c>
      <c r="C330">
        <v>19</v>
      </c>
      <c r="D330">
        <v>12</v>
      </c>
      <c r="E330">
        <v>7.24</v>
      </c>
      <c r="F330">
        <v>2205</v>
      </c>
      <c r="G330">
        <v>776</v>
      </c>
      <c r="H330">
        <v>1796</v>
      </c>
      <c r="I330">
        <v>454</v>
      </c>
      <c r="J330">
        <v>684</v>
      </c>
      <c r="K330">
        <v>400</v>
      </c>
      <c r="L330">
        <v>1124</v>
      </c>
      <c r="M330">
        <v>421</v>
      </c>
      <c r="N330">
        <v>165</v>
      </c>
      <c r="O330">
        <v>104</v>
      </c>
      <c r="P330">
        <v>359</v>
      </c>
      <c r="Q330">
        <v>534</v>
      </c>
      <c r="R330">
        <v>329</v>
      </c>
    </row>
    <row r="331" spans="1:18">
      <c r="A331" s="1" t="s">
        <v>265</v>
      </c>
      <c r="B331">
        <v>29</v>
      </c>
      <c r="C331">
        <v>11</v>
      </c>
      <c r="D331">
        <v>18</v>
      </c>
      <c r="E331">
        <v>-2.98</v>
      </c>
      <c r="F331">
        <v>1947</v>
      </c>
      <c r="G331">
        <v>691</v>
      </c>
      <c r="H331">
        <v>1555</v>
      </c>
      <c r="I331">
        <v>349</v>
      </c>
      <c r="J331">
        <v>517</v>
      </c>
      <c r="K331">
        <v>264</v>
      </c>
      <c r="L331">
        <v>898</v>
      </c>
      <c r="M331">
        <v>379</v>
      </c>
      <c r="N331">
        <v>245</v>
      </c>
      <c r="O331">
        <v>65</v>
      </c>
      <c r="P331">
        <v>393</v>
      </c>
      <c r="Q331">
        <v>496</v>
      </c>
      <c r="R331">
        <v>330</v>
      </c>
    </row>
    <row r="332" spans="1:18">
      <c r="A332" s="1" t="s">
        <v>266</v>
      </c>
      <c r="B332">
        <v>28</v>
      </c>
      <c r="C332">
        <v>13</v>
      </c>
      <c r="D332">
        <v>15</v>
      </c>
      <c r="E332">
        <v>-1.4</v>
      </c>
      <c r="F332">
        <v>1780</v>
      </c>
      <c r="G332">
        <v>631</v>
      </c>
      <c r="H332">
        <v>1423</v>
      </c>
      <c r="I332">
        <v>399</v>
      </c>
      <c r="J332">
        <v>585</v>
      </c>
      <c r="K332">
        <v>312</v>
      </c>
      <c r="L332">
        <v>899</v>
      </c>
      <c r="M332">
        <v>350</v>
      </c>
      <c r="N332">
        <v>150</v>
      </c>
      <c r="O332">
        <v>50</v>
      </c>
      <c r="P332">
        <v>378</v>
      </c>
      <c r="Q332">
        <v>552</v>
      </c>
      <c r="R332">
        <v>331</v>
      </c>
    </row>
    <row r="333" spans="1:18">
      <c r="A333" s="1" t="s">
        <v>267</v>
      </c>
      <c r="B333">
        <v>32</v>
      </c>
      <c r="C333">
        <v>14</v>
      </c>
      <c r="D333">
        <v>18</v>
      </c>
      <c r="E333">
        <v>3.82</v>
      </c>
      <c r="F333">
        <v>2151</v>
      </c>
      <c r="G333">
        <v>725</v>
      </c>
      <c r="H333">
        <v>1699</v>
      </c>
      <c r="I333">
        <v>568</v>
      </c>
      <c r="J333">
        <v>863</v>
      </c>
      <c r="K333">
        <v>434</v>
      </c>
      <c r="L333">
        <v>1240</v>
      </c>
      <c r="M333">
        <v>345</v>
      </c>
      <c r="N333">
        <v>190</v>
      </c>
      <c r="O333">
        <v>221</v>
      </c>
      <c r="P333">
        <v>543</v>
      </c>
      <c r="Q333">
        <v>630</v>
      </c>
      <c r="R333">
        <v>332</v>
      </c>
    </row>
    <row r="334" spans="1:18">
      <c r="A334" s="1" t="s">
        <v>268</v>
      </c>
      <c r="B334">
        <v>32</v>
      </c>
      <c r="C334">
        <v>21</v>
      </c>
      <c r="D334">
        <v>11</v>
      </c>
      <c r="E334">
        <v>1.99</v>
      </c>
      <c r="F334">
        <v>2290</v>
      </c>
      <c r="G334">
        <v>778</v>
      </c>
      <c r="H334">
        <v>1685</v>
      </c>
      <c r="I334">
        <v>516</v>
      </c>
      <c r="J334">
        <v>713</v>
      </c>
      <c r="K334">
        <v>338</v>
      </c>
      <c r="L334">
        <v>1121</v>
      </c>
      <c r="M334">
        <v>502</v>
      </c>
      <c r="N334">
        <v>199</v>
      </c>
      <c r="O334">
        <v>152</v>
      </c>
      <c r="P334">
        <v>410</v>
      </c>
      <c r="Q334">
        <v>568</v>
      </c>
      <c r="R334">
        <v>333</v>
      </c>
    </row>
    <row r="335" spans="1:18">
      <c r="A335" s="1" t="s">
        <v>269</v>
      </c>
      <c r="B335">
        <v>29</v>
      </c>
      <c r="C335">
        <v>15</v>
      </c>
      <c r="D335">
        <v>14</v>
      </c>
      <c r="E335">
        <v>-5.71</v>
      </c>
      <c r="F335">
        <v>1939</v>
      </c>
      <c r="G335">
        <v>691</v>
      </c>
      <c r="H335">
        <v>1544</v>
      </c>
      <c r="I335">
        <v>403</v>
      </c>
      <c r="J335">
        <v>605</v>
      </c>
      <c r="K335">
        <v>307</v>
      </c>
      <c r="L335">
        <v>1032</v>
      </c>
      <c r="M335">
        <v>430</v>
      </c>
      <c r="N335">
        <v>202</v>
      </c>
      <c r="O335">
        <v>89</v>
      </c>
      <c r="P335">
        <v>505</v>
      </c>
      <c r="Q335">
        <v>539</v>
      </c>
      <c r="R335">
        <v>334</v>
      </c>
    </row>
    <row r="336" spans="1:18">
      <c r="A336" s="1" t="s">
        <v>270</v>
      </c>
      <c r="B336">
        <v>28</v>
      </c>
      <c r="C336">
        <v>7</v>
      </c>
      <c r="D336">
        <v>21</v>
      </c>
      <c r="E336">
        <v>-2.33</v>
      </c>
      <c r="F336">
        <v>1908</v>
      </c>
      <c r="G336">
        <v>687</v>
      </c>
      <c r="H336">
        <v>1581</v>
      </c>
      <c r="I336">
        <v>343</v>
      </c>
      <c r="J336">
        <v>486</v>
      </c>
      <c r="K336">
        <v>340</v>
      </c>
      <c r="L336">
        <v>952</v>
      </c>
      <c r="M336">
        <v>370</v>
      </c>
      <c r="N336">
        <v>175</v>
      </c>
      <c r="O336">
        <v>81</v>
      </c>
      <c r="P336">
        <v>368</v>
      </c>
      <c r="Q336">
        <v>489</v>
      </c>
      <c r="R336">
        <v>335</v>
      </c>
    </row>
    <row r="337" spans="18:18">
      <c r="R337">
        <v>336</v>
      </c>
    </row>
    <row r="338" spans="18:18">
      <c r="R338">
        <v>337</v>
      </c>
    </row>
    <row r="339" spans="18:18">
      <c r="R339">
        <v>338</v>
      </c>
    </row>
    <row r="340" spans="18:18">
      <c r="R340">
        <v>339</v>
      </c>
    </row>
    <row r="341" spans="18:18">
      <c r="R341">
        <v>340</v>
      </c>
    </row>
    <row r="342" spans="18:18">
      <c r="R342">
        <v>341</v>
      </c>
    </row>
    <row r="343" spans="18:18">
      <c r="R343">
        <v>342</v>
      </c>
    </row>
    <row r="344" spans="18:18">
      <c r="R344">
        <v>343</v>
      </c>
    </row>
    <row r="345" spans="18:18">
      <c r="R345">
        <v>344</v>
      </c>
    </row>
    <row r="346" spans="18:18">
      <c r="R346">
        <v>345</v>
      </c>
    </row>
    <row r="347" spans="18:18">
      <c r="R347">
        <v>346</v>
      </c>
    </row>
    <row r="348" spans="18:18">
      <c r="R348">
        <v>347</v>
      </c>
    </row>
    <row r="349" spans="18:18">
      <c r="R349">
        <v>348</v>
      </c>
    </row>
    <row r="350" spans="18:18">
      <c r="R350">
        <v>349</v>
      </c>
    </row>
    <row r="351" spans="18:18">
      <c r="R351">
        <v>350</v>
      </c>
    </row>
    <row r="352" spans="18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05770-C054-4923-9CB1-0D5C2F6040F3}">
  <sheetPr codeName="Sheet8"/>
  <dimension ref="A1:R357"/>
  <sheetViews>
    <sheetView topLeftCell="A175" workbookViewId="0">
      <selection activeCell="R175" sqref="R1:R1048576"/>
    </sheetView>
  </sheetViews>
  <sheetFormatPr defaultColWidth="8.85546875" defaultRowHeight="15"/>
  <cols>
    <col min="1" max="1" width="30.140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35</v>
      </c>
      <c r="C2">
        <v>26</v>
      </c>
      <c r="D2">
        <v>9</v>
      </c>
      <c r="E2">
        <v>3.34</v>
      </c>
      <c r="F2">
        <v>2414</v>
      </c>
      <c r="G2">
        <v>815</v>
      </c>
      <c r="H2">
        <v>1662</v>
      </c>
      <c r="I2">
        <v>468</v>
      </c>
      <c r="J2">
        <v>620</v>
      </c>
      <c r="K2">
        <v>231</v>
      </c>
      <c r="L2">
        <v>969</v>
      </c>
      <c r="M2">
        <v>533</v>
      </c>
      <c r="N2">
        <v>234</v>
      </c>
      <c r="O2">
        <v>57</v>
      </c>
      <c r="P2">
        <v>359</v>
      </c>
      <c r="Q2">
        <v>526</v>
      </c>
      <c r="R2">
        <v>1</v>
      </c>
    </row>
    <row r="3" spans="1:18">
      <c r="A3" s="1" t="s">
        <v>18</v>
      </c>
      <c r="B3">
        <v>33</v>
      </c>
      <c r="C3">
        <v>26</v>
      </c>
      <c r="D3">
        <v>7</v>
      </c>
      <c r="E3">
        <v>-1.9</v>
      </c>
      <c r="F3">
        <v>2485</v>
      </c>
      <c r="G3">
        <v>900</v>
      </c>
      <c r="H3">
        <v>1857</v>
      </c>
      <c r="I3">
        <v>440</v>
      </c>
      <c r="J3">
        <v>657</v>
      </c>
      <c r="K3">
        <v>399</v>
      </c>
      <c r="L3">
        <v>1159</v>
      </c>
      <c r="M3">
        <v>503</v>
      </c>
      <c r="N3">
        <v>267</v>
      </c>
      <c r="O3">
        <v>141</v>
      </c>
      <c r="P3">
        <v>414</v>
      </c>
      <c r="Q3">
        <v>611</v>
      </c>
      <c r="R3">
        <v>2</v>
      </c>
    </row>
    <row r="4" spans="1:18">
      <c r="A4" s="1" t="s">
        <v>19</v>
      </c>
      <c r="B4">
        <v>30</v>
      </c>
      <c r="C4">
        <v>10</v>
      </c>
      <c r="D4">
        <v>20</v>
      </c>
      <c r="E4">
        <v>-12.38</v>
      </c>
      <c r="F4">
        <v>1856</v>
      </c>
      <c r="G4">
        <v>653</v>
      </c>
      <c r="H4">
        <v>1690</v>
      </c>
      <c r="I4">
        <v>400</v>
      </c>
      <c r="J4">
        <v>633</v>
      </c>
      <c r="K4">
        <v>344</v>
      </c>
      <c r="L4">
        <v>1071</v>
      </c>
      <c r="M4">
        <v>324</v>
      </c>
      <c r="N4">
        <v>224</v>
      </c>
      <c r="O4">
        <v>236</v>
      </c>
      <c r="P4">
        <v>539</v>
      </c>
      <c r="Q4">
        <v>600</v>
      </c>
      <c r="R4">
        <v>3</v>
      </c>
    </row>
    <row r="5" spans="1:18">
      <c r="A5" s="1" t="s">
        <v>20</v>
      </c>
      <c r="B5">
        <v>31</v>
      </c>
      <c r="C5">
        <v>15</v>
      </c>
      <c r="D5">
        <v>16</v>
      </c>
      <c r="E5">
        <v>3.83</v>
      </c>
      <c r="F5">
        <v>2051</v>
      </c>
      <c r="G5">
        <v>707</v>
      </c>
      <c r="H5">
        <v>1663</v>
      </c>
      <c r="I5">
        <v>433</v>
      </c>
      <c r="J5">
        <v>711</v>
      </c>
      <c r="K5">
        <v>353</v>
      </c>
      <c r="L5">
        <v>1095</v>
      </c>
      <c r="M5">
        <v>348</v>
      </c>
      <c r="N5">
        <v>207</v>
      </c>
      <c r="O5">
        <v>107</v>
      </c>
      <c r="P5">
        <v>428</v>
      </c>
      <c r="Q5">
        <v>523</v>
      </c>
      <c r="R5">
        <v>4</v>
      </c>
    </row>
    <row r="6" spans="1:18">
      <c r="A6" s="1" t="s">
        <v>21</v>
      </c>
      <c r="B6">
        <v>30</v>
      </c>
      <c r="C6">
        <v>10</v>
      </c>
      <c r="D6">
        <v>20</v>
      </c>
      <c r="E6">
        <v>-11.54</v>
      </c>
      <c r="F6">
        <v>1826</v>
      </c>
      <c r="G6">
        <v>601</v>
      </c>
      <c r="H6">
        <v>1650</v>
      </c>
      <c r="I6">
        <v>447</v>
      </c>
      <c r="J6">
        <v>690</v>
      </c>
      <c r="K6">
        <v>393</v>
      </c>
      <c r="L6">
        <v>1031</v>
      </c>
      <c r="M6">
        <v>283</v>
      </c>
      <c r="N6">
        <v>183</v>
      </c>
      <c r="O6">
        <v>83</v>
      </c>
      <c r="P6">
        <v>421</v>
      </c>
      <c r="Q6">
        <v>607</v>
      </c>
      <c r="R6">
        <v>5</v>
      </c>
    </row>
    <row r="7" spans="1:18">
      <c r="A7" s="1" t="s">
        <v>22</v>
      </c>
      <c r="B7">
        <v>32</v>
      </c>
      <c r="C7">
        <v>20</v>
      </c>
      <c r="D7">
        <v>12</v>
      </c>
      <c r="E7">
        <v>6.24</v>
      </c>
      <c r="F7">
        <v>2369</v>
      </c>
      <c r="G7">
        <v>844</v>
      </c>
      <c r="H7">
        <v>1849</v>
      </c>
      <c r="I7">
        <v>472</v>
      </c>
      <c r="J7">
        <v>667</v>
      </c>
      <c r="K7">
        <v>437</v>
      </c>
      <c r="L7">
        <v>1242</v>
      </c>
      <c r="M7">
        <v>420</v>
      </c>
      <c r="N7">
        <v>181</v>
      </c>
      <c r="O7">
        <v>170</v>
      </c>
      <c r="P7">
        <v>441</v>
      </c>
      <c r="Q7">
        <v>460</v>
      </c>
      <c r="R7">
        <v>6</v>
      </c>
    </row>
    <row r="8" spans="1:18">
      <c r="A8" s="1" t="s">
        <v>23</v>
      </c>
      <c r="B8">
        <v>33</v>
      </c>
      <c r="C8">
        <v>23</v>
      </c>
      <c r="D8">
        <v>10</v>
      </c>
      <c r="E8">
        <v>-4.75</v>
      </c>
      <c r="F8">
        <v>2241</v>
      </c>
      <c r="G8">
        <v>798</v>
      </c>
      <c r="H8">
        <v>1762</v>
      </c>
      <c r="I8">
        <v>418</v>
      </c>
      <c r="J8">
        <v>579</v>
      </c>
      <c r="K8">
        <v>364</v>
      </c>
      <c r="L8">
        <v>1112</v>
      </c>
      <c r="M8">
        <v>436</v>
      </c>
      <c r="N8">
        <v>191</v>
      </c>
      <c r="O8">
        <v>82</v>
      </c>
      <c r="P8">
        <v>437</v>
      </c>
      <c r="Q8">
        <v>634</v>
      </c>
      <c r="R8">
        <v>7</v>
      </c>
    </row>
    <row r="9" spans="1:18">
      <c r="A9" s="1" t="s">
        <v>24</v>
      </c>
      <c r="B9">
        <v>30</v>
      </c>
      <c r="C9">
        <v>11</v>
      </c>
      <c r="D9">
        <v>19</v>
      </c>
      <c r="E9">
        <v>-13.23</v>
      </c>
      <c r="F9">
        <v>2012</v>
      </c>
      <c r="G9">
        <v>705</v>
      </c>
      <c r="H9">
        <v>1706</v>
      </c>
      <c r="I9">
        <v>456</v>
      </c>
      <c r="J9">
        <v>678</v>
      </c>
      <c r="K9">
        <v>380</v>
      </c>
      <c r="L9">
        <v>1077</v>
      </c>
      <c r="M9">
        <v>283</v>
      </c>
      <c r="N9">
        <v>196</v>
      </c>
      <c r="O9">
        <v>82</v>
      </c>
      <c r="P9">
        <v>561</v>
      </c>
      <c r="Q9">
        <v>719</v>
      </c>
      <c r="R9">
        <v>8</v>
      </c>
    </row>
    <row r="10" spans="1:18">
      <c r="A10" s="1" t="s">
        <v>25</v>
      </c>
      <c r="B10">
        <v>30</v>
      </c>
      <c r="C10">
        <v>16</v>
      </c>
      <c r="D10">
        <v>14</v>
      </c>
      <c r="E10">
        <v>-4.38</v>
      </c>
      <c r="F10">
        <v>1945</v>
      </c>
      <c r="G10">
        <v>678</v>
      </c>
      <c r="H10">
        <v>1584</v>
      </c>
      <c r="I10">
        <v>417</v>
      </c>
      <c r="J10">
        <v>572</v>
      </c>
      <c r="K10">
        <v>313</v>
      </c>
      <c r="L10">
        <v>1037</v>
      </c>
      <c r="M10">
        <v>404</v>
      </c>
      <c r="N10">
        <v>173</v>
      </c>
      <c r="O10">
        <v>71</v>
      </c>
      <c r="P10">
        <v>414</v>
      </c>
      <c r="Q10">
        <v>563</v>
      </c>
      <c r="R10">
        <v>9</v>
      </c>
    </row>
    <row r="11" spans="1:18">
      <c r="A11" s="1" t="s">
        <v>271</v>
      </c>
      <c r="B11">
        <v>33</v>
      </c>
      <c r="C11">
        <v>25</v>
      </c>
      <c r="D11">
        <v>8</v>
      </c>
      <c r="E11">
        <v>-1.19</v>
      </c>
      <c r="F11">
        <v>2508</v>
      </c>
      <c r="G11">
        <v>914</v>
      </c>
      <c r="H11">
        <v>1909</v>
      </c>
      <c r="I11">
        <v>428</v>
      </c>
      <c r="J11">
        <v>622</v>
      </c>
      <c r="K11">
        <v>386</v>
      </c>
      <c r="L11">
        <v>1146</v>
      </c>
      <c r="M11">
        <v>516</v>
      </c>
      <c r="N11">
        <v>285</v>
      </c>
      <c r="O11">
        <v>121</v>
      </c>
      <c r="P11">
        <v>487</v>
      </c>
      <c r="Q11">
        <v>594</v>
      </c>
      <c r="R11">
        <v>10</v>
      </c>
    </row>
    <row r="12" spans="1:18">
      <c r="A12" s="1" t="s">
        <v>26</v>
      </c>
      <c r="B12">
        <v>30</v>
      </c>
      <c r="C12">
        <v>8</v>
      </c>
      <c r="D12">
        <v>22</v>
      </c>
      <c r="E12">
        <v>7.95</v>
      </c>
      <c r="F12">
        <v>1755</v>
      </c>
      <c r="G12">
        <v>633</v>
      </c>
      <c r="H12">
        <v>1535</v>
      </c>
      <c r="I12">
        <v>293</v>
      </c>
      <c r="J12">
        <v>447</v>
      </c>
      <c r="K12">
        <v>355</v>
      </c>
      <c r="L12">
        <v>975</v>
      </c>
      <c r="M12">
        <v>392</v>
      </c>
      <c r="N12">
        <v>181</v>
      </c>
      <c r="O12">
        <v>60</v>
      </c>
      <c r="P12">
        <v>434</v>
      </c>
      <c r="Q12">
        <v>538</v>
      </c>
      <c r="R12">
        <v>11</v>
      </c>
    </row>
    <row r="13" spans="1:18">
      <c r="A13" s="1" t="s">
        <v>356</v>
      </c>
      <c r="B13">
        <v>31</v>
      </c>
      <c r="C13">
        <v>20</v>
      </c>
      <c r="D13">
        <v>11</v>
      </c>
      <c r="E13">
        <v>10.76</v>
      </c>
      <c r="F13">
        <v>2417</v>
      </c>
      <c r="G13">
        <v>846</v>
      </c>
      <c r="H13">
        <v>1770</v>
      </c>
      <c r="I13">
        <v>553</v>
      </c>
      <c r="J13">
        <v>737</v>
      </c>
      <c r="K13">
        <v>380</v>
      </c>
      <c r="L13">
        <v>1158</v>
      </c>
      <c r="M13">
        <v>511</v>
      </c>
      <c r="N13">
        <v>189</v>
      </c>
      <c r="O13">
        <v>103</v>
      </c>
      <c r="P13">
        <v>427</v>
      </c>
      <c r="Q13">
        <v>425</v>
      </c>
      <c r="R13">
        <v>12</v>
      </c>
    </row>
    <row r="14" spans="1:18">
      <c r="A14" s="1" t="s">
        <v>27</v>
      </c>
      <c r="B14">
        <v>30</v>
      </c>
      <c r="C14">
        <v>13</v>
      </c>
      <c r="D14">
        <v>17</v>
      </c>
      <c r="E14">
        <v>-5.56</v>
      </c>
      <c r="F14">
        <v>1979</v>
      </c>
      <c r="G14">
        <v>680</v>
      </c>
      <c r="H14">
        <v>1590</v>
      </c>
      <c r="I14">
        <v>454</v>
      </c>
      <c r="J14">
        <v>678</v>
      </c>
      <c r="K14">
        <v>409</v>
      </c>
      <c r="L14">
        <v>1068</v>
      </c>
      <c r="M14">
        <v>393</v>
      </c>
      <c r="N14">
        <v>157</v>
      </c>
      <c r="O14">
        <v>73</v>
      </c>
      <c r="P14">
        <v>449</v>
      </c>
      <c r="Q14">
        <v>549</v>
      </c>
      <c r="R14">
        <v>13</v>
      </c>
    </row>
    <row r="15" spans="1:18">
      <c r="A15" s="1" t="s">
        <v>28</v>
      </c>
      <c r="B15">
        <v>31</v>
      </c>
      <c r="C15">
        <v>12</v>
      </c>
      <c r="D15">
        <v>19</v>
      </c>
      <c r="E15">
        <v>-10.86</v>
      </c>
      <c r="F15">
        <v>1862</v>
      </c>
      <c r="G15">
        <v>690</v>
      </c>
      <c r="H15">
        <v>1750</v>
      </c>
      <c r="I15">
        <v>367</v>
      </c>
      <c r="J15">
        <v>587</v>
      </c>
      <c r="K15">
        <v>366</v>
      </c>
      <c r="L15">
        <v>1161</v>
      </c>
      <c r="M15">
        <v>300</v>
      </c>
      <c r="N15">
        <v>198</v>
      </c>
      <c r="O15">
        <v>131</v>
      </c>
      <c r="P15">
        <v>486</v>
      </c>
      <c r="Q15">
        <v>578</v>
      </c>
      <c r="R15">
        <v>14</v>
      </c>
    </row>
    <row r="16" spans="1:18">
      <c r="A16" s="1" t="s">
        <v>29</v>
      </c>
      <c r="B16">
        <v>33</v>
      </c>
      <c r="C16">
        <v>18</v>
      </c>
      <c r="D16">
        <v>15</v>
      </c>
      <c r="E16">
        <v>-5.63</v>
      </c>
      <c r="F16">
        <v>2392</v>
      </c>
      <c r="G16">
        <v>831</v>
      </c>
      <c r="H16">
        <v>1820</v>
      </c>
      <c r="I16">
        <v>489</v>
      </c>
      <c r="J16">
        <v>718</v>
      </c>
      <c r="K16">
        <v>353</v>
      </c>
      <c r="L16">
        <v>1176</v>
      </c>
      <c r="M16">
        <v>457</v>
      </c>
      <c r="N16">
        <v>196</v>
      </c>
      <c r="O16">
        <v>123</v>
      </c>
      <c r="P16">
        <v>508</v>
      </c>
      <c r="Q16">
        <v>653</v>
      </c>
      <c r="R16">
        <v>15</v>
      </c>
    </row>
    <row r="17" spans="1:18">
      <c r="A17" s="1" t="s">
        <v>302</v>
      </c>
      <c r="B17">
        <v>35</v>
      </c>
      <c r="C17">
        <v>21</v>
      </c>
      <c r="D17">
        <v>14</v>
      </c>
      <c r="E17">
        <v>8.75</v>
      </c>
      <c r="F17">
        <v>2487</v>
      </c>
      <c r="G17">
        <v>881</v>
      </c>
      <c r="H17">
        <v>1910</v>
      </c>
      <c r="I17">
        <v>513</v>
      </c>
      <c r="J17">
        <v>730</v>
      </c>
      <c r="K17">
        <v>392</v>
      </c>
      <c r="L17">
        <v>1233</v>
      </c>
      <c r="M17">
        <v>521</v>
      </c>
      <c r="N17">
        <v>240</v>
      </c>
      <c r="O17">
        <v>221</v>
      </c>
      <c r="P17">
        <v>532</v>
      </c>
      <c r="Q17">
        <v>612</v>
      </c>
      <c r="R17">
        <v>16</v>
      </c>
    </row>
    <row r="18" spans="1:18">
      <c r="A18" s="1" t="s">
        <v>30</v>
      </c>
      <c r="B18">
        <v>31</v>
      </c>
      <c r="C18">
        <v>15</v>
      </c>
      <c r="D18">
        <v>16</v>
      </c>
      <c r="E18">
        <v>-4.5199999999999996</v>
      </c>
      <c r="F18">
        <v>1896</v>
      </c>
      <c r="G18">
        <v>664</v>
      </c>
      <c r="H18">
        <v>1535</v>
      </c>
      <c r="I18">
        <v>381</v>
      </c>
      <c r="J18">
        <v>547</v>
      </c>
      <c r="K18">
        <v>280</v>
      </c>
      <c r="L18">
        <v>971</v>
      </c>
      <c r="M18">
        <v>412</v>
      </c>
      <c r="N18">
        <v>221</v>
      </c>
      <c r="O18">
        <v>88</v>
      </c>
      <c r="P18">
        <v>501</v>
      </c>
      <c r="Q18">
        <v>593</v>
      </c>
      <c r="R18">
        <v>17</v>
      </c>
    </row>
    <row r="19" spans="1:18">
      <c r="A19" s="1" t="s">
        <v>272</v>
      </c>
      <c r="B19">
        <v>32</v>
      </c>
      <c r="C19">
        <v>17</v>
      </c>
      <c r="D19">
        <v>15</v>
      </c>
      <c r="E19">
        <v>7.47</v>
      </c>
      <c r="F19">
        <v>2340</v>
      </c>
      <c r="G19">
        <v>851</v>
      </c>
      <c r="H19">
        <v>1876</v>
      </c>
      <c r="I19">
        <v>403</v>
      </c>
      <c r="J19">
        <v>639</v>
      </c>
      <c r="K19">
        <v>392</v>
      </c>
      <c r="L19">
        <v>1164</v>
      </c>
      <c r="M19">
        <v>532</v>
      </c>
      <c r="N19">
        <v>270</v>
      </c>
      <c r="O19">
        <v>130</v>
      </c>
      <c r="P19">
        <v>526</v>
      </c>
      <c r="Q19">
        <v>613</v>
      </c>
      <c r="R19">
        <v>18</v>
      </c>
    </row>
    <row r="20" spans="1:18">
      <c r="A20" s="1" t="s">
        <v>31</v>
      </c>
      <c r="B20">
        <v>33</v>
      </c>
      <c r="C20">
        <v>21</v>
      </c>
      <c r="D20">
        <v>12</v>
      </c>
      <c r="E20">
        <v>-5.09</v>
      </c>
      <c r="F20">
        <v>2310</v>
      </c>
      <c r="G20">
        <v>797</v>
      </c>
      <c r="H20">
        <v>1795</v>
      </c>
      <c r="I20">
        <v>509</v>
      </c>
      <c r="J20">
        <v>746</v>
      </c>
      <c r="K20">
        <v>390</v>
      </c>
      <c r="L20">
        <v>1097</v>
      </c>
      <c r="M20">
        <v>439</v>
      </c>
      <c r="N20">
        <v>255</v>
      </c>
      <c r="O20">
        <v>96</v>
      </c>
      <c r="P20">
        <v>435</v>
      </c>
      <c r="Q20">
        <v>580</v>
      </c>
      <c r="R20">
        <v>19</v>
      </c>
    </row>
    <row r="21" spans="1:18">
      <c r="A21" s="1" t="s">
        <v>273</v>
      </c>
      <c r="B21">
        <v>31</v>
      </c>
      <c r="C21">
        <v>9</v>
      </c>
      <c r="D21">
        <v>22</v>
      </c>
      <c r="E21">
        <v>1.03</v>
      </c>
      <c r="F21">
        <v>1848</v>
      </c>
      <c r="G21">
        <v>645</v>
      </c>
      <c r="H21">
        <v>1676</v>
      </c>
      <c r="I21">
        <v>433</v>
      </c>
      <c r="J21">
        <v>623</v>
      </c>
      <c r="K21">
        <v>391</v>
      </c>
      <c r="L21">
        <v>1012</v>
      </c>
      <c r="M21">
        <v>320</v>
      </c>
      <c r="N21">
        <v>242</v>
      </c>
      <c r="O21">
        <v>74</v>
      </c>
      <c r="P21">
        <v>419</v>
      </c>
      <c r="Q21">
        <v>644</v>
      </c>
      <c r="R21">
        <v>20</v>
      </c>
    </row>
    <row r="22" spans="1:18">
      <c r="A22" s="1" t="s">
        <v>32</v>
      </c>
      <c r="B22">
        <v>31</v>
      </c>
      <c r="C22">
        <v>15</v>
      </c>
      <c r="D22">
        <v>16</v>
      </c>
      <c r="E22">
        <v>3.88</v>
      </c>
      <c r="F22">
        <v>2333</v>
      </c>
      <c r="G22">
        <v>825</v>
      </c>
      <c r="H22">
        <v>1793</v>
      </c>
      <c r="I22">
        <v>431</v>
      </c>
      <c r="J22">
        <v>641</v>
      </c>
      <c r="K22">
        <v>396</v>
      </c>
      <c r="L22">
        <v>1123</v>
      </c>
      <c r="M22">
        <v>434</v>
      </c>
      <c r="N22">
        <v>184</v>
      </c>
      <c r="O22">
        <v>116</v>
      </c>
      <c r="P22">
        <v>451</v>
      </c>
      <c r="Q22">
        <v>625</v>
      </c>
      <c r="R22">
        <v>21</v>
      </c>
    </row>
    <row r="23" spans="1:18">
      <c r="A23" s="1" t="s">
        <v>33</v>
      </c>
      <c r="B23">
        <v>33</v>
      </c>
      <c r="C23">
        <v>23</v>
      </c>
      <c r="D23">
        <v>10</v>
      </c>
      <c r="E23">
        <v>-4.71</v>
      </c>
      <c r="F23">
        <v>2390</v>
      </c>
      <c r="G23">
        <v>848</v>
      </c>
      <c r="H23">
        <v>1836</v>
      </c>
      <c r="I23">
        <v>406</v>
      </c>
      <c r="J23">
        <v>587</v>
      </c>
      <c r="K23">
        <v>373</v>
      </c>
      <c r="L23">
        <v>1228</v>
      </c>
      <c r="M23">
        <v>513</v>
      </c>
      <c r="N23">
        <v>201</v>
      </c>
      <c r="O23">
        <v>105</v>
      </c>
      <c r="P23">
        <v>528</v>
      </c>
      <c r="Q23">
        <v>605</v>
      </c>
      <c r="R23">
        <v>22</v>
      </c>
    </row>
    <row r="24" spans="1:18">
      <c r="A24" s="1" t="s">
        <v>34</v>
      </c>
      <c r="B24">
        <v>30</v>
      </c>
      <c r="C24">
        <v>9</v>
      </c>
      <c r="D24">
        <v>21</v>
      </c>
      <c r="E24">
        <v>-9.5299999999999994</v>
      </c>
      <c r="F24">
        <v>1631</v>
      </c>
      <c r="G24">
        <v>578</v>
      </c>
      <c r="H24">
        <v>1485</v>
      </c>
      <c r="I24">
        <v>339</v>
      </c>
      <c r="J24">
        <v>553</v>
      </c>
      <c r="K24">
        <v>321</v>
      </c>
      <c r="L24">
        <v>950</v>
      </c>
      <c r="M24">
        <v>321</v>
      </c>
      <c r="N24">
        <v>198</v>
      </c>
      <c r="O24">
        <v>92</v>
      </c>
      <c r="P24">
        <v>485</v>
      </c>
      <c r="Q24">
        <v>574</v>
      </c>
      <c r="R24">
        <v>23</v>
      </c>
    </row>
    <row r="25" spans="1:18">
      <c r="A25" s="1" t="s">
        <v>303</v>
      </c>
      <c r="B25">
        <v>29</v>
      </c>
      <c r="C25">
        <v>13</v>
      </c>
      <c r="D25">
        <v>16</v>
      </c>
      <c r="E25">
        <v>-6.96</v>
      </c>
      <c r="F25">
        <v>1905</v>
      </c>
      <c r="G25">
        <v>673</v>
      </c>
      <c r="H25">
        <v>1592</v>
      </c>
      <c r="I25">
        <v>345</v>
      </c>
      <c r="J25">
        <v>505</v>
      </c>
      <c r="K25">
        <v>309</v>
      </c>
      <c r="L25">
        <v>966</v>
      </c>
      <c r="M25">
        <v>302</v>
      </c>
      <c r="N25">
        <v>216</v>
      </c>
      <c r="O25">
        <v>59</v>
      </c>
      <c r="P25">
        <v>416</v>
      </c>
      <c r="Q25">
        <v>586</v>
      </c>
      <c r="R25">
        <v>24</v>
      </c>
    </row>
    <row r="26" spans="1:18">
      <c r="A26" s="1" t="s">
        <v>35</v>
      </c>
      <c r="B26">
        <v>31</v>
      </c>
      <c r="C26">
        <v>17</v>
      </c>
      <c r="D26">
        <v>14</v>
      </c>
      <c r="E26">
        <v>0</v>
      </c>
      <c r="F26">
        <v>2360</v>
      </c>
      <c r="G26">
        <v>837</v>
      </c>
      <c r="H26">
        <v>1828</v>
      </c>
      <c r="I26">
        <v>466</v>
      </c>
      <c r="J26">
        <v>705</v>
      </c>
      <c r="K26">
        <v>359</v>
      </c>
      <c r="L26">
        <v>1190</v>
      </c>
      <c r="M26">
        <v>457</v>
      </c>
      <c r="N26">
        <v>208</v>
      </c>
      <c r="O26">
        <v>108</v>
      </c>
      <c r="P26">
        <v>475</v>
      </c>
      <c r="Q26">
        <v>538</v>
      </c>
      <c r="R26">
        <v>25</v>
      </c>
    </row>
    <row r="27" spans="1:18">
      <c r="A27" s="1" t="s">
        <v>36</v>
      </c>
      <c r="B27">
        <v>33</v>
      </c>
      <c r="C27">
        <v>21</v>
      </c>
      <c r="D27">
        <v>12</v>
      </c>
      <c r="E27">
        <v>9.2100000000000009</v>
      </c>
      <c r="F27">
        <v>2453</v>
      </c>
      <c r="G27">
        <v>842</v>
      </c>
      <c r="H27">
        <v>1763</v>
      </c>
      <c r="I27">
        <v>573</v>
      </c>
      <c r="J27">
        <v>791</v>
      </c>
      <c r="K27">
        <v>394</v>
      </c>
      <c r="L27">
        <v>1142</v>
      </c>
      <c r="M27">
        <v>483</v>
      </c>
      <c r="N27">
        <v>188</v>
      </c>
      <c r="O27">
        <v>191</v>
      </c>
      <c r="P27">
        <v>455</v>
      </c>
      <c r="Q27">
        <v>505</v>
      </c>
      <c r="R27">
        <v>26</v>
      </c>
    </row>
    <row r="28" spans="1:18">
      <c r="A28" s="1" t="s">
        <v>37</v>
      </c>
      <c r="B28">
        <v>30</v>
      </c>
      <c r="C28">
        <v>12</v>
      </c>
      <c r="D28">
        <v>18</v>
      </c>
      <c r="E28">
        <v>-4.6500000000000004</v>
      </c>
      <c r="F28">
        <v>1802</v>
      </c>
      <c r="G28">
        <v>622</v>
      </c>
      <c r="H28">
        <v>1480</v>
      </c>
      <c r="I28">
        <v>350</v>
      </c>
      <c r="J28">
        <v>517</v>
      </c>
      <c r="K28">
        <v>320</v>
      </c>
      <c r="L28">
        <v>959</v>
      </c>
      <c r="M28">
        <v>343</v>
      </c>
      <c r="N28">
        <v>162</v>
      </c>
      <c r="O28">
        <v>103</v>
      </c>
      <c r="P28">
        <v>425</v>
      </c>
      <c r="Q28">
        <v>573</v>
      </c>
      <c r="R28">
        <v>27</v>
      </c>
    </row>
    <row r="29" spans="1:18">
      <c r="A29" s="1" t="s">
        <v>38</v>
      </c>
      <c r="B29">
        <v>31</v>
      </c>
      <c r="C29">
        <v>13</v>
      </c>
      <c r="D29">
        <v>18</v>
      </c>
      <c r="E29">
        <v>-1.08</v>
      </c>
      <c r="F29">
        <v>2062</v>
      </c>
      <c r="G29">
        <v>730</v>
      </c>
      <c r="H29">
        <v>1661</v>
      </c>
      <c r="I29">
        <v>393</v>
      </c>
      <c r="J29">
        <v>581</v>
      </c>
      <c r="K29">
        <v>270</v>
      </c>
      <c r="L29">
        <v>999</v>
      </c>
      <c r="M29">
        <v>453</v>
      </c>
      <c r="N29">
        <v>230</v>
      </c>
      <c r="O29">
        <v>114</v>
      </c>
      <c r="P29">
        <v>440</v>
      </c>
      <c r="Q29">
        <v>717</v>
      </c>
      <c r="R29">
        <v>28</v>
      </c>
    </row>
    <row r="30" spans="1:18">
      <c r="A30" s="1" t="s">
        <v>39</v>
      </c>
      <c r="B30">
        <v>35</v>
      </c>
      <c r="C30">
        <v>22</v>
      </c>
      <c r="D30">
        <v>13</v>
      </c>
      <c r="E30">
        <v>7.22</v>
      </c>
      <c r="F30">
        <v>2616</v>
      </c>
      <c r="G30">
        <v>924</v>
      </c>
      <c r="H30">
        <v>2011</v>
      </c>
      <c r="I30">
        <v>419</v>
      </c>
      <c r="J30">
        <v>618</v>
      </c>
      <c r="K30">
        <v>312</v>
      </c>
      <c r="L30">
        <v>1046</v>
      </c>
      <c r="M30">
        <v>544</v>
      </c>
      <c r="N30">
        <v>291</v>
      </c>
      <c r="O30">
        <v>82</v>
      </c>
      <c r="P30">
        <v>399</v>
      </c>
      <c r="Q30">
        <v>647</v>
      </c>
      <c r="R30">
        <v>29</v>
      </c>
    </row>
    <row r="31" spans="1:18">
      <c r="A31" s="1" t="s">
        <v>40</v>
      </c>
      <c r="B31">
        <v>34</v>
      </c>
      <c r="C31">
        <v>25</v>
      </c>
      <c r="D31">
        <v>9</v>
      </c>
      <c r="E31">
        <v>3.95</v>
      </c>
      <c r="F31">
        <v>2654</v>
      </c>
      <c r="G31">
        <v>972</v>
      </c>
      <c r="H31">
        <v>1981</v>
      </c>
      <c r="I31">
        <v>454</v>
      </c>
      <c r="J31">
        <v>688</v>
      </c>
      <c r="K31">
        <v>414</v>
      </c>
      <c r="L31">
        <v>1273</v>
      </c>
      <c r="M31">
        <v>542</v>
      </c>
      <c r="N31">
        <v>205</v>
      </c>
      <c r="O31">
        <v>118</v>
      </c>
      <c r="P31">
        <v>456</v>
      </c>
      <c r="Q31">
        <v>662</v>
      </c>
      <c r="R31">
        <v>30</v>
      </c>
    </row>
    <row r="32" spans="1:18">
      <c r="A32" s="1" t="s">
        <v>41</v>
      </c>
      <c r="B32">
        <v>29</v>
      </c>
      <c r="C32">
        <v>11</v>
      </c>
      <c r="D32">
        <v>18</v>
      </c>
      <c r="E32">
        <v>-4.21</v>
      </c>
      <c r="F32">
        <v>1759</v>
      </c>
      <c r="G32">
        <v>539</v>
      </c>
      <c r="H32">
        <v>1250</v>
      </c>
      <c r="I32">
        <v>477</v>
      </c>
      <c r="J32">
        <v>643</v>
      </c>
      <c r="K32">
        <v>180</v>
      </c>
      <c r="L32">
        <v>759</v>
      </c>
      <c r="M32">
        <v>357</v>
      </c>
      <c r="N32">
        <v>209</v>
      </c>
      <c r="O32">
        <v>75</v>
      </c>
      <c r="P32">
        <v>447</v>
      </c>
      <c r="Q32">
        <v>534</v>
      </c>
      <c r="R32">
        <v>31</v>
      </c>
    </row>
    <row r="33" spans="1:18">
      <c r="A33" s="1" t="s">
        <v>42</v>
      </c>
      <c r="B33">
        <v>31</v>
      </c>
      <c r="C33">
        <v>22</v>
      </c>
      <c r="D33">
        <v>9</v>
      </c>
      <c r="E33">
        <v>-3.03</v>
      </c>
      <c r="F33">
        <v>1965</v>
      </c>
      <c r="G33">
        <v>662</v>
      </c>
      <c r="H33">
        <v>1415</v>
      </c>
      <c r="I33">
        <v>453</v>
      </c>
      <c r="J33">
        <v>627</v>
      </c>
      <c r="K33">
        <v>264</v>
      </c>
      <c r="L33">
        <v>953</v>
      </c>
      <c r="M33">
        <v>427</v>
      </c>
      <c r="N33">
        <v>196</v>
      </c>
      <c r="O33">
        <v>47</v>
      </c>
      <c r="P33">
        <v>456</v>
      </c>
      <c r="Q33">
        <v>532</v>
      </c>
      <c r="R33">
        <v>32</v>
      </c>
    </row>
    <row r="34" spans="1:18">
      <c r="A34" s="1" t="s">
        <v>43</v>
      </c>
      <c r="B34">
        <v>31</v>
      </c>
      <c r="C34">
        <v>12</v>
      </c>
      <c r="D34">
        <v>19</v>
      </c>
      <c r="E34">
        <v>-0.15</v>
      </c>
      <c r="F34">
        <v>2109</v>
      </c>
      <c r="G34">
        <v>712</v>
      </c>
      <c r="H34">
        <v>1734</v>
      </c>
      <c r="I34">
        <v>520</v>
      </c>
      <c r="J34">
        <v>752</v>
      </c>
      <c r="K34">
        <v>456</v>
      </c>
      <c r="L34">
        <v>1186</v>
      </c>
      <c r="M34">
        <v>427</v>
      </c>
      <c r="N34">
        <v>237</v>
      </c>
      <c r="O34">
        <v>79</v>
      </c>
      <c r="P34">
        <v>592</v>
      </c>
      <c r="Q34">
        <v>661</v>
      </c>
      <c r="R34">
        <v>33</v>
      </c>
    </row>
    <row r="35" spans="1:18">
      <c r="A35" s="1" t="s">
        <v>304</v>
      </c>
      <c r="B35">
        <v>36</v>
      </c>
      <c r="C35">
        <v>29</v>
      </c>
      <c r="D35">
        <v>7</v>
      </c>
      <c r="E35">
        <v>3.94</v>
      </c>
      <c r="F35">
        <v>2434</v>
      </c>
      <c r="G35">
        <v>780</v>
      </c>
      <c r="H35">
        <v>1792</v>
      </c>
      <c r="I35">
        <v>553</v>
      </c>
      <c r="J35">
        <v>728</v>
      </c>
      <c r="K35">
        <v>326</v>
      </c>
      <c r="L35">
        <v>1068</v>
      </c>
      <c r="M35">
        <v>437</v>
      </c>
      <c r="N35">
        <v>195</v>
      </c>
      <c r="O35">
        <v>64</v>
      </c>
      <c r="P35">
        <v>341</v>
      </c>
      <c r="Q35">
        <v>688</v>
      </c>
      <c r="R35">
        <v>34</v>
      </c>
    </row>
    <row r="36" spans="1:18">
      <c r="A36" s="1" t="s">
        <v>44</v>
      </c>
      <c r="B36">
        <v>30</v>
      </c>
      <c r="C36">
        <v>19</v>
      </c>
      <c r="D36">
        <v>11</v>
      </c>
      <c r="E36">
        <v>-3.83</v>
      </c>
      <c r="F36">
        <v>2265</v>
      </c>
      <c r="G36">
        <v>806</v>
      </c>
      <c r="H36">
        <v>1733</v>
      </c>
      <c r="I36">
        <v>373</v>
      </c>
      <c r="J36">
        <v>583</v>
      </c>
      <c r="K36">
        <v>318</v>
      </c>
      <c r="L36">
        <v>1056</v>
      </c>
      <c r="M36">
        <v>430</v>
      </c>
      <c r="N36">
        <v>201</v>
      </c>
      <c r="O36">
        <v>99</v>
      </c>
      <c r="P36">
        <v>388</v>
      </c>
      <c r="Q36">
        <v>517</v>
      </c>
      <c r="R36">
        <v>35</v>
      </c>
    </row>
    <row r="37" spans="1:18">
      <c r="A37" s="1" t="s">
        <v>343</v>
      </c>
      <c r="B37">
        <v>29</v>
      </c>
      <c r="C37">
        <v>15</v>
      </c>
      <c r="D37">
        <v>14</v>
      </c>
      <c r="F37">
        <v>1977</v>
      </c>
      <c r="G37">
        <v>711</v>
      </c>
      <c r="H37">
        <v>1608</v>
      </c>
      <c r="I37">
        <v>396</v>
      </c>
      <c r="J37">
        <v>592</v>
      </c>
      <c r="K37">
        <v>95</v>
      </c>
      <c r="L37">
        <v>1026</v>
      </c>
      <c r="M37">
        <v>346</v>
      </c>
      <c r="N37">
        <v>203</v>
      </c>
      <c r="O37">
        <v>90</v>
      </c>
      <c r="P37">
        <v>111</v>
      </c>
      <c r="Q37">
        <v>544</v>
      </c>
      <c r="R37">
        <v>36</v>
      </c>
    </row>
    <row r="38" spans="1:18">
      <c r="A38" s="1" t="s">
        <v>45</v>
      </c>
      <c r="B38">
        <v>30</v>
      </c>
      <c r="C38">
        <v>20</v>
      </c>
      <c r="D38">
        <v>10</v>
      </c>
      <c r="E38">
        <v>-5.3</v>
      </c>
      <c r="F38">
        <v>2462</v>
      </c>
      <c r="G38">
        <v>905</v>
      </c>
      <c r="H38">
        <v>1973</v>
      </c>
      <c r="I38">
        <v>405</v>
      </c>
      <c r="J38">
        <v>629</v>
      </c>
      <c r="K38">
        <v>427</v>
      </c>
      <c r="L38">
        <v>1180</v>
      </c>
      <c r="M38">
        <v>519</v>
      </c>
      <c r="N38">
        <v>204</v>
      </c>
      <c r="O38">
        <v>65</v>
      </c>
      <c r="P38">
        <v>463</v>
      </c>
      <c r="Q38">
        <v>584</v>
      </c>
      <c r="R38">
        <v>37</v>
      </c>
    </row>
    <row r="39" spans="1:18">
      <c r="A39" s="1" t="s">
        <v>46</v>
      </c>
      <c r="B39">
        <v>31</v>
      </c>
      <c r="C39">
        <v>14</v>
      </c>
      <c r="D39">
        <v>17</v>
      </c>
      <c r="E39">
        <v>-1.88</v>
      </c>
      <c r="F39">
        <v>2340</v>
      </c>
      <c r="G39">
        <v>831</v>
      </c>
      <c r="H39">
        <v>1852</v>
      </c>
      <c r="I39">
        <v>510</v>
      </c>
      <c r="J39">
        <v>716</v>
      </c>
      <c r="K39">
        <v>445</v>
      </c>
      <c r="L39">
        <v>1204</v>
      </c>
      <c r="M39">
        <v>453</v>
      </c>
      <c r="N39">
        <v>278</v>
      </c>
      <c r="O39">
        <v>77</v>
      </c>
      <c r="P39">
        <v>592</v>
      </c>
      <c r="Q39">
        <v>771</v>
      </c>
      <c r="R39">
        <v>38</v>
      </c>
    </row>
    <row r="40" spans="1:18">
      <c r="A40" s="1" t="s">
        <v>330</v>
      </c>
      <c r="B40">
        <v>28</v>
      </c>
      <c r="C40">
        <v>5</v>
      </c>
      <c r="D40">
        <v>23</v>
      </c>
      <c r="F40">
        <v>1867</v>
      </c>
      <c r="G40">
        <v>634</v>
      </c>
      <c r="H40">
        <v>1535</v>
      </c>
      <c r="I40">
        <v>422</v>
      </c>
      <c r="J40">
        <v>584</v>
      </c>
      <c r="K40">
        <v>273</v>
      </c>
      <c r="L40">
        <v>878</v>
      </c>
      <c r="M40">
        <v>340</v>
      </c>
      <c r="N40">
        <v>176</v>
      </c>
      <c r="O40">
        <v>83</v>
      </c>
      <c r="P40">
        <v>502</v>
      </c>
      <c r="Q40">
        <v>618</v>
      </c>
      <c r="R40">
        <v>39</v>
      </c>
    </row>
    <row r="41" spans="1:18">
      <c r="A41" s="1" t="s">
        <v>47</v>
      </c>
      <c r="B41">
        <v>33</v>
      </c>
      <c r="C41">
        <v>15</v>
      </c>
      <c r="D41">
        <v>18</v>
      </c>
      <c r="E41">
        <v>-1.43</v>
      </c>
      <c r="F41">
        <v>2186</v>
      </c>
      <c r="G41">
        <v>756</v>
      </c>
      <c r="H41">
        <v>1673</v>
      </c>
      <c r="I41">
        <v>472</v>
      </c>
      <c r="J41">
        <v>652</v>
      </c>
      <c r="K41">
        <v>295</v>
      </c>
      <c r="L41">
        <v>1168</v>
      </c>
      <c r="M41">
        <v>430</v>
      </c>
      <c r="N41">
        <v>144</v>
      </c>
      <c r="O41">
        <v>135</v>
      </c>
      <c r="P41">
        <v>538</v>
      </c>
      <c r="Q41">
        <v>603</v>
      </c>
      <c r="R41">
        <v>40</v>
      </c>
    </row>
    <row r="42" spans="1:18">
      <c r="A42" s="1" t="s">
        <v>305</v>
      </c>
      <c r="B42">
        <v>31</v>
      </c>
      <c r="C42">
        <v>7</v>
      </c>
      <c r="D42">
        <v>24</v>
      </c>
      <c r="E42">
        <v>-3.08</v>
      </c>
      <c r="F42">
        <v>1991</v>
      </c>
      <c r="G42">
        <v>730</v>
      </c>
      <c r="H42">
        <v>1832</v>
      </c>
      <c r="I42">
        <v>312</v>
      </c>
      <c r="J42">
        <v>454</v>
      </c>
      <c r="K42">
        <v>338</v>
      </c>
      <c r="L42">
        <v>998</v>
      </c>
      <c r="M42">
        <v>365</v>
      </c>
      <c r="N42">
        <v>240</v>
      </c>
      <c r="O42">
        <v>46</v>
      </c>
      <c r="P42">
        <v>424</v>
      </c>
      <c r="Q42">
        <v>563</v>
      </c>
      <c r="R42">
        <v>41</v>
      </c>
    </row>
    <row r="43" spans="1:18">
      <c r="A43" s="1" t="s">
        <v>48</v>
      </c>
      <c r="B43">
        <v>29</v>
      </c>
      <c r="C43">
        <v>18</v>
      </c>
      <c r="D43">
        <v>11</v>
      </c>
      <c r="E43">
        <v>-3.47</v>
      </c>
      <c r="F43">
        <v>2065</v>
      </c>
      <c r="G43">
        <v>728</v>
      </c>
      <c r="H43">
        <v>1550</v>
      </c>
      <c r="I43">
        <v>425</v>
      </c>
      <c r="J43">
        <v>586</v>
      </c>
      <c r="K43">
        <v>283</v>
      </c>
      <c r="L43">
        <v>1005</v>
      </c>
      <c r="M43">
        <v>402</v>
      </c>
      <c r="N43">
        <v>180</v>
      </c>
      <c r="O43">
        <v>88</v>
      </c>
      <c r="P43">
        <v>402</v>
      </c>
      <c r="Q43">
        <v>472</v>
      </c>
      <c r="R43">
        <v>42</v>
      </c>
    </row>
    <row r="44" spans="1:18">
      <c r="A44" s="1" t="s">
        <v>49</v>
      </c>
      <c r="B44">
        <v>33</v>
      </c>
      <c r="C44">
        <v>16</v>
      </c>
      <c r="D44">
        <v>17</v>
      </c>
      <c r="E44">
        <v>8.67</v>
      </c>
      <c r="F44">
        <v>2293</v>
      </c>
      <c r="G44">
        <v>822</v>
      </c>
      <c r="H44">
        <v>1850</v>
      </c>
      <c r="I44">
        <v>400</v>
      </c>
      <c r="J44">
        <v>520</v>
      </c>
      <c r="K44">
        <v>308</v>
      </c>
      <c r="L44">
        <v>1018</v>
      </c>
      <c r="M44">
        <v>447</v>
      </c>
      <c r="N44">
        <v>151</v>
      </c>
      <c r="O44">
        <v>63</v>
      </c>
      <c r="P44">
        <v>385</v>
      </c>
      <c r="Q44">
        <v>559</v>
      </c>
      <c r="R44">
        <v>43</v>
      </c>
    </row>
    <row r="45" spans="1:18">
      <c r="A45" s="1" t="s">
        <v>50</v>
      </c>
      <c r="B45">
        <v>31</v>
      </c>
      <c r="C45">
        <v>14</v>
      </c>
      <c r="D45">
        <v>17</v>
      </c>
      <c r="E45">
        <v>-5.42</v>
      </c>
      <c r="F45">
        <v>2433</v>
      </c>
      <c r="G45">
        <v>810</v>
      </c>
      <c r="H45">
        <v>1806</v>
      </c>
      <c r="I45">
        <v>577</v>
      </c>
      <c r="J45">
        <v>799</v>
      </c>
      <c r="K45">
        <v>344</v>
      </c>
      <c r="L45">
        <v>1109</v>
      </c>
      <c r="M45">
        <v>509</v>
      </c>
      <c r="N45">
        <v>300</v>
      </c>
      <c r="O45">
        <v>93</v>
      </c>
      <c r="P45">
        <v>553</v>
      </c>
      <c r="Q45">
        <v>601</v>
      </c>
      <c r="R45">
        <v>44</v>
      </c>
    </row>
    <row r="46" spans="1:18">
      <c r="A46" s="1" t="s">
        <v>51</v>
      </c>
      <c r="B46">
        <v>31</v>
      </c>
      <c r="C46">
        <v>12</v>
      </c>
      <c r="D46">
        <v>19</v>
      </c>
      <c r="E46">
        <v>-5.16</v>
      </c>
      <c r="F46">
        <v>2154</v>
      </c>
      <c r="G46">
        <v>776</v>
      </c>
      <c r="H46">
        <v>1839</v>
      </c>
      <c r="I46">
        <v>388</v>
      </c>
      <c r="J46">
        <v>596</v>
      </c>
      <c r="K46">
        <v>456</v>
      </c>
      <c r="L46">
        <v>1149</v>
      </c>
      <c r="M46">
        <v>408</v>
      </c>
      <c r="N46">
        <v>217</v>
      </c>
      <c r="O46">
        <v>76</v>
      </c>
      <c r="P46">
        <v>511</v>
      </c>
      <c r="Q46">
        <v>634</v>
      </c>
      <c r="R46">
        <v>45</v>
      </c>
    </row>
    <row r="47" spans="1:18">
      <c r="A47" s="1" t="s">
        <v>52</v>
      </c>
      <c r="B47">
        <v>31</v>
      </c>
      <c r="C47">
        <v>10</v>
      </c>
      <c r="D47">
        <v>21</v>
      </c>
      <c r="E47">
        <v>-2.62</v>
      </c>
      <c r="F47">
        <v>2125</v>
      </c>
      <c r="G47">
        <v>754</v>
      </c>
      <c r="H47">
        <v>1715</v>
      </c>
      <c r="I47">
        <v>442</v>
      </c>
      <c r="J47">
        <v>617</v>
      </c>
      <c r="L47">
        <v>933</v>
      </c>
      <c r="M47">
        <v>414</v>
      </c>
      <c r="N47">
        <v>247</v>
      </c>
      <c r="O47">
        <v>62</v>
      </c>
      <c r="P47">
        <v>476</v>
      </c>
      <c r="Q47">
        <v>668</v>
      </c>
      <c r="R47">
        <v>46</v>
      </c>
    </row>
    <row r="48" spans="1:18">
      <c r="A48" s="1" t="s">
        <v>344</v>
      </c>
      <c r="B48">
        <v>30</v>
      </c>
      <c r="C48">
        <v>10</v>
      </c>
      <c r="D48">
        <v>20</v>
      </c>
      <c r="F48">
        <v>1958</v>
      </c>
      <c r="G48">
        <v>691</v>
      </c>
      <c r="H48">
        <v>1672</v>
      </c>
      <c r="I48">
        <v>411</v>
      </c>
      <c r="J48">
        <v>564</v>
      </c>
      <c r="K48">
        <v>371</v>
      </c>
      <c r="L48">
        <v>1105</v>
      </c>
      <c r="M48">
        <v>340</v>
      </c>
      <c r="N48">
        <v>154</v>
      </c>
      <c r="O48">
        <v>166</v>
      </c>
      <c r="P48">
        <v>439</v>
      </c>
      <c r="Q48">
        <v>599</v>
      </c>
      <c r="R48">
        <v>47</v>
      </c>
    </row>
    <row r="49" spans="1:18">
      <c r="A49" s="1" t="s">
        <v>274</v>
      </c>
      <c r="B49">
        <v>34</v>
      </c>
      <c r="C49">
        <v>22</v>
      </c>
      <c r="D49">
        <v>12</v>
      </c>
      <c r="E49">
        <v>-6.48</v>
      </c>
      <c r="F49">
        <v>2344</v>
      </c>
      <c r="G49">
        <v>790</v>
      </c>
      <c r="H49">
        <v>1822</v>
      </c>
      <c r="I49">
        <v>502</v>
      </c>
      <c r="J49">
        <v>688</v>
      </c>
      <c r="K49">
        <v>401</v>
      </c>
      <c r="L49">
        <v>1180</v>
      </c>
      <c r="M49">
        <v>424</v>
      </c>
      <c r="N49">
        <v>204</v>
      </c>
      <c r="O49">
        <v>115</v>
      </c>
      <c r="P49">
        <v>481</v>
      </c>
      <c r="Q49">
        <v>544</v>
      </c>
      <c r="R49">
        <v>48</v>
      </c>
    </row>
    <row r="50" spans="1:18">
      <c r="A50" s="1" t="s">
        <v>53</v>
      </c>
      <c r="B50">
        <v>31</v>
      </c>
      <c r="C50">
        <v>22</v>
      </c>
      <c r="D50">
        <v>9</v>
      </c>
      <c r="E50">
        <v>-1.48</v>
      </c>
      <c r="F50">
        <v>2258</v>
      </c>
      <c r="G50">
        <v>762</v>
      </c>
      <c r="H50">
        <v>1621</v>
      </c>
      <c r="I50">
        <v>495</v>
      </c>
      <c r="J50">
        <v>684</v>
      </c>
      <c r="K50">
        <v>348</v>
      </c>
      <c r="L50">
        <v>1078</v>
      </c>
      <c r="M50">
        <v>467</v>
      </c>
      <c r="N50">
        <v>237</v>
      </c>
      <c r="O50">
        <v>108</v>
      </c>
      <c r="P50">
        <v>483</v>
      </c>
      <c r="Q50">
        <v>607</v>
      </c>
      <c r="R50">
        <v>49</v>
      </c>
    </row>
    <row r="51" spans="1:18">
      <c r="A51" s="1" t="s">
        <v>54</v>
      </c>
      <c r="B51">
        <v>31</v>
      </c>
      <c r="C51">
        <v>13</v>
      </c>
      <c r="D51">
        <v>18</v>
      </c>
      <c r="E51">
        <v>-0.6</v>
      </c>
      <c r="F51">
        <v>2035</v>
      </c>
      <c r="G51">
        <v>653</v>
      </c>
      <c r="H51">
        <v>1559</v>
      </c>
      <c r="I51">
        <v>520</v>
      </c>
      <c r="J51">
        <v>717</v>
      </c>
      <c r="K51">
        <v>341</v>
      </c>
      <c r="L51">
        <v>978</v>
      </c>
      <c r="M51">
        <v>305</v>
      </c>
      <c r="N51">
        <v>233</v>
      </c>
      <c r="O51">
        <v>79</v>
      </c>
      <c r="P51">
        <v>543</v>
      </c>
      <c r="Q51">
        <v>741</v>
      </c>
      <c r="R51">
        <v>50</v>
      </c>
    </row>
    <row r="52" spans="1:18">
      <c r="A52" s="1" t="s">
        <v>55</v>
      </c>
      <c r="B52">
        <v>30</v>
      </c>
      <c r="C52">
        <v>8</v>
      </c>
      <c r="D52">
        <v>22</v>
      </c>
      <c r="E52">
        <v>-3.04</v>
      </c>
      <c r="F52">
        <v>2043</v>
      </c>
      <c r="G52">
        <v>756</v>
      </c>
      <c r="H52">
        <v>1722</v>
      </c>
      <c r="I52">
        <v>325</v>
      </c>
      <c r="J52">
        <v>509</v>
      </c>
      <c r="K52">
        <v>354</v>
      </c>
      <c r="L52">
        <v>1069</v>
      </c>
      <c r="M52">
        <v>423</v>
      </c>
      <c r="N52">
        <v>209</v>
      </c>
      <c r="O52">
        <v>56</v>
      </c>
      <c r="P52">
        <v>470</v>
      </c>
      <c r="Q52">
        <v>514</v>
      </c>
      <c r="R52">
        <v>51</v>
      </c>
    </row>
    <row r="53" spans="1:18">
      <c r="A53" s="1" t="s">
        <v>56</v>
      </c>
      <c r="B53">
        <v>30</v>
      </c>
      <c r="C53">
        <v>14</v>
      </c>
      <c r="D53">
        <v>16</v>
      </c>
      <c r="E53">
        <v>1.38</v>
      </c>
      <c r="F53">
        <v>2101</v>
      </c>
      <c r="G53">
        <v>700</v>
      </c>
      <c r="H53">
        <v>1736</v>
      </c>
      <c r="I53">
        <v>440</v>
      </c>
      <c r="J53">
        <v>628</v>
      </c>
      <c r="K53">
        <v>396</v>
      </c>
      <c r="L53">
        <v>1074</v>
      </c>
      <c r="M53">
        <v>368</v>
      </c>
      <c r="N53">
        <v>164</v>
      </c>
      <c r="O53">
        <v>63</v>
      </c>
      <c r="P53">
        <v>382</v>
      </c>
      <c r="Q53">
        <v>588</v>
      </c>
      <c r="R53">
        <v>52</v>
      </c>
    </row>
    <row r="54" spans="1:18">
      <c r="A54" s="1" t="s">
        <v>57</v>
      </c>
      <c r="B54">
        <v>33</v>
      </c>
      <c r="C54">
        <v>15</v>
      </c>
      <c r="D54">
        <v>18</v>
      </c>
      <c r="E54">
        <v>-2.1800000000000002</v>
      </c>
      <c r="F54">
        <v>2261</v>
      </c>
      <c r="G54">
        <v>775</v>
      </c>
      <c r="H54">
        <v>1804</v>
      </c>
      <c r="I54">
        <v>464</v>
      </c>
      <c r="J54">
        <v>733</v>
      </c>
      <c r="K54">
        <v>401</v>
      </c>
      <c r="L54">
        <v>1216</v>
      </c>
      <c r="M54">
        <v>438</v>
      </c>
      <c r="N54">
        <v>179</v>
      </c>
      <c r="O54">
        <v>59</v>
      </c>
      <c r="P54">
        <v>531</v>
      </c>
      <c r="Q54">
        <v>580</v>
      </c>
      <c r="R54">
        <v>53</v>
      </c>
    </row>
    <row r="55" spans="1:18">
      <c r="A55" s="1" t="s">
        <v>58</v>
      </c>
      <c r="B55">
        <v>29</v>
      </c>
      <c r="C55">
        <v>9</v>
      </c>
      <c r="D55">
        <v>20</v>
      </c>
      <c r="E55">
        <v>1.3</v>
      </c>
      <c r="F55">
        <v>2110</v>
      </c>
      <c r="G55">
        <v>764</v>
      </c>
      <c r="H55">
        <v>1724</v>
      </c>
      <c r="I55">
        <v>391</v>
      </c>
      <c r="J55">
        <v>549</v>
      </c>
      <c r="K55">
        <v>364</v>
      </c>
      <c r="L55">
        <v>940</v>
      </c>
      <c r="M55">
        <v>384</v>
      </c>
      <c r="N55">
        <v>243</v>
      </c>
      <c r="O55">
        <v>102</v>
      </c>
      <c r="P55">
        <v>410</v>
      </c>
      <c r="Q55">
        <v>578</v>
      </c>
      <c r="R55">
        <v>54</v>
      </c>
    </row>
    <row r="56" spans="1:18">
      <c r="A56" s="1" t="s">
        <v>335</v>
      </c>
      <c r="B56">
        <v>30</v>
      </c>
      <c r="C56">
        <v>11</v>
      </c>
      <c r="D56">
        <v>19</v>
      </c>
      <c r="E56">
        <v>6.97</v>
      </c>
      <c r="F56">
        <v>1937</v>
      </c>
      <c r="G56">
        <v>705</v>
      </c>
      <c r="H56">
        <v>1739</v>
      </c>
      <c r="I56">
        <v>341</v>
      </c>
      <c r="J56">
        <v>516</v>
      </c>
      <c r="K56">
        <v>389</v>
      </c>
      <c r="L56">
        <v>1005</v>
      </c>
      <c r="M56">
        <v>376</v>
      </c>
      <c r="N56">
        <v>230</v>
      </c>
      <c r="O56">
        <v>58</v>
      </c>
      <c r="P56">
        <v>379</v>
      </c>
      <c r="Q56">
        <v>565</v>
      </c>
      <c r="R56">
        <v>55</v>
      </c>
    </row>
    <row r="57" spans="1:18">
      <c r="A57" s="1" t="s">
        <v>59</v>
      </c>
      <c r="B57">
        <v>30</v>
      </c>
      <c r="C57">
        <v>7</v>
      </c>
      <c r="D57">
        <v>23</v>
      </c>
      <c r="E57">
        <v>-0.81</v>
      </c>
      <c r="F57">
        <v>1758</v>
      </c>
      <c r="G57">
        <v>637</v>
      </c>
      <c r="H57">
        <v>1548</v>
      </c>
      <c r="I57">
        <v>297</v>
      </c>
      <c r="J57">
        <v>469</v>
      </c>
      <c r="K57">
        <v>312</v>
      </c>
      <c r="L57">
        <v>903</v>
      </c>
      <c r="M57">
        <v>346</v>
      </c>
      <c r="N57">
        <v>206</v>
      </c>
      <c r="O57">
        <v>31</v>
      </c>
      <c r="P57">
        <v>441</v>
      </c>
      <c r="Q57">
        <v>517</v>
      </c>
      <c r="R57">
        <v>56</v>
      </c>
    </row>
    <row r="58" spans="1:18">
      <c r="A58" s="1" t="s">
        <v>60</v>
      </c>
      <c r="B58">
        <v>36</v>
      </c>
      <c r="C58">
        <v>25</v>
      </c>
      <c r="D58">
        <v>11</v>
      </c>
      <c r="E58">
        <v>7.82</v>
      </c>
      <c r="F58">
        <v>2636</v>
      </c>
      <c r="G58">
        <v>1017</v>
      </c>
      <c r="H58">
        <v>2170</v>
      </c>
      <c r="I58">
        <v>354</v>
      </c>
      <c r="J58">
        <v>612</v>
      </c>
      <c r="K58">
        <v>489</v>
      </c>
      <c r="L58">
        <v>1264</v>
      </c>
      <c r="M58">
        <v>562</v>
      </c>
      <c r="N58">
        <v>342</v>
      </c>
      <c r="O58">
        <v>191</v>
      </c>
      <c r="P58">
        <v>512</v>
      </c>
      <c r="Q58">
        <v>606</v>
      </c>
      <c r="R58">
        <v>57</v>
      </c>
    </row>
    <row r="59" spans="1:18">
      <c r="A59" s="1" t="s">
        <v>61</v>
      </c>
      <c r="B59">
        <v>31</v>
      </c>
      <c r="C59">
        <v>10</v>
      </c>
      <c r="D59">
        <v>21</v>
      </c>
      <c r="E59">
        <v>1.31</v>
      </c>
      <c r="F59">
        <v>1974</v>
      </c>
      <c r="G59">
        <v>689</v>
      </c>
      <c r="H59">
        <v>1752</v>
      </c>
      <c r="I59">
        <v>398</v>
      </c>
      <c r="J59">
        <v>558</v>
      </c>
      <c r="K59">
        <v>390</v>
      </c>
      <c r="L59">
        <v>1026</v>
      </c>
      <c r="M59">
        <v>360</v>
      </c>
      <c r="N59">
        <v>231</v>
      </c>
      <c r="O59">
        <v>125</v>
      </c>
      <c r="P59">
        <v>420</v>
      </c>
      <c r="Q59">
        <v>606</v>
      </c>
      <c r="R59">
        <v>58</v>
      </c>
    </row>
    <row r="60" spans="1:18">
      <c r="A60" s="1" t="s">
        <v>62</v>
      </c>
      <c r="B60">
        <v>30</v>
      </c>
      <c r="C60">
        <v>15</v>
      </c>
      <c r="D60">
        <v>15</v>
      </c>
      <c r="E60">
        <v>-5.66</v>
      </c>
      <c r="F60">
        <v>2231</v>
      </c>
      <c r="G60">
        <v>830</v>
      </c>
      <c r="H60">
        <v>1821</v>
      </c>
      <c r="I60">
        <v>354</v>
      </c>
      <c r="J60">
        <v>528</v>
      </c>
      <c r="K60">
        <v>396</v>
      </c>
      <c r="L60">
        <v>1048</v>
      </c>
      <c r="M60">
        <v>497</v>
      </c>
      <c r="N60">
        <v>277</v>
      </c>
      <c r="O60">
        <v>76</v>
      </c>
      <c r="P60">
        <v>451</v>
      </c>
      <c r="Q60">
        <v>566</v>
      </c>
      <c r="R60">
        <v>59</v>
      </c>
    </row>
    <row r="61" spans="1:18">
      <c r="A61" s="1" t="s">
        <v>63</v>
      </c>
      <c r="B61">
        <v>29</v>
      </c>
      <c r="C61">
        <v>10</v>
      </c>
      <c r="D61">
        <v>19</v>
      </c>
      <c r="E61">
        <v>-4.3</v>
      </c>
      <c r="F61">
        <v>1652</v>
      </c>
      <c r="G61">
        <v>570</v>
      </c>
      <c r="H61">
        <v>1433</v>
      </c>
      <c r="I61">
        <v>365</v>
      </c>
      <c r="J61">
        <v>531</v>
      </c>
      <c r="K61">
        <v>306</v>
      </c>
      <c r="L61">
        <v>917</v>
      </c>
      <c r="M61">
        <v>274</v>
      </c>
      <c r="N61">
        <v>178</v>
      </c>
      <c r="O61">
        <v>75</v>
      </c>
      <c r="P61">
        <v>440</v>
      </c>
      <c r="Q61">
        <v>501</v>
      </c>
      <c r="R61">
        <v>60</v>
      </c>
    </row>
    <row r="62" spans="1:18">
      <c r="A62" s="1" t="s">
        <v>64</v>
      </c>
      <c r="B62">
        <v>33</v>
      </c>
      <c r="C62">
        <v>22</v>
      </c>
      <c r="D62">
        <v>11</v>
      </c>
      <c r="E62">
        <v>-3.06</v>
      </c>
      <c r="F62">
        <v>2290</v>
      </c>
      <c r="G62">
        <v>832</v>
      </c>
      <c r="H62">
        <v>1846</v>
      </c>
      <c r="I62">
        <v>378</v>
      </c>
      <c r="J62">
        <v>557</v>
      </c>
      <c r="K62">
        <v>352</v>
      </c>
      <c r="L62">
        <v>1187</v>
      </c>
      <c r="M62">
        <v>462</v>
      </c>
      <c r="N62">
        <v>210</v>
      </c>
      <c r="O62">
        <v>127</v>
      </c>
      <c r="P62">
        <v>494</v>
      </c>
      <c r="Q62">
        <v>516</v>
      </c>
      <c r="R62">
        <v>61</v>
      </c>
    </row>
    <row r="63" spans="1:18">
      <c r="A63" s="1" t="s">
        <v>65</v>
      </c>
      <c r="B63">
        <v>30</v>
      </c>
      <c r="C63">
        <v>17</v>
      </c>
      <c r="D63">
        <v>13</v>
      </c>
      <c r="E63">
        <v>3.71</v>
      </c>
      <c r="F63">
        <v>2178</v>
      </c>
      <c r="G63">
        <v>768</v>
      </c>
      <c r="H63">
        <v>1573</v>
      </c>
      <c r="I63">
        <v>479</v>
      </c>
      <c r="J63">
        <v>673</v>
      </c>
      <c r="K63">
        <v>332</v>
      </c>
      <c r="L63">
        <v>1056</v>
      </c>
      <c r="M63">
        <v>413</v>
      </c>
      <c r="N63">
        <v>215</v>
      </c>
      <c r="O63">
        <v>137</v>
      </c>
      <c r="P63">
        <v>526</v>
      </c>
      <c r="Q63">
        <v>615</v>
      </c>
      <c r="R63">
        <v>62</v>
      </c>
    </row>
    <row r="64" spans="1:18">
      <c r="A64" s="1" t="s">
        <v>66</v>
      </c>
      <c r="B64">
        <v>27</v>
      </c>
      <c r="C64">
        <v>7</v>
      </c>
      <c r="D64">
        <v>20</v>
      </c>
      <c r="E64">
        <v>7.33</v>
      </c>
      <c r="F64">
        <v>1867</v>
      </c>
      <c r="G64">
        <v>662</v>
      </c>
      <c r="H64">
        <v>1576</v>
      </c>
      <c r="I64">
        <v>389</v>
      </c>
      <c r="J64">
        <v>598</v>
      </c>
      <c r="K64">
        <v>355</v>
      </c>
      <c r="L64">
        <v>998</v>
      </c>
      <c r="M64">
        <v>359</v>
      </c>
      <c r="N64">
        <v>185</v>
      </c>
      <c r="O64">
        <v>117</v>
      </c>
      <c r="P64">
        <v>472</v>
      </c>
      <c r="Q64">
        <v>572</v>
      </c>
      <c r="R64">
        <v>63</v>
      </c>
    </row>
    <row r="65" spans="1:18">
      <c r="A65" s="1" t="s">
        <v>67</v>
      </c>
      <c r="B65">
        <v>28</v>
      </c>
      <c r="C65">
        <v>16</v>
      </c>
      <c r="D65">
        <v>12</v>
      </c>
      <c r="E65">
        <v>-5.27</v>
      </c>
      <c r="F65">
        <v>1842</v>
      </c>
      <c r="G65">
        <v>645</v>
      </c>
      <c r="H65">
        <v>1406</v>
      </c>
      <c r="I65">
        <v>352</v>
      </c>
      <c r="J65">
        <v>478</v>
      </c>
      <c r="K65">
        <v>281</v>
      </c>
      <c r="L65">
        <v>914</v>
      </c>
      <c r="M65">
        <v>377</v>
      </c>
      <c r="N65">
        <v>153</v>
      </c>
      <c r="O65">
        <v>42</v>
      </c>
      <c r="P65">
        <v>410</v>
      </c>
      <c r="Q65">
        <v>552</v>
      </c>
      <c r="R65">
        <v>64</v>
      </c>
    </row>
    <row r="66" spans="1:18">
      <c r="A66" s="1" t="s">
        <v>275</v>
      </c>
      <c r="B66">
        <v>31</v>
      </c>
      <c r="C66">
        <v>17</v>
      </c>
      <c r="D66">
        <v>14</v>
      </c>
      <c r="E66">
        <v>6.09</v>
      </c>
      <c r="F66">
        <v>2181</v>
      </c>
      <c r="G66">
        <v>760</v>
      </c>
      <c r="H66">
        <v>1797</v>
      </c>
      <c r="I66">
        <v>514</v>
      </c>
      <c r="J66">
        <v>818</v>
      </c>
      <c r="K66">
        <v>501</v>
      </c>
      <c r="L66">
        <v>1311</v>
      </c>
      <c r="M66">
        <v>400</v>
      </c>
      <c r="N66">
        <v>240</v>
      </c>
      <c r="O66">
        <v>264</v>
      </c>
      <c r="P66">
        <v>466</v>
      </c>
      <c r="Q66">
        <v>544</v>
      </c>
      <c r="R66">
        <v>65</v>
      </c>
    </row>
    <row r="67" spans="1:18">
      <c r="A67" s="1" t="s">
        <v>68</v>
      </c>
      <c r="B67">
        <v>32</v>
      </c>
      <c r="C67">
        <v>12</v>
      </c>
      <c r="D67">
        <v>20</v>
      </c>
      <c r="E67">
        <v>-5.17</v>
      </c>
      <c r="F67">
        <v>1972</v>
      </c>
      <c r="G67">
        <v>696</v>
      </c>
      <c r="H67">
        <v>1755</v>
      </c>
      <c r="I67">
        <v>415</v>
      </c>
      <c r="J67">
        <v>639</v>
      </c>
      <c r="K67">
        <v>362</v>
      </c>
      <c r="L67">
        <v>995</v>
      </c>
      <c r="M67">
        <v>304</v>
      </c>
      <c r="N67">
        <v>207</v>
      </c>
      <c r="O67">
        <v>67</v>
      </c>
      <c r="P67">
        <v>441</v>
      </c>
      <c r="Q67">
        <v>611</v>
      </c>
      <c r="R67">
        <v>66</v>
      </c>
    </row>
    <row r="68" spans="1:18">
      <c r="A68" s="1" t="s">
        <v>69</v>
      </c>
      <c r="B68">
        <v>28</v>
      </c>
      <c r="C68">
        <v>16</v>
      </c>
      <c r="D68">
        <v>12</v>
      </c>
      <c r="E68">
        <v>-5.4</v>
      </c>
      <c r="F68">
        <v>1856</v>
      </c>
      <c r="G68">
        <v>641</v>
      </c>
      <c r="H68">
        <v>1371</v>
      </c>
      <c r="I68">
        <v>376</v>
      </c>
      <c r="J68">
        <v>501</v>
      </c>
      <c r="K68">
        <v>244</v>
      </c>
      <c r="L68">
        <v>882</v>
      </c>
      <c r="M68">
        <v>367</v>
      </c>
      <c r="N68">
        <v>161</v>
      </c>
      <c r="O68">
        <v>89</v>
      </c>
      <c r="P68">
        <v>415</v>
      </c>
      <c r="Q68">
        <v>484</v>
      </c>
      <c r="R68">
        <v>67</v>
      </c>
    </row>
    <row r="69" spans="1:18">
      <c r="A69" s="1" t="s">
        <v>326</v>
      </c>
      <c r="B69">
        <v>33</v>
      </c>
      <c r="C69">
        <v>22</v>
      </c>
      <c r="D69">
        <v>11</v>
      </c>
      <c r="E69">
        <v>6.24</v>
      </c>
      <c r="F69">
        <v>2220</v>
      </c>
      <c r="G69">
        <v>740</v>
      </c>
      <c r="H69">
        <v>1662</v>
      </c>
      <c r="I69">
        <v>535</v>
      </c>
      <c r="J69">
        <v>710</v>
      </c>
      <c r="K69">
        <v>340</v>
      </c>
      <c r="L69">
        <v>1080</v>
      </c>
      <c r="M69">
        <v>441</v>
      </c>
      <c r="N69">
        <v>210</v>
      </c>
      <c r="O69">
        <v>83</v>
      </c>
      <c r="P69">
        <v>417</v>
      </c>
      <c r="Q69">
        <v>552</v>
      </c>
      <c r="R69">
        <v>68</v>
      </c>
    </row>
    <row r="70" spans="1:18">
      <c r="A70" s="1" t="s">
        <v>70</v>
      </c>
      <c r="B70">
        <v>27</v>
      </c>
      <c r="C70">
        <v>9</v>
      </c>
      <c r="D70">
        <v>18</v>
      </c>
      <c r="E70">
        <v>-4.75</v>
      </c>
      <c r="F70">
        <v>1591</v>
      </c>
      <c r="G70">
        <v>599</v>
      </c>
      <c r="H70">
        <v>1433</v>
      </c>
      <c r="I70">
        <v>276</v>
      </c>
      <c r="J70">
        <v>393</v>
      </c>
      <c r="K70">
        <v>250</v>
      </c>
      <c r="L70">
        <v>788</v>
      </c>
      <c r="M70">
        <v>305</v>
      </c>
      <c r="N70">
        <v>176</v>
      </c>
      <c r="O70">
        <v>92</v>
      </c>
      <c r="P70">
        <v>354</v>
      </c>
      <c r="Q70">
        <v>549</v>
      </c>
      <c r="R70">
        <v>69</v>
      </c>
    </row>
    <row r="71" spans="1:18">
      <c r="A71" s="1" t="s">
        <v>71</v>
      </c>
      <c r="B71">
        <v>34</v>
      </c>
      <c r="C71">
        <v>29</v>
      </c>
      <c r="D71">
        <v>5</v>
      </c>
      <c r="E71">
        <v>-2.2599999999999998</v>
      </c>
      <c r="F71">
        <v>2765</v>
      </c>
      <c r="G71">
        <v>969</v>
      </c>
      <c r="H71">
        <v>2157</v>
      </c>
      <c r="I71">
        <v>499</v>
      </c>
      <c r="J71">
        <v>663</v>
      </c>
      <c r="K71">
        <v>465</v>
      </c>
      <c r="L71">
        <v>1378</v>
      </c>
      <c r="M71">
        <v>559</v>
      </c>
      <c r="N71">
        <v>272</v>
      </c>
      <c r="O71">
        <v>91</v>
      </c>
      <c r="P71">
        <v>495</v>
      </c>
      <c r="Q71">
        <v>602</v>
      </c>
      <c r="R71">
        <v>70</v>
      </c>
    </row>
    <row r="72" spans="1:18">
      <c r="A72" s="1" t="s">
        <v>276</v>
      </c>
      <c r="B72">
        <v>31</v>
      </c>
      <c r="C72">
        <v>19</v>
      </c>
      <c r="D72">
        <v>12</v>
      </c>
      <c r="E72">
        <v>1.97</v>
      </c>
      <c r="F72">
        <v>2075</v>
      </c>
      <c r="G72">
        <v>737</v>
      </c>
      <c r="H72">
        <v>1654</v>
      </c>
      <c r="I72">
        <v>405</v>
      </c>
      <c r="J72">
        <v>583</v>
      </c>
      <c r="K72">
        <v>350</v>
      </c>
      <c r="L72">
        <v>1024</v>
      </c>
      <c r="M72">
        <v>384</v>
      </c>
      <c r="N72">
        <v>146</v>
      </c>
      <c r="O72">
        <v>90</v>
      </c>
      <c r="P72">
        <v>438</v>
      </c>
      <c r="Q72">
        <v>604</v>
      </c>
      <c r="R72">
        <v>71</v>
      </c>
    </row>
    <row r="73" spans="1:18">
      <c r="A73" s="1" t="s">
        <v>72</v>
      </c>
      <c r="B73">
        <v>34</v>
      </c>
      <c r="C73">
        <v>21</v>
      </c>
      <c r="D73">
        <v>13</v>
      </c>
      <c r="E73">
        <v>-6.58</v>
      </c>
      <c r="F73">
        <v>2031</v>
      </c>
      <c r="G73">
        <v>712</v>
      </c>
      <c r="H73">
        <v>1625</v>
      </c>
      <c r="I73">
        <v>390</v>
      </c>
      <c r="J73">
        <v>527</v>
      </c>
      <c r="K73">
        <v>366</v>
      </c>
      <c r="L73">
        <v>943</v>
      </c>
      <c r="M73">
        <v>397</v>
      </c>
      <c r="N73">
        <v>205</v>
      </c>
      <c r="O73">
        <v>95</v>
      </c>
      <c r="P73">
        <v>413</v>
      </c>
      <c r="Q73">
        <v>539</v>
      </c>
      <c r="R73">
        <v>72</v>
      </c>
    </row>
    <row r="74" spans="1:18">
      <c r="A74" s="1" t="s">
        <v>73</v>
      </c>
      <c r="B74">
        <v>31</v>
      </c>
      <c r="C74">
        <v>5</v>
      </c>
      <c r="D74">
        <v>26</v>
      </c>
      <c r="E74">
        <v>-2.06</v>
      </c>
      <c r="F74">
        <v>1874</v>
      </c>
      <c r="G74">
        <v>639</v>
      </c>
      <c r="H74">
        <v>1580</v>
      </c>
      <c r="I74">
        <v>402</v>
      </c>
      <c r="J74">
        <v>560</v>
      </c>
      <c r="K74">
        <v>273</v>
      </c>
      <c r="L74">
        <v>890</v>
      </c>
      <c r="M74">
        <v>334</v>
      </c>
      <c r="N74">
        <v>169</v>
      </c>
      <c r="O74">
        <v>75</v>
      </c>
      <c r="P74">
        <v>400</v>
      </c>
      <c r="Q74">
        <v>573</v>
      </c>
      <c r="R74">
        <v>73</v>
      </c>
    </row>
    <row r="75" spans="1:18">
      <c r="A75" s="1" t="s">
        <v>74</v>
      </c>
      <c r="B75">
        <v>29</v>
      </c>
      <c r="C75">
        <v>4</v>
      </c>
      <c r="D75">
        <v>25</v>
      </c>
      <c r="E75">
        <v>-5.89</v>
      </c>
      <c r="F75">
        <v>1855</v>
      </c>
      <c r="G75">
        <v>627</v>
      </c>
      <c r="H75">
        <v>1572</v>
      </c>
      <c r="I75">
        <v>390</v>
      </c>
      <c r="J75">
        <v>540</v>
      </c>
      <c r="K75">
        <v>276</v>
      </c>
      <c r="L75">
        <v>940</v>
      </c>
      <c r="M75">
        <v>348</v>
      </c>
      <c r="N75">
        <v>140</v>
      </c>
      <c r="O75">
        <v>41</v>
      </c>
      <c r="P75">
        <v>434</v>
      </c>
      <c r="Q75">
        <v>495</v>
      </c>
      <c r="R75">
        <v>74</v>
      </c>
    </row>
    <row r="76" spans="1:18">
      <c r="A76" s="1" t="s">
        <v>277</v>
      </c>
      <c r="B76">
        <v>34</v>
      </c>
      <c r="C76">
        <v>20</v>
      </c>
      <c r="D76">
        <v>14</v>
      </c>
      <c r="E76">
        <v>8.5299999999999994</v>
      </c>
      <c r="F76">
        <v>2300</v>
      </c>
      <c r="G76">
        <v>863</v>
      </c>
      <c r="H76">
        <v>1885</v>
      </c>
      <c r="I76">
        <v>356</v>
      </c>
      <c r="J76">
        <v>536</v>
      </c>
      <c r="K76">
        <v>365</v>
      </c>
      <c r="L76">
        <v>1205</v>
      </c>
      <c r="M76">
        <v>484</v>
      </c>
      <c r="N76">
        <v>200</v>
      </c>
      <c r="O76">
        <v>154</v>
      </c>
      <c r="P76">
        <v>397</v>
      </c>
      <c r="Q76">
        <v>555</v>
      </c>
      <c r="R76">
        <v>75</v>
      </c>
    </row>
    <row r="77" spans="1:18">
      <c r="A77" s="1" t="s">
        <v>75</v>
      </c>
      <c r="B77">
        <v>30</v>
      </c>
      <c r="C77">
        <v>11</v>
      </c>
      <c r="D77">
        <v>19</v>
      </c>
      <c r="E77">
        <v>1.01</v>
      </c>
      <c r="F77">
        <v>1913</v>
      </c>
      <c r="G77">
        <v>703</v>
      </c>
      <c r="H77">
        <v>1599</v>
      </c>
      <c r="I77">
        <v>326</v>
      </c>
      <c r="J77">
        <v>500</v>
      </c>
      <c r="K77">
        <v>340</v>
      </c>
      <c r="L77">
        <v>996</v>
      </c>
      <c r="M77">
        <v>382</v>
      </c>
      <c r="N77">
        <v>171</v>
      </c>
      <c r="O77">
        <v>69</v>
      </c>
      <c r="P77">
        <v>382</v>
      </c>
      <c r="Q77">
        <v>535</v>
      </c>
      <c r="R77">
        <v>76</v>
      </c>
    </row>
    <row r="78" spans="1:18">
      <c r="A78" s="1" t="s">
        <v>76</v>
      </c>
      <c r="B78">
        <v>32</v>
      </c>
      <c r="C78">
        <v>17</v>
      </c>
      <c r="D78">
        <v>15</v>
      </c>
      <c r="E78">
        <v>4.58</v>
      </c>
      <c r="F78">
        <v>2398</v>
      </c>
      <c r="G78">
        <v>820</v>
      </c>
      <c r="H78">
        <v>1822</v>
      </c>
      <c r="I78">
        <v>564</v>
      </c>
      <c r="J78">
        <v>794</v>
      </c>
      <c r="K78">
        <v>444</v>
      </c>
      <c r="L78">
        <v>1166</v>
      </c>
      <c r="M78">
        <v>489</v>
      </c>
      <c r="N78">
        <v>254</v>
      </c>
      <c r="O78">
        <v>91</v>
      </c>
      <c r="P78">
        <v>440</v>
      </c>
      <c r="Q78">
        <v>567</v>
      </c>
      <c r="R78">
        <v>77</v>
      </c>
    </row>
    <row r="79" spans="1:18">
      <c r="A79" s="1" t="s">
        <v>77</v>
      </c>
      <c r="B79">
        <v>32</v>
      </c>
      <c r="C79">
        <v>23</v>
      </c>
      <c r="D79">
        <v>9</v>
      </c>
      <c r="E79">
        <v>0.52</v>
      </c>
      <c r="F79">
        <v>2127</v>
      </c>
      <c r="G79">
        <v>725</v>
      </c>
      <c r="H79">
        <v>1644</v>
      </c>
      <c r="I79">
        <v>497</v>
      </c>
      <c r="J79">
        <v>724</v>
      </c>
      <c r="K79">
        <v>347</v>
      </c>
      <c r="L79">
        <v>1082</v>
      </c>
      <c r="M79">
        <v>396</v>
      </c>
      <c r="N79">
        <v>267</v>
      </c>
      <c r="O79">
        <v>159</v>
      </c>
      <c r="P79">
        <v>441</v>
      </c>
      <c r="Q79">
        <v>582</v>
      </c>
      <c r="R79">
        <v>78</v>
      </c>
    </row>
    <row r="80" spans="1:18">
      <c r="A80" s="1" t="s">
        <v>373</v>
      </c>
      <c r="B80">
        <v>33</v>
      </c>
      <c r="C80">
        <v>22</v>
      </c>
      <c r="D80">
        <v>11</v>
      </c>
      <c r="E80">
        <v>10.49</v>
      </c>
      <c r="F80">
        <v>2323</v>
      </c>
      <c r="G80">
        <v>822</v>
      </c>
      <c r="H80">
        <v>1754</v>
      </c>
      <c r="I80">
        <v>481</v>
      </c>
      <c r="J80">
        <v>698</v>
      </c>
      <c r="K80">
        <v>379</v>
      </c>
      <c r="L80">
        <v>1165</v>
      </c>
      <c r="M80">
        <v>433</v>
      </c>
      <c r="N80">
        <v>241</v>
      </c>
      <c r="O80">
        <v>157</v>
      </c>
      <c r="P80">
        <v>509</v>
      </c>
      <c r="Q80">
        <v>577</v>
      </c>
      <c r="R80">
        <v>79</v>
      </c>
    </row>
    <row r="81" spans="1:18">
      <c r="A81" s="1" t="s">
        <v>78</v>
      </c>
      <c r="B81">
        <v>29</v>
      </c>
      <c r="C81">
        <v>10</v>
      </c>
      <c r="D81">
        <v>19</v>
      </c>
      <c r="E81">
        <v>0.5</v>
      </c>
      <c r="F81">
        <v>2271</v>
      </c>
      <c r="G81">
        <v>805</v>
      </c>
      <c r="H81">
        <v>1833</v>
      </c>
      <c r="I81">
        <v>422</v>
      </c>
      <c r="J81">
        <v>568</v>
      </c>
      <c r="K81">
        <v>391</v>
      </c>
      <c r="L81">
        <v>940</v>
      </c>
      <c r="M81">
        <v>465</v>
      </c>
      <c r="N81">
        <v>217</v>
      </c>
      <c r="O81">
        <v>102</v>
      </c>
      <c r="P81">
        <v>433</v>
      </c>
      <c r="Q81">
        <v>566</v>
      </c>
      <c r="R81">
        <v>80</v>
      </c>
    </row>
    <row r="82" spans="1:18">
      <c r="A82" s="1" t="s">
        <v>79</v>
      </c>
      <c r="B82">
        <v>30</v>
      </c>
      <c r="C82">
        <v>6</v>
      </c>
      <c r="D82">
        <v>24</v>
      </c>
      <c r="E82">
        <v>1.1499999999999999</v>
      </c>
      <c r="F82">
        <v>1779</v>
      </c>
      <c r="G82">
        <v>635</v>
      </c>
      <c r="H82">
        <v>1599</v>
      </c>
      <c r="I82">
        <v>317</v>
      </c>
      <c r="J82">
        <v>548</v>
      </c>
      <c r="K82">
        <v>329</v>
      </c>
      <c r="L82">
        <v>1026</v>
      </c>
      <c r="M82">
        <v>370</v>
      </c>
      <c r="N82">
        <v>184</v>
      </c>
      <c r="O82">
        <v>82</v>
      </c>
      <c r="P82">
        <v>421</v>
      </c>
      <c r="Q82">
        <v>554</v>
      </c>
      <c r="R82">
        <v>81</v>
      </c>
    </row>
    <row r="83" spans="1:18">
      <c r="A83" s="1" t="s">
        <v>80</v>
      </c>
      <c r="B83">
        <v>34</v>
      </c>
      <c r="C83">
        <v>24</v>
      </c>
      <c r="D83">
        <v>10</v>
      </c>
      <c r="E83">
        <v>-5.44</v>
      </c>
      <c r="F83">
        <v>2486</v>
      </c>
      <c r="G83">
        <v>905</v>
      </c>
      <c r="H83">
        <v>1984</v>
      </c>
      <c r="I83">
        <v>467</v>
      </c>
      <c r="J83">
        <v>648</v>
      </c>
      <c r="K83">
        <v>384</v>
      </c>
      <c r="L83">
        <v>1242</v>
      </c>
      <c r="M83">
        <v>540</v>
      </c>
      <c r="N83">
        <v>338</v>
      </c>
      <c r="O83">
        <v>158</v>
      </c>
      <c r="P83">
        <v>571</v>
      </c>
      <c r="Q83">
        <v>679</v>
      </c>
      <c r="R83">
        <v>82</v>
      </c>
    </row>
    <row r="84" spans="1:18">
      <c r="A84" s="1" t="s">
        <v>81</v>
      </c>
      <c r="B84">
        <v>30</v>
      </c>
      <c r="C84">
        <v>10</v>
      </c>
      <c r="D84">
        <v>20</v>
      </c>
      <c r="E84">
        <v>-7.12</v>
      </c>
      <c r="F84">
        <v>1832</v>
      </c>
      <c r="G84">
        <v>648</v>
      </c>
      <c r="H84">
        <v>1587</v>
      </c>
      <c r="I84">
        <v>397</v>
      </c>
      <c r="J84">
        <v>547</v>
      </c>
      <c r="K84">
        <v>337</v>
      </c>
      <c r="L84">
        <v>1030</v>
      </c>
      <c r="M84">
        <v>358</v>
      </c>
      <c r="N84">
        <v>167</v>
      </c>
      <c r="O84">
        <v>58</v>
      </c>
      <c r="P84">
        <v>416</v>
      </c>
      <c r="Q84">
        <v>566</v>
      </c>
      <c r="R84">
        <v>83</v>
      </c>
    </row>
    <row r="85" spans="1:18">
      <c r="A85" s="1" t="s">
        <v>82</v>
      </c>
      <c r="B85">
        <v>33</v>
      </c>
      <c r="C85">
        <v>21</v>
      </c>
      <c r="D85">
        <v>12</v>
      </c>
      <c r="E85">
        <v>-5.28</v>
      </c>
      <c r="F85">
        <v>2151</v>
      </c>
      <c r="G85">
        <v>782</v>
      </c>
      <c r="H85">
        <v>1691</v>
      </c>
      <c r="I85">
        <v>323</v>
      </c>
      <c r="J85">
        <v>475</v>
      </c>
      <c r="K85">
        <v>280</v>
      </c>
      <c r="L85">
        <v>930</v>
      </c>
      <c r="M85">
        <v>477</v>
      </c>
      <c r="N85">
        <v>263</v>
      </c>
      <c r="O85">
        <v>84</v>
      </c>
      <c r="P85">
        <v>446</v>
      </c>
      <c r="Q85">
        <v>449</v>
      </c>
      <c r="R85">
        <v>84</v>
      </c>
    </row>
    <row r="86" spans="1:18">
      <c r="A86" s="1" t="s">
        <v>83</v>
      </c>
      <c r="B86">
        <v>32</v>
      </c>
      <c r="C86">
        <v>13</v>
      </c>
      <c r="D86">
        <v>19</v>
      </c>
      <c r="E86">
        <v>-0.63</v>
      </c>
      <c r="F86">
        <v>2039</v>
      </c>
      <c r="G86">
        <v>699</v>
      </c>
      <c r="H86">
        <v>1664</v>
      </c>
      <c r="I86">
        <v>400</v>
      </c>
      <c r="J86">
        <v>583</v>
      </c>
      <c r="K86">
        <v>354</v>
      </c>
      <c r="L86">
        <v>1049</v>
      </c>
      <c r="M86">
        <v>374</v>
      </c>
      <c r="N86">
        <v>220</v>
      </c>
      <c r="O86">
        <v>59</v>
      </c>
      <c r="P86">
        <v>570</v>
      </c>
      <c r="Q86">
        <v>632</v>
      </c>
      <c r="R86">
        <v>85</v>
      </c>
    </row>
    <row r="87" spans="1:18">
      <c r="A87" s="1" t="s">
        <v>84</v>
      </c>
      <c r="B87">
        <v>29</v>
      </c>
      <c r="C87">
        <v>15</v>
      </c>
      <c r="D87">
        <v>14</v>
      </c>
      <c r="E87">
        <v>-2.94</v>
      </c>
      <c r="F87">
        <v>2443</v>
      </c>
      <c r="G87">
        <v>846</v>
      </c>
      <c r="H87">
        <v>1708</v>
      </c>
      <c r="I87">
        <v>561</v>
      </c>
      <c r="J87">
        <v>762</v>
      </c>
      <c r="K87">
        <v>326</v>
      </c>
      <c r="L87">
        <v>1010</v>
      </c>
      <c r="M87">
        <v>514</v>
      </c>
      <c r="N87">
        <v>207</v>
      </c>
      <c r="O87">
        <v>90</v>
      </c>
      <c r="P87">
        <v>446</v>
      </c>
      <c r="Q87">
        <v>560</v>
      </c>
      <c r="R87">
        <v>86</v>
      </c>
    </row>
    <row r="88" spans="1:18">
      <c r="A88" s="1" t="s">
        <v>85</v>
      </c>
      <c r="B88">
        <v>30</v>
      </c>
      <c r="C88">
        <v>7</v>
      </c>
      <c r="D88">
        <v>23</v>
      </c>
      <c r="E88">
        <v>-1.48</v>
      </c>
      <c r="F88">
        <v>1874</v>
      </c>
      <c r="G88">
        <v>684</v>
      </c>
      <c r="H88">
        <v>1642</v>
      </c>
      <c r="I88">
        <v>327</v>
      </c>
      <c r="J88">
        <v>483</v>
      </c>
      <c r="K88">
        <v>322</v>
      </c>
      <c r="L88">
        <v>1002</v>
      </c>
      <c r="M88">
        <v>334</v>
      </c>
      <c r="N88">
        <v>188</v>
      </c>
      <c r="O88">
        <v>81</v>
      </c>
      <c r="P88">
        <v>436</v>
      </c>
      <c r="Q88">
        <v>575</v>
      </c>
      <c r="R88">
        <v>87</v>
      </c>
    </row>
    <row r="89" spans="1:18">
      <c r="A89" s="1" t="s">
        <v>86</v>
      </c>
      <c r="B89">
        <v>31</v>
      </c>
      <c r="C89">
        <v>14</v>
      </c>
      <c r="D89">
        <v>17</v>
      </c>
      <c r="E89">
        <v>4.55</v>
      </c>
      <c r="F89">
        <v>2131</v>
      </c>
      <c r="G89">
        <v>703</v>
      </c>
      <c r="H89">
        <v>1539</v>
      </c>
      <c r="I89">
        <v>497</v>
      </c>
      <c r="J89">
        <v>678</v>
      </c>
      <c r="K89">
        <v>265</v>
      </c>
      <c r="L89">
        <v>959</v>
      </c>
      <c r="M89">
        <v>429</v>
      </c>
      <c r="N89">
        <v>148</v>
      </c>
      <c r="O89">
        <v>79</v>
      </c>
      <c r="P89">
        <v>399</v>
      </c>
      <c r="Q89">
        <v>598</v>
      </c>
      <c r="R89">
        <v>88</v>
      </c>
    </row>
    <row r="90" spans="1:18">
      <c r="A90" s="1" t="s">
        <v>87</v>
      </c>
      <c r="B90">
        <v>32</v>
      </c>
      <c r="C90">
        <v>13</v>
      </c>
      <c r="D90">
        <v>19</v>
      </c>
      <c r="E90">
        <v>-2</v>
      </c>
      <c r="F90">
        <v>1996</v>
      </c>
      <c r="G90">
        <v>677</v>
      </c>
      <c r="H90">
        <v>1652</v>
      </c>
      <c r="I90">
        <v>459</v>
      </c>
      <c r="J90">
        <v>648</v>
      </c>
      <c r="K90">
        <v>431</v>
      </c>
      <c r="L90">
        <v>1025</v>
      </c>
      <c r="M90">
        <v>409</v>
      </c>
      <c r="N90">
        <v>223</v>
      </c>
      <c r="O90">
        <v>99</v>
      </c>
      <c r="P90">
        <v>472</v>
      </c>
      <c r="Q90">
        <v>613</v>
      </c>
      <c r="R90">
        <v>89</v>
      </c>
    </row>
    <row r="91" spans="1:18">
      <c r="A91" s="1" t="s">
        <v>88</v>
      </c>
      <c r="B91">
        <v>30</v>
      </c>
      <c r="C91">
        <v>14</v>
      </c>
      <c r="D91">
        <v>16</v>
      </c>
      <c r="E91">
        <v>-6.67</v>
      </c>
      <c r="F91">
        <v>2193</v>
      </c>
      <c r="G91">
        <v>784</v>
      </c>
      <c r="H91">
        <v>1826</v>
      </c>
      <c r="I91">
        <v>430</v>
      </c>
      <c r="J91">
        <v>619</v>
      </c>
      <c r="K91">
        <v>391</v>
      </c>
      <c r="L91">
        <v>1075</v>
      </c>
      <c r="M91">
        <v>389</v>
      </c>
      <c r="N91">
        <v>190</v>
      </c>
      <c r="O91">
        <v>102</v>
      </c>
      <c r="P91">
        <v>400</v>
      </c>
      <c r="Q91">
        <v>531</v>
      </c>
      <c r="R91">
        <v>90</v>
      </c>
    </row>
    <row r="92" spans="1:18">
      <c r="A92" s="1" t="s">
        <v>89</v>
      </c>
      <c r="B92">
        <v>35</v>
      </c>
      <c r="C92">
        <v>21</v>
      </c>
      <c r="D92">
        <v>14</v>
      </c>
      <c r="E92">
        <v>-7.49</v>
      </c>
      <c r="F92">
        <v>2467</v>
      </c>
      <c r="G92">
        <v>846</v>
      </c>
      <c r="H92">
        <v>1881</v>
      </c>
      <c r="I92">
        <v>566</v>
      </c>
      <c r="J92">
        <v>855</v>
      </c>
      <c r="L92">
        <v>1291</v>
      </c>
      <c r="M92">
        <v>477</v>
      </c>
      <c r="N92">
        <v>245</v>
      </c>
      <c r="O92">
        <v>63</v>
      </c>
      <c r="P92">
        <v>623</v>
      </c>
      <c r="Q92">
        <v>648</v>
      </c>
      <c r="R92">
        <v>91</v>
      </c>
    </row>
    <row r="93" spans="1:18">
      <c r="A93" s="1" t="s">
        <v>90</v>
      </c>
      <c r="B93">
        <v>31</v>
      </c>
      <c r="C93">
        <v>16</v>
      </c>
      <c r="D93">
        <v>15</v>
      </c>
      <c r="E93">
        <v>-4.34</v>
      </c>
      <c r="F93">
        <v>2321</v>
      </c>
      <c r="G93">
        <v>834</v>
      </c>
      <c r="H93">
        <v>1706</v>
      </c>
      <c r="I93">
        <v>462</v>
      </c>
      <c r="J93">
        <v>666</v>
      </c>
      <c r="K93">
        <v>289</v>
      </c>
      <c r="L93">
        <v>1024</v>
      </c>
      <c r="M93">
        <v>475</v>
      </c>
      <c r="N93">
        <v>208</v>
      </c>
      <c r="O93">
        <v>60</v>
      </c>
      <c r="P93">
        <v>476</v>
      </c>
      <c r="Q93">
        <v>628</v>
      </c>
      <c r="R93">
        <v>92</v>
      </c>
    </row>
    <row r="94" spans="1:18">
      <c r="A94" s="1" t="s">
        <v>91</v>
      </c>
      <c r="B94">
        <v>29</v>
      </c>
      <c r="C94">
        <v>12</v>
      </c>
      <c r="D94">
        <v>17</v>
      </c>
      <c r="E94">
        <v>-5.77</v>
      </c>
      <c r="F94">
        <v>1920</v>
      </c>
      <c r="G94">
        <v>681</v>
      </c>
      <c r="H94">
        <v>1620</v>
      </c>
      <c r="I94">
        <v>376</v>
      </c>
      <c r="J94">
        <v>574</v>
      </c>
      <c r="K94">
        <v>337</v>
      </c>
      <c r="L94">
        <v>990</v>
      </c>
      <c r="M94">
        <v>340</v>
      </c>
      <c r="N94">
        <v>197</v>
      </c>
      <c r="O94">
        <v>74</v>
      </c>
      <c r="P94">
        <v>444</v>
      </c>
      <c r="Q94">
        <v>541</v>
      </c>
      <c r="R94">
        <v>93</v>
      </c>
    </row>
    <row r="95" spans="1:18">
      <c r="A95" s="1" t="s">
        <v>92</v>
      </c>
      <c r="B95">
        <v>35</v>
      </c>
      <c r="C95">
        <v>22</v>
      </c>
      <c r="D95">
        <v>13</v>
      </c>
      <c r="E95">
        <v>8.6300000000000008</v>
      </c>
      <c r="F95">
        <v>2607</v>
      </c>
      <c r="G95">
        <v>936</v>
      </c>
      <c r="H95">
        <v>1947</v>
      </c>
      <c r="I95">
        <v>498</v>
      </c>
      <c r="J95">
        <v>657</v>
      </c>
      <c r="K95">
        <v>375</v>
      </c>
      <c r="L95">
        <v>1104</v>
      </c>
      <c r="M95">
        <v>433</v>
      </c>
      <c r="N95">
        <v>276</v>
      </c>
      <c r="O95">
        <v>116</v>
      </c>
      <c r="P95">
        <v>513</v>
      </c>
      <c r="Q95">
        <v>627</v>
      </c>
      <c r="R95">
        <v>94</v>
      </c>
    </row>
    <row r="96" spans="1:18">
      <c r="A96" s="1" t="s">
        <v>347</v>
      </c>
      <c r="B96">
        <v>40</v>
      </c>
      <c r="C96">
        <v>35</v>
      </c>
      <c r="D96">
        <v>5</v>
      </c>
      <c r="E96">
        <v>7.34</v>
      </c>
      <c r="F96">
        <v>3193</v>
      </c>
      <c r="G96">
        <v>1125</v>
      </c>
      <c r="H96">
        <v>2138</v>
      </c>
      <c r="I96">
        <v>646</v>
      </c>
      <c r="J96">
        <v>936</v>
      </c>
      <c r="K96">
        <v>447</v>
      </c>
      <c r="L96">
        <v>1504</v>
      </c>
      <c r="M96">
        <v>614</v>
      </c>
      <c r="N96">
        <v>266</v>
      </c>
      <c r="O96">
        <v>194</v>
      </c>
      <c r="P96">
        <v>565</v>
      </c>
      <c r="Q96">
        <v>626</v>
      </c>
      <c r="R96">
        <v>95</v>
      </c>
    </row>
    <row r="97" spans="1:18">
      <c r="A97" s="1" t="s">
        <v>93</v>
      </c>
      <c r="B97">
        <v>30</v>
      </c>
      <c r="C97">
        <v>18</v>
      </c>
      <c r="D97">
        <v>12</v>
      </c>
      <c r="E97">
        <v>-0.1</v>
      </c>
      <c r="F97">
        <v>1964</v>
      </c>
      <c r="G97">
        <v>679</v>
      </c>
      <c r="H97">
        <v>1556</v>
      </c>
      <c r="I97">
        <v>418</v>
      </c>
      <c r="J97">
        <v>624</v>
      </c>
      <c r="K97">
        <v>322</v>
      </c>
      <c r="L97">
        <v>949</v>
      </c>
      <c r="M97">
        <v>409</v>
      </c>
      <c r="N97">
        <v>220</v>
      </c>
      <c r="O97">
        <v>123</v>
      </c>
      <c r="P97">
        <v>426</v>
      </c>
      <c r="Q97">
        <v>579</v>
      </c>
      <c r="R97">
        <v>96</v>
      </c>
    </row>
    <row r="98" spans="1:18">
      <c r="A98" s="1" t="s">
        <v>306</v>
      </c>
      <c r="B98">
        <v>32</v>
      </c>
      <c r="C98">
        <v>22</v>
      </c>
      <c r="D98">
        <v>10</v>
      </c>
      <c r="E98">
        <v>-0.14000000000000001</v>
      </c>
      <c r="F98">
        <v>2283</v>
      </c>
      <c r="G98">
        <v>766</v>
      </c>
      <c r="H98">
        <v>1836</v>
      </c>
      <c r="I98">
        <v>448</v>
      </c>
      <c r="J98">
        <v>691</v>
      </c>
      <c r="K98">
        <v>320</v>
      </c>
      <c r="L98">
        <v>1230</v>
      </c>
      <c r="M98">
        <v>462</v>
      </c>
      <c r="N98">
        <v>184</v>
      </c>
      <c r="O98">
        <v>206</v>
      </c>
      <c r="P98">
        <v>432</v>
      </c>
      <c r="Q98">
        <v>519</v>
      </c>
      <c r="R98">
        <v>97</v>
      </c>
    </row>
    <row r="99" spans="1:18">
      <c r="A99" s="1" t="s">
        <v>94</v>
      </c>
      <c r="B99">
        <v>31</v>
      </c>
      <c r="C99">
        <v>15</v>
      </c>
      <c r="D99">
        <v>16</v>
      </c>
      <c r="E99">
        <v>-2.68</v>
      </c>
      <c r="F99">
        <v>2102</v>
      </c>
      <c r="G99">
        <v>743</v>
      </c>
      <c r="H99">
        <v>1676</v>
      </c>
      <c r="I99">
        <v>377</v>
      </c>
      <c r="J99">
        <v>516</v>
      </c>
      <c r="K99">
        <v>316</v>
      </c>
      <c r="L99">
        <v>1004</v>
      </c>
      <c r="M99">
        <v>444</v>
      </c>
      <c r="N99">
        <v>205</v>
      </c>
      <c r="O99">
        <v>65</v>
      </c>
      <c r="P99">
        <v>459</v>
      </c>
      <c r="Q99">
        <v>579</v>
      </c>
      <c r="R99">
        <v>98</v>
      </c>
    </row>
    <row r="100" spans="1:18">
      <c r="A100" s="1" t="s">
        <v>318</v>
      </c>
      <c r="B100">
        <v>30</v>
      </c>
      <c r="C100">
        <v>9</v>
      </c>
      <c r="D100">
        <v>21</v>
      </c>
      <c r="E100">
        <v>-0.95</v>
      </c>
      <c r="F100">
        <v>1902</v>
      </c>
      <c r="G100">
        <v>684</v>
      </c>
      <c r="H100">
        <v>1652</v>
      </c>
      <c r="I100">
        <v>292</v>
      </c>
      <c r="J100">
        <v>461</v>
      </c>
      <c r="K100">
        <v>325</v>
      </c>
      <c r="L100">
        <v>961</v>
      </c>
      <c r="M100">
        <v>405</v>
      </c>
      <c r="N100">
        <v>217</v>
      </c>
      <c r="O100">
        <v>90</v>
      </c>
      <c r="P100">
        <v>482</v>
      </c>
      <c r="Q100">
        <v>576</v>
      </c>
      <c r="R100">
        <v>99</v>
      </c>
    </row>
    <row r="101" spans="1:18">
      <c r="A101" s="1" t="s">
        <v>95</v>
      </c>
      <c r="B101">
        <v>33</v>
      </c>
      <c r="C101">
        <v>18</v>
      </c>
      <c r="D101">
        <v>15</v>
      </c>
      <c r="E101">
        <v>-0.05</v>
      </c>
      <c r="F101">
        <v>2090</v>
      </c>
      <c r="G101">
        <v>790</v>
      </c>
      <c r="H101">
        <v>1708</v>
      </c>
      <c r="I101">
        <v>319</v>
      </c>
      <c r="J101">
        <v>496</v>
      </c>
      <c r="K101">
        <v>327</v>
      </c>
      <c r="L101">
        <v>1077</v>
      </c>
      <c r="M101">
        <v>463</v>
      </c>
      <c r="N101">
        <v>195</v>
      </c>
      <c r="O101">
        <v>85</v>
      </c>
      <c r="P101">
        <v>405</v>
      </c>
      <c r="Q101">
        <v>491</v>
      </c>
      <c r="R101">
        <v>100</v>
      </c>
    </row>
    <row r="102" spans="1:18">
      <c r="A102" s="1" t="s">
        <v>96</v>
      </c>
      <c r="B102">
        <v>32</v>
      </c>
      <c r="C102">
        <v>23</v>
      </c>
      <c r="D102">
        <v>9</v>
      </c>
      <c r="E102">
        <v>0.64</v>
      </c>
      <c r="F102">
        <v>2247</v>
      </c>
      <c r="G102">
        <v>824</v>
      </c>
      <c r="H102">
        <v>1799</v>
      </c>
      <c r="I102">
        <v>428</v>
      </c>
      <c r="J102">
        <v>611</v>
      </c>
      <c r="K102">
        <v>389</v>
      </c>
      <c r="L102">
        <v>1090</v>
      </c>
      <c r="M102">
        <v>462</v>
      </c>
      <c r="N102">
        <v>292</v>
      </c>
      <c r="O102">
        <v>142</v>
      </c>
      <c r="P102">
        <v>444</v>
      </c>
      <c r="Q102">
        <v>603</v>
      </c>
      <c r="R102">
        <v>101</v>
      </c>
    </row>
    <row r="103" spans="1:18">
      <c r="A103" s="1" t="s">
        <v>97</v>
      </c>
      <c r="B103">
        <v>37</v>
      </c>
      <c r="C103">
        <v>30</v>
      </c>
      <c r="D103">
        <v>7</v>
      </c>
      <c r="E103">
        <v>9.48</v>
      </c>
      <c r="F103">
        <v>2555</v>
      </c>
      <c r="G103">
        <v>923</v>
      </c>
      <c r="H103">
        <v>1826</v>
      </c>
      <c r="I103">
        <v>474</v>
      </c>
      <c r="J103">
        <v>667</v>
      </c>
      <c r="K103">
        <v>409</v>
      </c>
      <c r="L103">
        <v>1250</v>
      </c>
      <c r="M103">
        <v>545</v>
      </c>
      <c r="N103">
        <v>192</v>
      </c>
      <c r="O103">
        <v>189</v>
      </c>
      <c r="P103">
        <v>497</v>
      </c>
      <c r="Q103">
        <v>609</v>
      </c>
      <c r="R103">
        <v>102</v>
      </c>
    </row>
    <row r="104" spans="1:18">
      <c r="A104" s="1" t="s">
        <v>98</v>
      </c>
      <c r="B104">
        <v>31</v>
      </c>
      <c r="C104">
        <v>15</v>
      </c>
      <c r="D104">
        <v>16</v>
      </c>
      <c r="E104">
        <v>-2.71</v>
      </c>
      <c r="F104">
        <v>2144</v>
      </c>
      <c r="G104">
        <v>816</v>
      </c>
      <c r="H104">
        <v>1802</v>
      </c>
      <c r="I104">
        <v>360</v>
      </c>
      <c r="J104">
        <v>593</v>
      </c>
      <c r="K104">
        <v>397</v>
      </c>
      <c r="L104">
        <v>1159</v>
      </c>
      <c r="M104">
        <v>435</v>
      </c>
      <c r="N104">
        <v>213</v>
      </c>
      <c r="O104">
        <v>103</v>
      </c>
      <c r="P104">
        <v>512</v>
      </c>
      <c r="Q104">
        <v>614</v>
      </c>
      <c r="R104">
        <v>103</v>
      </c>
    </row>
    <row r="105" spans="1:18">
      <c r="A105" s="1" t="s">
        <v>99</v>
      </c>
      <c r="B105">
        <v>31</v>
      </c>
      <c r="C105">
        <v>11</v>
      </c>
      <c r="D105">
        <v>20</v>
      </c>
      <c r="E105">
        <v>-0.14000000000000001</v>
      </c>
      <c r="F105">
        <v>1993</v>
      </c>
      <c r="G105">
        <v>685</v>
      </c>
      <c r="H105">
        <v>1595</v>
      </c>
      <c r="I105">
        <v>443</v>
      </c>
      <c r="J105">
        <v>675</v>
      </c>
      <c r="K105">
        <v>334</v>
      </c>
      <c r="L105">
        <v>1047</v>
      </c>
      <c r="M105">
        <v>339</v>
      </c>
      <c r="N105">
        <v>177</v>
      </c>
      <c r="O105">
        <v>98</v>
      </c>
      <c r="P105">
        <v>491</v>
      </c>
      <c r="Q105">
        <v>515</v>
      </c>
      <c r="R105">
        <v>104</v>
      </c>
    </row>
    <row r="106" spans="1:18">
      <c r="A106" s="1" t="s">
        <v>100</v>
      </c>
      <c r="B106">
        <v>32</v>
      </c>
      <c r="C106">
        <v>20</v>
      </c>
      <c r="D106">
        <v>12</v>
      </c>
      <c r="E106">
        <v>9.36</v>
      </c>
      <c r="F106">
        <v>2515</v>
      </c>
      <c r="G106">
        <v>935</v>
      </c>
      <c r="H106">
        <v>1909</v>
      </c>
      <c r="I106">
        <v>444</v>
      </c>
      <c r="J106">
        <v>652</v>
      </c>
      <c r="K106">
        <v>445</v>
      </c>
      <c r="L106">
        <v>1166</v>
      </c>
      <c r="M106">
        <v>491</v>
      </c>
      <c r="N106">
        <v>316</v>
      </c>
      <c r="O106">
        <v>114</v>
      </c>
      <c r="P106">
        <v>503</v>
      </c>
      <c r="Q106">
        <v>665</v>
      </c>
      <c r="R106">
        <v>105</v>
      </c>
    </row>
    <row r="107" spans="1:18">
      <c r="A107" s="1" t="s">
        <v>101</v>
      </c>
      <c r="B107">
        <v>33</v>
      </c>
      <c r="C107">
        <v>19</v>
      </c>
      <c r="D107">
        <v>14</v>
      </c>
      <c r="E107">
        <v>8.3800000000000008</v>
      </c>
      <c r="F107">
        <v>2477</v>
      </c>
      <c r="G107">
        <v>918</v>
      </c>
      <c r="H107">
        <v>1989</v>
      </c>
      <c r="I107">
        <v>378</v>
      </c>
      <c r="J107">
        <v>567</v>
      </c>
      <c r="K107">
        <v>463</v>
      </c>
      <c r="L107">
        <v>1250</v>
      </c>
      <c r="M107">
        <v>484</v>
      </c>
      <c r="N107">
        <v>293</v>
      </c>
      <c r="O107">
        <v>149</v>
      </c>
      <c r="P107">
        <v>518</v>
      </c>
      <c r="Q107">
        <v>574</v>
      </c>
      <c r="R107">
        <v>106</v>
      </c>
    </row>
    <row r="108" spans="1:18">
      <c r="A108" s="1" t="s">
        <v>374</v>
      </c>
      <c r="B108">
        <v>34</v>
      </c>
      <c r="C108">
        <v>23</v>
      </c>
      <c r="D108">
        <v>11</v>
      </c>
      <c r="E108">
        <v>3.77</v>
      </c>
      <c r="F108">
        <v>2668</v>
      </c>
      <c r="G108">
        <v>933</v>
      </c>
      <c r="H108">
        <v>1932</v>
      </c>
      <c r="I108">
        <v>572</v>
      </c>
      <c r="J108">
        <v>762</v>
      </c>
      <c r="K108">
        <v>353</v>
      </c>
      <c r="L108">
        <v>1271</v>
      </c>
      <c r="M108">
        <v>492</v>
      </c>
      <c r="N108">
        <v>212</v>
      </c>
      <c r="O108">
        <v>123</v>
      </c>
      <c r="P108">
        <v>473</v>
      </c>
      <c r="Q108">
        <v>654</v>
      </c>
      <c r="R108">
        <v>107</v>
      </c>
    </row>
    <row r="109" spans="1:18">
      <c r="A109" s="1" t="s">
        <v>102</v>
      </c>
      <c r="B109">
        <v>26</v>
      </c>
      <c r="C109">
        <v>12</v>
      </c>
      <c r="D109">
        <v>14</v>
      </c>
      <c r="E109">
        <v>-13.28</v>
      </c>
      <c r="F109">
        <v>1669</v>
      </c>
      <c r="G109">
        <v>595</v>
      </c>
      <c r="H109">
        <v>1489</v>
      </c>
      <c r="I109">
        <v>351</v>
      </c>
      <c r="J109">
        <v>527</v>
      </c>
      <c r="K109">
        <v>333</v>
      </c>
      <c r="L109">
        <v>957</v>
      </c>
      <c r="M109">
        <v>274</v>
      </c>
      <c r="N109">
        <v>156</v>
      </c>
      <c r="O109">
        <v>78</v>
      </c>
      <c r="P109">
        <v>437</v>
      </c>
      <c r="Q109">
        <v>509</v>
      </c>
      <c r="R109">
        <v>108</v>
      </c>
    </row>
    <row r="110" spans="1:18">
      <c r="A110" s="1" t="s">
        <v>103</v>
      </c>
      <c r="B110">
        <v>33</v>
      </c>
      <c r="C110">
        <v>18</v>
      </c>
      <c r="D110">
        <v>15</v>
      </c>
      <c r="E110">
        <v>-0.86</v>
      </c>
      <c r="F110">
        <v>2232</v>
      </c>
      <c r="G110">
        <v>746</v>
      </c>
      <c r="H110">
        <v>1730</v>
      </c>
      <c r="I110">
        <v>530</v>
      </c>
      <c r="J110">
        <v>697</v>
      </c>
      <c r="K110">
        <v>331</v>
      </c>
      <c r="L110">
        <v>1088</v>
      </c>
      <c r="M110">
        <v>371</v>
      </c>
      <c r="N110">
        <v>172</v>
      </c>
      <c r="O110">
        <v>86</v>
      </c>
      <c r="P110">
        <v>385</v>
      </c>
      <c r="Q110">
        <v>548</v>
      </c>
      <c r="R110">
        <v>109</v>
      </c>
    </row>
    <row r="111" spans="1:18">
      <c r="A111" s="1" t="s">
        <v>104</v>
      </c>
      <c r="B111">
        <v>31</v>
      </c>
      <c r="C111">
        <v>15</v>
      </c>
      <c r="D111">
        <v>16</v>
      </c>
      <c r="E111">
        <v>-8.9</v>
      </c>
      <c r="F111">
        <v>2113</v>
      </c>
      <c r="G111">
        <v>712</v>
      </c>
      <c r="H111">
        <v>1683</v>
      </c>
      <c r="I111">
        <v>488</v>
      </c>
      <c r="J111">
        <v>737</v>
      </c>
      <c r="K111">
        <v>428</v>
      </c>
      <c r="L111">
        <v>1116</v>
      </c>
      <c r="M111">
        <v>366</v>
      </c>
      <c r="N111">
        <v>285</v>
      </c>
      <c r="O111">
        <v>101</v>
      </c>
      <c r="P111">
        <v>637</v>
      </c>
      <c r="Q111">
        <v>720</v>
      </c>
      <c r="R111">
        <v>110</v>
      </c>
    </row>
    <row r="112" spans="1:18">
      <c r="A112" s="1" t="s">
        <v>105</v>
      </c>
      <c r="B112">
        <v>31</v>
      </c>
      <c r="C112">
        <v>13</v>
      </c>
      <c r="D112">
        <v>18</v>
      </c>
      <c r="E112">
        <v>-5.44</v>
      </c>
      <c r="F112">
        <v>1925</v>
      </c>
      <c r="G112">
        <v>660</v>
      </c>
      <c r="H112">
        <v>1613</v>
      </c>
      <c r="I112">
        <v>399</v>
      </c>
      <c r="J112">
        <v>591</v>
      </c>
      <c r="K112">
        <v>301</v>
      </c>
      <c r="L112">
        <v>925</v>
      </c>
      <c r="M112">
        <v>348</v>
      </c>
      <c r="N112">
        <v>263</v>
      </c>
      <c r="O112">
        <v>38</v>
      </c>
      <c r="P112">
        <v>389</v>
      </c>
      <c r="Q112">
        <v>598</v>
      </c>
      <c r="R112">
        <v>111</v>
      </c>
    </row>
    <row r="113" spans="1:18">
      <c r="A113" s="1" t="s">
        <v>106</v>
      </c>
      <c r="B113">
        <v>28</v>
      </c>
      <c r="C113">
        <v>12</v>
      </c>
      <c r="D113">
        <v>16</v>
      </c>
      <c r="E113">
        <v>-4.5599999999999996</v>
      </c>
      <c r="F113">
        <v>2025</v>
      </c>
      <c r="G113">
        <v>697</v>
      </c>
      <c r="H113">
        <v>1572</v>
      </c>
      <c r="I113">
        <v>497</v>
      </c>
      <c r="J113">
        <v>655</v>
      </c>
      <c r="K113">
        <v>328</v>
      </c>
      <c r="L113">
        <v>913</v>
      </c>
      <c r="M113">
        <v>317</v>
      </c>
      <c r="N113">
        <v>192</v>
      </c>
      <c r="O113">
        <v>81</v>
      </c>
      <c r="P113">
        <v>452</v>
      </c>
      <c r="Q113">
        <v>471</v>
      </c>
      <c r="R113">
        <v>112</v>
      </c>
    </row>
    <row r="114" spans="1:18">
      <c r="A114" s="1" t="s">
        <v>107</v>
      </c>
      <c r="B114">
        <v>31</v>
      </c>
      <c r="C114">
        <v>18</v>
      </c>
      <c r="D114">
        <v>13</v>
      </c>
      <c r="E114">
        <v>1.0900000000000001</v>
      </c>
      <c r="F114">
        <v>2245</v>
      </c>
      <c r="G114">
        <v>813</v>
      </c>
      <c r="H114">
        <v>1772</v>
      </c>
      <c r="I114">
        <v>453</v>
      </c>
      <c r="J114">
        <v>621</v>
      </c>
      <c r="K114">
        <v>401</v>
      </c>
      <c r="L114">
        <v>1181</v>
      </c>
      <c r="M114">
        <v>539</v>
      </c>
      <c r="N114">
        <v>201</v>
      </c>
      <c r="O114">
        <v>154</v>
      </c>
      <c r="P114">
        <v>540</v>
      </c>
      <c r="Q114">
        <v>581</v>
      </c>
      <c r="R114">
        <v>113</v>
      </c>
    </row>
    <row r="115" spans="1:18">
      <c r="A115" s="1" t="s">
        <v>108</v>
      </c>
      <c r="B115">
        <v>32</v>
      </c>
      <c r="C115">
        <v>22</v>
      </c>
      <c r="D115">
        <v>10</v>
      </c>
      <c r="E115">
        <v>-4.99</v>
      </c>
      <c r="F115">
        <v>2406</v>
      </c>
      <c r="G115">
        <v>889</v>
      </c>
      <c r="H115">
        <v>1910</v>
      </c>
      <c r="I115">
        <v>418</v>
      </c>
      <c r="J115">
        <v>616</v>
      </c>
      <c r="K115">
        <v>408</v>
      </c>
      <c r="L115">
        <v>1177</v>
      </c>
      <c r="M115">
        <v>530</v>
      </c>
      <c r="N115">
        <v>220</v>
      </c>
      <c r="O115">
        <v>110</v>
      </c>
      <c r="P115">
        <v>497</v>
      </c>
      <c r="Q115">
        <v>621</v>
      </c>
      <c r="R115">
        <v>114</v>
      </c>
    </row>
    <row r="116" spans="1:18">
      <c r="A116" s="1" t="s">
        <v>307</v>
      </c>
      <c r="B116">
        <v>32</v>
      </c>
      <c r="C116">
        <v>22</v>
      </c>
      <c r="D116">
        <v>10</v>
      </c>
      <c r="E116">
        <v>-0.6</v>
      </c>
      <c r="F116">
        <v>2339</v>
      </c>
      <c r="G116">
        <v>799</v>
      </c>
      <c r="H116">
        <v>1759</v>
      </c>
      <c r="I116">
        <v>485</v>
      </c>
      <c r="J116">
        <v>697</v>
      </c>
      <c r="K116">
        <v>363</v>
      </c>
      <c r="L116">
        <v>1059</v>
      </c>
      <c r="M116">
        <v>379</v>
      </c>
      <c r="N116">
        <v>186</v>
      </c>
      <c r="O116">
        <v>74</v>
      </c>
      <c r="P116">
        <v>368</v>
      </c>
      <c r="Q116">
        <v>610</v>
      </c>
      <c r="R116">
        <v>115</v>
      </c>
    </row>
    <row r="117" spans="1:18">
      <c r="A117" s="1" t="s">
        <v>109</v>
      </c>
      <c r="B117">
        <v>34</v>
      </c>
      <c r="C117">
        <v>25</v>
      </c>
      <c r="D117">
        <v>9</v>
      </c>
      <c r="E117">
        <v>-3.06</v>
      </c>
      <c r="F117">
        <v>2171</v>
      </c>
      <c r="G117">
        <v>738</v>
      </c>
      <c r="H117">
        <v>1695</v>
      </c>
      <c r="I117">
        <v>504</v>
      </c>
      <c r="J117">
        <v>687</v>
      </c>
      <c r="K117">
        <v>386</v>
      </c>
      <c r="L117">
        <v>1091</v>
      </c>
      <c r="M117">
        <v>463</v>
      </c>
      <c r="N117">
        <v>324</v>
      </c>
      <c r="O117">
        <v>123</v>
      </c>
      <c r="P117">
        <v>521</v>
      </c>
      <c r="Q117">
        <v>621</v>
      </c>
      <c r="R117">
        <v>116</v>
      </c>
    </row>
    <row r="118" spans="1:18">
      <c r="A118" s="1" t="s">
        <v>110</v>
      </c>
      <c r="B118">
        <v>33</v>
      </c>
      <c r="C118">
        <v>18</v>
      </c>
      <c r="D118">
        <v>15</v>
      </c>
      <c r="E118">
        <v>3.12</v>
      </c>
      <c r="F118">
        <v>2415</v>
      </c>
      <c r="G118">
        <v>814</v>
      </c>
      <c r="H118">
        <v>2068</v>
      </c>
      <c r="I118">
        <v>457</v>
      </c>
      <c r="J118">
        <v>639</v>
      </c>
      <c r="K118">
        <v>415</v>
      </c>
      <c r="L118">
        <v>1155</v>
      </c>
      <c r="M118">
        <v>378</v>
      </c>
      <c r="N118">
        <v>276</v>
      </c>
      <c r="O118">
        <v>108</v>
      </c>
      <c r="P118">
        <v>383</v>
      </c>
      <c r="Q118">
        <v>668</v>
      </c>
      <c r="R118">
        <v>117</v>
      </c>
    </row>
    <row r="119" spans="1:18">
      <c r="A119" s="1" t="s">
        <v>111</v>
      </c>
      <c r="B119">
        <v>31</v>
      </c>
      <c r="C119">
        <v>9</v>
      </c>
      <c r="D119">
        <v>22</v>
      </c>
      <c r="E119">
        <v>-10.61</v>
      </c>
      <c r="F119">
        <v>2009</v>
      </c>
      <c r="G119">
        <v>678</v>
      </c>
      <c r="H119">
        <v>1596</v>
      </c>
      <c r="I119">
        <v>417</v>
      </c>
      <c r="J119">
        <v>638</v>
      </c>
      <c r="K119">
        <v>311</v>
      </c>
      <c r="L119">
        <v>939</v>
      </c>
      <c r="M119">
        <v>375</v>
      </c>
      <c r="N119">
        <v>161</v>
      </c>
      <c r="O119">
        <v>69</v>
      </c>
      <c r="P119">
        <v>503</v>
      </c>
      <c r="Q119">
        <v>548</v>
      </c>
      <c r="R119">
        <v>118</v>
      </c>
    </row>
    <row r="120" spans="1:18">
      <c r="A120" s="1" t="s">
        <v>112</v>
      </c>
      <c r="B120">
        <v>30</v>
      </c>
      <c r="C120">
        <v>13</v>
      </c>
      <c r="D120">
        <v>17</v>
      </c>
      <c r="E120">
        <v>-1.17</v>
      </c>
      <c r="F120">
        <v>2012</v>
      </c>
      <c r="G120">
        <v>692</v>
      </c>
      <c r="H120">
        <v>1565</v>
      </c>
      <c r="I120">
        <v>396</v>
      </c>
      <c r="J120">
        <v>566</v>
      </c>
      <c r="K120">
        <v>320</v>
      </c>
      <c r="L120">
        <v>1030</v>
      </c>
      <c r="M120">
        <v>353</v>
      </c>
      <c r="N120">
        <v>179</v>
      </c>
      <c r="O120">
        <v>88</v>
      </c>
      <c r="P120">
        <v>405</v>
      </c>
      <c r="Q120">
        <v>499</v>
      </c>
      <c r="R120">
        <v>119</v>
      </c>
    </row>
    <row r="121" spans="1:18">
      <c r="A121" s="1" t="s">
        <v>113</v>
      </c>
      <c r="B121">
        <v>31</v>
      </c>
      <c r="C121">
        <v>4</v>
      </c>
      <c r="D121">
        <v>27</v>
      </c>
      <c r="E121">
        <v>1.44</v>
      </c>
      <c r="F121">
        <v>1907</v>
      </c>
      <c r="G121">
        <v>668</v>
      </c>
      <c r="H121">
        <v>1717</v>
      </c>
      <c r="I121">
        <v>346</v>
      </c>
      <c r="J121">
        <v>511</v>
      </c>
      <c r="K121">
        <v>292</v>
      </c>
      <c r="L121">
        <v>976</v>
      </c>
      <c r="M121">
        <v>312</v>
      </c>
      <c r="N121">
        <v>149</v>
      </c>
      <c r="O121">
        <v>94</v>
      </c>
      <c r="P121">
        <v>458</v>
      </c>
      <c r="Q121">
        <v>587</v>
      </c>
      <c r="R121">
        <v>120</v>
      </c>
    </row>
    <row r="122" spans="1:18">
      <c r="A122" s="1" t="s">
        <v>114</v>
      </c>
      <c r="B122">
        <v>32</v>
      </c>
      <c r="C122">
        <v>14</v>
      </c>
      <c r="D122">
        <v>18</v>
      </c>
      <c r="E122">
        <v>1.0900000000000001</v>
      </c>
      <c r="F122">
        <v>2224</v>
      </c>
      <c r="G122">
        <v>776</v>
      </c>
      <c r="H122">
        <v>1875</v>
      </c>
      <c r="I122">
        <v>441</v>
      </c>
      <c r="J122">
        <v>612</v>
      </c>
      <c r="K122">
        <v>413</v>
      </c>
      <c r="L122">
        <v>1169</v>
      </c>
      <c r="M122">
        <v>421</v>
      </c>
      <c r="N122">
        <v>212</v>
      </c>
      <c r="O122">
        <v>162</v>
      </c>
      <c r="P122">
        <v>396</v>
      </c>
      <c r="Q122">
        <v>559</v>
      </c>
      <c r="R122">
        <v>121</v>
      </c>
    </row>
    <row r="123" spans="1:18">
      <c r="A123" s="1" t="s">
        <v>115</v>
      </c>
      <c r="B123">
        <v>31</v>
      </c>
      <c r="C123">
        <v>15</v>
      </c>
      <c r="D123">
        <v>16</v>
      </c>
      <c r="E123">
        <v>4.63</v>
      </c>
      <c r="F123">
        <v>2068</v>
      </c>
      <c r="G123">
        <v>738</v>
      </c>
      <c r="H123">
        <v>1624</v>
      </c>
      <c r="I123">
        <v>359</v>
      </c>
      <c r="J123">
        <v>557</v>
      </c>
      <c r="K123">
        <v>324</v>
      </c>
      <c r="L123">
        <v>999</v>
      </c>
      <c r="M123">
        <v>463</v>
      </c>
      <c r="N123">
        <v>215</v>
      </c>
      <c r="O123">
        <v>101</v>
      </c>
      <c r="P123">
        <v>468</v>
      </c>
      <c r="Q123">
        <v>572</v>
      </c>
      <c r="R123">
        <v>122</v>
      </c>
    </row>
    <row r="124" spans="1:18">
      <c r="A124" s="1" t="s">
        <v>348</v>
      </c>
      <c r="B124">
        <v>35</v>
      </c>
      <c r="C124">
        <v>23</v>
      </c>
      <c r="D124">
        <v>12</v>
      </c>
      <c r="E124">
        <v>7.09</v>
      </c>
      <c r="F124">
        <v>2245</v>
      </c>
      <c r="G124">
        <v>790</v>
      </c>
      <c r="H124">
        <v>1830</v>
      </c>
      <c r="I124">
        <v>424</v>
      </c>
      <c r="J124">
        <v>680</v>
      </c>
      <c r="K124">
        <v>437</v>
      </c>
      <c r="L124">
        <v>1231</v>
      </c>
      <c r="M124">
        <v>488</v>
      </c>
      <c r="N124">
        <v>205</v>
      </c>
      <c r="O124">
        <v>99</v>
      </c>
      <c r="P124">
        <v>491</v>
      </c>
      <c r="Q124">
        <v>604</v>
      </c>
      <c r="R124">
        <v>123</v>
      </c>
    </row>
    <row r="125" spans="1:18">
      <c r="A125" s="1" t="s">
        <v>308</v>
      </c>
      <c r="B125">
        <v>31</v>
      </c>
      <c r="C125">
        <v>13</v>
      </c>
      <c r="D125">
        <v>18</v>
      </c>
      <c r="E125">
        <v>6.84</v>
      </c>
      <c r="F125">
        <v>1908</v>
      </c>
      <c r="G125">
        <v>634</v>
      </c>
      <c r="H125">
        <v>1589</v>
      </c>
      <c r="I125">
        <v>426</v>
      </c>
      <c r="J125">
        <v>602</v>
      </c>
      <c r="K125">
        <v>311</v>
      </c>
      <c r="L125">
        <v>991</v>
      </c>
      <c r="M125">
        <v>329</v>
      </c>
      <c r="N125">
        <v>157</v>
      </c>
      <c r="O125">
        <v>42</v>
      </c>
      <c r="P125">
        <v>388</v>
      </c>
      <c r="Q125">
        <v>579</v>
      </c>
      <c r="R125">
        <v>124</v>
      </c>
    </row>
    <row r="126" spans="1:18">
      <c r="A126" s="1" t="s">
        <v>327</v>
      </c>
      <c r="B126">
        <v>32</v>
      </c>
      <c r="C126">
        <v>21</v>
      </c>
      <c r="D126">
        <v>11</v>
      </c>
      <c r="E126">
        <v>8.35</v>
      </c>
      <c r="F126">
        <v>2246</v>
      </c>
      <c r="G126">
        <v>783</v>
      </c>
      <c r="H126">
        <v>1755</v>
      </c>
      <c r="I126">
        <v>428</v>
      </c>
      <c r="J126">
        <v>603</v>
      </c>
      <c r="K126">
        <v>375</v>
      </c>
      <c r="L126">
        <v>1082</v>
      </c>
      <c r="M126">
        <v>424</v>
      </c>
      <c r="N126">
        <v>206</v>
      </c>
      <c r="O126">
        <v>140</v>
      </c>
      <c r="P126">
        <v>396</v>
      </c>
      <c r="Q126">
        <v>657</v>
      </c>
      <c r="R126">
        <v>125</v>
      </c>
    </row>
    <row r="127" spans="1:18">
      <c r="A127" s="1" t="s">
        <v>309</v>
      </c>
      <c r="B127">
        <v>30</v>
      </c>
      <c r="C127">
        <v>2</v>
      </c>
      <c r="D127">
        <v>28</v>
      </c>
      <c r="E127">
        <v>-3.97</v>
      </c>
      <c r="F127">
        <v>1758</v>
      </c>
      <c r="G127">
        <v>646</v>
      </c>
      <c r="H127">
        <v>1583</v>
      </c>
      <c r="I127">
        <v>356</v>
      </c>
      <c r="J127">
        <v>617</v>
      </c>
      <c r="K127">
        <v>394</v>
      </c>
      <c r="L127">
        <v>1047</v>
      </c>
      <c r="M127">
        <v>308</v>
      </c>
      <c r="N127">
        <v>180</v>
      </c>
      <c r="O127">
        <v>143</v>
      </c>
      <c r="P127">
        <v>536</v>
      </c>
      <c r="Q127">
        <v>611</v>
      </c>
      <c r="R127">
        <v>126</v>
      </c>
    </row>
    <row r="128" spans="1:18">
      <c r="A128" s="1" t="s">
        <v>310</v>
      </c>
      <c r="B128">
        <v>31</v>
      </c>
      <c r="C128">
        <v>15</v>
      </c>
      <c r="D128">
        <v>16</v>
      </c>
      <c r="E128">
        <v>5.19</v>
      </c>
      <c r="F128">
        <v>1972</v>
      </c>
      <c r="G128">
        <v>696</v>
      </c>
      <c r="H128">
        <v>1705</v>
      </c>
      <c r="I128">
        <v>377</v>
      </c>
      <c r="J128">
        <v>540</v>
      </c>
      <c r="K128">
        <v>382</v>
      </c>
      <c r="L128">
        <v>1118</v>
      </c>
      <c r="M128">
        <v>362</v>
      </c>
      <c r="N128">
        <v>141</v>
      </c>
      <c r="O128">
        <v>106</v>
      </c>
      <c r="P128">
        <v>458</v>
      </c>
      <c r="Q128">
        <v>510</v>
      </c>
      <c r="R128">
        <v>127</v>
      </c>
    </row>
    <row r="129" spans="1:18">
      <c r="A129" s="1" t="s">
        <v>116</v>
      </c>
      <c r="B129">
        <v>31</v>
      </c>
      <c r="C129">
        <v>17</v>
      </c>
      <c r="D129">
        <v>14</v>
      </c>
      <c r="E129">
        <v>6.35</v>
      </c>
      <c r="F129">
        <v>2121</v>
      </c>
      <c r="G129">
        <v>739</v>
      </c>
      <c r="H129">
        <v>1684</v>
      </c>
      <c r="I129">
        <v>448</v>
      </c>
      <c r="J129">
        <v>602</v>
      </c>
      <c r="K129">
        <v>344</v>
      </c>
      <c r="L129">
        <v>1027</v>
      </c>
      <c r="M129">
        <v>451</v>
      </c>
      <c r="N129">
        <v>211</v>
      </c>
      <c r="O129">
        <v>102</v>
      </c>
      <c r="P129">
        <v>417</v>
      </c>
      <c r="Q129">
        <v>562</v>
      </c>
      <c r="R129">
        <v>128</v>
      </c>
    </row>
    <row r="130" spans="1:18">
      <c r="A130" s="1" t="s">
        <v>319</v>
      </c>
      <c r="B130">
        <v>29</v>
      </c>
      <c r="C130">
        <v>12</v>
      </c>
      <c r="D130">
        <v>17</v>
      </c>
      <c r="E130">
        <v>-0.71</v>
      </c>
      <c r="F130">
        <v>1982</v>
      </c>
      <c r="G130">
        <v>700</v>
      </c>
      <c r="H130">
        <v>1565</v>
      </c>
      <c r="I130">
        <v>355</v>
      </c>
      <c r="J130">
        <v>522</v>
      </c>
      <c r="K130">
        <v>249</v>
      </c>
      <c r="L130">
        <v>906</v>
      </c>
      <c r="M130">
        <v>445</v>
      </c>
      <c r="N130">
        <v>198</v>
      </c>
      <c r="O130">
        <v>93</v>
      </c>
      <c r="P130">
        <v>421</v>
      </c>
      <c r="Q130">
        <v>562</v>
      </c>
      <c r="R130">
        <v>129</v>
      </c>
    </row>
    <row r="131" spans="1:18">
      <c r="A131" s="1" t="s">
        <v>117</v>
      </c>
      <c r="B131">
        <v>30</v>
      </c>
      <c r="C131">
        <v>15</v>
      </c>
      <c r="D131">
        <v>15</v>
      </c>
      <c r="E131">
        <v>-3.39</v>
      </c>
      <c r="F131">
        <v>2039</v>
      </c>
      <c r="G131">
        <v>679</v>
      </c>
      <c r="H131">
        <v>1618</v>
      </c>
      <c r="I131">
        <v>464</v>
      </c>
      <c r="J131">
        <v>615</v>
      </c>
      <c r="K131">
        <v>364</v>
      </c>
      <c r="L131">
        <v>1007</v>
      </c>
      <c r="M131">
        <v>340</v>
      </c>
      <c r="N131">
        <v>189</v>
      </c>
      <c r="O131">
        <v>80</v>
      </c>
      <c r="P131">
        <v>399</v>
      </c>
      <c r="Q131">
        <v>527</v>
      </c>
      <c r="R131">
        <v>130</v>
      </c>
    </row>
    <row r="132" spans="1:18">
      <c r="A132" s="1" t="s">
        <v>278</v>
      </c>
      <c r="B132">
        <v>35</v>
      </c>
      <c r="C132">
        <v>21</v>
      </c>
      <c r="D132">
        <v>14</v>
      </c>
      <c r="E132">
        <v>-9.94</v>
      </c>
      <c r="F132">
        <v>2490</v>
      </c>
      <c r="G132">
        <v>878</v>
      </c>
      <c r="H132">
        <v>2107</v>
      </c>
      <c r="I132">
        <v>540</v>
      </c>
      <c r="J132">
        <v>759</v>
      </c>
      <c r="K132">
        <v>470</v>
      </c>
      <c r="L132">
        <v>1250</v>
      </c>
      <c r="M132">
        <v>469</v>
      </c>
      <c r="N132">
        <v>289</v>
      </c>
      <c r="O132">
        <v>107</v>
      </c>
      <c r="P132">
        <v>537</v>
      </c>
      <c r="Q132">
        <v>724</v>
      </c>
      <c r="R132">
        <v>131</v>
      </c>
    </row>
    <row r="133" spans="1:18">
      <c r="A133" s="1" t="s">
        <v>118</v>
      </c>
      <c r="B133">
        <v>30</v>
      </c>
      <c r="C133">
        <v>9</v>
      </c>
      <c r="D133">
        <v>21</v>
      </c>
      <c r="E133">
        <v>-7.3</v>
      </c>
      <c r="F133">
        <v>1999</v>
      </c>
      <c r="G133">
        <v>731</v>
      </c>
      <c r="H133">
        <v>1696</v>
      </c>
      <c r="I133">
        <v>363</v>
      </c>
      <c r="J133">
        <v>539</v>
      </c>
      <c r="K133">
        <v>353</v>
      </c>
      <c r="L133">
        <v>1037</v>
      </c>
      <c r="M133">
        <v>416</v>
      </c>
      <c r="N133">
        <v>216</v>
      </c>
      <c r="O133">
        <v>89</v>
      </c>
      <c r="P133">
        <v>422</v>
      </c>
      <c r="Q133">
        <v>596</v>
      </c>
      <c r="R133">
        <v>132</v>
      </c>
    </row>
    <row r="134" spans="1:18">
      <c r="A134" s="1" t="s">
        <v>119</v>
      </c>
      <c r="B134">
        <v>29</v>
      </c>
      <c r="C134">
        <v>15</v>
      </c>
      <c r="D134">
        <v>14</v>
      </c>
      <c r="E134">
        <v>-4.01</v>
      </c>
      <c r="F134">
        <v>2125</v>
      </c>
      <c r="G134">
        <v>759</v>
      </c>
      <c r="H134">
        <v>1735</v>
      </c>
      <c r="I134">
        <v>432</v>
      </c>
      <c r="J134">
        <v>607</v>
      </c>
      <c r="K134">
        <v>398</v>
      </c>
      <c r="L134">
        <v>1040</v>
      </c>
      <c r="M134">
        <v>409</v>
      </c>
      <c r="N134">
        <v>252</v>
      </c>
      <c r="O134">
        <v>98</v>
      </c>
      <c r="P134">
        <v>481</v>
      </c>
      <c r="Q134">
        <v>596</v>
      </c>
      <c r="R134">
        <v>133</v>
      </c>
    </row>
    <row r="135" spans="1:18">
      <c r="A135" s="1" t="s">
        <v>120</v>
      </c>
      <c r="B135">
        <v>30</v>
      </c>
      <c r="C135">
        <v>7</v>
      </c>
      <c r="D135">
        <v>23</v>
      </c>
      <c r="E135">
        <v>-1.1100000000000001</v>
      </c>
      <c r="F135">
        <v>1919</v>
      </c>
      <c r="G135">
        <v>674</v>
      </c>
      <c r="H135">
        <v>1546</v>
      </c>
      <c r="I135">
        <v>405</v>
      </c>
      <c r="J135">
        <v>606</v>
      </c>
      <c r="K135">
        <v>322</v>
      </c>
      <c r="L135">
        <v>902</v>
      </c>
      <c r="M135">
        <v>348</v>
      </c>
      <c r="N135">
        <v>181</v>
      </c>
      <c r="O135">
        <v>63</v>
      </c>
      <c r="P135">
        <v>420</v>
      </c>
      <c r="Q135">
        <v>613</v>
      </c>
      <c r="R135">
        <v>134</v>
      </c>
    </row>
    <row r="136" spans="1:18">
      <c r="A136" s="1" t="s">
        <v>121</v>
      </c>
      <c r="B136">
        <v>35</v>
      </c>
      <c r="C136">
        <v>23</v>
      </c>
      <c r="D136">
        <v>12</v>
      </c>
      <c r="E136">
        <v>5.53</v>
      </c>
      <c r="F136">
        <v>2467</v>
      </c>
      <c r="G136">
        <v>841</v>
      </c>
      <c r="H136">
        <v>1956</v>
      </c>
      <c r="I136">
        <v>562</v>
      </c>
      <c r="J136">
        <v>817</v>
      </c>
      <c r="K136">
        <v>452</v>
      </c>
      <c r="L136">
        <v>1250</v>
      </c>
      <c r="M136">
        <v>545</v>
      </c>
      <c r="N136">
        <v>206</v>
      </c>
      <c r="O136">
        <v>129</v>
      </c>
      <c r="P136">
        <v>478</v>
      </c>
      <c r="Q136">
        <v>654</v>
      </c>
      <c r="R136">
        <v>135</v>
      </c>
    </row>
    <row r="137" spans="1:18">
      <c r="A137" s="1" t="s">
        <v>375</v>
      </c>
      <c r="B137">
        <v>38</v>
      </c>
      <c r="C137">
        <v>33</v>
      </c>
      <c r="D137">
        <v>5</v>
      </c>
      <c r="E137">
        <v>6.86</v>
      </c>
      <c r="F137">
        <v>2978</v>
      </c>
      <c r="G137">
        <v>1106</v>
      </c>
      <c r="H137">
        <v>2241</v>
      </c>
      <c r="I137">
        <v>535</v>
      </c>
      <c r="J137">
        <v>811</v>
      </c>
      <c r="K137">
        <v>486</v>
      </c>
      <c r="L137">
        <v>1507</v>
      </c>
      <c r="M137">
        <v>651</v>
      </c>
      <c r="N137">
        <v>350</v>
      </c>
      <c r="O137">
        <v>246</v>
      </c>
      <c r="P137">
        <v>539</v>
      </c>
      <c r="Q137">
        <v>718</v>
      </c>
      <c r="R137">
        <v>136</v>
      </c>
    </row>
    <row r="138" spans="1:18">
      <c r="A138" s="1" t="s">
        <v>336</v>
      </c>
      <c r="B138">
        <v>31</v>
      </c>
      <c r="C138">
        <v>13</v>
      </c>
      <c r="D138">
        <v>18</v>
      </c>
      <c r="F138">
        <v>2106</v>
      </c>
      <c r="G138">
        <v>757</v>
      </c>
      <c r="H138">
        <v>1914</v>
      </c>
      <c r="I138">
        <v>399</v>
      </c>
      <c r="J138">
        <v>619</v>
      </c>
      <c r="K138">
        <v>504</v>
      </c>
      <c r="L138">
        <v>1110</v>
      </c>
      <c r="M138">
        <v>414</v>
      </c>
      <c r="N138">
        <v>307</v>
      </c>
      <c r="O138">
        <v>98</v>
      </c>
      <c r="P138">
        <v>425</v>
      </c>
      <c r="Q138">
        <v>585</v>
      </c>
      <c r="R138">
        <v>137</v>
      </c>
    </row>
    <row r="139" spans="1:18">
      <c r="A139" s="1" t="s">
        <v>122</v>
      </c>
      <c r="B139">
        <v>32</v>
      </c>
      <c r="C139">
        <v>21</v>
      </c>
      <c r="D139">
        <v>11</v>
      </c>
      <c r="E139">
        <v>1.28</v>
      </c>
      <c r="F139">
        <v>2195</v>
      </c>
      <c r="G139">
        <v>809</v>
      </c>
      <c r="H139">
        <v>1777</v>
      </c>
      <c r="I139">
        <v>388</v>
      </c>
      <c r="J139">
        <v>604</v>
      </c>
      <c r="K139">
        <v>366</v>
      </c>
      <c r="L139">
        <v>1076</v>
      </c>
      <c r="M139">
        <v>463</v>
      </c>
      <c r="N139">
        <v>261</v>
      </c>
      <c r="O139">
        <v>106</v>
      </c>
      <c r="P139">
        <v>440</v>
      </c>
      <c r="Q139">
        <v>595</v>
      </c>
      <c r="R139">
        <v>138</v>
      </c>
    </row>
    <row r="140" spans="1:18">
      <c r="A140" s="1" t="s">
        <v>354</v>
      </c>
      <c r="B140">
        <v>34</v>
      </c>
      <c r="C140">
        <v>22</v>
      </c>
      <c r="D140">
        <v>12</v>
      </c>
      <c r="E140">
        <v>11.41</v>
      </c>
      <c r="F140">
        <v>2496</v>
      </c>
      <c r="G140">
        <v>890</v>
      </c>
      <c r="H140">
        <v>1868</v>
      </c>
      <c r="I140">
        <v>485</v>
      </c>
      <c r="J140">
        <v>690</v>
      </c>
      <c r="K140">
        <v>370</v>
      </c>
      <c r="L140">
        <v>1235</v>
      </c>
      <c r="M140">
        <v>537</v>
      </c>
      <c r="N140">
        <v>201</v>
      </c>
      <c r="O140">
        <v>161</v>
      </c>
      <c r="P140">
        <v>493</v>
      </c>
      <c r="Q140">
        <v>547</v>
      </c>
      <c r="R140">
        <v>139</v>
      </c>
    </row>
    <row r="141" spans="1:18">
      <c r="A141" s="1" t="s">
        <v>123</v>
      </c>
      <c r="B141">
        <v>30</v>
      </c>
      <c r="C141">
        <v>10</v>
      </c>
      <c r="D141">
        <v>20</v>
      </c>
      <c r="E141">
        <v>-1.87</v>
      </c>
      <c r="F141">
        <v>2150</v>
      </c>
      <c r="G141">
        <v>771</v>
      </c>
      <c r="H141">
        <v>1683</v>
      </c>
      <c r="I141">
        <v>445</v>
      </c>
      <c r="J141">
        <v>648</v>
      </c>
      <c r="K141">
        <v>422</v>
      </c>
      <c r="L141">
        <v>1088</v>
      </c>
      <c r="M141">
        <v>427</v>
      </c>
      <c r="N141">
        <v>190</v>
      </c>
      <c r="O141">
        <v>60</v>
      </c>
      <c r="P141">
        <v>478</v>
      </c>
      <c r="Q141">
        <v>561</v>
      </c>
      <c r="R141">
        <v>140</v>
      </c>
    </row>
    <row r="142" spans="1:18">
      <c r="A142" s="1" t="s">
        <v>279</v>
      </c>
      <c r="B142">
        <v>30</v>
      </c>
      <c r="C142">
        <v>9</v>
      </c>
      <c r="D142">
        <v>21</v>
      </c>
      <c r="E142">
        <v>-2.38</v>
      </c>
      <c r="F142">
        <v>1938</v>
      </c>
      <c r="G142">
        <v>634</v>
      </c>
      <c r="H142">
        <v>1486</v>
      </c>
      <c r="I142">
        <v>414</v>
      </c>
      <c r="J142">
        <v>572</v>
      </c>
      <c r="K142">
        <v>226</v>
      </c>
      <c r="L142">
        <v>813</v>
      </c>
      <c r="M142">
        <v>410</v>
      </c>
      <c r="N142">
        <v>219</v>
      </c>
      <c r="O142">
        <v>74</v>
      </c>
      <c r="P142">
        <v>511</v>
      </c>
      <c r="Q142">
        <v>596</v>
      </c>
      <c r="R142">
        <v>141</v>
      </c>
    </row>
    <row r="143" spans="1:18">
      <c r="A143" s="1" t="s">
        <v>280</v>
      </c>
      <c r="B143">
        <v>32</v>
      </c>
      <c r="C143">
        <v>15</v>
      </c>
      <c r="D143">
        <v>17</v>
      </c>
      <c r="E143">
        <v>-3.54</v>
      </c>
      <c r="F143">
        <v>2367</v>
      </c>
      <c r="G143">
        <v>815</v>
      </c>
      <c r="H143">
        <v>1859</v>
      </c>
      <c r="I143">
        <v>471</v>
      </c>
      <c r="J143">
        <v>730</v>
      </c>
      <c r="K143">
        <v>415</v>
      </c>
      <c r="L143">
        <v>1228</v>
      </c>
      <c r="M143">
        <v>554</v>
      </c>
      <c r="N143">
        <v>187</v>
      </c>
      <c r="O143">
        <v>90</v>
      </c>
      <c r="P143">
        <v>534</v>
      </c>
      <c r="Q143">
        <v>600</v>
      </c>
      <c r="R143">
        <v>142</v>
      </c>
    </row>
    <row r="144" spans="1:18">
      <c r="A144" s="1" t="s">
        <v>124</v>
      </c>
      <c r="B144">
        <v>31</v>
      </c>
      <c r="C144">
        <v>12</v>
      </c>
      <c r="D144">
        <v>19</v>
      </c>
      <c r="E144">
        <v>-3.99</v>
      </c>
      <c r="F144">
        <v>1981</v>
      </c>
      <c r="G144">
        <v>681</v>
      </c>
      <c r="H144">
        <v>1590</v>
      </c>
      <c r="I144">
        <v>450</v>
      </c>
      <c r="J144">
        <v>638</v>
      </c>
      <c r="K144">
        <v>331</v>
      </c>
      <c r="L144">
        <v>1046</v>
      </c>
      <c r="M144">
        <v>375</v>
      </c>
      <c r="N144">
        <v>196</v>
      </c>
      <c r="O144">
        <v>83</v>
      </c>
      <c r="P144">
        <v>464</v>
      </c>
      <c r="Q144">
        <v>620</v>
      </c>
      <c r="R144">
        <v>143</v>
      </c>
    </row>
    <row r="145" spans="1:18">
      <c r="A145" s="1" t="s">
        <v>125</v>
      </c>
      <c r="B145">
        <v>31</v>
      </c>
      <c r="C145">
        <v>14</v>
      </c>
      <c r="D145">
        <v>17</v>
      </c>
      <c r="E145">
        <v>-3.25</v>
      </c>
      <c r="F145">
        <v>2369</v>
      </c>
      <c r="G145">
        <v>895</v>
      </c>
      <c r="H145">
        <v>1862</v>
      </c>
      <c r="I145">
        <v>421</v>
      </c>
      <c r="J145">
        <v>598</v>
      </c>
      <c r="K145">
        <v>358</v>
      </c>
      <c r="L145">
        <v>1178</v>
      </c>
      <c r="M145">
        <v>471</v>
      </c>
      <c r="N145">
        <v>210</v>
      </c>
      <c r="O145">
        <v>86</v>
      </c>
      <c r="P145">
        <v>469</v>
      </c>
      <c r="Q145">
        <v>645</v>
      </c>
      <c r="R145">
        <v>144</v>
      </c>
    </row>
    <row r="146" spans="1:18">
      <c r="A146" s="1" t="s">
        <v>320</v>
      </c>
      <c r="B146">
        <v>31</v>
      </c>
      <c r="C146">
        <v>18</v>
      </c>
      <c r="D146">
        <v>13</v>
      </c>
      <c r="E146">
        <v>-4.62</v>
      </c>
      <c r="F146">
        <v>2101</v>
      </c>
      <c r="G146">
        <v>717</v>
      </c>
      <c r="H146">
        <v>1730</v>
      </c>
      <c r="I146">
        <v>429</v>
      </c>
      <c r="J146">
        <v>609</v>
      </c>
      <c r="K146">
        <v>347</v>
      </c>
      <c r="L146">
        <v>1048</v>
      </c>
      <c r="M146">
        <v>412</v>
      </c>
      <c r="N146">
        <v>221</v>
      </c>
      <c r="O146">
        <v>80</v>
      </c>
      <c r="P146">
        <v>369</v>
      </c>
      <c r="Q146">
        <v>586</v>
      </c>
      <c r="R146">
        <v>145</v>
      </c>
    </row>
    <row r="147" spans="1:18">
      <c r="A147" s="1" t="s">
        <v>126</v>
      </c>
      <c r="B147">
        <v>32</v>
      </c>
      <c r="C147">
        <v>24</v>
      </c>
      <c r="D147">
        <v>8</v>
      </c>
      <c r="E147">
        <v>-2.0699999999999998</v>
      </c>
      <c r="F147">
        <v>2575</v>
      </c>
      <c r="G147">
        <v>906</v>
      </c>
      <c r="H147">
        <v>1994</v>
      </c>
      <c r="I147">
        <v>490</v>
      </c>
      <c r="J147">
        <v>698</v>
      </c>
      <c r="K147">
        <v>410</v>
      </c>
      <c r="L147">
        <v>1171</v>
      </c>
      <c r="M147">
        <v>454</v>
      </c>
      <c r="N147">
        <v>237</v>
      </c>
      <c r="O147">
        <v>91</v>
      </c>
      <c r="P147">
        <v>445</v>
      </c>
      <c r="Q147">
        <v>560</v>
      </c>
      <c r="R147">
        <v>146</v>
      </c>
    </row>
    <row r="148" spans="1:18">
      <c r="A148" s="1" t="s">
        <v>127</v>
      </c>
      <c r="B148">
        <v>29</v>
      </c>
      <c r="C148">
        <v>10</v>
      </c>
      <c r="D148">
        <v>19</v>
      </c>
      <c r="E148">
        <v>-7.88</v>
      </c>
      <c r="F148">
        <v>2006</v>
      </c>
      <c r="G148">
        <v>676</v>
      </c>
      <c r="H148">
        <v>1656</v>
      </c>
      <c r="I148">
        <v>439</v>
      </c>
      <c r="J148">
        <v>655</v>
      </c>
      <c r="K148">
        <v>354</v>
      </c>
      <c r="L148">
        <v>1040</v>
      </c>
      <c r="M148">
        <v>321</v>
      </c>
      <c r="N148">
        <v>168</v>
      </c>
      <c r="O148">
        <v>56</v>
      </c>
      <c r="P148">
        <v>423</v>
      </c>
      <c r="Q148">
        <v>557</v>
      </c>
      <c r="R148">
        <v>147</v>
      </c>
    </row>
    <row r="149" spans="1:18">
      <c r="A149" s="1" t="s">
        <v>331</v>
      </c>
      <c r="B149">
        <v>31</v>
      </c>
      <c r="C149">
        <v>9</v>
      </c>
      <c r="D149">
        <v>22</v>
      </c>
      <c r="F149">
        <v>2012</v>
      </c>
      <c r="G149">
        <v>720</v>
      </c>
      <c r="H149">
        <v>1787</v>
      </c>
      <c r="I149">
        <v>413</v>
      </c>
      <c r="J149">
        <v>588</v>
      </c>
      <c r="K149">
        <v>357</v>
      </c>
      <c r="L149">
        <v>1071</v>
      </c>
      <c r="M149">
        <v>406</v>
      </c>
      <c r="N149">
        <v>229</v>
      </c>
      <c r="O149">
        <v>125</v>
      </c>
      <c r="P149">
        <v>515</v>
      </c>
      <c r="Q149">
        <v>558</v>
      </c>
      <c r="R149">
        <v>148</v>
      </c>
    </row>
    <row r="150" spans="1:18">
      <c r="A150" s="1" t="s">
        <v>281</v>
      </c>
      <c r="B150">
        <v>30</v>
      </c>
      <c r="C150">
        <v>9</v>
      </c>
      <c r="D150">
        <v>21</v>
      </c>
      <c r="E150">
        <v>-4.8499999999999996</v>
      </c>
      <c r="F150">
        <v>2013</v>
      </c>
      <c r="G150">
        <v>727</v>
      </c>
      <c r="H150">
        <v>1728</v>
      </c>
      <c r="I150">
        <v>410</v>
      </c>
      <c r="J150">
        <v>620</v>
      </c>
      <c r="K150">
        <v>407</v>
      </c>
      <c r="L150">
        <v>1103</v>
      </c>
      <c r="M150">
        <v>343</v>
      </c>
      <c r="N150">
        <v>162</v>
      </c>
      <c r="O150">
        <v>86</v>
      </c>
      <c r="P150">
        <v>446</v>
      </c>
      <c r="Q150">
        <v>572</v>
      </c>
      <c r="R150">
        <v>149</v>
      </c>
    </row>
    <row r="151" spans="1:18">
      <c r="A151" s="1" t="s">
        <v>128</v>
      </c>
      <c r="B151">
        <v>32</v>
      </c>
      <c r="C151">
        <v>18</v>
      </c>
      <c r="D151">
        <v>14</v>
      </c>
      <c r="E151">
        <v>-6.01</v>
      </c>
      <c r="F151">
        <v>2305</v>
      </c>
      <c r="G151">
        <v>790</v>
      </c>
      <c r="H151">
        <v>1874</v>
      </c>
      <c r="I151">
        <v>438</v>
      </c>
      <c r="J151">
        <v>614</v>
      </c>
      <c r="K151">
        <v>391</v>
      </c>
      <c r="L151">
        <v>1129</v>
      </c>
      <c r="M151">
        <v>414</v>
      </c>
      <c r="N151">
        <v>202</v>
      </c>
      <c r="O151">
        <v>60</v>
      </c>
      <c r="P151">
        <v>459</v>
      </c>
      <c r="Q151">
        <v>553</v>
      </c>
      <c r="R151">
        <v>150</v>
      </c>
    </row>
    <row r="152" spans="1:18">
      <c r="A152" s="1" t="s">
        <v>282</v>
      </c>
      <c r="B152">
        <v>32</v>
      </c>
      <c r="C152">
        <v>17</v>
      </c>
      <c r="D152">
        <v>15</v>
      </c>
      <c r="E152">
        <v>7.44</v>
      </c>
      <c r="F152">
        <v>2177</v>
      </c>
      <c r="G152">
        <v>800</v>
      </c>
      <c r="H152">
        <v>1774</v>
      </c>
      <c r="I152">
        <v>403</v>
      </c>
      <c r="J152">
        <v>572</v>
      </c>
      <c r="K152">
        <v>391</v>
      </c>
      <c r="L152">
        <v>1205</v>
      </c>
      <c r="M152">
        <v>445</v>
      </c>
      <c r="N152">
        <v>218</v>
      </c>
      <c r="O152">
        <v>155</v>
      </c>
      <c r="P152">
        <v>452</v>
      </c>
      <c r="Q152">
        <v>493</v>
      </c>
      <c r="R152">
        <v>151</v>
      </c>
    </row>
    <row r="153" spans="1:18">
      <c r="A153" s="1" t="s">
        <v>129</v>
      </c>
      <c r="B153">
        <v>30</v>
      </c>
      <c r="C153">
        <v>10</v>
      </c>
      <c r="D153">
        <v>20</v>
      </c>
      <c r="E153">
        <v>0.64</v>
      </c>
      <c r="F153">
        <v>1922</v>
      </c>
      <c r="G153">
        <v>728</v>
      </c>
      <c r="H153">
        <v>1794</v>
      </c>
      <c r="I153">
        <v>308</v>
      </c>
      <c r="J153">
        <v>493</v>
      </c>
      <c r="K153">
        <v>410</v>
      </c>
      <c r="L153">
        <v>1086</v>
      </c>
      <c r="M153">
        <v>355</v>
      </c>
      <c r="N153">
        <v>208</v>
      </c>
      <c r="O153">
        <v>97</v>
      </c>
      <c r="P153">
        <v>432</v>
      </c>
      <c r="Q153">
        <v>619</v>
      </c>
      <c r="R153">
        <v>152</v>
      </c>
    </row>
    <row r="154" spans="1:18">
      <c r="A154" s="1" t="s">
        <v>283</v>
      </c>
      <c r="B154">
        <v>34</v>
      </c>
      <c r="C154">
        <v>24</v>
      </c>
      <c r="D154">
        <v>10</v>
      </c>
      <c r="E154">
        <v>7.69</v>
      </c>
      <c r="F154">
        <v>2433</v>
      </c>
      <c r="G154">
        <v>845</v>
      </c>
      <c r="H154">
        <v>1946</v>
      </c>
      <c r="I154">
        <v>493</v>
      </c>
      <c r="J154">
        <v>727</v>
      </c>
      <c r="K154">
        <v>456</v>
      </c>
      <c r="L154">
        <v>1249</v>
      </c>
      <c r="M154">
        <v>495</v>
      </c>
      <c r="N154">
        <v>251</v>
      </c>
      <c r="O154">
        <v>144</v>
      </c>
      <c r="P154">
        <v>434</v>
      </c>
      <c r="Q154">
        <v>698</v>
      </c>
      <c r="R154">
        <v>153</v>
      </c>
    </row>
    <row r="155" spans="1:18">
      <c r="A155" s="1" t="s">
        <v>130</v>
      </c>
      <c r="B155">
        <v>32</v>
      </c>
      <c r="C155">
        <v>21</v>
      </c>
      <c r="D155">
        <v>11</v>
      </c>
      <c r="E155">
        <v>0.78</v>
      </c>
      <c r="F155">
        <v>2237</v>
      </c>
      <c r="G155">
        <v>774</v>
      </c>
      <c r="H155">
        <v>1710</v>
      </c>
      <c r="I155">
        <v>519</v>
      </c>
      <c r="J155">
        <v>713</v>
      </c>
      <c r="K155">
        <v>405</v>
      </c>
      <c r="L155">
        <v>1146</v>
      </c>
      <c r="M155">
        <v>375</v>
      </c>
      <c r="N155">
        <v>171</v>
      </c>
      <c r="O155">
        <v>115</v>
      </c>
      <c r="P155">
        <v>421</v>
      </c>
      <c r="Q155">
        <v>533</v>
      </c>
      <c r="R155">
        <v>154</v>
      </c>
    </row>
    <row r="156" spans="1:18">
      <c r="A156" s="1" t="s">
        <v>131</v>
      </c>
      <c r="B156">
        <v>31</v>
      </c>
      <c r="C156">
        <v>13</v>
      </c>
      <c r="D156">
        <v>18</v>
      </c>
      <c r="E156">
        <v>1.8</v>
      </c>
      <c r="F156">
        <v>2030</v>
      </c>
      <c r="G156">
        <v>730</v>
      </c>
      <c r="H156">
        <v>1812</v>
      </c>
      <c r="I156">
        <v>417</v>
      </c>
      <c r="J156">
        <v>609</v>
      </c>
      <c r="K156">
        <v>366</v>
      </c>
      <c r="L156">
        <v>1069</v>
      </c>
      <c r="M156">
        <v>462</v>
      </c>
      <c r="N156">
        <v>213</v>
      </c>
      <c r="O156">
        <v>58</v>
      </c>
      <c r="P156">
        <v>508</v>
      </c>
      <c r="Q156">
        <v>591</v>
      </c>
      <c r="R156">
        <v>155</v>
      </c>
    </row>
    <row r="157" spans="1:18">
      <c r="A157" s="1" t="s">
        <v>132</v>
      </c>
      <c r="B157">
        <v>31</v>
      </c>
      <c r="C157">
        <v>18</v>
      </c>
      <c r="D157">
        <v>13</v>
      </c>
      <c r="E157">
        <v>-5.44</v>
      </c>
      <c r="F157">
        <v>2213</v>
      </c>
      <c r="G157">
        <v>764</v>
      </c>
      <c r="H157">
        <v>1652</v>
      </c>
      <c r="I157">
        <v>453</v>
      </c>
      <c r="J157">
        <v>638</v>
      </c>
      <c r="K157">
        <v>335</v>
      </c>
      <c r="L157">
        <v>1038</v>
      </c>
      <c r="M157">
        <v>438</v>
      </c>
      <c r="N157">
        <v>196</v>
      </c>
      <c r="O157">
        <v>105</v>
      </c>
      <c r="P157">
        <v>441</v>
      </c>
      <c r="Q157">
        <v>651</v>
      </c>
      <c r="R157">
        <v>156</v>
      </c>
    </row>
    <row r="158" spans="1:18">
      <c r="A158" s="1" t="s">
        <v>133</v>
      </c>
      <c r="B158">
        <v>30</v>
      </c>
      <c r="C158">
        <v>12</v>
      </c>
      <c r="D158">
        <v>18</v>
      </c>
      <c r="E158">
        <v>-5.25</v>
      </c>
      <c r="F158">
        <v>1961</v>
      </c>
      <c r="G158">
        <v>711</v>
      </c>
      <c r="H158">
        <v>1685</v>
      </c>
      <c r="I158">
        <v>342</v>
      </c>
      <c r="J158">
        <v>511</v>
      </c>
      <c r="K158">
        <v>332</v>
      </c>
      <c r="L158">
        <v>1024</v>
      </c>
      <c r="M158">
        <v>363</v>
      </c>
      <c r="N158">
        <v>235</v>
      </c>
      <c r="O158">
        <v>98</v>
      </c>
      <c r="P158">
        <v>399</v>
      </c>
      <c r="Q158">
        <v>518</v>
      </c>
      <c r="R158">
        <v>157</v>
      </c>
    </row>
    <row r="159" spans="1:18">
      <c r="A159" s="1" t="s">
        <v>134</v>
      </c>
      <c r="B159">
        <v>30</v>
      </c>
      <c r="C159">
        <v>13</v>
      </c>
      <c r="D159">
        <v>17</v>
      </c>
      <c r="E159">
        <v>-4.78</v>
      </c>
      <c r="F159">
        <v>1978</v>
      </c>
      <c r="G159">
        <v>704</v>
      </c>
      <c r="H159">
        <v>1666</v>
      </c>
      <c r="I159">
        <v>446</v>
      </c>
      <c r="J159">
        <v>632</v>
      </c>
      <c r="K159">
        <v>364</v>
      </c>
      <c r="L159">
        <v>1031</v>
      </c>
      <c r="M159">
        <v>334</v>
      </c>
      <c r="N159">
        <v>235</v>
      </c>
      <c r="O159">
        <v>109</v>
      </c>
      <c r="P159">
        <v>428</v>
      </c>
      <c r="Q159">
        <v>635</v>
      </c>
      <c r="R159">
        <v>158</v>
      </c>
    </row>
    <row r="160" spans="1:18">
      <c r="A160" s="1" t="s">
        <v>135</v>
      </c>
      <c r="B160">
        <v>34</v>
      </c>
      <c r="C160">
        <v>25</v>
      </c>
      <c r="D160">
        <v>9</v>
      </c>
      <c r="E160">
        <v>-4.29</v>
      </c>
      <c r="F160">
        <v>2548</v>
      </c>
      <c r="G160">
        <v>888</v>
      </c>
      <c r="H160">
        <v>1971</v>
      </c>
      <c r="I160">
        <v>460</v>
      </c>
      <c r="J160">
        <v>674</v>
      </c>
      <c r="K160">
        <v>405</v>
      </c>
      <c r="L160">
        <v>1255</v>
      </c>
      <c r="M160">
        <v>514</v>
      </c>
      <c r="N160">
        <v>189</v>
      </c>
      <c r="O160">
        <v>74</v>
      </c>
      <c r="P160">
        <v>441</v>
      </c>
      <c r="Q160">
        <v>628</v>
      </c>
      <c r="R160">
        <v>159</v>
      </c>
    </row>
    <row r="161" spans="1:18">
      <c r="A161" s="1" t="s">
        <v>136</v>
      </c>
      <c r="B161">
        <v>34</v>
      </c>
      <c r="C161">
        <v>24</v>
      </c>
      <c r="D161">
        <v>10</v>
      </c>
      <c r="E161">
        <v>6.95</v>
      </c>
      <c r="F161">
        <v>2443</v>
      </c>
      <c r="G161">
        <v>851</v>
      </c>
      <c r="H161">
        <v>1951</v>
      </c>
      <c r="I161">
        <v>524</v>
      </c>
      <c r="J161">
        <v>783</v>
      </c>
      <c r="K161">
        <v>488</v>
      </c>
      <c r="L161">
        <v>1251</v>
      </c>
      <c r="M161">
        <v>475</v>
      </c>
      <c r="N161">
        <v>295</v>
      </c>
      <c r="O161">
        <v>115</v>
      </c>
      <c r="P161">
        <v>496</v>
      </c>
      <c r="Q161">
        <v>691</v>
      </c>
      <c r="R161">
        <v>160</v>
      </c>
    </row>
    <row r="162" spans="1:18">
      <c r="A162" s="1" t="s">
        <v>137</v>
      </c>
      <c r="B162">
        <v>32</v>
      </c>
      <c r="C162">
        <v>13</v>
      </c>
      <c r="D162">
        <v>19</v>
      </c>
      <c r="E162">
        <v>2.33</v>
      </c>
      <c r="F162">
        <v>2112</v>
      </c>
      <c r="G162">
        <v>728</v>
      </c>
      <c r="H162">
        <v>1816</v>
      </c>
      <c r="I162">
        <v>465</v>
      </c>
      <c r="J162">
        <v>713</v>
      </c>
      <c r="K162">
        <v>458</v>
      </c>
      <c r="L162">
        <v>1187</v>
      </c>
      <c r="M162">
        <v>399</v>
      </c>
      <c r="N162">
        <v>213</v>
      </c>
      <c r="O162">
        <v>138</v>
      </c>
      <c r="P162">
        <v>493</v>
      </c>
      <c r="Q162">
        <v>627</v>
      </c>
      <c r="R162">
        <v>161</v>
      </c>
    </row>
    <row r="163" spans="1:18">
      <c r="A163" s="1" t="s">
        <v>138</v>
      </c>
      <c r="B163">
        <v>31</v>
      </c>
      <c r="C163">
        <v>12</v>
      </c>
      <c r="D163">
        <v>19</v>
      </c>
      <c r="E163">
        <v>-4.92</v>
      </c>
      <c r="F163">
        <v>1875</v>
      </c>
      <c r="G163">
        <v>692</v>
      </c>
      <c r="H163">
        <v>1637</v>
      </c>
      <c r="I163">
        <v>326</v>
      </c>
      <c r="J163">
        <v>445</v>
      </c>
      <c r="K163">
        <v>317</v>
      </c>
      <c r="L163">
        <v>962</v>
      </c>
      <c r="M163">
        <v>381</v>
      </c>
      <c r="N163">
        <v>164</v>
      </c>
      <c r="O163">
        <v>91</v>
      </c>
      <c r="P163">
        <v>395</v>
      </c>
      <c r="Q163">
        <v>513</v>
      </c>
      <c r="R163">
        <v>162</v>
      </c>
    </row>
    <row r="164" spans="1:18">
      <c r="A164" s="1" t="s">
        <v>139</v>
      </c>
      <c r="B164">
        <v>31</v>
      </c>
      <c r="C164">
        <v>4</v>
      </c>
      <c r="D164">
        <v>27</v>
      </c>
      <c r="E164">
        <v>-9.0399999999999991</v>
      </c>
      <c r="F164">
        <v>1880</v>
      </c>
      <c r="G164">
        <v>672</v>
      </c>
      <c r="H164">
        <v>1734</v>
      </c>
      <c r="I164">
        <v>365</v>
      </c>
      <c r="J164">
        <v>579</v>
      </c>
      <c r="K164">
        <v>376</v>
      </c>
      <c r="L164">
        <v>981</v>
      </c>
      <c r="M164">
        <v>287</v>
      </c>
      <c r="N164">
        <v>205</v>
      </c>
      <c r="O164">
        <v>58</v>
      </c>
      <c r="P164">
        <v>483</v>
      </c>
      <c r="Q164">
        <v>578</v>
      </c>
      <c r="R164">
        <v>163</v>
      </c>
    </row>
    <row r="165" spans="1:18">
      <c r="A165" s="1" t="s">
        <v>332</v>
      </c>
      <c r="B165">
        <v>34</v>
      </c>
      <c r="C165">
        <v>25</v>
      </c>
      <c r="D165">
        <v>9</v>
      </c>
      <c r="E165">
        <v>7.59</v>
      </c>
      <c r="F165">
        <v>2685</v>
      </c>
      <c r="G165">
        <v>971</v>
      </c>
      <c r="H165">
        <v>2032</v>
      </c>
      <c r="I165">
        <v>547</v>
      </c>
      <c r="J165">
        <v>787</v>
      </c>
      <c r="K165">
        <v>437</v>
      </c>
      <c r="L165">
        <v>1325</v>
      </c>
      <c r="M165">
        <v>587</v>
      </c>
      <c r="N165">
        <v>253</v>
      </c>
      <c r="O165">
        <v>233</v>
      </c>
      <c r="P165">
        <v>544</v>
      </c>
      <c r="Q165">
        <v>612</v>
      </c>
      <c r="R165">
        <v>164</v>
      </c>
    </row>
    <row r="166" spans="1:18">
      <c r="A166" s="1" t="s">
        <v>140</v>
      </c>
      <c r="B166">
        <v>33</v>
      </c>
      <c r="C166">
        <v>24</v>
      </c>
      <c r="D166">
        <v>9</v>
      </c>
      <c r="E166">
        <v>0.97</v>
      </c>
      <c r="F166">
        <v>2551</v>
      </c>
      <c r="G166">
        <v>926</v>
      </c>
      <c r="H166">
        <v>1941</v>
      </c>
      <c r="I166">
        <v>502</v>
      </c>
      <c r="J166">
        <v>808</v>
      </c>
      <c r="K166">
        <v>482</v>
      </c>
      <c r="L166">
        <v>1334</v>
      </c>
      <c r="M166">
        <v>522</v>
      </c>
      <c r="N166">
        <v>226</v>
      </c>
      <c r="O166">
        <v>246</v>
      </c>
      <c r="P166">
        <v>531</v>
      </c>
      <c r="Q166">
        <v>696</v>
      </c>
      <c r="R166">
        <v>165</v>
      </c>
    </row>
    <row r="167" spans="1:18">
      <c r="A167" s="1" t="s">
        <v>141</v>
      </c>
      <c r="B167">
        <v>32</v>
      </c>
      <c r="C167">
        <v>15</v>
      </c>
      <c r="D167">
        <v>17</v>
      </c>
      <c r="E167">
        <v>-4.66</v>
      </c>
      <c r="F167">
        <v>2028</v>
      </c>
      <c r="G167">
        <v>747</v>
      </c>
      <c r="H167">
        <v>1839</v>
      </c>
      <c r="I167">
        <v>407</v>
      </c>
      <c r="J167">
        <v>621</v>
      </c>
      <c r="K167">
        <v>455</v>
      </c>
      <c r="L167">
        <v>1222</v>
      </c>
      <c r="M167">
        <v>361</v>
      </c>
      <c r="N167">
        <v>230</v>
      </c>
      <c r="O167">
        <v>158</v>
      </c>
      <c r="P167">
        <v>524</v>
      </c>
      <c r="Q167">
        <v>601</v>
      </c>
      <c r="R167">
        <v>166</v>
      </c>
    </row>
    <row r="168" spans="1:18">
      <c r="A168" s="1" t="s">
        <v>142</v>
      </c>
      <c r="B168">
        <v>37</v>
      </c>
      <c r="C168">
        <v>33</v>
      </c>
      <c r="D168">
        <v>4</v>
      </c>
      <c r="E168">
        <v>3.91</v>
      </c>
      <c r="F168">
        <v>2918</v>
      </c>
      <c r="G168">
        <v>1024</v>
      </c>
      <c r="H168">
        <v>2249</v>
      </c>
      <c r="I168">
        <v>592</v>
      </c>
      <c r="J168">
        <v>953</v>
      </c>
      <c r="K168">
        <v>550</v>
      </c>
      <c r="L168">
        <v>1468</v>
      </c>
      <c r="M168">
        <v>537</v>
      </c>
      <c r="N168">
        <v>344</v>
      </c>
      <c r="O168">
        <v>217</v>
      </c>
      <c r="P168">
        <v>493</v>
      </c>
      <c r="Q168">
        <v>732</v>
      </c>
      <c r="R168">
        <v>167</v>
      </c>
    </row>
    <row r="169" spans="1:18">
      <c r="A169" s="1" t="s">
        <v>143</v>
      </c>
      <c r="B169">
        <v>30</v>
      </c>
      <c r="C169">
        <v>13</v>
      </c>
      <c r="D169">
        <v>17</v>
      </c>
      <c r="E169">
        <v>-5.82</v>
      </c>
      <c r="F169">
        <v>2177</v>
      </c>
      <c r="G169">
        <v>762</v>
      </c>
      <c r="H169">
        <v>1739</v>
      </c>
      <c r="I169">
        <v>484</v>
      </c>
      <c r="J169">
        <v>679</v>
      </c>
      <c r="K169">
        <v>344</v>
      </c>
      <c r="L169">
        <v>1145</v>
      </c>
      <c r="M169">
        <v>382</v>
      </c>
      <c r="N169">
        <v>194</v>
      </c>
      <c r="O169">
        <v>138</v>
      </c>
      <c r="P169">
        <v>529</v>
      </c>
      <c r="Q169">
        <v>498</v>
      </c>
      <c r="R169">
        <v>168</v>
      </c>
    </row>
    <row r="170" spans="1:18">
      <c r="A170" s="1" t="s">
        <v>284</v>
      </c>
      <c r="B170">
        <v>32</v>
      </c>
      <c r="C170">
        <v>12</v>
      </c>
      <c r="D170">
        <v>20</v>
      </c>
      <c r="E170">
        <v>7.15</v>
      </c>
      <c r="F170">
        <v>2279</v>
      </c>
      <c r="G170">
        <v>833</v>
      </c>
      <c r="H170">
        <v>1916</v>
      </c>
      <c r="I170">
        <v>405</v>
      </c>
      <c r="J170">
        <v>577</v>
      </c>
      <c r="K170">
        <v>451</v>
      </c>
      <c r="L170">
        <v>1124</v>
      </c>
      <c r="M170">
        <v>398</v>
      </c>
      <c r="N170">
        <v>202</v>
      </c>
      <c r="O170">
        <v>93</v>
      </c>
      <c r="P170">
        <v>405</v>
      </c>
      <c r="Q170">
        <v>624</v>
      </c>
      <c r="R170">
        <v>169</v>
      </c>
    </row>
    <row r="171" spans="1:18">
      <c r="A171" s="1" t="s">
        <v>144</v>
      </c>
      <c r="B171">
        <v>33</v>
      </c>
      <c r="C171">
        <v>18</v>
      </c>
      <c r="D171">
        <v>15</v>
      </c>
      <c r="E171">
        <v>2.78</v>
      </c>
      <c r="F171">
        <v>1962</v>
      </c>
      <c r="G171">
        <v>720</v>
      </c>
      <c r="H171">
        <v>1565</v>
      </c>
      <c r="I171">
        <v>353</v>
      </c>
      <c r="J171">
        <v>498</v>
      </c>
      <c r="K171">
        <v>260</v>
      </c>
      <c r="L171">
        <v>998</v>
      </c>
      <c r="M171">
        <v>421</v>
      </c>
      <c r="N171">
        <v>187</v>
      </c>
      <c r="O171">
        <v>135</v>
      </c>
      <c r="P171">
        <v>434</v>
      </c>
      <c r="Q171">
        <v>560</v>
      </c>
      <c r="R171">
        <v>170</v>
      </c>
    </row>
    <row r="172" spans="1:18">
      <c r="A172" s="1" t="s">
        <v>377</v>
      </c>
      <c r="B172">
        <v>35</v>
      </c>
      <c r="C172">
        <v>23</v>
      </c>
      <c r="D172">
        <v>12</v>
      </c>
      <c r="E172">
        <v>8.4499999999999993</v>
      </c>
      <c r="F172">
        <v>2276</v>
      </c>
      <c r="G172">
        <v>806</v>
      </c>
      <c r="H172">
        <v>1718</v>
      </c>
      <c r="I172">
        <v>482</v>
      </c>
      <c r="J172">
        <v>671</v>
      </c>
      <c r="K172">
        <v>394</v>
      </c>
      <c r="L172">
        <v>1217</v>
      </c>
      <c r="M172">
        <v>560</v>
      </c>
      <c r="N172">
        <v>180</v>
      </c>
      <c r="O172">
        <v>162</v>
      </c>
      <c r="P172">
        <v>521</v>
      </c>
      <c r="Q172">
        <v>652</v>
      </c>
      <c r="R172">
        <v>171</v>
      </c>
    </row>
    <row r="173" spans="1:18">
      <c r="A173" s="1" t="s">
        <v>145</v>
      </c>
      <c r="B173">
        <v>35</v>
      </c>
      <c r="C173">
        <v>22</v>
      </c>
      <c r="D173">
        <v>13</v>
      </c>
      <c r="E173">
        <v>6.79</v>
      </c>
      <c r="F173">
        <v>2249</v>
      </c>
      <c r="G173">
        <v>791</v>
      </c>
      <c r="H173">
        <v>1779</v>
      </c>
      <c r="I173">
        <v>497</v>
      </c>
      <c r="J173">
        <v>683</v>
      </c>
      <c r="K173">
        <v>416</v>
      </c>
      <c r="L173">
        <v>1231</v>
      </c>
      <c r="M173">
        <v>478</v>
      </c>
      <c r="N173">
        <v>190</v>
      </c>
      <c r="O173">
        <v>200</v>
      </c>
      <c r="P173">
        <v>520</v>
      </c>
      <c r="Q173">
        <v>587</v>
      </c>
      <c r="R173">
        <v>172</v>
      </c>
    </row>
    <row r="174" spans="1:18">
      <c r="A174" s="1" t="s">
        <v>146</v>
      </c>
      <c r="B174">
        <v>32</v>
      </c>
      <c r="C174">
        <v>15</v>
      </c>
      <c r="D174">
        <v>17</v>
      </c>
      <c r="E174">
        <v>-3.96</v>
      </c>
      <c r="F174">
        <v>1995</v>
      </c>
      <c r="G174">
        <v>741</v>
      </c>
      <c r="H174">
        <v>1619</v>
      </c>
      <c r="I174">
        <v>367</v>
      </c>
      <c r="J174">
        <v>524</v>
      </c>
      <c r="K174">
        <v>283</v>
      </c>
      <c r="L174">
        <v>1033</v>
      </c>
      <c r="M174">
        <v>401</v>
      </c>
      <c r="N174">
        <v>127</v>
      </c>
      <c r="O174">
        <v>91</v>
      </c>
      <c r="P174">
        <v>455</v>
      </c>
      <c r="Q174">
        <v>638</v>
      </c>
      <c r="R174">
        <v>173</v>
      </c>
    </row>
    <row r="175" spans="1:18">
      <c r="A175" s="1" t="s">
        <v>147</v>
      </c>
      <c r="B175">
        <v>31</v>
      </c>
      <c r="C175">
        <v>9</v>
      </c>
      <c r="D175">
        <v>22</v>
      </c>
      <c r="E175">
        <v>2.34</v>
      </c>
      <c r="F175">
        <v>2007</v>
      </c>
      <c r="G175">
        <v>700</v>
      </c>
      <c r="H175">
        <v>1808</v>
      </c>
      <c r="I175">
        <v>385</v>
      </c>
      <c r="J175">
        <v>572</v>
      </c>
      <c r="K175">
        <v>406</v>
      </c>
      <c r="L175">
        <v>1071</v>
      </c>
      <c r="M175">
        <v>355</v>
      </c>
      <c r="N175">
        <v>176</v>
      </c>
      <c r="O175">
        <v>64</v>
      </c>
      <c r="P175">
        <v>412</v>
      </c>
      <c r="Q175">
        <v>655</v>
      </c>
      <c r="R175">
        <v>174</v>
      </c>
    </row>
    <row r="176" spans="1:18">
      <c r="A176" s="1" t="s">
        <v>148</v>
      </c>
      <c r="B176">
        <v>31</v>
      </c>
      <c r="C176">
        <v>9</v>
      </c>
      <c r="D176">
        <v>22</v>
      </c>
      <c r="E176">
        <v>8.0500000000000007</v>
      </c>
      <c r="F176">
        <v>1880</v>
      </c>
      <c r="G176">
        <v>696</v>
      </c>
      <c r="H176">
        <v>1613</v>
      </c>
      <c r="I176">
        <v>306</v>
      </c>
      <c r="J176">
        <v>448</v>
      </c>
      <c r="K176">
        <v>272</v>
      </c>
      <c r="L176">
        <v>984</v>
      </c>
      <c r="M176">
        <v>396</v>
      </c>
      <c r="N176">
        <v>150</v>
      </c>
      <c r="O176">
        <v>152</v>
      </c>
      <c r="P176">
        <v>456</v>
      </c>
      <c r="Q176">
        <v>521</v>
      </c>
      <c r="R176">
        <v>175</v>
      </c>
    </row>
    <row r="177" spans="1:18">
      <c r="A177" s="1" t="s">
        <v>149</v>
      </c>
      <c r="B177">
        <v>35</v>
      </c>
      <c r="C177">
        <v>21</v>
      </c>
      <c r="D177">
        <v>14</v>
      </c>
      <c r="E177">
        <v>6.91</v>
      </c>
      <c r="F177">
        <v>2692</v>
      </c>
      <c r="G177">
        <v>951</v>
      </c>
      <c r="H177">
        <v>2071</v>
      </c>
      <c r="I177">
        <v>515</v>
      </c>
      <c r="J177">
        <v>774</v>
      </c>
      <c r="K177">
        <v>443</v>
      </c>
      <c r="L177">
        <v>1364</v>
      </c>
      <c r="M177">
        <v>512</v>
      </c>
      <c r="N177">
        <v>245</v>
      </c>
      <c r="O177">
        <v>222</v>
      </c>
      <c r="P177">
        <v>491</v>
      </c>
      <c r="Q177">
        <v>601</v>
      </c>
      <c r="R177">
        <v>176</v>
      </c>
    </row>
    <row r="178" spans="1:18">
      <c r="A178" s="1" t="s">
        <v>150</v>
      </c>
      <c r="B178">
        <v>34</v>
      </c>
      <c r="C178">
        <v>18</v>
      </c>
      <c r="D178">
        <v>16</v>
      </c>
      <c r="E178">
        <v>-10.87</v>
      </c>
      <c r="F178">
        <v>2076</v>
      </c>
      <c r="G178">
        <v>721</v>
      </c>
      <c r="H178">
        <v>1774</v>
      </c>
      <c r="I178">
        <v>469</v>
      </c>
      <c r="J178">
        <v>721</v>
      </c>
      <c r="K178">
        <v>407</v>
      </c>
      <c r="L178">
        <v>1218</v>
      </c>
      <c r="M178">
        <v>368</v>
      </c>
      <c r="N178">
        <v>197</v>
      </c>
      <c r="O178">
        <v>144</v>
      </c>
      <c r="P178">
        <v>541</v>
      </c>
      <c r="Q178">
        <v>585</v>
      </c>
      <c r="R178">
        <v>177</v>
      </c>
    </row>
    <row r="179" spans="1:18">
      <c r="A179" s="1" t="s">
        <v>151</v>
      </c>
      <c r="B179">
        <v>34</v>
      </c>
      <c r="C179">
        <v>21</v>
      </c>
      <c r="D179">
        <v>13</v>
      </c>
      <c r="E179">
        <v>6.38</v>
      </c>
      <c r="F179">
        <v>2486</v>
      </c>
      <c r="G179">
        <v>929</v>
      </c>
      <c r="H179">
        <v>2100</v>
      </c>
      <c r="I179">
        <v>396</v>
      </c>
      <c r="J179">
        <v>563</v>
      </c>
      <c r="K179">
        <v>440</v>
      </c>
      <c r="L179">
        <v>1216</v>
      </c>
      <c r="M179">
        <v>478</v>
      </c>
      <c r="N179">
        <v>246</v>
      </c>
      <c r="O179">
        <v>118</v>
      </c>
      <c r="P179">
        <v>409</v>
      </c>
      <c r="Q179">
        <v>584</v>
      </c>
      <c r="R179">
        <v>178</v>
      </c>
    </row>
    <row r="180" spans="1:18">
      <c r="A180" s="1" t="s">
        <v>152</v>
      </c>
      <c r="B180">
        <v>32</v>
      </c>
      <c r="C180">
        <v>12</v>
      </c>
      <c r="D180">
        <v>20</v>
      </c>
      <c r="E180">
        <v>-1.8</v>
      </c>
      <c r="F180">
        <v>2290</v>
      </c>
      <c r="G180">
        <v>805</v>
      </c>
      <c r="H180">
        <v>1895</v>
      </c>
      <c r="I180">
        <v>413</v>
      </c>
      <c r="J180">
        <v>558</v>
      </c>
      <c r="K180">
        <v>378</v>
      </c>
      <c r="L180">
        <v>1029</v>
      </c>
      <c r="M180">
        <v>372</v>
      </c>
      <c r="N180">
        <v>206</v>
      </c>
      <c r="O180">
        <v>81</v>
      </c>
      <c r="P180">
        <v>371</v>
      </c>
      <c r="Q180">
        <v>585</v>
      </c>
      <c r="R180">
        <v>179</v>
      </c>
    </row>
    <row r="181" spans="1:18">
      <c r="A181" s="1" t="s">
        <v>153</v>
      </c>
      <c r="B181">
        <v>33</v>
      </c>
      <c r="C181">
        <v>22</v>
      </c>
      <c r="D181">
        <v>11</v>
      </c>
      <c r="E181">
        <v>5.93</v>
      </c>
      <c r="F181">
        <v>2439</v>
      </c>
      <c r="G181">
        <v>844</v>
      </c>
      <c r="H181">
        <v>1794</v>
      </c>
      <c r="I181">
        <v>508</v>
      </c>
      <c r="J181">
        <v>727</v>
      </c>
      <c r="K181">
        <v>356</v>
      </c>
      <c r="L181">
        <v>1145</v>
      </c>
      <c r="M181">
        <v>542</v>
      </c>
      <c r="N181">
        <v>257</v>
      </c>
      <c r="O181">
        <v>103</v>
      </c>
      <c r="P181">
        <v>437</v>
      </c>
      <c r="Q181">
        <v>606</v>
      </c>
      <c r="R181">
        <v>180</v>
      </c>
    </row>
    <row r="182" spans="1:18">
      <c r="A182" s="1" t="s">
        <v>328</v>
      </c>
      <c r="B182">
        <v>30</v>
      </c>
      <c r="C182">
        <v>18</v>
      </c>
      <c r="D182">
        <v>12</v>
      </c>
      <c r="E182">
        <v>5.03</v>
      </c>
      <c r="F182">
        <v>2328</v>
      </c>
      <c r="G182">
        <v>841</v>
      </c>
      <c r="H182">
        <v>1827</v>
      </c>
      <c r="I182">
        <v>401</v>
      </c>
      <c r="J182">
        <v>580</v>
      </c>
      <c r="K182">
        <v>346</v>
      </c>
      <c r="L182">
        <v>1045</v>
      </c>
      <c r="M182">
        <v>466</v>
      </c>
      <c r="N182">
        <v>302</v>
      </c>
      <c r="O182">
        <v>91</v>
      </c>
      <c r="P182">
        <v>448</v>
      </c>
      <c r="Q182">
        <v>617</v>
      </c>
      <c r="R182">
        <v>181</v>
      </c>
    </row>
    <row r="183" spans="1:18">
      <c r="A183" s="1" t="s">
        <v>154</v>
      </c>
      <c r="B183">
        <v>30</v>
      </c>
      <c r="C183">
        <v>12</v>
      </c>
      <c r="D183">
        <v>18</v>
      </c>
      <c r="E183">
        <v>-5.96</v>
      </c>
      <c r="F183">
        <v>1938</v>
      </c>
      <c r="G183">
        <v>704</v>
      </c>
      <c r="H183">
        <v>1513</v>
      </c>
      <c r="I183">
        <v>341</v>
      </c>
      <c r="J183">
        <v>519</v>
      </c>
      <c r="K183">
        <v>259</v>
      </c>
      <c r="L183">
        <v>902</v>
      </c>
      <c r="M183">
        <v>412</v>
      </c>
      <c r="N183">
        <v>194</v>
      </c>
      <c r="O183">
        <v>153</v>
      </c>
      <c r="P183">
        <v>458</v>
      </c>
      <c r="Q183">
        <v>510</v>
      </c>
      <c r="R183">
        <v>182</v>
      </c>
    </row>
    <row r="184" spans="1:18">
      <c r="A184" s="1" t="s">
        <v>155</v>
      </c>
      <c r="B184">
        <v>30</v>
      </c>
      <c r="C184">
        <v>11</v>
      </c>
      <c r="D184">
        <v>19</v>
      </c>
      <c r="E184">
        <v>-4.2300000000000004</v>
      </c>
      <c r="F184">
        <v>2040</v>
      </c>
      <c r="G184">
        <v>713</v>
      </c>
      <c r="H184">
        <v>1696</v>
      </c>
      <c r="I184">
        <v>383</v>
      </c>
      <c r="J184">
        <v>576</v>
      </c>
      <c r="K184">
        <v>385</v>
      </c>
      <c r="L184">
        <v>1063</v>
      </c>
      <c r="M184">
        <v>426</v>
      </c>
      <c r="N184">
        <v>170</v>
      </c>
      <c r="O184">
        <v>102</v>
      </c>
      <c r="P184">
        <v>474</v>
      </c>
      <c r="Q184">
        <v>661</v>
      </c>
      <c r="R184">
        <v>183</v>
      </c>
    </row>
    <row r="185" spans="1:18">
      <c r="A185" s="1" t="s">
        <v>156</v>
      </c>
      <c r="B185">
        <v>32</v>
      </c>
      <c r="C185">
        <v>17</v>
      </c>
      <c r="D185">
        <v>15</v>
      </c>
      <c r="E185">
        <v>-3.53</v>
      </c>
      <c r="F185">
        <v>2310</v>
      </c>
      <c r="G185">
        <v>830</v>
      </c>
      <c r="H185">
        <v>1785</v>
      </c>
      <c r="I185">
        <v>394</v>
      </c>
      <c r="J185">
        <v>595</v>
      </c>
      <c r="K185">
        <v>369</v>
      </c>
      <c r="L185">
        <v>1054</v>
      </c>
      <c r="M185">
        <v>500</v>
      </c>
      <c r="N185">
        <v>189</v>
      </c>
      <c r="O185">
        <v>100</v>
      </c>
      <c r="P185">
        <v>409</v>
      </c>
      <c r="Q185">
        <v>603</v>
      </c>
      <c r="R185">
        <v>184</v>
      </c>
    </row>
    <row r="186" spans="1:18">
      <c r="A186" s="1" t="s">
        <v>157</v>
      </c>
      <c r="B186">
        <v>30</v>
      </c>
      <c r="C186">
        <v>12</v>
      </c>
      <c r="D186">
        <v>18</v>
      </c>
      <c r="E186">
        <v>-7.51</v>
      </c>
      <c r="F186">
        <v>1936</v>
      </c>
      <c r="G186">
        <v>713</v>
      </c>
      <c r="H186">
        <v>1644</v>
      </c>
      <c r="I186">
        <v>327</v>
      </c>
      <c r="J186">
        <v>504</v>
      </c>
      <c r="K186">
        <v>372</v>
      </c>
      <c r="L186">
        <v>1005</v>
      </c>
      <c r="M186">
        <v>455</v>
      </c>
      <c r="N186">
        <v>182</v>
      </c>
      <c r="O186">
        <v>54</v>
      </c>
      <c r="P186">
        <v>422</v>
      </c>
      <c r="Q186">
        <v>568</v>
      </c>
      <c r="R186">
        <v>185</v>
      </c>
    </row>
    <row r="187" spans="1:18">
      <c r="A187" s="1" t="s">
        <v>158</v>
      </c>
      <c r="B187">
        <v>31</v>
      </c>
      <c r="C187">
        <v>13</v>
      </c>
      <c r="D187">
        <v>18</v>
      </c>
      <c r="E187">
        <v>-9.65</v>
      </c>
      <c r="F187">
        <v>2108</v>
      </c>
      <c r="G187">
        <v>777</v>
      </c>
      <c r="H187">
        <v>1699</v>
      </c>
      <c r="I187">
        <v>405</v>
      </c>
      <c r="J187">
        <v>643</v>
      </c>
      <c r="K187">
        <v>402</v>
      </c>
      <c r="L187">
        <v>1085</v>
      </c>
      <c r="M187">
        <v>386</v>
      </c>
      <c r="N187">
        <v>183</v>
      </c>
      <c r="O187">
        <v>105</v>
      </c>
      <c r="P187">
        <v>503</v>
      </c>
      <c r="Q187">
        <v>663</v>
      </c>
      <c r="R187">
        <v>186</v>
      </c>
    </row>
    <row r="188" spans="1:18">
      <c r="A188" s="1" t="s">
        <v>159</v>
      </c>
      <c r="B188">
        <v>31</v>
      </c>
      <c r="C188">
        <v>11</v>
      </c>
      <c r="D188">
        <v>20</v>
      </c>
      <c r="E188">
        <v>-5.65</v>
      </c>
      <c r="F188">
        <v>2022</v>
      </c>
      <c r="G188">
        <v>757</v>
      </c>
      <c r="H188">
        <v>1752</v>
      </c>
      <c r="I188">
        <v>356</v>
      </c>
      <c r="J188">
        <v>522</v>
      </c>
      <c r="K188">
        <v>362</v>
      </c>
      <c r="L188">
        <v>1004</v>
      </c>
      <c r="M188">
        <v>364</v>
      </c>
      <c r="N188">
        <v>240</v>
      </c>
      <c r="O188">
        <v>83</v>
      </c>
      <c r="P188">
        <v>458</v>
      </c>
      <c r="Q188">
        <v>643</v>
      </c>
      <c r="R188">
        <v>187</v>
      </c>
    </row>
    <row r="189" spans="1:18">
      <c r="A189" s="1" t="s">
        <v>160</v>
      </c>
      <c r="B189">
        <v>30</v>
      </c>
      <c r="C189">
        <v>16</v>
      </c>
      <c r="D189">
        <v>14</v>
      </c>
      <c r="E189">
        <v>-5.92</v>
      </c>
      <c r="F189">
        <v>1993</v>
      </c>
      <c r="G189">
        <v>721</v>
      </c>
      <c r="H189">
        <v>1619</v>
      </c>
      <c r="I189">
        <v>375</v>
      </c>
      <c r="J189">
        <v>549</v>
      </c>
      <c r="K189">
        <v>341</v>
      </c>
      <c r="L189">
        <v>1016</v>
      </c>
      <c r="M189">
        <v>409</v>
      </c>
      <c r="N189">
        <v>214</v>
      </c>
      <c r="O189">
        <v>84</v>
      </c>
      <c r="P189">
        <v>452</v>
      </c>
      <c r="Q189">
        <v>612</v>
      </c>
      <c r="R189">
        <v>188</v>
      </c>
    </row>
    <row r="190" spans="1:18">
      <c r="A190" s="1" t="s">
        <v>161</v>
      </c>
      <c r="B190">
        <v>30</v>
      </c>
      <c r="C190">
        <v>14</v>
      </c>
      <c r="D190">
        <v>16</v>
      </c>
      <c r="E190">
        <v>-3.77</v>
      </c>
      <c r="F190">
        <v>1854</v>
      </c>
      <c r="G190">
        <v>618</v>
      </c>
      <c r="H190">
        <v>1502</v>
      </c>
      <c r="I190">
        <v>358</v>
      </c>
      <c r="J190">
        <v>479</v>
      </c>
      <c r="K190">
        <v>224</v>
      </c>
      <c r="L190">
        <v>893</v>
      </c>
      <c r="M190">
        <v>396</v>
      </c>
      <c r="N190">
        <v>226</v>
      </c>
      <c r="O190">
        <v>51</v>
      </c>
      <c r="P190">
        <v>471</v>
      </c>
      <c r="Q190">
        <v>629</v>
      </c>
      <c r="R190">
        <v>189</v>
      </c>
    </row>
    <row r="191" spans="1:18">
      <c r="A191" s="1" t="s">
        <v>162</v>
      </c>
      <c r="B191">
        <v>31</v>
      </c>
      <c r="C191">
        <v>17</v>
      </c>
      <c r="D191">
        <v>14</v>
      </c>
      <c r="E191">
        <v>5.35</v>
      </c>
      <c r="F191">
        <v>2072</v>
      </c>
      <c r="G191">
        <v>700</v>
      </c>
      <c r="H191">
        <v>1537</v>
      </c>
      <c r="I191">
        <v>428</v>
      </c>
      <c r="J191">
        <v>600</v>
      </c>
      <c r="K191">
        <v>260</v>
      </c>
      <c r="L191">
        <v>928</v>
      </c>
      <c r="M191">
        <v>462</v>
      </c>
      <c r="N191">
        <v>205</v>
      </c>
      <c r="O191">
        <v>71</v>
      </c>
      <c r="P191">
        <v>441</v>
      </c>
      <c r="Q191">
        <v>560</v>
      </c>
      <c r="R191">
        <v>190</v>
      </c>
    </row>
    <row r="192" spans="1:18">
      <c r="A192" s="1" t="s">
        <v>285</v>
      </c>
      <c r="B192">
        <v>37</v>
      </c>
      <c r="C192">
        <v>30</v>
      </c>
      <c r="D192">
        <v>7</v>
      </c>
      <c r="E192">
        <v>5.37</v>
      </c>
      <c r="F192">
        <v>2772</v>
      </c>
      <c r="G192">
        <v>979</v>
      </c>
      <c r="H192">
        <v>2202</v>
      </c>
      <c r="I192">
        <v>525</v>
      </c>
      <c r="J192">
        <v>733</v>
      </c>
      <c r="K192">
        <v>460</v>
      </c>
      <c r="L192">
        <v>1293</v>
      </c>
      <c r="M192">
        <v>548</v>
      </c>
      <c r="N192">
        <v>289</v>
      </c>
      <c r="O192">
        <v>197</v>
      </c>
      <c r="P192">
        <v>410</v>
      </c>
      <c r="Q192">
        <v>670</v>
      </c>
      <c r="R192">
        <v>191</v>
      </c>
    </row>
    <row r="193" spans="1:18">
      <c r="A193" s="1" t="s">
        <v>163</v>
      </c>
      <c r="B193">
        <v>34</v>
      </c>
      <c r="C193">
        <v>29</v>
      </c>
      <c r="D193">
        <v>5</v>
      </c>
      <c r="E193">
        <v>1.0900000000000001</v>
      </c>
      <c r="F193">
        <v>2632</v>
      </c>
      <c r="G193">
        <v>949</v>
      </c>
      <c r="H193">
        <v>1961</v>
      </c>
      <c r="I193">
        <v>481</v>
      </c>
      <c r="J193">
        <v>636</v>
      </c>
      <c r="K193">
        <v>399</v>
      </c>
      <c r="L193">
        <v>1300</v>
      </c>
      <c r="M193">
        <v>569</v>
      </c>
      <c r="N193">
        <v>183</v>
      </c>
      <c r="O193">
        <v>148</v>
      </c>
      <c r="P193">
        <v>451</v>
      </c>
      <c r="Q193">
        <v>571</v>
      </c>
      <c r="R193">
        <v>192</v>
      </c>
    </row>
    <row r="194" spans="1:18">
      <c r="A194" s="1" t="s">
        <v>164</v>
      </c>
      <c r="B194">
        <v>30</v>
      </c>
      <c r="C194">
        <v>10</v>
      </c>
      <c r="D194">
        <v>20</v>
      </c>
      <c r="E194">
        <v>-6.1</v>
      </c>
      <c r="F194">
        <v>1762</v>
      </c>
      <c r="G194">
        <v>605</v>
      </c>
      <c r="H194">
        <v>1488</v>
      </c>
      <c r="I194">
        <v>325</v>
      </c>
      <c r="J194">
        <v>481</v>
      </c>
      <c r="K194">
        <v>247</v>
      </c>
      <c r="L194">
        <v>898</v>
      </c>
      <c r="M194">
        <v>323</v>
      </c>
      <c r="N194">
        <v>115</v>
      </c>
      <c r="O194">
        <v>58</v>
      </c>
      <c r="P194">
        <v>390</v>
      </c>
      <c r="Q194">
        <v>535</v>
      </c>
      <c r="R194">
        <v>193</v>
      </c>
    </row>
    <row r="195" spans="1:18">
      <c r="A195" s="1" t="s">
        <v>165</v>
      </c>
      <c r="B195">
        <v>34</v>
      </c>
      <c r="C195">
        <v>25</v>
      </c>
      <c r="D195">
        <v>9</v>
      </c>
      <c r="E195">
        <v>0.01</v>
      </c>
      <c r="F195">
        <v>2652</v>
      </c>
      <c r="G195">
        <v>906</v>
      </c>
      <c r="H195">
        <v>1890</v>
      </c>
      <c r="I195">
        <v>641</v>
      </c>
      <c r="J195">
        <v>975</v>
      </c>
      <c r="K195">
        <v>459</v>
      </c>
      <c r="L195">
        <v>1285</v>
      </c>
      <c r="M195">
        <v>472</v>
      </c>
      <c r="N195">
        <v>242</v>
      </c>
      <c r="O195">
        <v>94</v>
      </c>
      <c r="P195">
        <v>573</v>
      </c>
      <c r="Q195">
        <v>698</v>
      </c>
      <c r="R195">
        <v>194</v>
      </c>
    </row>
    <row r="196" spans="1:18">
      <c r="A196" s="1" t="s">
        <v>166</v>
      </c>
      <c r="B196">
        <v>32</v>
      </c>
      <c r="C196">
        <v>15</v>
      </c>
      <c r="D196">
        <v>17</v>
      </c>
      <c r="E196">
        <v>2.89</v>
      </c>
      <c r="F196">
        <v>2410</v>
      </c>
      <c r="G196">
        <v>856</v>
      </c>
      <c r="H196">
        <v>1865</v>
      </c>
      <c r="I196">
        <v>399</v>
      </c>
      <c r="J196">
        <v>604</v>
      </c>
      <c r="K196">
        <v>334</v>
      </c>
      <c r="L196">
        <v>1068</v>
      </c>
      <c r="M196">
        <v>482</v>
      </c>
      <c r="N196">
        <v>183</v>
      </c>
      <c r="O196">
        <v>78</v>
      </c>
      <c r="P196">
        <v>395</v>
      </c>
      <c r="Q196">
        <v>562</v>
      </c>
      <c r="R196">
        <v>195</v>
      </c>
    </row>
    <row r="197" spans="1:18">
      <c r="A197" s="1" t="s">
        <v>167</v>
      </c>
      <c r="B197">
        <v>31</v>
      </c>
      <c r="C197">
        <v>14</v>
      </c>
      <c r="D197">
        <v>17</v>
      </c>
      <c r="E197">
        <v>-5.62</v>
      </c>
      <c r="F197">
        <v>2270</v>
      </c>
      <c r="G197">
        <v>801</v>
      </c>
      <c r="H197">
        <v>1757</v>
      </c>
      <c r="I197">
        <v>443</v>
      </c>
      <c r="J197">
        <v>621</v>
      </c>
      <c r="K197">
        <v>311</v>
      </c>
      <c r="L197">
        <v>969</v>
      </c>
      <c r="M197">
        <v>355</v>
      </c>
      <c r="N197">
        <v>210</v>
      </c>
      <c r="O197">
        <v>104</v>
      </c>
      <c r="P197">
        <v>370</v>
      </c>
      <c r="Q197">
        <v>618</v>
      </c>
      <c r="R197">
        <v>196</v>
      </c>
    </row>
    <row r="198" spans="1:18">
      <c r="A198" s="1" t="s">
        <v>168</v>
      </c>
      <c r="B198">
        <v>35</v>
      </c>
      <c r="C198">
        <v>23</v>
      </c>
      <c r="D198">
        <v>12</v>
      </c>
      <c r="E198">
        <v>-4.7</v>
      </c>
      <c r="F198">
        <v>2654</v>
      </c>
      <c r="G198">
        <v>889</v>
      </c>
      <c r="H198">
        <v>2125</v>
      </c>
      <c r="I198">
        <v>602</v>
      </c>
      <c r="J198">
        <v>824</v>
      </c>
      <c r="K198">
        <v>517</v>
      </c>
      <c r="L198">
        <v>1342</v>
      </c>
      <c r="M198">
        <v>467</v>
      </c>
      <c r="N198">
        <v>224</v>
      </c>
      <c r="O198">
        <v>55</v>
      </c>
      <c r="P198">
        <v>473</v>
      </c>
      <c r="Q198">
        <v>611</v>
      </c>
      <c r="R198">
        <v>197</v>
      </c>
    </row>
    <row r="199" spans="1:18">
      <c r="A199" s="1" t="s">
        <v>169</v>
      </c>
      <c r="B199">
        <v>30</v>
      </c>
      <c r="C199">
        <v>8</v>
      </c>
      <c r="D199">
        <v>22</v>
      </c>
      <c r="E199">
        <v>-1.89</v>
      </c>
      <c r="F199">
        <v>2144</v>
      </c>
      <c r="G199">
        <v>742</v>
      </c>
      <c r="H199">
        <v>1730</v>
      </c>
      <c r="I199">
        <v>391</v>
      </c>
      <c r="J199">
        <v>520</v>
      </c>
      <c r="K199">
        <v>275</v>
      </c>
      <c r="L199">
        <v>957</v>
      </c>
      <c r="M199">
        <v>468</v>
      </c>
      <c r="N199">
        <v>190</v>
      </c>
      <c r="O199">
        <v>67</v>
      </c>
      <c r="P199">
        <v>489</v>
      </c>
      <c r="Q199">
        <v>538</v>
      </c>
      <c r="R199">
        <v>198</v>
      </c>
    </row>
    <row r="200" spans="1:18">
      <c r="A200" s="1" t="s">
        <v>337</v>
      </c>
      <c r="B200">
        <v>29</v>
      </c>
      <c r="C200">
        <v>5</v>
      </c>
      <c r="D200">
        <v>24</v>
      </c>
      <c r="F200">
        <v>1657</v>
      </c>
      <c r="G200">
        <v>581</v>
      </c>
      <c r="H200">
        <v>1440</v>
      </c>
      <c r="I200">
        <v>348</v>
      </c>
      <c r="J200">
        <v>531</v>
      </c>
      <c r="K200">
        <v>262</v>
      </c>
      <c r="L200">
        <v>894</v>
      </c>
      <c r="M200">
        <v>310</v>
      </c>
      <c r="N200">
        <v>180</v>
      </c>
      <c r="O200">
        <v>85</v>
      </c>
      <c r="P200">
        <v>519</v>
      </c>
      <c r="Q200">
        <v>600</v>
      </c>
      <c r="R200">
        <v>199</v>
      </c>
    </row>
    <row r="201" spans="1:18">
      <c r="A201" s="1" t="s">
        <v>170</v>
      </c>
      <c r="B201">
        <v>30</v>
      </c>
      <c r="C201">
        <v>11</v>
      </c>
      <c r="D201">
        <v>19</v>
      </c>
      <c r="E201">
        <v>-8.2100000000000009</v>
      </c>
      <c r="F201">
        <v>1970</v>
      </c>
      <c r="G201">
        <v>721</v>
      </c>
      <c r="H201">
        <v>1580</v>
      </c>
      <c r="I201">
        <v>385</v>
      </c>
      <c r="J201">
        <v>607</v>
      </c>
      <c r="K201">
        <v>362</v>
      </c>
      <c r="L201">
        <v>1023</v>
      </c>
      <c r="M201">
        <v>322</v>
      </c>
      <c r="N201">
        <v>176</v>
      </c>
      <c r="O201">
        <v>104</v>
      </c>
      <c r="P201">
        <v>536</v>
      </c>
      <c r="Q201">
        <v>571</v>
      </c>
      <c r="R201">
        <v>200</v>
      </c>
    </row>
    <row r="202" spans="1:18">
      <c r="A202" s="1" t="s">
        <v>171</v>
      </c>
      <c r="B202">
        <v>31</v>
      </c>
      <c r="C202">
        <v>12</v>
      </c>
      <c r="D202">
        <v>19</v>
      </c>
      <c r="E202">
        <v>-2.23</v>
      </c>
      <c r="F202">
        <v>2148</v>
      </c>
      <c r="G202">
        <v>777</v>
      </c>
      <c r="H202">
        <v>1782</v>
      </c>
      <c r="I202">
        <v>428</v>
      </c>
      <c r="J202">
        <v>627</v>
      </c>
      <c r="K202">
        <v>366</v>
      </c>
      <c r="L202">
        <v>1122</v>
      </c>
      <c r="M202">
        <v>438</v>
      </c>
      <c r="N202">
        <v>231</v>
      </c>
      <c r="O202">
        <v>142</v>
      </c>
      <c r="P202">
        <v>516</v>
      </c>
      <c r="Q202">
        <v>532</v>
      </c>
      <c r="R202">
        <v>201</v>
      </c>
    </row>
    <row r="203" spans="1:18">
      <c r="A203" s="1" t="s">
        <v>172</v>
      </c>
      <c r="B203">
        <v>32</v>
      </c>
      <c r="C203">
        <v>15</v>
      </c>
      <c r="D203">
        <v>17</v>
      </c>
      <c r="E203">
        <v>-10.09</v>
      </c>
      <c r="F203">
        <v>2349</v>
      </c>
      <c r="G203">
        <v>775</v>
      </c>
      <c r="H203">
        <v>1784</v>
      </c>
      <c r="I203">
        <v>553</v>
      </c>
      <c r="J203">
        <v>821</v>
      </c>
      <c r="K203">
        <v>342</v>
      </c>
      <c r="L203">
        <v>1054</v>
      </c>
      <c r="M203">
        <v>405</v>
      </c>
      <c r="N203">
        <v>253</v>
      </c>
      <c r="O203">
        <v>57</v>
      </c>
      <c r="P203">
        <v>521</v>
      </c>
      <c r="Q203">
        <v>595</v>
      </c>
      <c r="R203">
        <v>202</v>
      </c>
    </row>
    <row r="204" spans="1:18">
      <c r="A204" s="1" t="s">
        <v>173</v>
      </c>
      <c r="B204">
        <v>30</v>
      </c>
      <c r="C204">
        <v>16</v>
      </c>
      <c r="D204">
        <v>14</v>
      </c>
      <c r="E204">
        <v>-3.69</v>
      </c>
      <c r="F204">
        <v>2083</v>
      </c>
      <c r="G204">
        <v>701</v>
      </c>
      <c r="H204">
        <v>1644</v>
      </c>
      <c r="I204">
        <v>465</v>
      </c>
      <c r="J204">
        <v>705</v>
      </c>
      <c r="K204">
        <v>372</v>
      </c>
      <c r="L204">
        <v>1072</v>
      </c>
      <c r="M204">
        <v>367</v>
      </c>
      <c r="N204">
        <v>233</v>
      </c>
      <c r="O204">
        <v>131</v>
      </c>
      <c r="P204">
        <v>465</v>
      </c>
      <c r="Q204">
        <v>537</v>
      </c>
      <c r="R204">
        <v>203</v>
      </c>
    </row>
    <row r="205" spans="1:18">
      <c r="A205" s="1" t="s">
        <v>174</v>
      </c>
      <c r="B205">
        <v>36</v>
      </c>
      <c r="C205">
        <v>20</v>
      </c>
      <c r="D205">
        <v>16</v>
      </c>
      <c r="E205">
        <v>8.36</v>
      </c>
      <c r="F205">
        <v>2580</v>
      </c>
      <c r="G205">
        <v>908</v>
      </c>
      <c r="H205">
        <v>1849</v>
      </c>
      <c r="I205">
        <v>550</v>
      </c>
      <c r="J205">
        <v>756</v>
      </c>
      <c r="K205">
        <v>294</v>
      </c>
      <c r="L205">
        <v>1157</v>
      </c>
      <c r="M205">
        <v>523</v>
      </c>
      <c r="N205">
        <v>190</v>
      </c>
      <c r="O205">
        <v>122</v>
      </c>
      <c r="P205">
        <v>535</v>
      </c>
      <c r="Q205">
        <v>572</v>
      </c>
      <c r="R205">
        <v>204</v>
      </c>
    </row>
    <row r="206" spans="1:18">
      <c r="A206" s="1" t="s">
        <v>286</v>
      </c>
      <c r="B206">
        <v>29</v>
      </c>
      <c r="C206">
        <v>7</v>
      </c>
      <c r="D206">
        <v>22</v>
      </c>
      <c r="E206">
        <v>0.01</v>
      </c>
      <c r="F206">
        <v>1871</v>
      </c>
      <c r="G206">
        <v>681</v>
      </c>
      <c r="H206">
        <v>1629</v>
      </c>
      <c r="I206">
        <v>315</v>
      </c>
      <c r="J206">
        <v>453</v>
      </c>
      <c r="K206">
        <v>328</v>
      </c>
      <c r="L206">
        <v>1027</v>
      </c>
      <c r="M206">
        <v>419</v>
      </c>
      <c r="N206">
        <v>154</v>
      </c>
      <c r="O206">
        <v>52</v>
      </c>
      <c r="P206">
        <v>449</v>
      </c>
      <c r="Q206">
        <v>608</v>
      </c>
      <c r="R206">
        <v>205</v>
      </c>
    </row>
    <row r="207" spans="1:18">
      <c r="A207" s="1" t="s">
        <v>312</v>
      </c>
      <c r="B207">
        <v>38</v>
      </c>
      <c r="C207">
        <v>31</v>
      </c>
      <c r="D207">
        <v>7</v>
      </c>
      <c r="E207">
        <v>9.3000000000000007</v>
      </c>
      <c r="F207">
        <v>3258</v>
      </c>
      <c r="G207">
        <v>1187</v>
      </c>
      <c r="H207">
        <v>2379</v>
      </c>
      <c r="I207">
        <v>669</v>
      </c>
      <c r="J207">
        <v>940</v>
      </c>
      <c r="K207">
        <v>522</v>
      </c>
      <c r="L207">
        <v>1551</v>
      </c>
      <c r="M207">
        <v>696</v>
      </c>
      <c r="N207">
        <v>309</v>
      </c>
      <c r="O207">
        <v>173</v>
      </c>
      <c r="P207">
        <v>524</v>
      </c>
      <c r="Q207">
        <v>647</v>
      </c>
      <c r="R207">
        <v>206</v>
      </c>
    </row>
    <row r="208" spans="1:18">
      <c r="A208" s="1" t="s">
        <v>338</v>
      </c>
      <c r="B208">
        <v>28</v>
      </c>
      <c r="C208">
        <v>20</v>
      </c>
      <c r="D208">
        <v>8</v>
      </c>
      <c r="F208">
        <v>2141</v>
      </c>
      <c r="G208">
        <v>799</v>
      </c>
      <c r="H208">
        <v>1589</v>
      </c>
      <c r="I208">
        <v>400</v>
      </c>
      <c r="J208">
        <v>571</v>
      </c>
      <c r="K208">
        <v>354</v>
      </c>
      <c r="L208">
        <v>1037</v>
      </c>
      <c r="M208">
        <v>423</v>
      </c>
      <c r="N208">
        <v>214</v>
      </c>
      <c r="O208">
        <v>136</v>
      </c>
      <c r="P208">
        <v>402</v>
      </c>
      <c r="Q208">
        <v>478</v>
      </c>
      <c r="R208">
        <v>207</v>
      </c>
    </row>
    <row r="209" spans="1:18">
      <c r="A209" s="1" t="s">
        <v>339</v>
      </c>
      <c r="B209">
        <v>29</v>
      </c>
      <c r="C209">
        <v>3</v>
      </c>
      <c r="D209">
        <v>26</v>
      </c>
      <c r="F209">
        <v>1591</v>
      </c>
      <c r="G209">
        <v>572</v>
      </c>
      <c r="H209">
        <v>1462</v>
      </c>
      <c r="I209">
        <v>330</v>
      </c>
      <c r="J209">
        <v>551</v>
      </c>
      <c r="K209">
        <v>299</v>
      </c>
      <c r="L209">
        <v>958</v>
      </c>
      <c r="M209">
        <v>326</v>
      </c>
      <c r="N209">
        <v>197</v>
      </c>
      <c r="O209">
        <v>77</v>
      </c>
      <c r="P209">
        <v>483</v>
      </c>
      <c r="Q209">
        <v>506</v>
      </c>
      <c r="R209">
        <v>208</v>
      </c>
    </row>
    <row r="210" spans="1:18">
      <c r="A210" s="1" t="s">
        <v>175</v>
      </c>
      <c r="B210">
        <v>34</v>
      </c>
      <c r="C210">
        <v>23</v>
      </c>
      <c r="D210">
        <v>11</v>
      </c>
      <c r="E210">
        <v>-6.59</v>
      </c>
      <c r="F210">
        <v>2617</v>
      </c>
      <c r="G210">
        <v>926</v>
      </c>
      <c r="H210">
        <v>2030</v>
      </c>
      <c r="I210">
        <v>539</v>
      </c>
      <c r="J210">
        <v>821</v>
      </c>
      <c r="K210">
        <v>484</v>
      </c>
      <c r="L210">
        <v>1356</v>
      </c>
      <c r="M210">
        <v>430</v>
      </c>
      <c r="N210">
        <v>224</v>
      </c>
      <c r="O210">
        <v>151</v>
      </c>
      <c r="P210">
        <v>537</v>
      </c>
      <c r="Q210">
        <v>689</v>
      </c>
      <c r="R210">
        <v>209</v>
      </c>
    </row>
    <row r="211" spans="1:18">
      <c r="A211" s="1" t="s">
        <v>176</v>
      </c>
      <c r="B211">
        <v>32</v>
      </c>
      <c r="C211">
        <v>13</v>
      </c>
      <c r="D211">
        <v>19</v>
      </c>
      <c r="E211">
        <v>0.3</v>
      </c>
      <c r="F211">
        <v>1990</v>
      </c>
      <c r="G211">
        <v>695</v>
      </c>
      <c r="H211">
        <v>1690</v>
      </c>
      <c r="I211">
        <v>360</v>
      </c>
      <c r="J211">
        <v>518</v>
      </c>
      <c r="K211">
        <v>279</v>
      </c>
      <c r="L211">
        <v>967</v>
      </c>
      <c r="M211">
        <v>427</v>
      </c>
      <c r="N211">
        <v>158</v>
      </c>
      <c r="O211">
        <v>128</v>
      </c>
      <c r="P211">
        <v>397</v>
      </c>
      <c r="Q211">
        <v>483</v>
      </c>
      <c r="R211">
        <v>210</v>
      </c>
    </row>
    <row r="212" spans="1:18">
      <c r="A212" s="1" t="s">
        <v>287</v>
      </c>
      <c r="B212">
        <v>30</v>
      </c>
      <c r="C212">
        <v>18</v>
      </c>
      <c r="D212">
        <v>12</v>
      </c>
      <c r="E212">
        <v>-3.28</v>
      </c>
      <c r="F212">
        <v>2490</v>
      </c>
      <c r="G212">
        <v>873</v>
      </c>
      <c r="H212">
        <v>1766</v>
      </c>
      <c r="I212">
        <v>515</v>
      </c>
      <c r="J212">
        <v>694</v>
      </c>
      <c r="K212">
        <v>340</v>
      </c>
      <c r="L212">
        <v>1091</v>
      </c>
      <c r="M212">
        <v>544</v>
      </c>
      <c r="N212">
        <v>165</v>
      </c>
      <c r="O212">
        <v>64</v>
      </c>
      <c r="P212">
        <v>500</v>
      </c>
      <c r="Q212">
        <v>683</v>
      </c>
      <c r="R212">
        <v>211</v>
      </c>
    </row>
    <row r="213" spans="1:18">
      <c r="A213" s="1" t="s">
        <v>333</v>
      </c>
      <c r="B213">
        <v>28</v>
      </c>
      <c r="C213">
        <v>4</v>
      </c>
      <c r="D213">
        <v>24</v>
      </c>
      <c r="F213">
        <v>1906</v>
      </c>
      <c r="G213">
        <v>662</v>
      </c>
      <c r="H213">
        <v>1540</v>
      </c>
      <c r="I213">
        <v>393</v>
      </c>
      <c r="J213">
        <v>571</v>
      </c>
      <c r="K213">
        <v>330</v>
      </c>
      <c r="L213">
        <v>962</v>
      </c>
      <c r="M213">
        <v>377</v>
      </c>
      <c r="N213">
        <v>148</v>
      </c>
      <c r="O213">
        <v>66</v>
      </c>
      <c r="P213">
        <v>488</v>
      </c>
      <c r="Q213">
        <v>653</v>
      </c>
      <c r="R213">
        <v>212</v>
      </c>
    </row>
    <row r="214" spans="1:18">
      <c r="A214" s="1" t="s">
        <v>177</v>
      </c>
      <c r="B214">
        <v>30</v>
      </c>
      <c r="C214">
        <v>7</v>
      </c>
      <c r="D214">
        <v>23</v>
      </c>
      <c r="E214">
        <v>-0.85</v>
      </c>
      <c r="F214">
        <v>2008</v>
      </c>
      <c r="G214">
        <v>740</v>
      </c>
      <c r="H214">
        <v>1555</v>
      </c>
      <c r="I214">
        <v>372</v>
      </c>
      <c r="J214">
        <v>527</v>
      </c>
      <c r="K214">
        <v>317</v>
      </c>
      <c r="L214">
        <v>984</v>
      </c>
      <c r="M214">
        <v>432</v>
      </c>
      <c r="N214">
        <v>162</v>
      </c>
      <c r="O214">
        <v>104</v>
      </c>
      <c r="P214">
        <v>537</v>
      </c>
      <c r="Q214">
        <v>546</v>
      </c>
      <c r="R214">
        <v>213</v>
      </c>
    </row>
    <row r="215" spans="1:18">
      <c r="A215" s="1" t="s">
        <v>178</v>
      </c>
      <c r="B215">
        <v>31</v>
      </c>
      <c r="C215">
        <v>18</v>
      </c>
      <c r="D215">
        <v>13</v>
      </c>
      <c r="E215">
        <v>6.05</v>
      </c>
      <c r="F215">
        <v>2040</v>
      </c>
      <c r="G215">
        <v>701</v>
      </c>
      <c r="H215">
        <v>1554</v>
      </c>
      <c r="I215">
        <v>436</v>
      </c>
      <c r="J215">
        <v>620</v>
      </c>
      <c r="K215">
        <v>282</v>
      </c>
      <c r="L215">
        <v>1048</v>
      </c>
      <c r="M215">
        <v>414</v>
      </c>
      <c r="N215">
        <v>132</v>
      </c>
      <c r="O215">
        <v>99</v>
      </c>
      <c r="P215">
        <v>386</v>
      </c>
      <c r="Q215">
        <v>511</v>
      </c>
      <c r="R215">
        <v>214</v>
      </c>
    </row>
    <row r="216" spans="1:18">
      <c r="A216" s="1" t="s">
        <v>179</v>
      </c>
      <c r="B216">
        <v>32</v>
      </c>
      <c r="C216">
        <v>17</v>
      </c>
      <c r="D216">
        <v>15</v>
      </c>
      <c r="E216">
        <v>-4.05</v>
      </c>
      <c r="F216">
        <v>2523</v>
      </c>
      <c r="G216">
        <v>857</v>
      </c>
      <c r="H216">
        <v>1923</v>
      </c>
      <c r="I216">
        <v>606</v>
      </c>
      <c r="J216">
        <v>852</v>
      </c>
      <c r="K216">
        <v>417</v>
      </c>
      <c r="L216">
        <v>1100</v>
      </c>
      <c r="M216">
        <v>539</v>
      </c>
      <c r="N216">
        <v>326</v>
      </c>
      <c r="O216">
        <v>124</v>
      </c>
      <c r="P216">
        <v>520</v>
      </c>
      <c r="Q216">
        <v>697</v>
      </c>
      <c r="R216">
        <v>215</v>
      </c>
    </row>
    <row r="217" spans="1:18">
      <c r="A217" s="1" t="s">
        <v>180</v>
      </c>
      <c r="B217">
        <v>31</v>
      </c>
      <c r="C217">
        <v>13</v>
      </c>
      <c r="D217">
        <v>18</v>
      </c>
      <c r="E217">
        <v>7.82</v>
      </c>
      <c r="F217">
        <v>1750</v>
      </c>
      <c r="G217">
        <v>651</v>
      </c>
      <c r="H217">
        <v>1490</v>
      </c>
      <c r="I217">
        <v>253</v>
      </c>
      <c r="J217">
        <v>359</v>
      </c>
      <c r="K217">
        <v>214</v>
      </c>
      <c r="L217">
        <v>765</v>
      </c>
      <c r="M217">
        <v>467</v>
      </c>
      <c r="N217">
        <v>261</v>
      </c>
      <c r="O217">
        <v>87</v>
      </c>
      <c r="P217">
        <v>338</v>
      </c>
      <c r="Q217">
        <v>462</v>
      </c>
      <c r="R217">
        <v>216</v>
      </c>
    </row>
    <row r="218" spans="1:18">
      <c r="A218" s="1" t="s">
        <v>181</v>
      </c>
      <c r="B218">
        <v>32</v>
      </c>
      <c r="C218">
        <v>24</v>
      </c>
      <c r="D218">
        <v>8</v>
      </c>
      <c r="E218">
        <v>4.97</v>
      </c>
      <c r="F218">
        <v>2592</v>
      </c>
      <c r="G218">
        <v>869</v>
      </c>
      <c r="H218">
        <v>1893</v>
      </c>
      <c r="I218">
        <v>567</v>
      </c>
      <c r="J218">
        <v>763</v>
      </c>
      <c r="K218">
        <v>405</v>
      </c>
      <c r="L218">
        <v>1229</v>
      </c>
      <c r="M218">
        <v>552</v>
      </c>
      <c r="N218">
        <v>271</v>
      </c>
      <c r="O218">
        <v>110</v>
      </c>
      <c r="P218">
        <v>414</v>
      </c>
      <c r="Q218">
        <v>582</v>
      </c>
      <c r="R218">
        <v>217</v>
      </c>
    </row>
    <row r="219" spans="1:18">
      <c r="A219" s="1" t="s">
        <v>182</v>
      </c>
      <c r="B219">
        <v>33</v>
      </c>
      <c r="C219">
        <v>19</v>
      </c>
      <c r="D219">
        <v>14</v>
      </c>
      <c r="E219">
        <v>-0.41</v>
      </c>
      <c r="F219">
        <v>2299</v>
      </c>
      <c r="G219">
        <v>772</v>
      </c>
      <c r="H219">
        <v>1761</v>
      </c>
      <c r="I219">
        <v>546</v>
      </c>
      <c r="J219">
        <v>711</v>
      </c>
      <c r="K219">
        <v>438</v>
      </c>
      <c r="L219">
        <v>1147</v>
      </c>
      <c r="M219">
        <v>424</v>
      </c>
      <c r="N219">
        <v>206</v>
      </c>
      <c r="O219">
        <v>41</v>
      </c>
      <c r="P219">
        <v>475</v>
      </c>
      <c r="Q219">
        <v>563</v>
      </c>
      <c r="R219">
        <v>218</v>
      </c>
    </row>
    <row r="220" spans="1:18">
      <c r="A220" s="1" t="s">
        <v>321</v>
      </c>
      <c r="B220">
        <v>39</v>
      </c>
      <c r="C220">
        <v>35</v>
      </c>
      <c r="D220">
        <v>4</v>
      </c>
      <c r="E220">
        <v>9.0299999999999994</v>
      </c>
      <c r="F220">
        <v>2905</v>
      </c>
      <c r="G220">
        <v>1029</v>
      </c>
      <c r="H220">
        <v>2178</v>
      </c>
      <c r="I220">
        <v>560</v>
      </c>
      <c r="J220">
        <v>797</v>
      </c>
      <c r="K220">
        <v>433</v>
      </c>
      <c r="L220">
        <v>1390</v>
      </c>
      <c r="M220">
        <v>583</v>
      </c>
      <c r="N220">
        <v>265</v>
      </c>
      <c r="O220">
        <v>218</v>
      </c>
      <c r="P220">
        <v>443</v>
      </c>
      <c r="Q220">
        <v>534</v>
      </c>
      <c r="R220">
        <v>219</v>
      </c>
    </row>
    <row r="221" spans="1:18">
      <c r="A221" s="1" t="s">
        <v>183</v>
      </c>
      <c r="B221">
        <v>32</v>
      </c>
      <c r="C221">
        <v>19</v>
      </c>
      <c r="D221">
        <v>13</v>
      </c>
      <c r="E221">
        <v>0.22</v>
      </c>
      <c r="F221">
        <v>2331</v>
      </c>
      <c r="G221">
        <v>782</v>
      </c>
      <c r="H221">
        <v>1723</v>
      </c>
      <c r="I221">
        <v>568</v>
      </c>
      <c r="J221">
        <v>785</v>
      </c>
      <c r="K221">
        <v>360</v>
      </c>
      <c r="L221">
        <v>1093</v>
      </c>
      <c r="M221">
        <v>422</v>
      </c>
      <c r="N221">
        <v>260</v>
      </c>
      <c r="O221">
        <v>65</v>
      </c>
      <c r="P221">
        <v>449</v>
      </c>
      <c r="Q221">
        <v>513</v>
      </c>
      <c r="R221">
        <v>220</v>
      </c>
    </row>
    <row r="222" spans="1:18">
      <c r="A222" s="1" t="s">
        <v>340</v>
      </c>
      <c r="B222">
        <v>35</v>
      </c>
      <c r="C222">
        <v>22</v>
      </c>
      <c r="D222">
        <v>13</v>
      </c>
      <c r="E222">
        <v>6.34</v>
      </c>
      <c r="F222">
        <v>2626</v>
      </c>
      <c r="G222">
        <v>913</v>
      </c>
      <c r="H222">
        <v>1951</v>
      </c>
      <c r="I222">
        <v>579</v>
      </c>
      <c r="J222">
        <v>797</v>
      </c>
      <c r="K222">
        <v>407</v>
      </c>
      <c r="L222">
        <v>1229</v>
      </c>
      <c r="M222">
        <v>505</v>
      </c>
      <c r="N222">
        <v>260</v>
      </c>
      <c r="O222">
        <v>130</v>
      </c>
      <c r="P222">
        <v>562</v>
      </c>
      <c r="Q222">
        <v>657</v>
      </c>
      <c r="R222">
        <v>221</v>
      </c>
    </row>
    <row r="223" spans="1:18">
      <c r="A223" s="1" t="s">
        <v>329</v>
      </c>
      <c r="B223">
        <v>31</v>
      </c>
      <c r="C223">
        <v>16</v>
      </c>
      <c r="D223">
        <v>15</v>
      </c>
      <c r="E223">
        <v>7.23</v>
      </c>
      <c r="F223">
        <v>2072</v>
      </c>
      <c r="G223">
        <v>743</v>
      </c>
      <c r="H223">
        <v>1709</v>
      </c>
      <c r="I223">
        <v>401</v>
      </c>
      <c r="J223">
        <v>557</v>
      </c>
      <c r="K223">
        <v>387</v>
      </c>
      <c r="L223">
        <v>1116</v>
      </c>
      <c r="M223">
        <v>415</v>
      </c>
      <c r="N223">
        <v>212</v>
      </c>
      <c r="O223">
        <v>131</v>
      </c>
      <c r="P223">
        <v>425</v>
      </c>
      <c r="Q223">
        <v>567</v>
      </c>
      <c r="R223">
        <v>222</v>
      </c>
    </row>
    <row r="224" spans="1:18">
      <c r="A224" s="1" t="s">
        <v>184</v>
      </c>
      <c r="B224">
        <v>33</v>
      </c>
      <c r="C224">
        <v>24</v>
      </c>
      <c r="D224">
        <v>9</v>
      </c>
      <c r="E224">
        <v>0.44</v>
      </c>
      <c r="F224">
        <v>2290</v>
      </c>
      <c r="G224">
        <v>788</v>
      </c>
      <c r="H224">
        <v>1828</v>
      </c>
      <c r="I224">
        <v>479</v>
      </c>
      <c r="J224">
        <v>663</v>
      </c>
      <c r="K224">
        <v>400</v>
      </c>
      <c r="L224">
        <v>1208</v>
      </c>
      <c r="M224">
        <v>483</v>
      </c>
      <c r="N224">
        <v>252</v>
      </c>
      <c r="O224">
        <v>114</v>
      </c>
      <c r="P224">
        <v>406</v>
      </c>
      <c r="Q224">
        <v>620</v>
      </c>
      <c r="R224">
        <v>223</v>
      </c>
    </row>
    <row r="225" spans="1:18">
      <c r="A225" s="1" t="s">
        <v>185</v>
      </c>
      <c r="B225">
        <v>34</v>
      </c>
      <c r="C225">
        <v>23</v>
      </c>
      <c r="D225">
        <v>11</v>
      </c>
      <c r="E225">
        <v>-1.04</v>
      </c>
      <c r="F225">
        <v>2440</v>
      </c>
      <c r="G225">
        <v>824</v>
      </c>
      <c r="H225">
        <v>1767</v>
      </c>
      <c r="I225">
        <v>588</v>
      </c>
      <c r="J225">
        <v>827</v>
      </c>
      <c r="K225">
        <v>372</v>
      </c>
      <c r="L225">
        <v>1204</v>
      </c>
      <c r="M225">
        <v>459</v>
      </c>
      <c r="N225">
        <v>212</v>
      </c>
      <c r="O225">
        <v>154</v>
      </c>
      <c r="P225">
        <v>513</v>
      </c>
      <c r="Q225">
        <v>601</v>
      </c>
      <c r="R225">
        <v>224</v>
      </c>
    </row>
    <row r="226" spans="1:18">
      <c r="A226" s="1" t="s">
        <v>186</v>
      </c>
      <c r="B226">
        <v>32</v>
      </c>
      <c r="C226">
        <v>11</v>
      </c>
      <c r="D226">
        <v>21</v>
      </c>
      <c r="E226">
        <v>6.23</v>
      </c>
      <c r="F226">
        <v>2028</v>
      </c>
      <c r="G226">
        <v>755</v>
      </c>
      <c r="H226">
        <v>1807</v>
      </c>
      <c r="I226">
        <v>349</v>
      </c>
      <c r="J226">
        <v>586</v>
      </c>
      <c r="K226">
        <v>366</v>
      </c>
      <c r="L226">
        <v>1024</v>
      </c>
      <c r="M226">
        <v>387</v>
      </c>
      <c r="N226">
        <v>246</v>
      </c>
      <c r="O226">
        <v>98</v>
      </c>
      <c r="P226">
        <v>430</v>
      </c>
      <c r="Q226">
        <v>564</v>
      </c>
      <c r="R226">
        <v>225</v>
      </c>
    </row>
    <row r="227" spans="1:18">
      <c r="A227" s="1" t="s">
        <v>288</v>
      </c>
      <c r="B227">
        <v>37</v>
      </c>
      <c r="C227">
        <v>29</v>
      </c>
      <c r="D227">
        <v>8</v>
      </c>
      <c r="E227">
        <v>6.3</v>
      </c>
      <c r="F227">
        <v>2807</v>
      </c>
      <c r="G227">
        <v>963</v>
      </c>
      <c r="H227">
        <v>2131</v>
      </c>
      <c r="I227">
        <v>531</v>
      </c>
      <c r="J227">
        <v>698</v>
      </c>
      <c r="K227">
        <v>432</v>
      </c>
      <c r="L227">
        <v>1273</v>
      </c>
      <c r="M227">
        <v>513</v>
      </c>
      <c r="N227">
        <v>254</v>
      </c>
      <c r="O227">
        <v>74</v>
      </c>
      <c r="P227">
        <v>461</v>
      </c>
      <c r="Q227">
        <v>606</v>
      </c>
      <c r="R227">
        <v>226</v>
      </c>
    </row>
    <row r="228" spans="1:18">
      <c r="A228" s="1" t="s">
        <v>187</v>
      </c>
      <c r="B228">
        <v>31</v>
      </c>
      <c r="C228">
        <v>12</v>
      </c>
      <c r="D228">
        <v>19</v>
      </c>
      <c r="E228">
        <v>-0.87</v>
      </c>
      <c r="F228">
        <v>2126</v>
      </c>
      <c r="G228">
        <v>730</v>
      </c>
      <c r="H228">
        <v>1610</v>
      </c>
      <c r="I228">
        <v>456</v>
      </c>
      <c r="J228">
        <v>660</v>
      </c>
      <c r="K228">
        <v>304</v>
      </c>
      <c r="L228">
        <v>989</v>
      </c>
      <c r="M228">
        <v>455</v>
      </c>
      <c r="N228">
        <v>169</v>
      </c>
      <c r="O228">
        <v>60</v>
      </c>
      <c r="P228">
        <v>456</v>
      </c>
      <c r="Q228">
        <v>531</v>
      </c>
      <c r="R228">
        <v>227</v>
      </c>
    </row>
    <row r="229" spans="1:18">
      <c r="A229" s="1" t="s">
        <v>188</v>
      </c>
      <c r="B229">
        <v>30</v>
      </c>
      <c r="C229">
        <v>11</v>
      </c>
      <c r="D229">
        <v>19</v>
      </c>
      <c r="E229">
        <v>5.79</v>
      </c>
      <c r="F229">
        <v>1962</v>
      </c>
      <c r="G229">
        <v>691</v>
      </c>
      <c r="H229">
        <v>1568</v>
      </c>
      <c r="I229">
        <v>386</v>
      </c>
      <c r="J229">
        <v>562</v>
      </c>
      <c r="K229">
        <v>347</v>
      </c>
      <c r="L229">
        <v>991</v>
      </c>
      <c r="M229">
        <v>453</v>
      </c>
      <c r="N229">
        <v>169</v>
      </c>
      <c r="O229">
        <v>48</v>
      </c>
      <c r="P229">
        <v>423</v>
      </c>
      <c r="Q229">
        <v>488</v>
      </c>
      <c r="R229">
        <v>228</v>
      </c>
    </row>
    <row r="230" spans="1:18">
      <c r="A230" s="1" t="s">
        <v>289</v>
      </c>
      <c r="B230">
        <v>31</v>
      </c>
      <c r="C230">
        <v>22</v>
      </c>
      <c r="D230">
        <v>9</v>
      </c>
      <c r="E230">
        <v>-1.64</v>
      </c>
      <c r="F230">
        <v>2297</v>
      </c>
      <c r="G230">
        <v>836</v>
      </c>
      <c r="H230">
        <v>1712</v>
      </c>
      <c r="I230">
        <v>437</v>
      </c>
      <c r="J230">
        <v>658</v>
      </c>
      <c r="K230">
        <v>324</v>
      </c>
      <c r="L230">
        <v>1024</v>
      </c>
      <c r="M230">
        <v>539</v>
      </c>
      <c r="N230">
        <v>263</v>
      </c>
      <c r="O230">
        <v>92</v>
      </c>
      <c r="P230">
        <v>433</v>
      </c>
      <c r="Q230">
        <v>573</v>
      </c>
      <c r="R230">
        <v>229</v>
      </c>
    </row>
    <row r="231" spans="1:18">
      <c r="A231" s="1" t="s">
        <v>290</v>
      </c>
      <c r="B231">
        <v>31</v>
      </c>
      <c r="C231">
        <v>8</v>
      </c>
      <c r="D231">
        <v>23</v>
      </c>
      <c r="E231">
        <v>0.23</v>
      </c>
      <c r="F231">
        <v>2389</v>
      </c>
      <c r="G231">
        <v>840</v>
      </c>
      <c r="H231">
        <v>1946</v>
      </c>
      <c r="I231">
        <v>406</v>
      </c>
      <c r="J231">
        <v>578</v>
      </c>
      <c r="K231">
        <v>349</v>
      </c>
      <c r="L231">
        <v>925</v>
      </c>
      <c r="M231">
        <v>429</v>
      </c>
      <c r="N231">
        <v>283</v>
      </c>
      <c r="O231">
        <v>117</v>
      </c>
      <c r="P231">
        <v>475</v>
      </c>
      <c r="Q231">
        <v>622</v>
      </c>
      <c r="R231">
        <v>230</v>
      </c>
    </row>
    <row r="232" spans="1:18">
      <c r="A232" s="1" t="s">
        <v>189</v>
      </c>
      <c r="B232">
        <v>37</v>
      </c>
      <c r="C232">
        <v>29</v>
      </c>
      <c r="D232">
        <v>8</v>
      </c>
      <c r="E232">
        <v>8.5299999999999994</v>
      </c>
      <c r="F232">
        <v>2637</v>
      </c>
      <c r="G232">
        <v>961</v>
      </c>
      <c r="H232">
        <v>2035</v>
      </c>
      <c r="I232">
        <v>486</v>
      </c>
      <c r="J232">
        <v>735</v>
      </c>
      <c r="K232">
        <v>445</v>
      </c>
      <c r="L232">
        <v>1320</v>
      </c>
      <c r="M232">
        <v>647</v>
      </c>
      <c r="N232">
        <v>194</v>
      </c>
      <c r="O232">
        <v>133</v>
      </c>
      <c r="P232">
        <v>441</v>
      </c>
      <c r="Q232">
        <v>613</v>
      </c>
      <c r="R232">
        <v>231</v>
      </c>
    </row>
    <row r="233" spans="1:18">
      <c r="A233" s="1" t="s">
        <v>190</v>
      </c>
      <c r="B233">
        <v>32</v>
      </c>
      <c r="C233">
        <v>19</v>
      </c>
      <c r="D233">
        <v>13</v>
      </c>
      <c r="E233">
        <v>-4.57</v>
      </c>
      <c r="F233">
        <v>2503</v>
      </c>
      <c r="G233">
        <v>873</v>
      </c>
      <c r="H233">
        <v>1909</v>
      </c>
      <c r="I233">
        <v>546</v>
      </c>
      <c r="J233">
        <v>847</v>
      </c>
      <c r="K233">
        <v>442</v>
      </c>
      <c r="L233">
        <v>1181</v>
      </c>
      <c r="M233">
        <v>507</v>
      </c>
      <c r="N233">
        <v>227</v>
      </c>
      <c r="O233">
        <v>153</v>
      </c>
      <c r="P233">
        <v>503</v>
      </c>
      <c r="Q233">
        <v>686</v>
      </c>
      <c r="R233">
        <v>232</v>
      </c>
    </row>
    <row r="234" spans="1:18">
      <c r="A234" s="1" t="s">
        <v>191</v>
      </c>
      <c r="B234">
        <v>32</v>
      </c>
      <c r="C234">
        <v>9</v>
      </c>
      <c r="D234">
        <v>23</v>
      </c>
      <c r="E234">
        <v>0.81</v>
      </c>
      <c r="F234">
        <v>1958</v>
      </c>
      <c r="G234">
        <v>694</v>
      </c>
      <c r="H234">
        <v>1691</v>
      </c>
      <c r="I234">
        <v>437</v>
      </c>
      <c r="J234">
        <v>600</v>
      </c>
      <c r="K234">
        <v>389</v>
      </c>
      <c r="L234">
        <v>1149</v>
      </c>
      <c r="M234">
        <v>370</v>
      </c>
      <c r="N234">
        <v>131</v>
      </c>
      <c r="O234">
        <v>69</v>
      </c>
      <c r="P234">
        <v>535</v>
      </c>
      <c r="Q234">
        <v>570</v>
      </c>
      <c r="R234">
        <v>233</v>
      </c>
    </row>
    <row r="235" spans="1:18">
      <c r="A235" s="1" t="s">
        <v>192</v>
      </c>
      <c r="B235">
        <v>30</v>
      </c>
      <c r="C235">
        <v>8</v>
      </c>
      <c r="D235">
        <v>22</v>
      </c>
      <c r="E235">
        <v>-10.4</v>
      </c>
      <c r="F235">
        <v>1799</v>
      </c>
      <c r="G235">
        <v>650</v>
      </c>
      <c r="H235">
        <v>1744</v>
      </c>
      <c r="I235">
        <v>359</v>
      </c>
      <c r="J235">
        <v>629</v>
      </c>
      <c r="K235">
        <v>397</v>
      </c>
      <c r="L235">
        <v>1027</v>
      </c>
      <c r="M235">
        <v>301</v>
      </c>
      <c r="N235">
        <v>286</v>
      </c>
      <c r="O235">
        <v>58</v>
      </c>
      <c r="P235">
        <v>510</v>
      </c>
      <c r="Q235">
        <v>669</v>
      </c>
      <c r="R235">
        <v>234</v>
      </c>
    </row>
    <row r="236" spans="1:18">
      <c r="A236" s="1" t="s">
        <v>193</v>
      </c>
      <c r="B236">
        <v>28</v>
      </c>
      <c r="C236">
        <v>11</v>
      </c>
      <c r="D236">
        <v>17</v>
      </c>
      <c r="E236">
        <v>-5.7</v>
      </c>
      <c r="F236">
        <v>1410</v>
      </c>
      <c r="G236">
        <v>484</v>
      </c>
      <c r="H236">
        <v>1181</v>
      </c>
      <c r="I236">
        <v>238</v>
      </c>
      <c r="J236">
        <v>357</v>
      </c>
      <c r="K236">
        <v>197</v>
      </c>
      <c r="L236">
        <v>668</v>
      </c>
      <c r="M236">
        <v>311</v>
      </c>
      <c r="N236">
        <v>188</v>
      </c>
      <c r="O236">
        <v>53</v>
      </c>
      <c r="P236">
        <v>368</v>
      </c>
      <c r="Q236">
        <v>499</v>
      </c>
      <c r="R236">
        <v>235</v>
      </c>
    </row>
    <row r="237" spans="1:18">
      <c r="A237" s="1" t="s">
        <v>194</v>
      </c>
      <c r="B237">
        <v>31</v>
      </c>
      <c r="C237">
        <v>18</v>
      </c>
      <c r="D237">
        <v>13</v>
      </c>
      <c r="E237">
        <v>6.69</v>
      </c>
      <c r="F237">
        <v>2357</v>
      </c>
      <c r="G237">
        <v>868</v>
      </c>
      <c r="H237">
        <v>1793</v>
      </c>
      <c r="I237">
        <v>431</v>
      </c>
      <c r="J237">
        <v>619</v>
      </c>
      <c r="K237">
        <v>423</v>
      </c>
      <c r="L237">
        <v>1158</v>
      </c>
      <c r="M237">
        <v>513</v>
      </c>
      <c r="N237">
        <v>229</v>
      </c>
      <c r="O237">
        <v>146</v>
      </c>
      <c r="P237">
        <v>524</v>
      </c>
      <c r="Q237">
        <v>532</v>
      </c>
      <c r="R237">
        <v>236</v>
      </c>
    </row>
    <row r="238" spans="1:18">
      <c r="A238" s="1" t="s">
        <v>291</v>
      </c>
      <c r="B238">
        <v>34</v>
      </c>
      <c r="C238">
        <v>22</v>
      </c>
      <c r="D238">
        <v>12</v>
      </c>
      <c r="E238">
        <v>8.89</v>
      </c>
      <c r="F238">
        <v>2376</v>
      </c>
      <c r="G238">
        <v>843</v>
      </c>
      <c r="H238">
        <v>1834</v>
      </c>
      <c r="I238">
        <v>471</v>
      </c>
      <c r="J238">
        <v>695</v>
      </c>
      <c r="K238">
        <v>388</v>
      </c>
      <c r="L238">
        <v>1121</v>
      </c>
      <c r="M238">
        <v>465</v>
      </c>
      <c r="N238">
        <v>269</v>
      </c>
      <c r="O238">
        <v>89</v>
      </c>
      <c r="P238">
        <v>475</v>
      </c>
      <c r="Q238">
        <v>674</v>
      </c>
      <c r="R238">
        <v>237</v>
      </c>
    </row>
    <row r="239" spans="1:18">
      <c r="A239" s="1" t="s">
        <v>195</v>
      </c>
      <c r="B239">
        <v>29</v>
      </c>
      <c r="C239">
        <v>14</v>
      </c>
      <c r="D239">
        <v>15</v>
      </c>
      <c r="E239">
        <v>-7.62</v>
      </c>
      <c r="F239">
        <v>2087</v>
      </c>
      <c r="G239">
        <v>750</v>
      </c>
      <c r="H239">
        <v>1652</v>
      </c>
      <c r="I239">
        <v>396</v>
      </c>
      <c r="J239">
        <v>609</v>
      </c>
      <c r="K239">
        <v>335</v>
      </c>
      <c r="L239">
        <v>1021</v>
      </c>
      <c r="M239">
        <v>436</v>
      </c>
      <c r="N239">
        <v>237</v>
      </c>
      <c r="O239">
        <v>86</v>
      </c>
      <c r="P239">
        <v>468</v>
      </c>
      <c r="Q239">
        <v>638</v>
      </c>
      <c r="R239">
        <v>238</v>
      </c>
    </row>
    <row r="240" spans="1:18">
      <c r="A240" s="1" t="s">
        <v>196</v>
      </c>
      <c r="B240">
        <v>30</v>
      </c>
      <c r="C240">
        <v>8</v>
      </c>
      <c r="D240">
        <v>22</v>
      </c>
      <c r="E240">
        <v>-4.25</v>
      </c>
      <c r="F240">
        <v>2108</v>
      </c>
      <c r="G240">
        <v>759</v>
      </c>
      <c r="H240">
        <v>1693</v>
      </c>
      <c r="I240">
        <v>453</v>
      </c>
      <c r="J240">
        <v>697</v>
      </c>
      <c r="K240">
        <v>379</v>
      </c>
      <c r="L240">
        <v>1062</v>
      </c>
      <c r="M240">
        <v>336</v>
      </c>
      <c r="N240">
        <v>270</v>
      </c>
      <c r="O240">
        <v>107</v>
      </c>
      <c r="P240">
        <v>528</v>
      </c>
      <c r="Q240">
        <v>584</v>
      </c>
      <c r="R240">
        <v>239</v>
      </c>
    </row>
    <row r="241" spans="1:18">
      <c r="A241" s="1" t="s">
        <v>197</v>
      </c>
      <c r="B241">
        <v>33</v>
      </c>
      <c r="C241">
        <v>19</v>
      </c>
      <c r="D241">
        <v>14</v>
      </c>
      <c r="E241">
        <v>2.3199999999999998</v>
      </c>
      <c r="F241">
        <v>2511</v>
      </c>
      <c r="G241">
        <v>864</v>
      </c>
      <c r="H241">
        <v>1885</v>
      </c>
      <c r="I241">
        <v>535</v>
      </c>
      <c r="J241">
        <v>741</v>
      </c>
      <c r="K241">
        <v>447</v>
      </c>
      <c r="L241">
        <v>1184</v>
      </c>
      <c r="M241">
        <v>449</v>
      </c>
      <c r="N241">
        <v>178</v>
      </c>
      <c r="O241">
        <v>104</v>
      </c>
      <c r="P241">
        <v>487</v>
      </c>
      <c r="Q241">
        <v>554</v>
      </c>
      <c r="R241">
        <v>240</v>
      </c>
    </row>
    <row r="242" spans="1:18">
      <c r="A242" s="1" t="s">
        <v>198</v>
      </c>
      <c r="B242">
        <v>32</v>
      </c>
      <c r="C242">
        <v>16</v>
      </c>
      <c r="D242">
        <v>16</v>
      </c>
      <c r="E242">
        <v>1.43</v>
      </c>
      <c r="F242">
        <v>2222</v>
      </c>
      <c r="G242">
        <v>764</v>
      </c>
      <c r="H242">
        <v>1698</v>
      </c>
      <c r="I242">
        <v>491</v>
      </c>
      <c r="J242">
        <v>687</v>
      </c>
      <c r="K242">
        <v>313</v>
      </c>
      <c r="L242">
        <v>1045</v>
      </c>
      <c r="M242">
        <v>434</v>
      </c>
      <c r="N242">
        <v>222</v>
      </c>
      <c r="O242">
        <v>92</v>
      </c>
      <c r="P242">
        <v>476</v>
      </c>
      <c r="Q242">
        <v>626</v>
      </c>
      <c r="R242">
        <v>241</v>
      </c>
    </row>
    <row r="243" spans="1:18">
      <c r="A243" s="1" t="s">
        <v>199</v>
      </c>
      <c r="B243">
        <v>30</v>
      </c>
      <c r="C243">
        <v>8</v>
      </c>
      <c r="D243">
        <v>22</v>
      </c>
      <c r="E243">
        <v>0.72</v>
      </c>
      <c r="F243">
        <v>1817</v>
      </c>
      <c r="G243">
        <v>655</v>
      </c>
      <c r="H243">
        <v>1443</v>
      </c>
      <c r="I243">
        <v>301</v>
      </c>
      <c r="J243">
        <v>463</v>
      </c>
      <c r="K243">
        <v>181</v>
      </c>
      <c r="L243">
        <v>719</v>
      </c>
      <c r="M243">
        <v>389</v>
      </c>
      <c r="N243">
        <v>183</v>
      </c>
      <c r="O243">
        <v>67</v>
      </c>
      <c r="P243">
        <v>387</v>
      </c>
      <c r="Q243">
        <v>642</v>
      </c>
      <c r="R243">
        <v>242</v>
      </c>
    </row>
    <row r="244" spans="1:18">
      <c r="A244" s="1" t="s">
        <v>200</v>
      </c>
      <c r="B244">
        <v>31</v>
      </c>
      <c r="C244">
        <v>16</v>
      </c>
      <c r="D244">
        <v>15</v>
      </c>
      <c r="E244">
        <v>-4.88</v>
      </c>
      <c r="F244">
        <v>2169</v>
      </c>
      <c r="G244">
        <v>747</v>
      </c>
      <c r="H244">
        <v>1734</v>
      </c>
      <c r="I244">
        <v>447</v>
      </c>
      <c r="J244">
        <v>622</v>
      </c>
      <c r="K244">
        <v>316</v>
      </c>
      <c r="L244">
        <v>1065</v>
      </c>
      <c r="M244">
        <v>439</v>
      </c>
      <c r="N244">
        <v>165</v>
      </c>
      <c r="O244">
        <v>111</v>
      </c>
      <c r="P244">
        <v>428</v>
      </c>
      <c r="Q244">
        <v>549</v>
      </c>
      <c r="R244">
        <v>243</v>
      </c>
    </row>
    <row r="245" spans="1:18">
      <c r="A245" s="1" t="s">
        <v>201</v>
      </c>
      <c r="B245">
        <v>28</v>
      </c>
      <c r="C245">
        <v>17</v>
      </c>
      <c r="D245">
        <v>11</v>
      </c>
      <c r="E245">
        <v>-8.07</v>
      </c>
      <c r="F245">
        <v>2105</v>
      </c>
      <c r="G245">
        <v>768</v>
      </c>
      <c r="H245">
        <v>1611</v>
      </c>
      <c r="I245">
        <v>369</v>
      </c>
      <c r="J245">
        <v>487</v>
      </c>
      <c r="K245">
        <v>311</v>
      </c>
      <c r="L245">
        <v>949</v>
      </c>
      <c r="M245">
        <v>452</v>
      </c>
      <c r="N245">
        <v>214</v>
      </c>
      <c r="O245">
        <v>79</v>
      </c>
      <c r="P245">
        <v>405</v>
      </c>
      <c r="Q245">
        <v>547</v>
      </c>
      <c r="R245">
        <v>244</v>
      </c>
    </row>
    <row r="246" spans="1:18">
      <c r="A246" s="1" t="s">
        <v>202</v>
      </c>
      <c r="B246">
        <v>29</v>
      </c>
      <c r="C246">
        <v>10</v>
      </c>
      <c r="D246">
        <v>19</v>
      </c>
      <c r="E246">
        <v>5.86</v>
      </c>
      <c r="F246">
        <v>1734</v>
      </c>
      <c r="G246">
        <v>594</v>
      </c>
      <c r="H246">
        <v>1526</v>
      </c>
      <c r="I246">
        <v>396</v>
      </c>
      <c r="J246">
        <v>587</v>
      </c>
      <c r="K246">
        <v>348</v>
      </c>
      <c r="L246">
        <v>976</v>
      </c>
      <c r="M246">
        <v>261</v>
      </c>
      <c r="N246">
        <v>135</v>
      </c>
      <c r="O246">
        <v>123</v>
      </c>
      <c r="P246">
        <v>373</v>
      </c>
      <c r="Q246">
        <v>530</v>
      </c>
      <c r="R246">
        <v>245</v>
      </c>
    </row>
    <row r="247" spans="1:18">
      <c r="A247" s="1" t="s">
        <v>203</v>
      </c>
      <c r="B247">
        <v>29</v>
      </c>
      <c r="C247">
        <v>10</v>
      </c>
      <c r="D247">
        <v>19</v>
      </c>
      <c r="E247">
        <v>-2.68</v>
      </c>
      <c r="F247">
        <v>2192</v>
      </c>
      <c r="G247">
        <v>793</v>
      </c>
      <c r="H247">
        <v>1904</v>
      </c>
      <c r="I247">
        <v>419</v>
      </c>
      <c r="J247">
        <v>671</v>
      </c>
      <c r="K247">
        <v>405</v>
      </c>
      <c r="L247">
        <v>977</v>
      </c>
      <c r="M247">
        <v>390</v>
      </c>
      <c r="N247">
        <v>320</v>
      </c>
      <c r="O247">
        <v>99</v>
      </c>
      <c r="P247">
        <v>416</v>
      </c>
      <c r="Q247">
        <v>654</v>
      </c>
      <c r="R247">
        <v>246</v>
      </c>
    </row>
    <row r="248" spans="1:18">
      <c r="A248" s="1" t="s">
        <v>204</v>
      </c>
      <c r="B248">
        <v>32</v>
      </c>
      <c r="C248">
        <v>18</v>
      </c>
      <c r="D248">
        <v>14</v>
      </c>
      <c r="E248">
        <v>-6.04</v>
      </c>
      <c r="F248">
        <v>2513</v>
      </c>
      <c r="G248">
        <v>914</v>
      </c>
      <c r="H248">
        <v>1903</v>
      </c>
      <c r="I248">
        <v>446</v>
      </c>
      <c r="J248">
        <v>645</v>
      </c>
      <c r="K248">
        <v>326</v>
      </c>
      <c r="L248">
        <v>1035</v>
      </c>
      <c r="M248">
        <v>479</v>
      </c>
      <c r="N248">
        <v>302</v>
      </c>
      <c r="O248">
        <v>109</v>
      </c>
      <c r="P248">
        <v>483</v>
      </c>
      <c r="Q248">
        <v>626</v>
      </c>
      <c r="R248">
        <v>247</v>
      </c>
    </row>
    <row r="249" spans="1:18">
      <c r="A249" s="1" t="s">
        <v>205</v>
      </c>
      <c r="B249">
        <v>29</v>
      </c>
      <c r="C249">
        <v>8</v>
      </c>
      <c r="D249">
        <v>21</v>
      </c>
      <c r="E249">
        <v>-6.74</v>
      </c>
      <c r="F249">
        <v>1944</v>
      </c>
      <c r="G249">
        <v>644</v>
      </c>
      <c r="H249">
        <v>1488</v>
      </c>
      <c r="I249">
        <v>467</v>
      </c>
      <c r="J249">
        <v>641</v>
      </c>
      <c r="K249">
        <v>329</v>
      </c>
      <c r="L249">
        <v>973</v>
      </c>
      <c r="M249">
        <v>379</v>
      </c>
      <c r="N249">
        <v>155</v>
      </c>
      <c r="O249">
        <v>85</v>
      </c>
      <c r="P249">
        <v>486</v>
      </c>
      <c r="Q249">
        <v>539</v>
      </c>
      <c r="R249">
        <v>248</v>
      </c>
    </row>
    <row r="250" spans="1:18">
      <c r="A250" s="1" t="s">
        <v>206</v>
      </c>
      <c r="B250">
        <v>32</v>
      </c>
      <c r="C250">
        <v>18</v>
      </c>
      <c r="D250">
        <v>14</v>
      </c>
      <c r="E250">
        <v>2.23</v>
      </c>
      <c r="F250">
        <v>2162</v>
      </c>
      <c r="G250">
        <v>751</v>
      </c>
      <c r="H250">
        <v>1620</v>
      </c>
      <c r="I250">
        <v>485</v>
      </c>
      <c r="J250">
        <v>671</v>
      </c>
      <c r="K250">
        <v>390</v>
      </c>
      <c r="L250">
        <v>1073</v>
      </c>
      <c r="M250">
        <v>423</v>
      </c>
      <c r="N250">
        <v>196</v>
      </c>
      <c r="O250">
        <v>126</v>
      </c>
      <c r="P250">
        <v>473</v>
      </c>
      <c r="Q250">
        <v>569</v>
      </c>
      <c r="R250">
        <v>249</v>
      </c>
    </row>
    <row r="251" spans="1:18">
      <c r="A251" s="1" t="s">
        <v>292</v>
      </c>
      <c r="B251">
        <v>33</v>
      </c>
      <c r="C251">
        <v>20</v>
      </c>
      <c r="D251">
        <v>13</v>
      </c>
      <c r="E251">
        <v>2.91</v>
      </c>
      <c r="F251">
        <v>2178</v>
      </c>
      <c r="G251">
        <v>776</v>
      </c>
      <c r="H251">
        <v>1699</v>
      </c>
      <c r="I251">
        <v>437</v>
      </c>
      <c r="J251">
        <v>603</v>
      </c>
      <c r="K251">
        <v>275</v>
      </c>
      <c r="L251">
        <v>1141</v>
      </c>
      <c r="M251">
        <v>448</v>
      </c>
      <c r="N251">
        <v>152</v>
      </c>
      <c r="O251">
        <v>142</v>
      </c>
      <c r="P251">
        <v>437</v>
      </c>
      <c r="Q251">
        <v>558</v>
      </c>
      <c r="R251">
        <v>250</v>
      </c>
    </row>
    <row r="252" spans="1:18">
      <c r="A252" s="1" t="s">
        <v>207</v>
      </c>
      <c r="B252">
        <v>32</v>
      </c>
      <c r="C252">
        <v>17</v>
      </c>
      <c r="D252">
        <v>15</v>
      </c>
      <c r="E252">
        <v>1.03</v>
      </c>
      <c r="F252">
        <v>2247</v>
      </c>
      <c r="G252">
        <v>769</v>
      </c>
      <c r="H252">
        <v>1794</v>
      </c>
      <c r="I252">
        <v>551</v>
      </c>
      <c r="J252">
        <v>799</v>
      </c>
      <c r="K252">
        <v>426</v>
      </c>
      <c r="L252">
        <v>1214</v>
      </c>
      <c r="M252">
        <v>368</v>
      </c>
      <c r="N252">
        <v>197</v>
      </c>
      <c r="O252">
        <v>172</v>
      </c>
      <c r="P252">
        <v>446</v>
      </c>
      <c r="Q252">
        <v>598</v>
      </c>
      <c r="R252">
        <v>251</v>
      </c>
    </row>
    <row r="253" spans="1:18">
      <c r="A253" s="1" t="s">
        <v>208</v>
      </c>
      <c r="B253">
        <v>30</v>
      </c>
      <c r="C253">
        <v>5</v>
      </c>
      <c r="D253">
        <v>25</v>
      </c>
      <c r="E253">
        <v>-5.82</v>
      </c>
      <c r="F253">
        <v>1788</v>
      </c>
      <c r="G253">
        <v>643</v>
      </c>
      <c r="H253">
        <v>1603</v>
      </c>
      <c r="I253">
        <v>309</v>
      </c>
      <c r="J253">
        <v>465</v>
      </c>
      <c r="K253">
        <v>344</v>
      </c>
      <c r="L253">
        <v>1010</v>
      </c>
      <c r="M253">
        <v>342</v>
      </c>
      <c r="N253">
        <v>212</v>
      </c>
      <c r="O253">
        <v>106</v>
      </c>
      <c r="P253">
        <v>499</v>
      </c>
      <c r="Q253">
        <v>546</v>
      </c>
      <c r="R253">
        <v>252</v>
      </c>
    </row>
    <row r="254" spans="1:18">
      <c r="A254" s="1" t="s">
        <v>209</v>
      </c>
      <c r="B254">
        <v>31</v>
      </c>
      <c r="C254">
        <v>21</v>
      </c>
      <c r="D254">
        <v>10</v>
      </c>
      <c r="E254">
        <v>-5.35</v>
      </c>
      <c r="F254">
        <v>2397</v>
      </c>
      <c r="G254">
        <v>816</v>
      </c>
      <c r="H254">
        <v>1820</v>
      </c>
      <c r="I254">
        <v>502</v>
      </c>
      <c r="J254">
        <v>750</v>
      </c>
      <c r="K254">
        <v>390</v>
      </c>
      <c r="L254">
        <v>1157</v>
      </c>
      <c r="M254">
        <v>596</v>
      </c>
      <c r="N254">
        <v>245</v>
      </c>
      <c r="O254">
        <v>100</v>
      </c>
      <c r="P254">
        <v>465</v>
      </c>
      <c r="Q254">
        <v>656</v>
      </c>
      <c r="R254">
        <v>253</v>
      </c>
    </row>
    <row r="255" spans="1:18">
      <c r="A255" s="1" t="s">
        <v>293</v>
      </c>
      <c r="B255">
        <v>32</v>
      </c>
      <c r="C255">
        <v>16</v>
      </c>
      <c r="D255">
        <v>16</v>
      </c>
      <c r="E255">
        <v>-4.78</v>
      </c>
      <c r="F255">
        <v>1898</v>
      </c>
      <c r="G255">
        <v>644</v>
      </c>
      <c r="H255">
        <v>1437</v>
      </c>
      <c r="I255">
        <v>358</v>
      </c>
      <c r="J255">
        <v>493</v>
      </c>
      <c r="K255">
        <v>214</v>
      </c>
      <c r="L255">
        <v>823</v>
      </c>
      <c r="M255">
        <v>417</v>
      </c>
      <c r="N255">
        <v>168</v>
      </c>
      <c r="O255">
        <v>51</v>
      </c>
      <c r="P255">
        <v>334</v>
      </c>
      <c r="Q255">
        <v>467</v>
      </c>
      <c r="R255">
        <v>254</v>
      </c>
    </row>
    <row r="256" spans="1:18">
      <c r="A256" s="1" t="s">
        <v>210</v>
      </c>
      <c r="B256">
        <v>33</v>
      </c>
      <c r="C256">
        <v>22</v>
      </c>
      <c r="D256">
        <v>11</v>
      </c>
      <c r="E256">
        <v>3.9</v>
      </c>
      <c r="F256">
        <v>2389</v>
      </c>
      <c r="G256">
        <v>887</v>
      </c>
      <c r="H256">
        <v>1896</v>
      </c>
      <c r="I256">
        <v>430</v>
      </c>
      <c r="J256">
        <v>608</v>
      </c>
      <c r="K256">
        <v>339</v>
      </c>
      <c r="L256">
        <v>1138</v>
      </c>
      <c r="M256">
        <v>483</v>
      </c>
      <c r="N256">
        <v>271</v>
      </c>
      <c r="O256">
        <v>134</v>
      </c>
      <c r="P256">
        <v>492</v>
      </c>
      <c r="Q256">
        <v>501</v>
      </c>
      <c r="R256">
        <v>255</v>
      </c>
    </row>
    <row r="257" spans="1:18">
      <c r="A257" s="1" t="s">
        <v>211</v>
      </c>
      <c r="B257">
        <v>32</v>
      </c>
      <c r="C257">
        <v>18</v>
      </c>
      <c r="D257">
        <v>14</v>
      </c>
      <c r="E257">
        <v>-1.1499999999999999</v>
      </c>
      <c r="F257">
        <v>2403</v>
      </c>
      <c r="G257">
        <v>831</v>
      </c>
      <c r="H257">
        <v>1861</v>
      </c>
      <c r="I257">
        <v>515</v>
      </c>
      <c r="J257">
        <v>733</v>
      </c>
      <c r="K257">
        <v>413</v>
      </c>
      <c r="L257">
        <v>1111</v>
      </c>
      <c r="M257">
        <v>471</v>
      </c>
      <c r="N257">
        <v>231</v>
      </c>
      <c r="O257">
        <v>98</v>
      </c>
      <c r="P257">
        <v>498</v>
      </c>
      <c r="Q257">
        <v>639</v>
      </c>
      <c r="R257">
        <v>256</v>
      </c>
    </row>
    <row r="258" spans="1:18">
      <c r="A258" s="1" t="s">
        <v>212</v>
      </c>
      <c r="B258">
        <v>31</v>
      </c>
      <c r="C258">
        <v>13</v>
      </c>
      <c r="D258">
        <v>18</v>
      </c>
      <c r="E258">
        <v>0.95</v>
      </c>
      <c r="F258">
        <v>2300</v>
      </c>
      <c r="G258">
        <v>818</v>
      </c>
      <c r="H258">
        <v>1789</v>
      </c>
      <c r="I258">
        <v>448</v>
      </c>
      <c r="J258">
        <v>638</v>
      </c>
      <c r="K258">
        <v>321</v>
      </c>
      <c r="L258">
        <v>1031</v>
      </c>
      <c r="M258">
        <v>404</v>
      </c>
      <c r="N258">
        <v>248</v>
      </c>
      <c r="O258">
        <v>98</v>
      </c>
      <c r="P258">
        <v>493</v>
      </c>
      <c r="Q258">
        <v>601</v>
      </c>
      <c r="R258">
        <v>257</v>
      </c>
    </row>
    <row r="259" spans="1:18">
      <c r="A259" s="1" t="s">
        <v>213</v>
      </c>
      <c r="B259">
        <v>30</v>
      </c>
      <c r="C259">
        <v>5</v>
      </c>
      <c r="D259">
        <v>25</v>
      </c>
      <c r="E259">
        <v>2.21</v>
      </c>
      <c r="F259">
        <v>1858</v>
      </c>
      <c r="G259">
        <v>687</v>
      </c>
      <c r="H259">
        <v>1750</v>
      </c>
      <c r="I259">
        <v>318</v>
      </c>
      <c r="J259">
        <v>525</v>
      </c>
      <c r="K259">
        <v>374</v>
      </c>
      <c r="L259">
        <v>1079</v>
      </c>
      <c r="M259">
        <v>351</v>
      </c>
      <c r="N259">
        <v>176</v>
      </c>
      <c r="O259">
        <v>88</v>
      </c>
      <c r="P259">
        <v>441</v>
      </c>
      <c r="Q259">
        <v>526</v>
      </c>
      <c r="R259">
        <v>258</v>
      </c>
    </row>
    <row r="260" spans="1:18">
      <c r="A260" s="1" t="s">
        <v>214</v>
      </c>
      <c r="B260">
        <v>31</v>
      </c>
      <c r="C260">
        <v>21</v>
      </c>
      <c r="D260">
        <v>10</v>
      </c>
      <c r="E260">
        <v>1.58</v>
      </c>
      <c r="F260">
        <v>2131</v>
      </c>
      <c r="G260">
        <v>789</v>
      </c>
      <c r="H260">
        <v>1702</v>
      </c>
      <c r="I260">
        <v>355</v>
      </c>
      <c r="J260">
        <v>532</v>
      </c>
      <c r="K260">
        <v>366</v>
      </c>
      <c r="L260">
        <v>1121</v>
      </c>
      <c r="M260">
        <v>470</v>
      </c>
      <c r="N260">
        <v>164</v>
      </c>
      <c r="O260">
        <v>95</v>
      </c>
      <c r="P260">
        <v>462</v>
      </c>
      <c r="Q260">
        <v>562</v>
      </c>
      <c r="R260">
        <v>259</v>
      </c>
    </row>
    <row r="261" spans="1:18">
      <c r="A261" s="1" t="s">
        <v>322</v>
      </c>
      <c r="B261">
        <v>30</v>
      </c>
      <c r="C261">
        <v>12</v>
      </c>
      <c r="D261">
        <v>18</v>
      </c>
      <c r="E261">
        <v>-2.5099999999999998</v>
      </c>
      <c r="F261">
        <v>1713</v>
      </c>
      <c r="G261">
        <v>604</v>
      </c>
      <c r="H261">
        <v>1480</v>
      </c>
      <c r="I261">
        <v>359</v>
      </c>
      <c r="J261">
        <v>521</v>
      </c>
      <c r="K261">
        <v>307</v>
      </c>
      <c r="L261">
        <v>950</v>
      </c>
      <c r="M261">
        <v>318</v>
      </c>
      <c r="N261">
        <v>242</v>
      </c>
      <c r="O261">
        <v>94</v>
      </c>
      <c r="P261">
        <v>574</v>
      </c>
      <c r="Q261">
        <v>652</v>
      </c>
      <c r="R261">
        <v>260</v>
      </c>
    </row>
    <row r="262" spans="1:18">
      <c r="A262" s="1" t="s">
        <v>294</v>
      </c>
      <c r="B262">
        <v>29</v>
      </c>
      <c r="C262">
        <v>13</v>
      </c>
      <c r="D262">
        <v>16</v>
      </c>
      <c r="E262">
        <v>5.37</v>
      </c>
      <c r="F262">
        <v>2165</v>
      </c>
      <c r="G262">
        <v>764</v>
      </c>
      <c r="H262">
        <v>1814</v>
      </c>
      <c r="I262">
        <v>450</v>
      </c>
      <c r="J262">
        <v>597</v>
      </c>
      <c r="K262">
        <v>364</v>
      </c>
      <c r="L262">
        <v>985</v>
      </c>
      <c r="M262">
        <v>366</v>
      </c>
      <c r="N262">
        <v>299</v>
      </c>
      <c r="O262">
        <v>81</v>
      </c>
      <c r="P262">
        <v>353</v>
      </c>
      <c r="Q262">
        <v>609</v>
      </c>
      <c r="R262">
        <v>261</v>
      </c>
    </row>
    <row r="263" spans="1:18">
      <c r="A263" s="1" t="s">
        <v>215</v>
      </c>
      <c r="B263">
        <v>32</v>
      </c>
      <c r="C263">
        <v>20</v>
      </c>
      <c r="D263">
        <v>12</v>
      </c>
      <c r="E263">
        <v>-4.72</v>
      </c>
      <c r="F263">
        <v>2437</v>
      </c>
      <c r="G263">
        <v>890</v>
      </c>
      <c r="H263">
        <v>1872</v>
      </c>
      <c r="I263">
        <v>468</v>
      </c>
      <c r="J263">
        <v>672</v>
      </c>
      <c r="K263">
        <v>344</v>
      </c>
      <c r="L263">
        <v>1128</v>
      </c>
      <c r="M263">
        <v>484</v>
      </c>
      <c r="N263">
        <v>244</v>
      </c>
      <c r="O263">
        <v>91</v>
      </c>
      <c r="P263">
        <v>430</v>
      </c>
      <c r="Q263">
        <v>542</v>
      </c>
      <c r="R263">
        <v>262</v>
      </c>
    </row>
    <row r="264" spans="1:18">
      <c r="A264" s="1" t="s">
        <v>216</v>
      </c>
      <c r="B264">
        <v>32</v>
      </c>
      <c r="C264">
        <v>20</v>
      </c>
      <c r="D264">
        <v>12</v>
      </c>
      <c r="E264">
        <v>-4.18</v>
      </c>
      <c r="F264">
        <v>2280</v>
      </c>
      <c r="G264">
        <v>804</v>
      </c>
      <c r="H264">
        <v>1831</v>
      </c>
      <c r="I264">
        <v>400</v>
      </c>
      <c r="J264">
        <v>616</v>
      </c>
      <c r="K264">
        <v>352</v>
      </c>
      <c r="L264">
        <v>1100</v>
      </c>
      <c r="M264">
        <v>441</v>
      </c>
      <c r="N264">
        <v>231</v>
      </c>
      <c r="O264">
        <v>82</v>
      </c>
      <c r="P264">
        <v>393</v>
      </c>
      <c r="Q264">
        <v>568</v>
      </c>
      <c r="R264">
        <v>263</v>
      </c>
    </row>
    <row r="265" spans="1:18">
      <c r="A265" s="1" t="s">
        <v>295</v>
      </c>
      <c r="B265">
        <v>30</v>
      </c>
      <c r="C265">
        <v>13</v>
      </c>
      <c r="D265">
        <v>17</v>
      </c>
      <c r="E265">
        <v>-9.91</v>
      </c>
      <c r="F265">
        <v>1989</v>
      </c>
      <c r="G265">
        <v>697</v>
      </c>
      <c r="H265">
        <v>1593</v>
      </c>
      <c r="I265">
        <v>437</v>
      </c>
      <c r="J265">
        <v>636</v>
      </c>
      <c r="K265">
        <v>366</v>
      </c>
      <c r="L265">
        <v>1041</v>
      </c>
      <c r="M265">
        <v>297</v>
      </c>
      <c r="N265">
        <v>184</v>
      </c>
      <c r="O265">
        <v>75</v>
      </c>
      <c r="P265">
        <v>507</v>
      </c>
      <c r="Q265">
        <v>667</v>
      </c>
      <c r="R265">
        <v>264</v>
      </c>
    </row>
    <row r="266" spans="1:18">
      <c r="A266" s="1" t="s">
        <v>217</v>
      </c>
      <c r="B266">
        <v>30</v>
      </c>
      <c r="C266">
        <v>14</v>
      </c>
      <c r="D266">
        <v>16</v>
      </c>
      <c r="E266">
        <v>7.86</v>
      </c>
      <c r="F266">
        <v>1941</v>
      </c>
      <c r="G266">
        <v>701</v>
      </c>
      <c r="H266">
        <v>1663</v>
      </c>
      <c r="I266">
        <v>310</v>
      </c>
      <c r="J266">
        <v>464</v>
      </c>
      <c r="K266">
        <v>326</v>
      </c>
      <c r="L266">
        <v>949</v>
      </c>
      <c r="M266">
        <v>337</v>
      </c>
      <c r="N266">
        <v>137</v>
      </c>
      <c r="O266">
        <v>140</v>
      </c>
      <c r="P266">
        <v>337</v>
      </c>
      <c r="Q266">
        <v>448</v>
      </c>
      <c r="R266">
        <v>265</v>
      </c>
    </row>
    <row r="267" spans="1:18">
      <c r="A267" s="1" t="s">
        <v>341</v>
      </c>
      <c r="B267">
        <v>30</v>
      </c>
      <c r="C267">
        <v>6</v>
      </c>
      <c r="D267">
        <v>24</v>
      </c>
      <c r="F267">
        <v>1861</v>
      </c>
      <c r="G267">
        <v>660</v>
      </c>
      <c r="H267">
        <v>1571</v>
      </c>
      <c r="I267">
        <v>385</v>
      </c>
      <c r="J267">
        <v>581</v>
      </c>
      <c r="K267">
        <v>330</v>
      </c>
      <c r="L267">
        <v>972</v>
      </c>
      <c r="M267">
        <v>348</v>
      </c>
      <c r="N267">
        <v>183</v>
      </c>
      <c r="O267">
        <v>37</v>
      </c>
      <c r="P267">
        <v>484</v>
      </c>
      <c r="Q267">
        <v>545</v>
      </c>
      <c r="R267">
        <v>266</v>
      </c>
    </row>
    <row r="268" spans="1:18">
      <c r="A268" s="1" t="s">
        <v>218</v>
      </c>
      <c r="B268">
        <v>30</v>
      </c>
      <c r="C268">
        <v>12</v>
      </c>
      <c r="D268">
        <v>18</v>
      </c>
      <c r="E268">
        <v>4.37</v>
      </c>
      <c r="F268">
        <v>1970</v>
      </c>
      <c r="G268">
        <v>677</v>
      </c>
      <c r="H268">
        <v>1513</v>
      </c>
      <c r="I268">
        <v>477</v>
      </c>
      <c r="J268">
        <v>721</v>
      </c>
      <c r="K268">
        <v>340</v>
      </c>
      <c r="L268">
        <v>1090</v>
      </c>
      <c r="M268">
        <v>437</v>
      </c>
      <c r="N268">
        <v>184</v>
      </c>
      <c r="O268">
        <v>150</v>
      </c>
      <c r="P268">
        <v>506</v>
      </c>
      <c r="Q268">
        <v>522</v>
      </c>
      <c r="R268">
        <v>267</v>
      </c>
    </row>
    <row r="269" spans="1:18">
      <c r="A269" s="1" t="s">
        <v>296</v>
      </c>
      <c r="B269">
        <v>31</v>
      </c>
      <c r="C269">
        <v>11</v>
      </c>
      <c r="D269">
        <v>20</v>
      </c>
      <c r="E269">
        <v>-5.78</v>
      </c>
      <c r="F269">
        <v>2153</v>
      </c>
      <c r="G269">
        <v>729</v>
      </c>
      <c r="H269">
        <v>1741</v>
      </c>
      <c r="I269">
        <v>441</v>
      </c>
      <c r="J269">
        <v>698</v>
      </c>
      <c r="K269">
        <v>388</v>
      </c>
      <c r="L269">
        <v>1029</v>
      </c>
      <c r="M269">
        <v>401</v>
      </c>
      <c r="N269">
        <v>249</v>
      </c>
      <c r="O269">
        <v>126</v>
      </c>
      <c r="P269">
        <v>528</v>
      </c>
      <c r="Q269">
        <v>602</v>
      </c>
      <c r="R269">
        <v>268</v>
      </c>
    </row>
    <row r="270" spans="1:18">
      <c r="A270" s="1" t="s">
        <v>219</v>
      </c>
      <c r="B270">
        <v>30</v>
      </c>
      <c r="C270">
        <v>16</v>
      </c>
      <c r="D270">
        <v>14</v>
      </c>
      <c r="E270">
        <v>-5.98</v>
      </c>
      <c r="F270">
        <v>2050</v>
      </c>
      <c r="G270">
        <v>755</v>
      </c>
      <c r="H270">
        <v>1707</v>
      </c>
      <c r="I270">
        <v>326</v>
      </c>
      <c r="J270">
        <v>459</v>
      </c>
      <c r="K270">
        <v>310</v>
      </c>
      <c r="L270">
        <v>925</v>
      </c>
      <c r="M270">
        <v>418</v>
      </c>
      <c r="N270">
        <v>195</v>
      </c>
      <c r="O270">
        <v>110</v>
      </c>
      <c r="P270">
        <v>376</v>
      </c>
      <c r="Q270">
        <v>524</v>
      </c>
      <c r="R270">
        <v>269</v>
      </c>
    </row>
    <row r="271" spans="1:18">
      <c r="A271" s="1" t="s">
        <v>220</v>
      </c>
      <c r="B271">
        <v>37</v>
      </c>
      <c r="C271">
        <v>25</v>
      </c>
      <c r="D271">
        <v>12</v>
      </c>
      <c r="E271">
        <v>7.87</v>
      </c>
      <c r="F271">
        <v>2656</v>
      </c>
      <c r="G271">
        <v>946</v>
      </c>
      <c r="H271">
        <v>1988</v>
      </c>
      <c r="I271">
        <v>557</v>
      </c>
      <c r="J271">
        <v>779</v>
      </c>
      <c r="K271">
        <v>349</v>
      </c>
      <c r="L271">
        <v>1277</v>
      </c>
      <c r="M271">
        <v>472</v>
      </c>
      <c r="N271">
        <v>206</v>
      </c>
      <c r="O271">
        <v>148</v>
      </c>
      <c r="P271">
        <v>540</v>
      </c>
      <c r="Q271">
        <v>660</v>
      </c>
      <c r="R271">
        <v>270</v>
      </c>
    </row>
    <row r="272" spans="1:18">
      <c r="A272" s="1" t="s">
        <v>221</v>
      </c>
      <c r="B272">
        <v>36</v>
      </c>
      <c r="C272">
        <v>29</v>
      </c>
      <c r="D272">
        <v>7</v>
      </c>
      <c r="E272">
        <v>7.53</v>
      </c>
      <c r="F272">
        <v>2266</v>
      </c>
      <c r="G272">
        <v>762</v>
      </c>
      <c r="H272">
        <v>1702</v>
      </c>
      <c r="I272">
        <v>518</v>
      </c>
      <c r="J272">
        <v>748</v>
      </c>
      <c r="K272">
        <v>346</v>
      </c>
      <c r="L272">
        <v>1076</v>
      </c>
      <c r="M272">
        <v>414</v>
      </c>
      <c r="N272">
        <v>237</v>
      </c>
      <c r="O272">
        <v>116</v>
      </c>
      <c r="P272">
        <v>504</v>
      </c>
      <c r="Q272">
        <v>728</v>
      </c>
      <c r="R272">
        <v>271</v>
      </c>
    </row>
    <row r="273" spans="1:18">
      <c r="A273" s="1" t="s">
        <v>222</v>
      </c>
      <c r="B273">
        <v>31</v>
      </c>
      <c r="C273">
        <v>14</v>
      </c>
      <c r="D273">
        <v>17</v>
      </c>
      <c r="E273">
        <v>0.73</v>
      </c>
      <c r="F273">
        <v>1945</v>
      </c>
      <c r="G273">
        <v>653</v>
      </c>
      <c r="H273">
        <v>1553</v>
      </c>
      <c r="I273">
        <v>424</v>
      </c>
      <c r="J273">
        <v>605</v>
      </c>
      <c r="K273">
        <v>360</v>
      </c>
      <c r="L273">
        <v>1070</v>
      </c>
      <c r="M273">
        <v>388</v>
      </c>
      <c r="N273">
        <v>188</v>
      </c>
      <c r="O273">
        <v>122</v>
      </c>
      <c r="P273">
        <v>502</v>
      </c>
      <c r="Q273">
        <v>529</v>
      </c>
      <c r="R273">
        <v>272</v>
      </c>
    </row>
    <row r="274" spans="1:18">
      <c r="A274" s="1" t="s">
        <v>223</v>
      </c>
      <c r="B274">
        <v>31</v>
      </c>
      <c r="C274">
        <v>20</v>
      </c>
      <c r="D274">
        <v>11</v>
      </c>
      <c r="E274">
        <v>0.17</v>
      </c>
      <c r="F274">
        <v>2149</v>
      </c>
      <c r="G274">
        <v>732</v>
      </c>
      <c r="H274">
        <v>1686</v>
      </c>
      <c r="I274">
        <v>538</v>
      </c>
      <c r="J274">
        <v>811</v>
      </c>
      <c r="K274">
        <v>426</v>
      </c>
      <c r="L274">
        <v>1196</v>
      </c>
      <c r="M274">
        <v>342</v>
      </c>
      <c r="N274">
        <v>214</v>
      </c>
      <c r="O274">
        <v>96</v>
      </c>
      <c r="P274">
        <v>448</v>
      </c>
      <c r="Q274">
        <v>618</v>
      </c>
      <c r="R274">
        <v>273</v>
      </c>
    </row>
    <row r="275" spans="1:18">
      <c r="A275" s="1" t="s">
        <v>224</v>
      </c>
      <c r="B275">
        <v>30</v>
      </c>
      <c r="C275">
        <v>16</v>
      </c>
      <c r="D275">
        <v>14</v>
      </c>
      <c r="E275">
        <v>-4.41</v>
      </c>
      <c r="F275">
        <v>2014</v>
      </c>
      <c r="G275">
        <v>740</v>
      </c>
      <c r="H275">
        <v>1558</v>
      </c>
      <c r="I275">
        <v>357</v>
      </c>
      <c r="J275">
        <v>530</v>
      </c>
      <c r="K275">
        <v>303</v>
      </c>
      <c r="L275">
        <v>935</v>
      </c>
      <c r="M275">
        <v>395</v>
      </c>
      <c r="N275">
        <v>155</v>
      </c>
      <c r="O275">
        <v>97</v>
      </c>
      <c r="P275">
        <v>421</v>
      </c>
      <c r="Q275">
        <v>523</v>
      </c>
      <c r="R275">
        <v>274</v>
      </c>
    </row>
    <row r="276" spans="1:18">
      <c r="A276" s="1" t="s">
        <v>225</v>
      </c>
      <c r="B276">
        <v>31</v>
      </c>
      <c r="C276">
        <v>10</v>
      </c>
      <c r="D276">
        <v>21</v>
      </c>
      <c r="E276">
        <v>-10.039999999999999</v>
      </c>
      <c r="F276">
        <v>1839</v>
      </c>
      <c r="G276">
        <v>639</v>
      </c>
      <c r="H276">
        <v>1643</v>
      </c>
      <c r="I276">
        <v>393</v>
      </c>
      <c r="J276">
        <v>610</v>
      </c>
      <c r="K276">
        <v>375</v>
      </c>
      <c r="L276">
        <v>1073</v>
      </c>
      <c r="M276">
        <v>297</v>
      </c>
      <c r="N276">
        <v>249</v>
      </c>
      <c r="O276">
        <v>111</v>
      </c>
      <c r="P276">
        <v>573</v>
      </c>
      <c r="Q276">
        <v>572</v>
      </c>
      <c r="R276">
        <v>275</v>
      </c>
    </row>
    <row r="277" spans="1:18">
      <c r="A277" s="1" t="s">
        <v>297</v>
      </c>
      <c r="B277">
        <v>29</v>
      </c>
      <c r="C277">
        <v>7</v>
      </c>
      <c r="D277">
        <v>22</v>
      </c>
      <c r="E277">
        <v>-1.47</v>
      </c>
      <c r="F277">
        <v>1957</v>
      </c>
      <c r="G277">
        <v>668</v>
      </c>
      <c r="H277">
        <v>1621</v>
      </c>
      <c r="I277">
        <v>430</v>
      </c>
      <c r="J277">
        <v>644</v>
      </c>
      <c r="K277">
        <v>351</v>
      </c>
      <c r="L277">
        <v>972</v>
      </c>
      <c r="M277">
        <v>373</v>
      </c>
      <c r="N277">
        <v>152</v>
      </c>
      <c r="O277">
        <v>89</v>
      </c>
      <c r="P277">
        <v>434</v>
      </c>
      <c r="Q277">
        <v>514</v>
      </c>
      <c r="R277">
        <v>276</v>
      </c>
    </row>
    <row r="278" spans="1:18">
      <c r="A278" s="1" t="s">
        <v>226</v>
      </c>
      <c r="B278">
        <v>31</v>
      </c>
      <c r="C278">
        <v>9</v>
      </c>
      <c r="D278">
        <v>22</v>
      </c>
      <c r="E278">
        <v>-5.54</v>
      </c>
      <c r="F278">
        <v>1955</v>
      </c>
      <c r="G278">
        <v>715</v>
      </c>
      <c r="H278">
        <v>1735</v>
      </c>
      <c r="I278">
        <v>397</v>
      </c>
      <c r="J278">
        <v>640</v>
      </c>
      <c r="K278">
        <v>458</v>
      </c>
      <c r="L278">
        <v>1144</v>
      </c>
      <c r="M278">
        <v>323</v>
      </c>
      <c r="N278">
        <v>227</v>
      </c>
      <c r="O278">
        <v>78</v>
      </c>
      <c r="P278">
        <v>553</v>
      </c>
      <c r="Q278">
        <v>631</v>
      </c>
      <c r="R278">
        <v>277</v>
      </c>
    </row>
    <row r="279" spans="1:18">
      <c r="A279" s="1" t="s">
        <v>298</v>
      </c>
      <c r="B279">
        <v>31</v>
      </c>
      <c r="C279">
        <v>16</v>
      </c>
      <c r="D279">
        <v>15</v>
      </c>
      <c r="E279">
        <v>6.85</v>
      </c>
      <c r="F279">
        <v>1979</v>
      </c>
      <c r="G279">
        <v>676</v>
      </c>
      <c r="H279">
        <v>1652</v>
      </c>
      <c r="I279">
        <v>412</v>
      </c>
      <c r="J279">
        <v>570</v>
      </c>
      <c r="K279">
        <v>338</v>
      </c>
      <c r="L279">
        <v>1054</v>
      </c>
      <c r="M279">
        <v>419</v>
      </c>
      <c r="N279">
        <v>175</v>
      </c>
      <c r="O279">
        <v>110</v>
      </c>
      <c r="P279">
        <v>441</v>
      </c>
      <c r="Q279">
        <v>532</v>
      </c>
      <c r="R279">
        <v>278</v>
      </c>
    </row>
    <row r="280" spans="1:18">
      <c r="A280" s="1" t="s">
        <v>342</v>
      </c>
      <c r="B280">
        <v>31</v>
      </c>
      <c r="C280">
        <v>18</v>
      </c>
      <c r="D280">
        <v>13</v>
      </c>
      <c r="E280">
        <v>9.06</v>
      </c>
      <c r="F280">
        <v>2156</v>
      </c>
      <c r="G280">
        <v>778</v>
      </c>
      <c r="H280">
        <v>1738</v>
      </c>
      <c r="I280">
        <v>426</v>
      </c>
      <c r="J280">
        <v>625</v>
      </c>
      <c r="K280">
        <v>395</v>
      </c>
      <c r="L280">
        <v>1193</v>
      </c>
      <c r="M280">
        <v>460</v>
      </c>
      <c r="N280">
        <v>144</v>
      </c>
      <c r="O280">
        <v>184</v>
      </c>
      <c r="P280">
        <v>459</v>
      </c>
      <c r="Q280">
        <v>571</v>
      </c>
      <c r="R280">
        <v>279</v>
      </c>
    </row>
    <row r="281" spans="1:18">
      <c r="A281" s="1" t="s">
        <v>227</v>
      </c>
      <c r="B281">
        <v>29</v>
      </c>
      <c r="C281">
        <v>15</v>
      </c>
      <c r="D281">
        <v>14</v>
      </c>
      <c r="E281">
        <v>-6.38</v>
      </c>
      <c r="F281">
        <v>1936</v>
      </c>
      <c r="G281">
        <v>687</v>
      </c>
      <c r="H281">
        <v>1503</v>
      </c>
      <c r="I281">
        <v>403</v>
      </c>
      <c r="J281">
        <v>570</v>
      </c>
      <c r="K281">
        <v>302</v>
      </c>
      <c r="L281">
        <v>934</v>
      </c>
      <c r="M281">
        <v>382</v>
      </c>
      <c r="N281">
        <v>227</v>
      </c>
      <c r="O281">
        <v>56</v>
      </c>
      <c r="P281">
        <v>434</v>
      </c>
      <c r="Q281">
        <v>545</v>
      </c>
      <c r="R281">
        <v>280</v>
      </c>
    </row>
    <row r="282" spans="1:18">
      <c r="A282" s="1" t="s">
        <v>228</v>
      </c>
      <c r="B282">
        <v>31</v>
      </c>
      <c r="C282">
        <v>11</v>
      </c>
      <c r="D282">
        <v>20</v>
      </c>
      <c r="E282">
        <v>-3.86</v>
      </c>
      <c r="F282">
        <v>2056</v>
      </c>
      <c r="G282">
        <v>691</v>
      </c>
      <c r="H282">
        <v>1667</v>
      </c>
      <c r="I282">
        <v>479</v>
      </c>
      <c r="J282">
        <v>653</v>
      </c>
      <c r="K282">
        <v>352</v>
      </c>
      <c r="L282">
        <v>966</v>
      </c>
      <c r="M282">
        <v>329</v>
      </c>
      <c r="N282">
        <v>239</v>
      </c>
      <c r="O282">
        <v>84</v>
      </c>
      <c r="P282">
        <v>494</v>
      </c>
      <c r="Q282">
        <v>647</v>
      </c>
      <c r="R282">
        <v>281</v>
      </c>
    </row>
    <row r="283" spans="1:18">
      <c r="A283" s="1" t="s">
        <v>229</v>
      </c>
      <c r="B283">
        <v>29</v>
      </c>
      <c r="C283">
        <v>9</v>
      </c>
      <c r="D283">
        <v>20</v>
      </c>
      <c r="E283">
        <v>-5.55</v>
      </c>
      <c r="F283">
        <v>1737</v>
      </c>
      <c r="G283">
        <v>623</v>
      </c>
      <c r="H283">
        <v>1568</v>
      </c>
      <c r="I283">
        <v>369</v>
      </c>
      <c r="J283">
        <v>553</v>
      </c>
      <c r="K283">
        <v>374</v>
      </c>
      <c r="L283">
        <v>982</v>
      </c>
      <c r="M283">
        <v>253</v>
      </c>
      <c r="N283">
        <v>214</v>
      </c>
      <c r="O283">
        <v>51</v>
      </c>
      <c r="P283">
        <v>419</v>
      </c>
      <c r="Q283">
        <v>605</v>
      </c>
      <c r="R283">
        <v>282</v>
      </c>
    </row>
    <row r="284" spans="1:18">
      <c r="A284" s="1" t="s">
        <v>313</v>
      </c>
      <c r="B284">
        <v>35</v>
      </c>
      <c r="C284">
        <v>24</v>
      </c>
      <c r="D284">
        <v>11</v>
      </c>
      <c r="E284">
        <v>6.47</v>
      </c>
      <c r="F284">
        <v>2645</v>
      </c>
      <c r="G284">
        <v>898</v>
      </c>
      <c r="H284">
        <v>2027</v>
      </c>
      <c r="I284">
        <v>592</v>
      </c>
      <c r="J284">
        <v>852</v>
      </c>
      <c r="K284">
        <v>450</v>
      </c>
      <c r="L284">
        <v>1412</v>
      </c>
      <c r="M284">
        <v>522</v>
      </c>
      <c r="N284">
        <v>292</v>
      </c>
      <c r="O284">
        <v>250</v>
      </c>
      <c r="P284">
        <v>525</v>
      </c>
      <c r="Q284">
        <v>618</v>
      </c>
      <c r="R284">
        <v>283</v>
      </c>
    </row>
    <row r="285" spans="1:18">
      <c r="A285" s="1" t="s">
        <v>314</v>
      </c>
      <c r="B285">
        <v>30</v>
      </c>
      <c r="C285">
        <v>12</v>
      </c>
      <c r="D285">
        <v>18</v>
      </c>
      <c r="E285">
        <v>1.91</v>
      </c>
      <c r="F285">
        <v>2251</v>
      </c>
      <c r="G285">
        <v>785</v>
      </c>
      <c r="H285">
        <v>1708</v>
      </c>
      <c r="I285">
        <v>438</v>
      </c>
      <c r="J285">
        <v>618</v>
      </c>
      <c r="K285">
        <v>298</v>
      </c>
      <c r="L285">
        <v>968</v>
      </c>
      <c r="M285">
        <v>439</v>
      </c>
      <c r="N285">
        <v>227</v>
      </c>
      <c r="O285">
        <v>86</v>
      </c>
      <c r="P285">
        <v>379</v>
      </c>
      <c r="Q285">
        <v>578</v>
      </c>
      <c r="R285">
        <v>284</v>
      </c>
    </row>
    <row r="286" spans="1:18">
      <c r="A286" s="1" t="s">
        <v>230</v>
      </c>
      <c r="B286">
        <v>31</v>
      </c>
      <c r="C286">
        <v>8</v>
      </c>
      <c r="D286">
        <v>23</v>
      </c>
      <c r="E286">
        <v>-6.55</v>
      </c>
      <c r="F286">
        <v>1957</v>
      </c>
      <c r="G286">
        <v>662</v>
      </c>
      <c r="H286">
        <v>1611</v>
      </c>
      <c r="I286">
        <v>468</v>
      </c>
      <c r="J286">
        <v>701</v>
      </c>
      <c r="K286">
        <v>365</v>
      </c>
      <c r="L286">
        <v>1067</v>
      </c>
      <c r="M286">
        <v>393</v>
      </c>
      <c r="N286">
        <v>210</v>
      </c>
      <c r="O286">
        <v>48</v>
      </c>
      <c r="P286">
        <v>510</v>
      </c>
      <c r="Q286">
        <v>570</v>
      </c>
      <c r="R286">
        <v>285</v>
      </c>
    </row>
    <row r="287" spans="1:18">
      <c r="A287" s="1" t="s">
        <v>231</v>
      </c>
      <c r="B287">
        <v>32</v>
      </c>
      <c r="C287">
        <v>12</v>
      </c>
      <c r="D287">
        <v>20</v>
      </c>
      <c r="E287">
        <v>-5.69</v>
      </c>
      <c r="F287">
        <v>2065</v>
      </c>
      <c r="G287">
        <v>707</v>
      </c>
      <c r="H287">
        <v>1803</v>
      </c>
      <c r="I287">
        <v>430</v>
      </c>
      <c r="J287">
        <v>642</v>
      </c>
      <c r="K287">
        <v>425</v>
      </c>
      <c r="L287">
        <v>1152</v>
      </c>
      <c r="M287">
        <v>372</v>
      </c>
      <c r="N287">
        <v>192</v>
      </c>
      <c r="O287">
        <v>100</v>
      </c>
      <c r="P287">
        <v>444</v>
      </c>
      <c r="Q287">
        <v>657</v>
      </c>
      <c r="R287">
        <v>286</v>
      </c>
    </row>
    <row r="288" spans="1:18">
      <c r="A288" s="1" t="s">
        <v>232</v>
      </c>
      <c r="B288">
        <v>32</v>
      </c>
      <c r="C288">
        <v>19</v>
      </c>
      <c r="D288">
        <v>13</v>
      </c>
      <c r="E288">
        <v>-4.8499999999999996</v>
      </c>
      <c r="F288">
        <v>2404</v>
      </c>
      <c r="G288">
        <v>815</v>
      </c>
      <c r="H288">
        <v>1797</v>
      </c>
      <c r="I288">
        <v>571</v>
      </c>
      <c r="J288">
        <v>855</v>
      </c>
      <c r="K288">
        <v>419</v>
      </c>
      <c r="L288">
        <v>1229</v>
      </c>
      <c r="M288">
        <v>431</v>
      </c>
      <c r="N288">
        <v>216</v>
      </c>
      <c r="O288">
        <v>110</v>
      </c>
      <c r="P288">
        <v>496</v>
      </c>
      <c r="Q288">
        <v>660</v>
      </c>
      <c r="R288">
        <v>287</v>
      </c>
    </row>
    <row r="289" spans="1:18">
      <c r="A289" s="1" t="s">
        <v>315</v>
      </c>
      <c r="B289">
        <v>35</v>
      </c>
      <c r="C289">
        <v>24</v>
      </c>
      <c r="D289">
        <v>11</v>
      </c>
      <c r="E289">
        <v>9.15</v>
      </c>
      <c r="F289">
        <v>2831</v>
      </c>
      <c r="G289">
        <v>981</v>
      </c>
      <c r="H289">
        <v>2189</v>
      </c>
      <c r="I289">
        <v>542</v>
      </c>
      <c r="J289">
        <v>830</v>
      </c>
      <c r="K289">
        <v>473</v>
      </c>
      <c r="L289">
        <v>1254</v>
      </c>
      <c r="M289">
        <v>546</v>
      </c>
      <c r="N289">
        <v>336</v>
      </c>
      <c r="O289">
        <v>108</v>
      </c>
      <c r="P289">
        <v>496</v>
      </c>
      <c r="Q289">
        <v>704</v>
      </c>
      <c r="R289">
        <v>288</v>
      </c>
    </row>
    <row r="290" spans="1:18">
      <c r="A290" s="1" t="s">
        <v>323</v>
      </c>
      <c r="B290">
        <v>33</v>
      </c>
      <c r="C290">
        <v>26</v>
      </c>
      <c r="D290">
        <v>7</v>
      </c>
      <c r="E290">
        <v>-4.8</v>
      </c>
      <c r="F290">
        <v>2615</v>
      </c>
      <c r="G290">
        <v>912</v>
      </c>
      <c r="H290">
        <v>1747</v>
      </c>
      <c r="I290">
        <v>599</v>
      </c>
      <c r="J290">
        <v>847</v>
      </c>
      <c r="K290">
        <v>374</v>
      </c>
      <c r="L290">
        <v>1173</v>
      </c>
      <c r="M290">
        <v>595</v>
      </c>
      <c r="N290">
        <v>257</v>
      </c>
      <c r="O290">
        <v>95</v>
      </c>
      <c r="P290">
        <v>537</v>
      </c>
      <c r="Q290">
        <v>631</v>
      </c>
      <c r="R290">
        <v>289</v>
      </c>
    </row>
    <row r="291" spans="1:18">
      <c r="A291" s="1" t="s">
        <v>233</v>
      </c>
      <c r="B291">
        <v>34</v>
      </c>
      <c r="C291">
        <v>27</v>
      </c>
      <c r="D291">
        <v>7</v>
      </c>
      <c r="E291">
        <v>5.13</v>
      </c>
      <c r="F291">
        <v>2570</v>
      </c>
      <c r="G291">
        <v>908</v>
      </c>
      <c r="H291">
        <v>1823</v>
      </c>
      <c r="I291">
        <v>539</v>
      </c>
      <c r="J291">
        <v>753</v>
      </c>
      <c r="K291">
        <v>345</v>
      </c>
      <c r="L291">
        <v>1209</v>
      </c>
      <c r="M291">
        <v>591</v>
      </c>
      <c r="N291">
        <v>224</v>
      </c>
      <c r="O291">
        <v>111</v>
      </c>
      <c r="P291">
        <v>415</v>
      </c>
      <c r="Q291">
        <v>663</v>
      </c>
      <c r="R291">
        <v>290</v>
      </c>
    </row>
    <row r="292" spans="1:18">
      <c r="A292" s="1" t="s">
        <v>234</v>
      </c>
      <c r="B292">
        <v>30</v>
      </c>
      <c r="C292">
        <v>13</v>
      </c>
      <c r="D292">
        <v>17</v>
      </c>
      <c r="E292">
        <v>-6.42</v>
      </c>
      <c r="F292">
        <v>2225</v>
      </c>
      <c r="G292">
        <v>797</v>
      </c>
      <c r="H292">
        <v>1709</v>
      </c>
      <c r="I292">
        <v>454</v>
      </c>
      <c r="J292">
        <v>666</v>
      </c>
      <c r="K292">
        <v>367</v>
      </c>
      <c r="L292">
        <v>1095</v>
      </c>
      <c r="M292">
        <v>427</v>
      </c>
      <c r="N292">
        <v>193</v>
      </c>
      <c r="O292">
        <v>79</v>
      </c>
      <c r="P292">
        <v>529</v>
      </c>
      <c r="Q292">
        <v>576</v>
      </c>
      <c r="R292">
        <v>291</v>
      </c>
    </row>
    <row r="293" spans="1:18">
      <c r="A293" s="1" t="s">
        <v>235</v>
      </c>
      <c r="B293">
        <v>30</v>
      </c>
      <c r="C293">
        <v>13</v>
      </c>
      <c r="D293">
        <v>17</v>
      </c>
      <c r="E293">
        <v>2.11</v>
      </c>
      <c r="F293">
        <v>1892</v>
      </c>
      <c r="G293">
        <v>650</v>
      </c>
      <c r="H293">
        <v>1574</v>
      </c>
      <c r="I293">
        <v>414</v>
      </c>
      <c r="J293">
        <v>688</v>
      </c>
      <c r="K293">
        <v>349</v>
      </c>
      <c r="L293">
        <v>1017</v>
      </c>
      <c r="M293">
        <v>377</v>
      </c>
      <c r="N293">
        <v>204</v>
      </c>
      <c r="O293">
        <v>103</v>
      </c>
      <c r="P293">
        <v>512</v>
      </c>
      <c r="Q293">
        <v>602</v>
      </c>
      <c r="R293">
        <v>292</v>
      </c>
    </row>
    <row r="294" spans="1:18">
      <c r="A294" s="1" t="s">
        <v>236</v>
      </c>
      <c r="B294">
        <v>31</v>
      </c>
      <c r="C294">
        <v>14</v>
      </c>
      <c r="D294">
        <v>17</v>
      </c>
      <c r="E294">
        <v>0.24</v>
      </c>
      <c r="F294">
        <v>2344</v>
      </c>
      <c r="G294">
        <v>789</v>
      </c>
      <c r="H294">
        <v>1866</v>
      </c>
      <c r="I294">
        <v>558</v>
      </c>
      <c r="J294">
        <v>833</v>
      </c>
      <c r="K294">
        <v>426</v>
      </c>
      <c r="L294">
        <v>1199</v>
      </c>
      <c r="M294">
        <v>474</v>
      </c>
      <c r="N294">
        <v>259</v>
      </c>
      <c r="O294">
        <v>105</v>
      </c>
      <c r="P294">
        <v>497</v>
      </c>
      <c r="Q294">
        <v>730</v>
      </c>
      <c r="R294">
        <v>293</v>
      </c>
    </row>
    <row r="295" spans="1:18">
      <c r="A295" s="1" t="s">
        <v>237</v>
      </c>
      <c r="B295">
        <v>29</v>
      </c>
      <c r="C295">
        <v>14</v>
      </c>
      <c r="D295">
        <v>15</v>
      </c>
      <c r="E295">
        <v>-5.53</v>
      </c>
      <c r="F295">
        <v>1984</v>
      </c>
      <c r="G295">
        <v>664</v>
      </c>
      <c r="H295">
        <v>1448</v>
      </c>
      <c r="I295">
        <v>436</v>
      </c>
      <c r="J295">
        <v>602</v>
      </c>
      <c r="K295">
        <v>295</v>
      </c>
      <c r="L295">
        <v>882</v>
      </c>
      <c r="M295">
        <v>452</v>
      </c>
      <c r="N295">
        <v>194</v>
      </c>
      <c r="O295">
        <v>49</v>
      </c>
      <c r="P295">
        <v>441</v>
      </c>
      <c r="Q295">
        <v>565</v>
      </c>
      <c r="R295">
        <v>294</v>
      </c>
    </row>
    <row r="296" spans="1:18">
      <c r="A296" s="1" t="s">
        <v>238</v>
      </c>
      <c r="B296">
        <v>29</v>
      </c>
      <c r="C296">
        <v>7</v>
      </c>
      <c r="D296">
        <v>22</v>
      </c>
      <c r="E296">
        <v>-4.07</v>
      </c>
      <c r="F296">
        <v>1656</v>
      </c>
      <c r="G296">
        <v>595</v>
      </c>
      <c r="H296">
        <v>1474</v>
      </c>
      <c r="I296">
        <v>353</v>
      </c>
      <c r="J296">
        <v>599</v>
      </c>
      <c r="K296">
        <v>323</v>
      </c>
      <c r="L296">
        <v>903</v>
      </c>
      <c r="M296">
        <v>319</v>
      </c>
      <c r="N296">
        <v>211</v>
      </c>
      <c r="O296">
        <v>77</v>
      </c>
      <c r="P296">
        <v>498</v>
      </c>
      <c r="Q296">
        <v>632</v>
      </c>
      <c r="R296">
        <v>295</v>
      </c>
    </row>
    <row r="297" spans="1:18">
      <c r="A297" s="1" t="s">
        <v>239</v>
      </c>
      <c r="B297">
        <v>31</v>
      </c>
      <c r="C297">
        <v>14</v>
      </c>
      <c r="D297">
        <v>17</v>
      </c>
      <c r="E297">
        <v>-11.7</v>
      </c>
      <c r="F297">
        <v>2017</v>
      </c>
      <c r="G297">
        <v>704</v>
      </c>
      <c r="H297">
        <v>1706</v>
      </c>
      <c r="I297">
        <v>515</v>
      </c>
      <c r="J297">
        <v>813</v>
      </c>
      <c r="K297">
        <v>416</v>
      </c>
      <c r="L297">
        <v>1228</v>
      </c>
      <c r="M297">
        <v>339</v>
      </c>
      <c r="N297">
        <v>220</v>
      </c>
      <c r="O297">
        <v>85</v>
      </c>
      <c r="P297">
        <v>588</v>
      </c>
      <c r="Q297">
        <v>647</v>
      </c>
      <c r="R297">
        <v>296</v>
      </c>
    </row>
    <row r="298" spans="1:18">
      <c r="A298" s="1" t="s">
        <v>240</v>
      </c>
      <c r="B298">
        <v>29</v>
      </c>
      <c r="C298">
        <v>9</v>
      </c>
      <c r="D298">
        <v>20</v>
      </c>
      <c r="E298">
        <v>-6.11</v>
      </c>
      <c r="F298">
        <v>2249</v>
      </c>
      <c r="G298">
        <v>735</v>
      </c>
      <c r="H298">
        <v>1807</v>
      </c>
      <c r="I298">
        <v>535</v>
      </c>
      <c r="J298">
        <v>781</v>
      </c>
      <c r="K298">
        <v>447</v>
      </c>
      <c r="L298">
        <v>1027</v>
      </c>
      <c r="M298">
        <v>402</v>
      </c>
      <c r="N298">
        <v>256</v>
      </c>
      <c r="O298">
        <v>74</v>
      </c>
      <c r="P298">
        <v>559</v>
      </c>
      <c r="Q298">
        <v>772</v>
      </c>
      <c r="R298">
        <v>297</v>
      </c>
    </row>
    <row r="299" spans="1:18">
      <c r="A299" s="1" t="s">
        <v>241</v>
      </c>
      <c r="B299">
        <v>34</v>
      </c>
      <c r="C299">
        <v>21</v>
      </c>
      <c r="D299">
        <v>13</v>
      </c>
      <c r="E299">
        <v>7.16</v>
      </c>
      <c r="F299">
        <v>2437</v>
      </c>
      <c r="G299">
        <v>842</v>
      </c>
      <c r="H299">
        <v>1858</v>
      </c>
      <c r="I299">
        <v>545</v>
      </c>
      <c r="J299">
        <v>737</v>
      </c>
      <c r="K299">
        <v>321</v>
      </c>
      <c r="L299">
        <v>1042</v>
      </c>
      <c r="M299">
        <v>452</v>
      </c>
      <c r="N299">
        <v>231</v>
      </c>
      <c r="O299">
        <v>62</v>
      </c>
      <c r="P299">
        <v>396</v>
      </c>
      <c r="Q299">
        <v>592</v>
      </c>
      <c r="R299">
        <v>298</v>
      </c>
    </row>
    <row r="300" spans="1:18">
      <c r="A300" s="1" t="s">
        <v>362</v>
      </c>
      <c r="B300">
        <v>35</v>
      </c>
      <c r="C300">
        <v>25</v>
      </c>
      <c r="D300">
        <v>10</v>
      </c>
      <c r="E300">
        <v>6.12</v>
      </c>
      <c r="F300">
        <v>2860</v>
      </c>
      <c r="G300">
        <v>963</v>
      </c>
      <c r="H300">
        <v>2164</v>
      </c>
      <c r="I300">
        <v>626</v>
      </c>
      <c r="J300">
        <v>850</v>
      </c>
      <c r="K300">
        <v>482</v>
      </c>
      <c r="L300">
        <v>1391</v>
      </c>
      <c r="M300">
        <v>479</v>
      </c>
      <c r="N300">
        <v>262</v>
      </c>
      <c r="O300">
        <v>197</v>
      </c>
      <c r="P300">
        <v>434</v>
      </c>
      <c r="Q300">
        <v>611</v>
      </c>
      <c r="R300">
        <v>299</v>
      </c>
    </row>
    <row r="301" spans="1:18">
      <c r="A301" s="1" t="s">
        <v>242</v>
      </c>
      <c r="B301">
        <v>32</v>
      </c>
      <c r="C301">
        <v>19</v>
      </c>
      <c r="D301">
        <v>13</v>
      </c>
      <c r="E301">
        <v>1.83</v>
      </c>
      <c r="F301">
        <v>2207</v>
      </c>
      <c r="G301">
        <v>800</v>
      </c>
      <c r="H301">
        <v>1780</v>
      </c>
      <c r="I301">
        <v>398</v>
      </c>
      <c r="J301">
        <v>592</v>
      </c>
      <c r="K301">
        <v>326</v>
      </c>
      <c r="L301">
        <v>951</v>
      </c>
      <c r="M301">
        <v>398</v>
      </c>
      <c r="N301">
        <v>297</v>
      </c>
      <c r="O301">
        <v>69</v>
      </c>
      <c r="P301">
        <v>450</v>
      </c>
      <c r="Q301">
        <v>621</v>
      </c>
      <c r="R301">
        <v>300</v>
      </c>
    </row>
    <row r="302" spans="1:18">
      <c r="A302" s="1" t="s">
        <v>243</v>
      </c>
      <c r="B302">
        <v>32</v>
      </c>
      <c r="C302">
        <v>15</v>
      </c>
      <c r="D302">
        <v>17</v>
      </c>
      <c r="E302">
        <v>-0.56000000000000005</v>
      </c>
      <c r="F302">
        <v>2175</v>
      </c>
      <c r="G302">
        <v>766</v>
      </c>
      <c r="H302">
        <v>1712</v>
      </c>
      <c r="I302">
        <v>454</v>
      </c>
      <c r="J302">
        <v>617</v>
      </c>
      <c r="K302">
        <v>312</v>
      </c>
      <c r="L302">
        <v>1033</v>
      </c>
      <c r="M302">
        <v>472</v>
      </c>
      <c r="N302">
        <v>217</v>
      </c>
      <c r="O302">
        <v>126</v>
      </c>
      <c r="P302">
        <v>408</v>
      </c>
      <c r="Q302">
        <v>568</v>
      </c>
      <c r="R302">
        <v>301</v>
      </c>
    </row>
    <row r="303" spans="1:18">
      <c r="A303" s="1" t="s">
        <v>244</v>
      </c>
      <c r="B303">
        <v>30</v>
      </c>
      <c r="C303">
        <v>13</v>
      </c>
      <c r="D303">
        <v>17</v>
      </c>
      <c r="E303">
        <v>-5.25</v>
      </c>
      <c r="F303">
        <v>2223</v>
      </c>
      <c r="G303">
        <v>790</v>
      </c>
      <c r="H303">
        <v>1847</v>
      </c>
      <c r="I303">
        <v>364</v>
      </c>
      <c r="J303">
        <v>506</v>
      </c>
      <c r="K303">
        <v>357</v>
      </c>
      <c r="L303">
        <v>1043</v>
      </c>
      <c r="M303">
        <v>374</v>
      </c>
      <c r="N303">
        <v>239</v>
      </c>
      <c r="O303">
        <v>108</v>
      </c>
      <c r="P303">
        <v>374</v>
      </c>
      <c r="Q303">
        <v>466</v>
      </c>
      <c r="R303">
        <v>302</v>
      </c>
    </row>
    <row r="304" spans="1:18">
      <c r="A304" s="1" t="s">
        <v>245</v>
      </c>
      <c r="B304">
        <v>30</v>
      </c>
      <c r="C304">
        <v>17</v>
      </c>
      <c r="D304">
        <v>13</v>
      </c>
      <c r="E304">
        <v>0.63</v>
      </c>
      <c r="F304">
        <v>2076</v>
      </c>
      <c r="G304">
        <v>722</v>
      </c>
      <c r="H304">
        <v>1614</v>
      </c>
      <c r="I304">
        <v>497</v>
      </c>
      <c r="J304">
        <v>741</v>
      </c>
      <c r="K304">
        <v>322</v>
      </c>
      <c r="L304">
        <v>1135</v>
      </c>
      <c r="M304">
        <v>443</v>
      </c>
      <c r="N304">
        <v>212</v>
      </c>
      <c r="O304">
        <v>188</v>
      </c>
      <c r="P304">
        <v>455</v>
      </c>
      <c r="Q304">
        <v>610</v>
      </c>
      <c r="R304">
        <v>303</v>
      </c>
    </row>
    <row r="305" spans="1:18">
      <c r="A305" s="1" t="s">
        <v>299</v>
      </c>
      <c r="B305">
        <v>31</v>
      </c>
      <c r="C305">
        <v>20</v>
      </c>
      <c r="D305">
        <v>11</v>
      </c>
      <c r="E305">
        <v>-0.11</v>
      </c>
      <c r="F305">
        <v>2120</v>
      </c>
      <c r="G305">
        <v>706</v>
      </c>
      <c r="H305">
        <v>1675</v>
      </c>
      <c r="I305">
        <v>499</v>
      </c>
      <c r="J305">
        <v>705</v>
      </c>
      <c r="K305">
        <v>409</v>
      </c>
      <c r="L305">
        <v>1230</v>
      </c>
      <c r="M305">
        <v>411</v>
      </c>
      <c r="N305">
        <v>184</v>
      </c>
      <c r="O305">
        <v>169</v>
      </c>
      <c r="P305">
        <v>505</v>
      </c>
      <c r="Q305">
        <v>625</v>
      </c>
      <c r="R305">
        <v>304</v>
      </c>
    </row>
    <row r="306" spans="1:18">
      <c r="A306" s="1" t="s">
        <v>324</v>
      </c>
      <c r="B306">
        <v>36</v>
      </c>
      <c r="C306">
        <v>30</v>
      </c>
      <c r="D306">
        <v>6</v>
      </c>
      <c r="E306">
        <v>9.84</v>
      </c>
      <c r="F306">
        <v>2569</v>
      </c>
      <c r="G306">
        <v>948</v>
      </c>
      <c r="H306">
        <v>1987</v>
      </c>
      <c r="I306">
        <v>428</v>
      </c>
      <c r="J306">
        <v>643</v>
      </c>
      <c r="K306">
        <v>386</v>
      </c>
      <c r="L306">
        <v>1184</v>
      </c>
      <c r="M306">
        <v>519</v>
      </c>
      <c r="N306">
        <v>269</v>
      </c>
      <c r="O306">
        <v>116</v>
      </c>
      <c r="P306">
        <v>444</v>
      </c>
      <c r="Q306">
        <v>595</v>
      </c>
      <c r="R306">
        <v>305</v>
      </c>
    </row>
    <row r="307" spans="1:18">
      <c r="A307" s="1" t="s">
        <v>316</v>
      </c>
      <c r="B307">
        <v>35</v>
      </c>
      <c r="C307">
        <v>23</v>
      </c>
      <c r="D307">
        <v>12</v>
      </c>
      <c r="E307">
        <v>1.19</v>
      </c>
      <c r="F307">
        <v>2466</v>
      </c>
      <c r="G307">
        <v>884</v>
      </c>
      <c r="H307">
        <v>1894</v>
      </c>
      <c r="I307">
        <v>492</v>
      </c>
      <c r="J307">
        <v>631</v>
      </c>
      <c r="K307">
        <v>368</v>
      </c>
      <c r="L307">
        <v>1144</v>
      </c>
      <c r="M307">
        <v>504</v>
      </c>
      <c r="N307">
        <v>220</v>
      </c>
      <c r="O307">
        <v>81</v>
      </c>
      <c r="P307">
        <v>488</v>
      </c>
      <c r="Q307">
        <v>595</v>
      </c>
      <c r="R307">
        <v>306</v>
      </c>
    </row>
    <row r="308" spans="1:18">
      <c r="A308" s="1" t="s">
        <v>334</v>
      </c>
      <c r="B308">
        <v>29</v>
      </c>
      <c r="C308">
        <v>22</v>
      </c>
      <c r="D308">
        <v>7</v>
      </c>
      <c r="F308">
        <v>2086</v>
      </c>
      <c r="G308">
        <v>732</v>
      </c>
      <c r="H308">
        <v>1521</v>
      </c>
      <c r="I308">
        <v>410</v>
      </c>
      <c r="J308">
        <v>552</v>
      </c>
      <c r="K308">
        <v>262</v>
      </c>
      <c r="L308">
        <v>920</v>
      </c>
      <c r="M308">
        <v>445</v>
      </c>
      <c r="N308">
        <v>207</v>
      </c>
      <c r="O308">
        <v>115</v>
      </c>
      <c r="P308">
        <v>342</v>
      </c>
      <c r="Q308">
        <v>530</v>
      </c>
      <c r="R308">
        <v>307</v>
      </c>
    </row>
    <row r="309" spans="1:18">
      <c r="A309" s="1" t="s">
        <v>300</v>
      </c>
      <c r="B309">
        <v>30</v>
      </c>
      <c r="C309">
        <v>11</v>
      </c>
      <c r="D309">
        <v>19</v>
      </c>
      <c r="E309">
        <v>5.0599999999999996</v>
      </c>
      <c r="F309">
        <v>2075</v>
      </c>
      <c r="G309">
        <v>713</v>
      </c>
      <c r="H309">
        <v>1470</v>
      </c>
      <c r="I309">
        <v>432</v>
      </c>
      <c r="J309">
        <v>584</v>
      </c>
      <c r="K309">
        <v>275</v>
      </c>
      <c r="L309">
        <v>897</v>
      </c>
      <c r="M309">
        <v>415</v>
      </c>
      <c r="N309">
        <v>141</v>
      </c>
      <c r="O309">
        <v>66</v>
      </c>
      <c r="P309">
        <v>437</v>
      </c>
      <c r="Q309">
        <v>553</v>
      </c>
      <c r="R309">
        <v>308</v>
      </c>
    </row>
    <row r="310" spans="1:18">
      <c r="A310" s="1" t="s">
        <v>301</v>
      </c>
      <c r="B310">
        <v>31</v>
      </c>
      <c r="C310">
        <v>16</v>
      </c>
      <c r="D310">
        <v>15</v>
      </c>
      <c r="E310">
        <v>-1.3</v>
      </c>
      <c r="F310">
        <v>2056</v>
      </c>
      <c r="G310">
        <v>717</v>
      </c>
      <c r="H310">
        <v>1558</v>
      </c>
      <c r="I310">
        <v>389</v>
      </c>
      <c r="J310">
        <v>529</v>
      </c>
      <c r="K310">
        <v>244</v>
      </c>
      <c r="L310">
        <v>1004</v>
      </c>
      <c r="M310">
        <v>416</v>
      </c>
      <c r="N310">
        <v>160</v>
      </c>
      <c r="O310">
        <v>93</v>
      </c>
      <c r="P310">
        <v>495</v>
      </c>
      <c r="Q310">
        <v>616</v>
      </c>
      <c r="R310">
        <v>309</v>
      </c>
    </row>
    <row r="311" spans="1:18">
      <c r="A311" s="1" t="s">
        <v>246</v>
      </c>
      <c r="B311">
        <v>34</v>
      </c>
      <c r="C311">
        <v>22</v>
      </c>
      <c r="D311">
        <v>12</v>
      </c>
      <c r="E311">
        <v>7.79</v>
      </c>
      <c r="F311">
        <v>2594</v>
      </c>
      <c r="G311">
        <v>904</v>
      </c>
      <c r="H311">
        <v>1984</v>
      </c>
      <c r="I311">
        <v>469</v>
      </c>
      <c r="J311">
        <v>643</v>
      </c>
      <c r="K311">
        <v>346</v>
      </c>
      <c r="L311">
        <v>1146</v>
      </c>
      <c r="M311">
        <v>578</v>
      </c>
      <c r="N311">
        <v>257</v>
      </c>
      <c r="O311">
        <v>93</v>
      </c>
      <c r="P311">
        <v>422</v>
      </c>
      <c r="Q311">
        <v>584</v>
      </c>
      <c r="R311">
        <v>310</v>
      </c>
    </row>
    <row r="312" spans="1:18">
      <c r="A312" s="1" t="s">
        <v>247</v>
      </c>
      <c r="B312">
        <v>33</v>
      </c>
      <c r="C312">
        <v>25</v>
      </c>
      <c r="D312">
        <v>8</v>
      </c>
      <c r="E312">
        <v>-5.15</v>
      </c>
      <c r="F312">
        <v>2310</v>
      </c>
      <c r="G312">
        <v>812</v>
      </c>
      <c r="H312">
        <v>1801</v>
      </c>
      <c r="I312">
        <v>510</v>
      </c>
      <c r="J312">
        <v>759</v>
      </c>
      <c r="K312">
        <v>482</v>
      </c>
      <c r="L312">
        <v>1344</v>
      </c>
      <c r="M312">
        <v>449</v>
      </c>
      <c r="N312">
        <v>173</v>
      </c>
      <c r="O312">
        <v>136</v>
      </c>
      <c r="P312">
        <v>529</v>
      </c>
      <c r="Q312">
        <v>594</v>
      </c>
      <c r="R312">
        <v>311</v>
      </c>
    </row>
    <row r="313" spans="1:18">
      <c r="A313" s="1" t="s">
        <v>248</v>
      </c>
      <c r="B313">
        <v>33</v>
      </c>
      <c r="C313">
        <v>22</v>
      </c>
      <c r="D313">
        <v>11</v>
      </c>
      <c r="E313">
        <v>9.16</v>
      </c>
      <c r="F313">
        <v>2392</v>
      </c>
      <c r="G313">
        <v>775</v>
      </c>
      <c r="H313">
        <v>1827</v>
      </c>
      <c r="I313">
        <v>594</v>
      </c>
      <c r="J313">
        <v>761</v>
      </c>
      <c r="K313">
        <v>438</v>
      </c>
      <c r="L313">
        <v>1196</v>
      </c>
      <c r="M313">
        <v>419</v>
      </c>
      <c r="N313">
        <v>267</v>
      </c>
      <c r="O313">
        <v>107</v>
      </c>
      <c r="P313">
        <v>450</v>
      </c>
      <c r="Q313">
        <v>645</v>
      </c>
      <c r="R313">
        <v>312</v>
      </c>
    </row>
    <row r="314" spans="1:18">
      <c r="A314" s="1" t="s">
        <v>249</v>
      </c>
      <c r="B314">
        <v>35</v>
      </c>
      <c r="C314">
        <v>28</v>
      </c>
      <c r="D314">
        <v>7</v>
      </c>
      <c r="E314">
        <v>0.2</v>
      </c>
      <c r="F314">
        <v>2626</v>
      </c>
      <c r="G314">
        <v>901</v>
      </c>
      <c r="H314">
        <v>1971</v>
      </c>
      <c r="I314">
        <v>580</v>
      </c>
      <c r="J314">
        <v>797</v>
      </c>
      <c r="K314">
        <v>427</v>
      </c>
      <c r="L314">
        <v>1165</v>
      </c>
      <c r="M314">
        <v>475</v>
      </c>
      <c r="N314">
        <v>268</v>
      </c>
      <c r="O314">
        <v>106</v>
      </c>
      <c r="P314">
        <v>394</v>
      </c>
      <c r="Q314">
        <v>643</v>
      </c>
      <c r="R314">
        <v>313</v>
      </c>
    </row>
    <row r="315" spans="1:18">
      <c r="A315" s="1" t="s">
        <v>250</v>
      </c>
      <c r="B315">
        <v>33</v>
      </c>
      <c r="C315">
        <v>14</v>
      </c>
      <c r="D315">
        <v>19</v>
      </c>
      <c r="E315">
        <v>-5.44</v>
      </c>
      <c r="F315">
        <v>3331</v>
      </c>
      <c r="G315">
        <v>1176</v>
      </c>
      <c r="H315">
        <v>2696</v>
      </c>
      <c r="I315">
        <v>537</v>
      </c>
      <c r="J315">
        <v>815</v>
      </c>
      <c r="K315">
        <v>551</v>
      </c>
      <c r="L315">
        <v>1262</v>
      </c>
      <c r="M315">
        <v>681</v>
      </c>
      <c r="N315">
        <v>490</v>
      </c>
      <c r="O315">
        <v>119</v>
      </c>
      <c r="P315">
        <v>549</v>
      </c>
      <c r="Q315">
        <v>751</v>
      </c>
      <c r="R315">
        <v>314</v>
      </c>
    </row>
    <row r="316" spans="1:18">
      <c r="A316" s="1" t="s">
        <v>251</v>
      </c>
      <c r="B316">
        <v>34</v>
      </c>
      <c r="C316">
        <v>22</v>
      </c>
      <c r="D316">
        <v>12</v>
      </c>
      <c r="E316">
        <v>8.26</v>
      </c>
      <c r="F316">
        <v>2428</v>
      </c>
      <c r="G316">
        <v>886</v>
      </c>
      <c r="H316">
        <v>1894</v>
      </c>
      <c r="I316">
        <v>493</v>
      </c>
      <c r="J316">
        <v>747</v>
      </c>
      <c r="K316">
        <v>366</v>
      </c>
      <c r="L316">
        <v>1131</v>
      </c>
      <c r="M316">
        <v>449</v>
      </c>
      <c r="N316">
        <v>285</v>
      </c>
      <c r="O316">
        <v>159</v>
      </c>
      <c r="P316">
        <v>371</v>
      </c>
      <c r="Q316">
        <v>619</v>
      </c>
      <c r="R316">
        <v>315</v>
      </c>
    </row>
    <row r="317" spans="1:18">
      <c r="A317" s="1" t="s">
        <v>252</v>
      </c>
      <c r="B317">
        <v>32</v>
      </c>
      <c r="C317">
        <v>21</v>
      </c>
      <c r="D317">
        <v>11</v>
      </c>
      <c r="E317">
        <v>7.96</v>
      </c>
      <c r="F317">
        <v>2463</v>
      </c>
      <c r="G317">
        <v>812</v>
      </c>
      <c r="H317">
        <v>1860</v>
      </c>
      <c r="I317">
        <v>582</v>
      </c>
      <c r="J317">
        <v>784</v>
      </c>
      <c r="K317">
        <v>422</v>
      </c>
      <c r="L317">
        <v>1248</v>
      </c>
      <c r="M317">
        <v>412</v>
      </c>
      <c r="N317">
        <v>149</v>
      </c>
      <c r="O317">
        <v>103</v>
      </c>
      <c r="P317">
        <v>437</v>
      </c>
      <c r="Q317">
        <v>644</v>
      </c>
      <c r="R317">
        <v>316</v>
      </c>
    </row>
    <row r="318" spans="1:18">
      <c r="A318" s="1" t="s">
        <v>253</v>
      </c>
      <c r="B318">
        <v>30</v>
      </c>
      <c r="C318">
        <v>11</v>
      </c>
      <c r="D318">
        <v>19</v>
      </c>
      <c r="E318">
        <v>-7.56</v>
      </c>
      <c r="F318">
        <v>2132</v>
      </c>
      <c r="G318">
        <v>744</v>
      </c>
      <c r="H318">
        <v>1716</v>
      </c>
      <c r="I318">
        <v>414</v>
      </c>
      <c r="J318">
        <v>633</v>
      </c>
      <c r="K318">
        <v>355</v>
      </c>
      <c r="L318">
        <v>1075</v>
      </c>
      <c r="M318">
        <v>393</v>
      </c>
      <c r="N318">
        <v>199</v>
      </c>
      <c r="O318">
        <v>80</v>
      </c>
      <c r="P318">
        <v>438</v>
      </c>
      <c r="Q318">
        <v>570</v>
      </c>
      <c r="R318">
        <v>317</v>
      </c>
    </row>
    <row r="319" spans="1:18">
      <c r="A319" s="1" t="s">
        <v>254</v>
      </c>
      <c r="B319">
        <v>31</v>
      </c>
      <c r="C319">
        <v>15</v>
      </c>
      <c r="D319">
        <v>16</v>
      </c>
      <c r="E319">
        <v>9.31</v>
      </c>
      <c r="F319">
        <v>2288</v>
      </c>
      <c r="G319">
        <v>785</v>
      </c>
      <c r="H319">
        <v>1726</v>
      </c>
      <c r="I319">
        <v>513</v>
      </c>
      <c r="J319">
        <v>810</v>
      </c>
      <c r="K319">
        <v>373</v>
      </c>
      <c r="L319">
        <v>1094</v>
      </c>
      <c r="M319">
        <v>414</v>
      </c>
      <c r="N319">
        <v>199</v>
      </c>
      <c r="O319">
        <v>95</v>
      </c>
      <c r="P319">
        <v>502</v>
      </c>
      <c r="Q319">
        <v>631</v>
      </c>
      <c r="R319">
        <v>318</v>
      </c>
    </row>
    <row r="320" spans="1:18">
      <c r="A320" s="1" t="s">
        <v>255</v>
      </c>
      <c r="B320">
        <v>34</v>
      </c>
      <c r="C320">
        <v>26</v>
      </c>
      <c r="D320">
        <v>8</v>
      </c>
      <c r="E320">
        <v>6</v>
      </c>
      <c r="F320">
        <v>2273</v>
      </c>
      <c r="G320">
        <v>826</v>
      </c>
      <c r="H320">
        <v>1777</v>
      </c>
      <c r="I320">
        <v>425</v>
      </c>
      <c r="J320">
        <v>593</v>
      </c>
      <c r="K320">
        <v>271</v>
      </c>
      <c r="L320">
        <v>1043</v>
      </c>
      <c r="M320">
        <v>472</v>
      </c>
      <c r="N320">
        <v>226</v>
      </c>
      <c r="O320">
        <v>155</v>
      </c>
      <c r="P320">
        <v>355</v>
      </c>
      <c r="Q320">
        <v>549</v>
      </c>
      <c r="R320">
        <v>319</v>
      </c>
    </row>
    <row r="321" spans="1:18">
      <c r="A321" s="1" t="s">
        <v>256</v>
      </c>
      <c r="B321">
        <v>32</v>
      </c>
      <c r="C321">
        <v>19</v>
      </c>
      <c r="D321">
        <v>13</v>
      </c>
      <c r="E321">
        <v>6.5</v>
      </c>
      <c r="F321">
        <v>2449</v>
      </c>
      <c r="G321">
        <v>900</v>
      </c>
      <c r="H321">
        <v>1930</v>
      </c>
      <c r="I321">
        <v>460</v>
      </c>
      <c r="J321">
        <v>635</v>
      </c>
      <c r="K321">
        <v>458</v>
      </c>
      <c r="L321">
        <v>1225</v>
      </c>
      <c r="M321">
        <v>486</v>
      </c>
      <c r="N321">
        <v>175</v>
      </c>
      <c r="O321">
        <v>91</v>
      </c>
      <c r="P321">
        <v>500</v>
      </c>
      <c r="Q321">
        <v>618</v>
      </c>
      <c r="R321">
        <v>320</v>
      </c>
    </row>
    <row r="322" spans="1:18">
      <c r="A322" s="1" t="s">
        <v>257</v>
      </c>
      <c r="B322">
        <v>32</v>
      </c>
      <c r="C322">
        <v>20</v>
      </c>
      <c r="D322">
        <v>12</v>
      </c>
      <c r="E322">
        <v>-3.33</v>
      </c>
      <c r="F322">
        <v>2266</v>
      </c>
      <c r="G322">
        <v>772</v>
      </c>
      <c r="H322">
        <v>1579</v>
      </c>
      <c r="I322">
        <v>542</v>
      </c>
      <c r="J322">
        <v>807</v>
      </c>
      <c r="K322">
        <v>307</v>
      </c>
      <c r="L322">
        <v>1050</v>
      </c>
      <c r="M322">
        <v>437</v>
      </c>
      <c r="N322">
        <v>212</v>
      </c>
      <c r="O322">
        <v>78</v>
      </c>
      <c r="P322">
        <v>515</v>
      </c>
      <c r="Q322">
        <v>611</v>
      </c>
      <c r="R322">
        <v>321</v>
      </c>
    </row>
    <row r="323" spans="1:18">
      <c r="A323" s="1" t="s">
        <v>258</v>
      </c>
      <c r="B323">
        <v>36</v>
      </c>
      <c r="C323">
        <v>27</v>
      </c>
      <c r="D323">
        <v>9</v>
      </c>
      <c r="E323">
        <v>5.43</v>
      </c>
      <c r="F323">
        <v>2610</v>
      </c>
      <c r="G323">
        <v>921</v>
      </c>
      <c r="H323">
        <v>2011</v>
      </c>
      <c r="I323">
        <v>397</v>
      </c>
      <c r="J323">
        <v>557</v>
      </c>
      <c r="K323">
        <v>355</v>
      </c>
      <c r="L323">
        <v>1102</v>
      </c>
      <c r="M323">
        <v>633</v>
      </c>
      <c r="N323">
        <v>295</v>
      </c>
      <c r="O323">
        <v>126</v>
      </c>
      <c r="P323">
        <v>406</v>
      </c>
      <c r="Q323">
        <v>544</v>
      </c>
      <c r="R323">
        <v>322</v>
      </c>
    </row>
    <row r="324" spans="1:18">
      <c r="A324" s="1" t="s">
        <v>259</v>
      </c>
      <c r="B324">
        <v>31</v>
      </c>
      <c r="C324">
        <v>11</v>
      </c>
      <c r="D324">
        <v>20</v>
      </c>
      <c r="E324">
        <v>-1.66</v>
      </c>
      <c r="F324">
        <v>2180</v>
      </c>
      <c r="G324">
        <v>779</v>
      </c>
      <c r="H324">
        <v>1854</v>
      </c>
      <c r="I324">
        <v>396</v>
      </c>
      <c r="J324">
        <v>580</v>
      </c>
      <c r="K324">
        <v>386</v>
      </c>
      <c r="L324">
        <v>1059</v>
      </c>
      <c r="M324">
        <v>408</v>
      </c>
      <c r="N324">
        <v>260</v>
      </c>
      <c r="O324">
        <v>51</v>
      </c>
      <c r="P324">
        <v>425</v>
      </c>
      <c r="Q324">
        <v>664</v>
      </c>
      <c r="R324">
        <v>323</v>
      </c>
    </row>
    <row r="325" spans="1:18">
      <c r="A325" s="1" t="s">
        <v>260</v>
      </c>
      <c r="B325">
        <v>30</v>
      </c>
      <c r="C325">
        <v>7</v>
      </c>
      <c r="D325">
        <v>23</v>
      </c>
      <c r="E325">
        <v>-4.88</v>
      </c>
      <c r="F325">
        <v>1872</v>
      </c>
      <c r="G325">
        <v>647</v>
      </c>
      <c r="H325">
        <v>1567</v>
      </c>
      <c r="I325">
        <v>417</v>
      </c>
      <c r="J325">
        <v>622</v>
      </c>
      <c r="K325">
        <v>300</v>
      </c>
      <c r="L325">
        <v>958</v>
      </c>
      <c r="M325">
        <v>327</v>
      </c>
      <c r="N325">
        <v>203</v>
      </c>
      <c r="O325">
        <v>62</v>
      </c>
      <c r="P325">
        <v>441</v>
      </c>
      <c r="Q325">
        <v>565</v>
      </c>
      <c r="R325">
        <v>324</v>
      </c>
    </row>
    <row r="326" spans="1:18">
      <c r="A326" s="1" t="s">
        <v>261</v>
      </c>
      <c r="B326">
        <v>33</v>
      </c>
      <c r="C326">
        <v>22</v>
      </c>
      <c r="D326">
        <v>11</v>
      </c>
      <c r="E326">
        <v>-3.71</v>
      </c>
      <c r="F326">
        <v>2580</v>
      </c>
      <c r="G326">
        <v>909</v>
      </c>
      <c r="H326">
        <v>1887</v>
      </c>
      <c r="I326">
        <v>499</v>
      </c>
      <c r="J326">
        <v>688</v>
      </c>
      <c r="K326">
        <v>395</v>
      </c>
      <c r="L326">
        <v>1095</v>
      </c>
      <c r="M326">
        <v>447</v>
      </c>
      <c r="N326">
        <v>228</v>
      </c>
      <c r="O326">
        <v>86</v>
      </c>
      <c r="P326">
        <v>495</v>
      </c>
      <c r="Q326">
        <v>694</v>
      </c>
      <c r="R326">
        <v>325</v>
      </c>
    </row>
    <row r="327" spans="1:18">
      <c r="A327" s="1" t="s">
        <v>262</v>
      </c>
      <c r="B327">
        <v>32</v>
      </c>
      <c r="C327">
        <v>16</v>
      </c>
      <c r="D327">
        <v>16</v>
      </c>
      <c r="E327">
        <v>2.04</v>
      </c>
      <c r="F327">
        <v>2287</v>
      </c>
      <c r="G327">
        <v>743</v>
      </c>
      <c r="H327">
        <v>1681</v>
      </c>
      <c r="I327">
        <v>568</v>
      </c>
      <c r="J327">
        <v>788</v>
      </c>
      <c r="K327">
        <v>349</v>
      </c>
      <c r="L327">
        <v>1102</v>
      </c>
      <c r="M327">
        <v>376</v>
      </c>
      <c r="N327">
        <v>198</v>
      </c>
      <c r="O327">
        <v>55</v>
      </c>
      <c r="P327">
        <v>494</v>
      </c>
      <c r="Q327">
        <v>644</v>
      </c>
      <c r="R327">
        <v>326</v>
      </c>
    </row>
    <row r="328" spans="1:18">
      <c r="A328" s="1" t="s">
        <v>263</v>
      </c>
      <c r="B328">
        <v>31</v>
      </c>
      <c r="C328">
        <v>17</v>
      </c>
      <c r="D328">
        <v>14</v>
      </c>
      <c r="E328">
        <v>6.36</v>
      </c>
      <c r="F328">
        <v>2128</v>
      </c>
      <c r="G328">
        <v>745</v>
      </c>
      <c r="H328">
        <v>1623</v>
      </c>
      <c r="I328">
        <v>419</v>
      </c>
      <c r="J328">
        <v>589</v>
      </c>
      <c r="K328">
        <v>317</v>
      </c>
      <c r="L328">
        <v>1035</v>
      </c>
      <c r="M328">
        <v>463</v>
      </c>
      <c r="N328">
        <v>188</v>
      </c>
      <c r="O328">
        <v>90</v>
      </c>
      <c r="P328">
        <v>373</v>
      </c>
      <c r="Q328">
        <v>559</v>
      </c>
      <c r="R328">
        <v>327</v>
      </c>
    </row>
    <row r="329" spans="1:18">
      <c r="A329" s="1" t="s">
        <v>264</v>
      </c>
      <c r="B329">
        <v>30</v>
      </c>
      <c r="C329">
        <v>15</v>
      </c>
      <c r="D329">
        <v>15</v>
      </c>
      <c r="E329">
        <v>-2.5299999999999998</v>
      </c>
      <c r="F329">
        <v>1906</v>
      </c>
      <c r="G329">
        <v>661</v>
      </c>
      <c r="H329">
        <v>1516</v>
      </c>
      <c r="I329">
        <v>384</v>
      </c>
      <c r="J329">
        <v>554</v>
      </c>
      <c r="K329">
        <v>292</v>
      </c>
      <c r="L329">
        <v>963</v>
      </c>
      <c r="M329">
        <v>381</v>
      </c>
      <c r="N329">
        <v>160</v>
      </c>
      <c r="O329">
        <v>58</v>
      </c>
      <c r="P329">
        <v>423</v>
      </c>
      <c r="Q329">
        <v>512</v>
      </c>
      <c r="R329">
        <v>328</v>
      </c>
    </row>
    <row r="330" spans="1:18">
      <c r="A330" s="1" t="s">
        <v>345</v>
      </c>
      <c r="B330">
        <v>29</v>
      </c>
      <c r="C330">
        <v>5</v>
      </c>
      <c r="D330">
        <v>24</v>
      </c>
      <c r="F330">
        <v>1714</v>
      </c>
      <c r="G330">
        <v>594</v>
      </c>
      <c r="H330">
        <v>1653</v>
      </c>
      <c r="I330">
        <v>338</v>
      </c>
      <c r="J330">
        <v>540</v>
      </c>
      <c r="L330">
        <v>910</v>
      </c>
      <c r="M330">
        <v>314</v>
      </c>
      <c r="N330">
        <v>232</v>
      </c>
      <c r="O330">
        <v>52</v>
      </c>
      <c r="P330">
        <v>491</v>
      </c>
      <c r="Q330">
        <v>636</v>
      </c>
      <c r="R330">
        <v>329</v>
      </c>
    </row>
    <row r="331" spans="1:18">
      <c r="A331" s="1" t="s">
        <v>325</v>
      </c>
      <c r="B331">
        <v>34</v>
      </c>
      <c r="C331">
        <v>29</v>
      </c>
      <c r="D331">
        <v>5</v>
      </c>
      <c r="E331">
        <v>-1.2</v>
      </c>
      <c r="F331">
        <v>2545</v>
      </c>
      <c r="G331">
        <v>923</v>
      </c>
      <c r="H331">
        <v>1935</v>
      </c>
      <c r="I331">
        <v>421</v>
      </c>
      <c r="J331">
        <v>675</v>
      </c>
      <c r="K331">
        <v>422</v>
      </c>
      <c r="L331">
        <v>1279</v>
      </c>
      <c r="M331">
        <v>567</v>
      </c>
      <c r="N331">
        <v>268</v>
      </c>
      <c r="O331">
        <v>126</v>
      </c>
      <c r="P331">
        <v>445</v>
      </c>
      <c r="Q331">
        <v>584</v>
      </c>
      <c r="R331">
        <v>330</v>
      </c>
    </row>
    <row r="332" spans="1:18">
      <c r="A332" s="1" t="s">
        <v>367</v>
      </c>
      <c r="B332">
        <v>36</v>
      </c>
      <c r="C332">
        <v>30</v>
      </c>
      <c r="D332">
        <v>6</v>
      </c>
      <c r="E332">
        <v>6.95</v>
      </c>
      <c r="F332">
        <v>2527</v>
      </c>
      <c r="G332">
        <v>867</v>
      </c>
      <c r="H332">
        <v>1886</v>
      </c>
      <c r="I332">
        <v>583</v>
      </c>
      <c r="J332">
        <v>848</v>
      </c>
      <c r="K332">
        <v>404</v>
      </c>
      <c r="L332">
        <v>1258</v>
      </c>
      <c r="M332">
        <v>494</v>
      </c>
      <c r="N332">
        <v>207</v>
      </c>
      <c r="O332">
        <v>116</v>
      </c>
      <c r="P332">
        <v>407</v>
      </c>
      <c r="Q332">
        <v>551</v>
      </c>
      <c r="R332">
        <v>331</v>
      </c>
    </row>
    <row r="333" spans="1:18">
      <c r="A333" s="1" t="s">
        <v>265</v>
      </c>
      <c r="B333">
        <v>30</v>
      </c>
      <c r="C333">
        <v>10</v>
      </c>
      <c r="D333">
        <v>20</v>
      </c>
      <c r="E333">
        <v>-2.4900000000000002</v>
      </c>
      <c r="F333">
        <v>2129</v>
      </c>
      <c r="G333">
        <v>736</v>
      </c>
      <c r="H333">
        <v>1735</v>
      </c>
      <c r="I333">
        <v>360</v>
      </c>
      <c r="J333">
        <v>489</v>
      </c>
      <c r="K333">
        <v>279</v>
      </c>
      <c r="L333">
        <v>940</v>
      </c>
      <c r="M333">
        <v>392</v>
      </c>
      <c r="N333">
        <v>185</v>
      </c>
      <c r="O333">
        <v>78</v>
      </c>
      <c r="P333">
        <v>365</v>
      </c>
      <c r="Q333">
        <v>533</v>
      </c>
      <c r="R333">
        <v>332</v>
      </c>
    </row>
    <row r="334" spans="1:18">
      <c r="A334" s="1" t="s">
        <v>266</v>
      </c>
      <c r="B334">
        <v>33</v>
      </c>
      <c r="C334">
        <v>23</v>
      </c>
      <c r="D334">
        <v>10</v>
      </c>
      <c r="E334">
        <v>-0.31</v>
      </c>
      <c r="F334">
        <v>2125</v>
      </c>
      <c r="G334">
        <v>766</v>
      </c>
      <c r="H334">
        <v>1750</v>
      </c>
      <c r="I334">
        <v>413</v>
      </c>
      <c r="J334">
        <v>564</v>
      </c>
      <c r="K334">
        <v>334</v>
      </c>
      <c r="L334">
        <v>1060</v>
      </c>
      <c r="M334">
        <v>402</v>
      </c>
      <c r="N334">
        <v>196</v>
      </c>
      <c r="O334">
        <v>50</v>
      </c>
      <c r="P334">
        <v>400</v>
      </c>
      <c r="Q334">
        <v>574</v>
      </c>
      <c r="R334">
        <v>333</v>
      </c>
    </row>
    <row r="335" spans="1:18">
      <c r="A335" s="1" t="s">
        <v>267</v>
      </c>
      <c r="B335">
        <v>32</v>
      </c>
      <c r="C335">
        <v>17</v>
      </c>
      <c r="D335">
        <v>15</v>
      </c>
      <c r="E335">
        <v>3.52</v>
      </c>
      <c r="F335">
        <v>2366</v>
      </c>
      <c r="G335">
        <v>808</v>
      </c>
      <c r="H335">
        <v>1749</v>
      </c>
      <c r="I335">
        <v>578</v>
      </c>
      <c r="J335">
        <v>800</v>
      </c>
      <c r="K335">
        <v>339</v>
      </c>
      <c r="L335">
        <v>1099</v>
      </c>
      <c r="M335">
        <v>367</v>
      </c>
      <c r="N335">
        <v>188</v>
      </c>
      <c r="O335">
        <v>115</v>
      </c>
      <c r="P335">
        <v>474</v>
      </c>
      <c r="Q335">
        <v>689</v>
      </c>
      <c r="R335">
        <v>334</v>
      </c>
    </row>
    <row r="336" spans="1:18">
      <c r="A336" s="1" t="s">
        <v>268</v>
      </c>
      <c r="B336">
        <v>34</v>
      </c>
      <c r="C336">
        <v>25</v>
      </c>
      <c r="D336">
        <v>9</v>
      </c>
      <c r="E336">
        <v>3.39</v>
      </c>
      <c r="F336">
        <v>2595</v>
      </c>
      <c r="G336">
        <v>849</v>
      </c>
      <c r="H336">
        <v>1784</v>
      </c>
      <c r="I336">
        <v>628</v>
      </c>
      <c r="J336">
        <v>847</v>
      </c>
      <c r="K336">
        <v>367</v>
      </c>
      <c r="L336">
        <v>1146</v>
      </c>
      <c r="M336">
        <v>508</v>
      </c>
      <c r="N336">
        <v>191</v>
      </c>
      <c r="O336">
        <v>120</v>
      </c>
      <c r="P336">
        <v>430</v>
      </c>
      <c r="Q336">
        <v>604</v>
      </c>
      <c r="R336">
        <v>335</v>
      </c>
    </row>
    <row r="337" spans="1:18">
      <c r="A337" s="1" t="s">
        <v>269</v>
      </c>
      <c r="B337">
        <v>27</v>
      </c>
      <c r="C337">
        <v>14</v>
      </c>
      <c r="D337">
        <v>13</v>
      </c>
      <c r="E337">
        <v>-3.67</v>
      </c>
      <c r="F337">
        <v>1840</v>
      </c>
      <c r="G337">
        <v>640</v>
      </c>
      <c r="H337">
        <v>1402</v>
      </c>
      <c r="I337">
        <v>400</v>
      </c>
      <c r="J337">
        <v>581</v>
      </c>
      <c r="K337">
        <v>275</v>
      </c>
      <c r="L337">
        <v>895</v>
      </c>
      <c r="M337">
        <v>377</v>
      </c>
      <c r="N337">
        <v>197</v>
      </c>
      <c r="O337">
        <v>77</v>
      </c>
      <c r="P337">
        <v>397</v>
      </c>
      <c r="Q337">
        <v>507</v>
      </c>
      <c r="R337">
        <v>336</v>
      </c>
    </row>
    <row r="338" spans="1:18">
      <c r="A338" s="1" t="s">
        <v>270</v>
      </c>
      <c r="B338">
        <v>31</v>
      </c>
      <c r="C338">
        <v>14</v>
      </c>
      <c r="D338">
        <v>17</v>
      </c>
      <c r="E338">
        <v>1.19</v>
      </c>
      <c r="F338">
        <v>2047</v>
      </c>
      <c r="G338">
        <v>729</v>
      </c>
      <c r="H338">
        <v>1693</v>
      </c>
      <c r="I338">
        <v>421</v>
      </c>
      <c r="J338">
        <v>608</v>
      </c>
      <c r="K338">
        <v>369</v>
      </c>
      <c r="L338">
        <v>1114</v>
      </c>
      <c r="M338">
        <v>376</v>
      </c>
      <c r="N338">
        <v>163</v>
      </c>
      <c r="O338">
        <v>89</v>
      </c>
      <c r="P338">
        <v>419</v>
      </c>
      <c r="Q338">
        <v>496</v>
      </c>
      <c r="R338">
        <v>337</v>
      </c>
    </row>
    <row r="339" spans="1:18">
      <c r="R339">
        <v>338</v>
      </c>
    </row>
    <row r="340" spans="1:18">
      <c r="R340">
        <v>339</v>
      </c>
    </row>
    <row r="341" spans="1:18">
      <c r="R341">
        <v>340</v>
      </c>
    </row>
    <row r="342" spans="1:18">
      <c r="R342">
        <v>341</v>
      </c>
    </row>
    <row r="343" spans="1:18">
      <c r="R343">
        <v>342</v>
      </c>
    </row>
    <row r="344" spans="1:18">
      <c r="R344">
        <v>343</v>
      </c>
    </row>
    <row r="345" spans="1:18">
      <c r="R345">
        <v>344</v>
      </c>
    </row>
    <row r="346" spans="1:18">
      <c r="R346">
        <v>345</v>
      </c>
    </row>
    <row r="347" spans="1:18">
      <c r="R347">
        <v>346</v>
      </c>
    </row>
    <row r="348" spans="1:18">
      <c r="R348">
        <v>347</v>
      </c>
    </row>
    <row r="349" spans="1:18">
      <c r="R349">
        <v>348</v>
      </c>
    </row>
    <row r="350" spans="1:18">
      <c r="R350">
        <v>349</v>
      </c>
    </row>
    <row r="351" spans="1:18">
      <c r="R351">
        <v>350</v>
      </c>
    </row>
    <row r="352" spans="1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C7E53-3D89-4F2A-A3AE-592FA2013D5D}">
  <sheetPr codeName="Sheet9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31.710937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30</v>
      </c>
      <c r="C2">
        <v>16</v>
      </c>
      <c r="D2">
        <v>14</v>
      </c>
      <c r="E2">
        <v>0.19</v>
      </c>
      <c r="F2">
        <v>1760</v>
      </c>
      <c r="G2">
        <v>570</v>
      </c>
      <c r="H2">
        <v>1285</v>
      </c>
      <c r="I2">
        <v>406</v>
      </c>
      <c r="J2">
        <v>583</v>
      </c>
      <c r="K2">
        <v>157</v>
      </c>
      <c r="L2">
        <v>796</v>
      </c>
      <c r="M2">
        <v>365</v>
      </c>
      <c r="N2">
        <v>193</v>
      </c>
      <c r="O2">
        <v>54</v>
      </c>
      <c r="P2">
        <v>380</v>
      </c>
      <c r="Q2">
        <v>510</v>
      </c>
      <c r="R2">
        <v>1</v>
      </c>
    </row>
    <row r="3" spans="1:18">
      <c r="A3" s="1" t="s">
        <v>18</v>
      </c>
      <c r="B3">
        <v>35</v>
      </c>
      <c r="C3">
        <v>24</v>
      </c>
      <c r="D3">
        <v>11</v>
      </c>
      <c r="E3">
        <v>0.33</v>
      </c>
      <c r="F3">
        <v>2479</v>
      </c>
      <c r="G3">
        <v>832</v>
      </c>
      <c r="H3">
        <v>1885</v>
      </c>
      <c r="I3">
        <v>521</v>
      </c>
      <c r="J3">
        <v>741</v>
      </c>
      <c r="K3">
        <v>391</v>
      </c>
      <c r="L3">
        <v>1096</v>
      </c>
      <c r="M3">
        <v>466</v>
      </c>
      <c r="N3">
        <v>251</v>
      </c>
      <c r="O3">
        <v>96</v>
      </c>
      <c r="P3">
        <v>448</v>
      </c>
      <c r="Q3">
        <v>681</v>
      </c>
      <c r="R3">
        <v>2</v>
      </c>
    </row>
    <row r="4" spans="1:18">
      <c r="A4" s="1" t="s">
        <v>19</v>
      </c>
      <c r="B4">
        <v>29</v>
      </c>
      <c r="C4">
        <v>14</v>
      </c>
      <c r="D4">
        <v>15</v>
      </c>
      <c r="E4">
        <v>-12.97</v>
      </c>
      <c r="F4">
        <v>1910</v>
      </c>
      <c r="G4">
        <v>631</v>
      </c>
      <c r="H4">
        <v>1645</v>
      </c>
      <c r="I4">
        <v>475</v>
      </c>
      <c r="J4">
        <v>694</v>
      </c>
      <c r="K4">
        <v>377</v>
      </c>
      <c r="L4">
        <v>1061</v>
      </c>
      <c r="M4">
        <v>287</v>
      </c>
      <c r="N4">
        <v>214</v>
      </c>
      <c r="O4">
        <v>170</v>
      </c>
      <c r="P4">
        <v>481</v>
      </c>
      <c r="Q4">
        <v>550</v>
      </c>
      <c r="R4">
        <v>3</v>
      </c>
    </row>
    <row r="5" spans="1:18">
      <c r="A5" s="1" t="s">
        <v>20</v>
      </c>
      <c r="B5">
        <v>34</v>
      </c>
      <c r="C5">
        <v>23</v>
      </c>
      <c r="D5">
        <v>11</v>
      </c>
      <c r="E5">
        <v>2.09</v>
      </c>
      <c r="F5">
        <v>2501</v>
      </c>
      <c r="G5">
        <v>862</v>
      </c>
      <c r="H5">
        <v>1896</v>
      </c>
      <c r="I5">
        <v>523</v>
      </c>
      <c r="J5">
        <v>740</v>
      </c>
      <c r="K5">
        <v>370</v>
      </c>
      <c r="L5">
        <v>1252</v>
      </c>
      <c r="M5">
        <v>475</v>
      </c>
      <c r="N5">
        <v>195</v>
      </c>
      <c r="O5">
        <v>115</v>
      </c>
      <c r="P5">
        <v>482</v>
      </c>
      <c r="Q5">
        <v>630</v>
      </c>
      <c r="R5">
        <v>4</v>
      </c>
    </row>
    <row r="6" spans="1:18">
      <c r="A6" s="1" t="s">
        <v>21</v>
      </c>
      <c r="B6">
        <v>31</v>
      </c>
      <c r="C6">
        <v>20</v>
      </c>
      <c r="D6">
        <v>11</v>
      </c>
      <c r="E6">
        <v>-12.7</v>
      </c>
      <c r="F6">
        <v>2202</v>
      </c>
      <c r="G6">
        <v>815</v>
      </c>
      <c r="H6">
        <v>1784</v>
      </c>
      <c r="I6">
        <v>380</v>
      </c>
      <c r="J6">
        <v>594</v>
      </c>
      <c r="K6">
        <v>385</v>
      </c>
      <c r="L6">
        <v>1192</v>
      </c>
      <c r="M6">
        <v>457</v>
      </c>
      <c r="N6">
        <v>176</v>
      </c>
      <c r="O6">
        <v>126</v>
      </c>
      <c r="P6">
        <v>412</v>
      </c>
      <c r="Q6">
        <v>601</v>
      </c>
      <c r="R6">
        <v>5</v>
      </c>
    </row>
    <row r="7" spans="1:18">
      <c r="A7" s="1" t="s">
        <v>22</v>
      </c>
      <c r="B7">
        <v>33</v>
      </c>
      <c r="C7">
        <v>17</v>
      </c>
      <c r="D7">
        <v>16</v>
      </c>
      <c r="E7">
        <v>5.7</v>
      </c>
      <c r="F7">
        <v>2484</v>
      </c>
      <c r="G7">
        <v>917</v>
      </c>
      <c r="H7">
        <v>2010</v>
      </c>
      <c r="I7">
        <v>418</v>
      </c>
      <c r="J7">
        <v>674</v>
      </c>
      <c r="K7">
        <v>448</v>
      </c>
      <c r="L7">
        <v>1261</v>
      </c>
      <c r="M7">
        <v>515</v>
      </c>
      <c r="N7">
        <v>246</v>
      </c>
      <c r="O7">
        <v>148</v>
      </c>
      <c r="P7">
        <v>429</v>
      </c>
      <c r="Q7">
        <v>554</v>
      </c>
      <c r="R7">
        <v>6</v>
      </c>
    </row>
    <row r="8" spans="1:18">
      <c r="A8" s="1" t="s">
        <v>23</v>
      </c>
      <c r="B8">
        <v>30</v>
      </c>
      <c r="C8">
        <v>15</v>
      </c>
      <c r="D8">
        <v>15</v>
      </c>
      <c r="E8">
        <v>-5.92</v>
      </c>
      <c r="F8">
        <v>2048</v>
      </c>
      <c r="G8">
        <v>722</v>
      </c>
      <c r="H8">
        <v>1650</v>
      </c>
      <c r="I8">
        <v>432</v>
      </c>
      <c r="J8">
        <v>595</v>
      </c>
      <c r="K8">
        <v>373</v>
      </c>
      <c r="L8">
        <v>1124</v>
      </c>
      <c r="M8">
        <v>370</v>
      </c>
      <c r="N8">
        <v>160</v>
      </c>
      <c r="O8">
        <v>73</v>
      </c>
      <c r="P8">
        <v>428</v>
      </c>
      <c r="Q8">
        <v>614</v>
      </c>
      <c r="R8">
        <v>7</v>
      </c>
    </row>
    <row r="9" spans="1:18">
      <c r="A9" s="1" t="s">
        <v>24</v>
      </c>
      <c r="B9">
        <v>31</v>
      </c>
      <c r="C9">
        <v>7</v>
      </c>
      <c r="D9">
        <v>24</v>
      </c>
      <c r="E9">
        <v>-11.47</v>
      </c>
      <c r="F9">
        <v>2100</v>
      </c>
      <c r="G9">
        <v>736</v>
      </c>
      <c r="H9">
        <v>1783</v>
      </c>
      <c r="I9">
        <v>445</v>
      </c>
      <c r="J9">
        <v>646</v>
      </c>
      <c r="K9">
        <v>361</v>
      </c>
      <c r="L9">
        <v>1021</v>
      </c>
      <c r="M9">
        <v>299</v>
      </c>
      <c r="N9">
        <v>205</v>
      </c>
      <c r="O9">
        <v>47</v>
      </c>
      <c r="P9">
        <v>532</v>
      </c>
      <c r="Q9">
        <v>680</v>
      </c>
      <c r="R9">
        <v>8</v>
      </c>
    </row>
    <row r="10" spans="1:18">
      <c r="A10" s="1" t="s">
        <v>25</v>
      </c>
      <c r="B10">
        <v>33</v>
      </c>
      <c r="C10">
        <v>21</v>
      </c>
      <c r="D10">
        <v>12</v>
      </c>
      <c r="E10">
        <v>-4</v>
      </c>
      <c r="F10">
        <v>2140</v>
      </c>
      <c r="G10">
        <v>698</v>
      </c>
      <c r="H10">
        <v>1586</v>
      </c>
      <c r="I10">
        <v>484</v>
      </c>
      <c r="J10">
        <v>655</v>
      </c>
      <c r="K10">
        <v>321</v>
      </c>
      <c r="L10">
        <v>1064</v>
      </c>
      <c r="M10">
        <v>390</v>
      </c>
      <c r="N10">
        <v>152</v>
      </c>
      <c r="O10">
        <v>87</v>
      </c>
      <c r="P10">
        <v>458</v>
      </c>
      <c r="Q10">
        <v>587</v>
      </c>
      <c r="R10">
        <v>9</v>
      </c>
    </row>
    <row r="11" spans="1:18">
      <c r="A11" s="1" t="s">
        <v>271</v>
      </c>
      <c r="B11">
        <v>31</v>
      </c>
      <c r="C11">
        <v>18</v>
      </c>
      <c r="D11">
        <v>13</v>
      </c>
      <c r="E11">
        <v>-2.77</v>
      </c>
      <c r="F11">
        <v>2214</v>
      </c>
      <c r="G11">
        <v>780</v>
      </c>
      <c r="H11">
        <v>1644</v>
      </c>
      <c r="I11">
        <v>422</v>
      </c>
      <c r="J11">
        <v>608</v>
      </c>
      <c r="K11">
        <v>304</v>
      </c>
      <c r="L11">
        <v>1089</v>
      </c>
      <c r="M11">
        <v>420</v>
      </c>
      <c r="N11">
        <v>189</v>
      </c>
      <c r="O11">
        <v>145</v>
      </c>
      <c r="P11">
        <v>470</v>
      </c>
      <c r="Q11">
        <v>532</v>
      </c>
      <c r="R11">
        <v>10</v>
      </c>
    </row>
    <row r="12" spans="1:18">
      <c r="A12" s="1" t="s">
        <v>26</v>
      </c>
      <c r="B12">
        <v>34</v>
      </c>
      <c r="C12">
        <v>21</v>
      </c>
      <c r="D12">
        <v>13</v>
      </c>
      <c r="E12">
        <v>6.28</v>
      </c>
      <c r="F12">
        <v>2271</v>
      </c>
      <c r="G12">
        <v>768</v>
      </c>
      <c r="H12">
        <v>1656</v>
      </c>
      <c r="I12">
        <v>491</v>
      </c>
      <c r="J12">
        <v>664</v>
      </c>
      <c r="K12">
        <v>276</v>
      </c>
      <c r="L12">
        <v>1029</v>
      </c>
      <c r="M12">
        <v>491</v>
      </c>
      <c r="N12">
        <v>236</v>
      </c>
      <c r="O12">
        <v>109</v>
      </c>
      <c r="P12">
        <v>429</v>
      </c>
      <c r="Q12">
        <v>546</v>
      </c>
      <c r="R12">
        <v>11</v>
      </c>
    </row>
    <row r="13" spans="1:18">
      <c r="A13" s="1" t="s">
        <v>356</v>
      </c>
      <c r="B13">
        <v>34</v>
      </c>
      <c r="C13">
        <v>19</v>
      </c>
      <c r="D13">
        <v>15</v>
      </c>
      <c r="E13">
        <v>10.220000000000001</v>
      </c>
      <c r="F13">
        <v>2443</v>
      </c>
      <c r="G13">
        <v>843</v>
      </c>
      <c r="H13">
        <v>1765</v>
      </c>
      <c r="I13">
        <v>536</v>
      </c>
      <c r="J13">
        <v>716</v>
      </c>
      <c r="K13">
        <v>281</v>
      </c>
      <c r="L13">
        <v>1052</v>
      </c>
      <c r="M13">
        <v>526</v>
      </c>
      <c r="N13">
        <v>189</v>
      </c>
      <c r="O13">
        <v>120</v>
      </c>
      <c r="P13">
        <v>414</v>
      </c>
      <c r="Q13">
        <v>556</v>
      </c>
      <c r="R13">
        <v>12</v>
      </c>
    </row>
    <row r="14" spans="1:18">
      <c r="A14" s="1" t="s">
        <v>27</v>
      </c>
      <c r="B14">
        <v>31</v>
      </c>
      <c r="C14">
        <v>20</v>
      </c>
      <c r="D14">
        <v>11</v>
      </c>
      <c r="E14">
        <v>-4.26</v>
      </c>
      <c r="F14">
        <v>2024</v>
      </c>
      <c r="G14">
        <v>680</v>
      </c>
      <c r="H14">
        <v>1588</v>
      </c>
      <c r="I14">
        <v>499</v>
      </c>
      <c r="J14">
        <v>757</v>
      </c>
      <c r="K14">
        <v>382</v>
      </c>
      <c r="L14">
        <v>1129</v>
      </c>
      <c r="M14">
        <v>399</v>
      </c>
      <c r="N14">
        <v>211</v>
      </c>
      <c r="O14">
        <v>103</v>
      </c>
      <c r="P14">
        <v>506</v>
      </c>
      <c r="Q14">
        <v>640</v>
      </c>
      <c r="R14">
        <v>13</v>
      </c>
    </row>
    <row r="15" spans="1:18">
      <c r="A15" s="1" t="s">
        <v>28</v>
      </c>
      <c r="B15">
        <v>31</v>
      </c>
      <c r="C15">
        <v>13</v>
      </c>
      <c r="D15">
        <v>18</v>
      </c>
      <c r="E15">
        <v>-12.56</v>
      </c>
      <c r="F15">
        <v>1869</v>
      </c>
      <c r="G15">
        <v>688</v>
      </c>
      <c r="H15">
        <v>1720</v>
      </c>
      <c r="I15">
        <v>328</v>
      </c>
      <c r="J15">
        <v>534</v>
      </c>
      <c r="K15">
        <v>335</v>
      </c>
      <c r="L15">
        <v>1097</v>
      </c>
      <c r="M15">
        <v>349</v>
      </c>
      <c r="N15">
        <v>158</v>
      </c>
      <c r="O15">
        <v>150</v>
      </c>
      <c r="P15">
        <v>440</v>
      </c>
      <c r="Q15">
        <v>572</v>
      </c>
      <c r="R15">
        <v>14</v>
      </c>
    </row>
    <row r="16" spans="1:18">
      <c r="A16" s="1" t="s">
        <v>29</v>
      </c>
      <c r="B16">
        <v>30</v>
      </c>
      <c r="C16">
        <v>10</v>
      </c>
      <c r="D16">
        <v>20</v>
      </c>
      <c r="E16">
        <v>-2.02</v>
      </c>
      <c r="F16">
        <v>2118</v>
      </c>
      <c r="G16">
        <v>762</v>
      </c>
      <c r="H16">
        <v>1673</v>
      </c>
      <c r="I16">
        <v>385</v>
      </c>
      <c r="J16">
        <v>536</v>
      </c>
      <c r="K16">
        <v>329</v>
      </c>
      <c r="L16">
        <v>934</v>
      </c>
      <c r="M16">
        <v>375</v>
      </c>
      <c r="N16">
        <v>198</v>
      </c>
      <c r="O16">
        <v>64</v>
      </c>
      <c r="P16">
        <v>413</v>
      </c>
      <c r="Q16">
        <v>532</v>
      </c>
      <c r="R16">
        <v>15</v>
      </c>
    </row>
    <row r="17" spans="1:18">
      <c r="A17" s="1" t="s">
        <v>302</v>
      </c>
      <c r="B17">
        <v>35</v>
      </c>
      <c r="C17">
        <v>23</v>
      </c>
      <c r="D17">
        <v>12</v>
      </c>
      <c r="E17">
        <v>6.73</v>
      </c>
      <c r="F17">
        <v>2593</v>
      </c>
      <c r="G17">
        <v>936</v>
      </c>
      <c r="H17">
        <v>2001</v>
      </c>
      <c r="I17">
        <v>514</v>
      </c>
      <c r="J17">
        <v>758</v>
      </c>
      <c r="K17">
        <v>446</v>
      </c>
      <c r="L17">
        <v>1274</v>
      </c>
      <c r="M17">
        <v>505</v>
      </c>
      <c r="N17">
        <v>241</v>
      </c>
      <c r="O17">
        <v>182</v>
      </c>
      <c r="P17">
        <v>531</v>
      </c>
      <c r="Q17">
        <v>662</v>
      </c>
      <c r="R17">
        <v>16</v>
      </c>
    </row>
    <row r="18" spans="1:18">
      <c r="A18" s="1" t="s">
        <v>30</v>
      </c>
      <c r="B18">
        <v>30</v>
      </c>
      <c r="C18">
        <v>14</v>
      </c>
      <c r="D18">
        <v>16</v>
      </c>
      <c r="E18">
        <v>-5.04</v>
      </c>
      <c r="F18">
        <v>1770</v>
      </c>
      <c r="G18">
        <v>659</v>
      </c>
      <c r="H18">
        <v>1521</v>
      </c>
      <c r="I18">
        <v>310</v>
      </c>
      <c r="J18">
        <v>456</v>
      </c>
      <c r="K18">
        <v>258</v>
      </c>
      <c r="L18">
        <v>895</v>
      </c>
      <c r="M18">
        <v>416</v>
      </c>
      <c r="N18">
        <v>259</v>
      </c>
      <c r="O18">
        <v>61</v>
      </c>
      <c r="P18">
        <v>478</v>
      </c>
      <c r="Q18">
        <v>588</v>
      </c>
      <c r="R18">
        <v>17</v>
      </c>
    </row>
    <row r="19" spans="1:18">
      <c r="A19" s="1" t="s">
        <v>272</v>
      </c>
      <c r="B19">
        <v>30</v>
      </c>
      <c r="C19">
        <v>14</v>
      </c>
      <c r="D19">
        <v>16</v>
      </c>
      <c r="E19">
        <v>4.7</v>
      </c>
      <c r="F19">
        <v>2141</v>
      </c>
      <c r="G19">
        <v>777</v>
      </c>
      <c r="H19">
        <v>1698</v>
      </c>
      <c r="I19">
        <v>358</v>
      </c>
      <c r="J19">
        <v>535</v>
      </c>
      <c r="K19">
        <v>324</v>
      </c>
      <c r="L19">
        <v>971</v>
      </c>
      <c r="M19">
        <v>453</v>
      </c>
      <c r="N19">
        <v>259</v>
      </c>
      <c r="O19">
        <v>74</v>
      </c>
      <c r="P19">
        <v>409</v>
      </c>
      <c r="Q19">
        <v>492</v>
      </c>
      <c r="R19">
        <v>18</v>
      </c>
    </row>
    <row r="20" spans="1:18">
      <c r="A20" s="1" t="s">
        <v>31</v>
      </c>
      <c r="B20">
        <v>35</v>
      </c>
      <c r="C20">
        <v>24</v>
      </c>
      <c r="D20">
        <v>11</v>
      </c>
      <c r="E20">
        <v>-5.24</v>
      </c>
      <c r="F20">
        <v>2590</v>
      </c>
      <c r="G20">
        <v>855</v>
      </c>
      <c r="H20">
        <v>1917</v>
      </c>
      <c r="I20">
        <v>607</v>
      </c>
      <c r="J20">
        <v>850</v>
      </c>
      <c r="K20">
        <v>362</v>
      </c>
      <c r="L20">
        <v>1107</v>
      </c>
      <c r="M20">
        <v>501</v>
      </c>
      <c r="N20">
        <v>335</v>
      </c>
      <c r="O20">
        <v>75</v>
      </c>
      <c r="P20">
        <v>440</v>
      </c>
      <c r="Q20">
        <v>616</v>
      </c>
      <c r="R20">
        <v>19</v>
      </c>
    </row>
    <row r="21" spans="1:18">
      <c r="A21" s="1" t="s">
        <v>273</v>
      </c>
      <c r="B21">
        <v>30</v>
      </c>
      <c r="C21">
        <v>6</v>
      </c>
      <c r="D21">
        <v>24</v>
      </c>
      <c r="E21">
        <v>0.5</v>
      </c>
      <c r="F21">
        <v>1733</v>
      </c>
      <c r="G21">
        <v>623</v>
      </c>
      <c r="H21">
        <v>1558</v>
      </c>
      <c r="I21">
        <v>362</v>
      </c>
      <c r="J21">
        <v>554</v>
      </c>
      <c r="K21">
        <v>307</v>
      </c>
      <c r="L21">
        <v>936</v>
      </c>
      <c r="M21">
        <v>311</v>
      </c>
      <c r="N21">
        <v>186</v>
      </c>
      <c r="O21">
        <v>50</v>
      </c>
      <c r="P21">
        <v>365</v>
      </c>
      <c r="Q21">
        <v>515</v>
      </c>
      <c r="R21">
        <v>20</v>
      </c>
    </row>
    <row r="22" spans="1:18">
      <c r="A22" s="1" t="s">
        <v>32</v>
      </c>
      <c r="B22">
        <v>32</v>
      </c>
      <c r="C22">
        <v>21</v>
      </c>
      <c r="D22">
        <v>11</v>
      </c>
      <c r="E22">
        <v>5.75</v>
      </c>
      <c r="F22">
        <v>2601</v>
      </c>
      <c r="G22">
        <v>899</v>
      </c>
      <c r="H22">
        <v>1979</v>
      </c>
      <c r="I22">
        <v>528</v>
      </c>
      <c r="J22">
        <v>711</v>
      </c>
      <c r="K22">
        <v>384</v>
      </c>
      <c r="L22">
        <v>1196</v>
      </c>
      <c r="M22">
        <v>388</v>
      </c>
      <c r="N22">
        <v>237</v>
      </c>
      <c r="O22">
        <v>138</v>
      </c>
      <c r="P22">
        <v>403</v>
      </c>
      <c r="Q22">
        <v>665</v>
      </c>
      <c r="R22">
        <v>21</v>
      </c>
    </row>
    <row r="23" spans="1:18">
      <c r="A23" s="1" t="s">
        <v>33</v>
      </c>
      <c r="B23">
        <v>34</v>
      </c>
      <c r="C23">
        <v>25</v>
      </c>
      <c r="D23">
        <v>9</v>
      </c>
      <c r="E23">
        <v>-3.44</v>
      </c>
      <c r="F23">
        <v>2714</v>
      </c>
      <c r="G23">
        <v>938</v>
      </c>
      <c r="H23">
        <v>2078</v>
      </c>
      <c r="I23">
        <v>481</v>
      </c>
      <c r="J23">
        <v>689</v>
      </c>
      <c r="K23">
        <v>424</v>
      </c>
      <c r="L23">
        <v>1248</v>
      </c>
      <c r="M23">
        <v>587</v>
      </c>
      <c r="N23">
        <v>290</v>
      </c>
      <c r="O23">
        <v>65</v>
      </c>
      <c r="P23">
        <v>498</v>
      </c>
      <c r="Q23">
        <v>626</v>
      </c>
      <c r="R23">
        <v>22</v>
      </c>
    </row>
    <row r="24" spans="1:18">
      <c r="A24" s="1" t="s">
        <v>34</v>
      </c>
      <c r="B24">
        <v>32</v>
      </c>
      <c r="C24">
        <v>11</v>
      </c>
      <c r="D24">
        <v>21</v>
      </c>
      <c r="E24">
        <v>-10.89</v>
      </c>
      <c r="F24">
        <v>1862</v>
      </c>
      <c r="G24">
        <v>649</v>
      </c>
      <c r="H24">
        <v>1470</v>
      </c>
      <c r="I24">
        <v>439</v>
      </c>
      <c r="J24">
        <v>658</v>
      </c>
      <c r="K24">
        <v>301</v>
      </c>
      <c r="L24">
        <v>945</v>
      </c>
      <c r="M24">
        <v>331</v>
      </c>
      <c r="N24">
        <v>224</v>
      </c>
      <c r="O24">
        <v>78</v>
      </c>
      <c r="P24">
        <v>506</v>
      </c>
      <c r="Q24">
        <v>561</v>
      </c>
      <c r="R24">
        <v>23</v>
      </c>
    </row>
    <row r="25" spans="1:18">
      <c r="A25" s="1" t="s">
        <v>303</v>
      </c>
      <c r="B25">
        <v>30</v>
      </c>
      <c r="C25">
        <v>14</v>
      </c>
      <c r="D25">
        <v>16</v>
      </c>
      <c r="E25">
        <v>-6</v>
      </c>
      <c r="F25">
        <v>1976</v>
      </c>
      <c r="G25">
        <v>714</v>
      </c>
      <c r="H25">
        <v>1646</v>
      </c>
      <c r="I25">
        <v>377</v>
      </c>
      <c r="J25">
        <v>515</v>
      </c>
      <c r="K25">
        <v>351</v>
      </c>
      <c r="L25">
        <v>973</v>
      </c>
      <c r="M25">
        <v>359</v>
      </c>
      <c r="N25">
        <v>216</v>
      </c>
      <c r="O25">
        <v>77</v>
      </c>
      <c r="P25">
        <v>408</v>
      </c>
      <c r="Q25">
        <v>583</v>
      </c>
      <c r="R25">
        <v>24</v>
      </c>
    </row>
    <row r="26" spans="1:18">
      <c r="A26" s="1" t="s">
        <v>35</v>
      </c>
      <c r="B26">
        <v>34</v>
      </c>
      <c r="C26">
        <v>25</v>
      </c>
      <c r="D26">
        <v>9</v>
      </c>
      <c r="E26">
        <v>-2.0699999999999998</v>
      </c>
      <c r="F26">
        <v>2767</v>
      </c>
      <c r="G26">
        <v>994</v>
      </c>
      <c r="H26">
        <v>1956</v>
      </c>
      <c r="I26">
        <v>508</v>
      </c>
      <c r="J26">
        <v>768</v>
      </c>
      <c r="K26">
        <v>335</v>
      </c>
      <c r="L26">
        <v>1218</v>
      </c>
      <c r="M26">
        <v>605</v>
      </c>
      <c r="N26">
        <v>215</v>
      </c>
      <c r="O26">
        <v>80</v>
      </c>
      <c r="P26">
        <v>534</v>
      </c>
      <c r="Q26">
        <v>591</v>
      </c>
      <c r="R26">
        <v>25</v>
      </c>
    </row>
    <row r="27" spans="1:18">
      <c r="A27" s="1" t="s">
        <v>36</v>
      </c>
      <c r="B27">
        <v>31</v>
      </c>
      <c r="C27">
        <v>14</v>
      </c>
      <c r="D27">
        <v>17</v>
      </c>
      <c r="E27">
        <v>7.75</v>
      </c>
      <c r="F27">
        <v>2203</v>
      </c>
      <c r="G27">
        <v>776</v>
      </c>
      <c r="H27">
        <v>1705</v>
      </c>
      <c r="I27">
        <v>467</v>
      </c>
      <c r="J27">
        <v>677</v>
      </c>
      <c r="K27">
        <v>368</v>
      </c>
      <c r="L27">
        <v>1103</v>
      </c>
      <c r="M27">
        <v>458</v>
      </c>
      <c r="N27">
        <v>186</v>
      </c>
      <c r="O27">
        <v>189</v>
      </c>
      <c r="P27">
        <v>479</v>
      </c>
      <c r="Q27">
        <v>520</v>
      </c>
      <c r="R27">
        <v>26</v>
      </c>
    </row>
    <row r="28" spans="1:18">
      <c r="A28" s="1" t="s">
        <v>37</v>
      </c>
      <c r="B28">
        <v>31</v>
      </c>
      <c r="C28">
        <v>14</v>
      </c>
      <c r="D28">
        <v>17</v>
      </c>
      <c r="E28">
        <v>-4.91</v>
      </c>
      <c r="F28">
        <v>1954</v>
      </c>
      <c r="G28">
        <v>675</v>
      </c>
      <c r="H28">
        <v>1675</v>
      </c>
      <c r="I28">
        <v>372</v>
      </c>
      <c r="J28">
        <v>548</v>
      </c>
      <c r="K28">
        <v>335</v>
      </c>
      <c r="L28">
        <v>1005</v>
      </c>
      <c r="M28">
        <v>408</v>
      </c>
      <c r="N28">
        <v>219</v>
      </c>
      <c r="O28">
        <v>77</v>
      </c>
      <c r="P28">
        <v>436</v>
      </c>
      <c r="Q28">
        <v>623</v>
      </c>
      <c r="R28">
        <v>27</v>
      </c>
    </row>
    <row r="29" spans="1:18">
      <c r="A29" s="1" t="s">
        <v>38</v>
      </c>
      <c r="B29">
        <v>30</v>
      </c>
      <c r="C29">
        <v>13</v>
      </c>
      <c r="D29">
        <v>17</v>
      </c>
      <c r="E29">
        <v>-0.63</v>
      </c>
      <c r="F29">
        <v>1904</v>
      </c>
      <c r="G29">
        <v>696</v>
      </c>
      <c r="H29">
        <v>1584</v>
      </c>
      <c r="I29">
        <v>363</v>
      </c>
      <c r="J29">
        <v>554</v>
      </c>
      <c r="K29">
        <v>335</v>
      </c>
      <c r="L29">
        <v>1027</v>
      </c>
      <c r="M29">
        <v>376</v>
      </c>
      <c r="N29">
        <v>166</v>
      </c>
      <c r="O29">
        <v>151</v>
      </c>
      <c r="P29">
        <v>452</v>
      </c>
      <c r="Q29">
        <v>550</v>
      </c>
      <c r="R29">
        <v>28</v>
      </c>
    </row>
    <row r="30" spans="1:18">
      <c r="A30" s="1" t="s">
        <v>39</v>
      </c>
      <c r="B30">
        <v>38</v>
      </c>
      <c r="C30">
        <v>21</v>
      </c>
      <c r="D30">
        <v>17</v>
      </c>
      <c r="E30">
        <v>4.25</v>
      </c>
      <c r="F30">
        <v>2805</v>
      </c>
      <c r="G30">
        <v>941</v>
      </c>
      <c r="H30">
        <v>2132</v>
      </c>
      <c r="I30">
        <v>577</v>
      </c>
      <c r="J30">
        <v>776</v>
      </c>
      <c r="K30">
        <v>407</v>
      </c>
      <c r="L30">
        <v>1267</v>
      </c>
      <c r="M30">
        <v>603</v>
      </c>
      <c r="N30">
        <v>297</v>
      </c>
      <c r="O30">
        <v>93</v>
      </c>
      <c r="P30">
        <v>534</v>
      </c>
      <c r="Q30">
        <v>743</v>
      </c>
      <c r="R30">
        <v>29</v>
      </c>
    </row>
    <row r="31" spans="1:18">
      <c r="A31" s="1" t="s">
        <v>40</v>
      </c>
      <c r="B31">
        <v>35</v>
      </c>
      <c r="C31">
        <v>27</v>
      </c>
      <c r="D31">
        <v>8</v>
      </c>
      <c r="E31">
        <v>1.33</v>
      </c>
      <c r="F31">
        <v>2580</v>
      </c>
      <c r="G31">
        <v>906</v>
      </c>
      <c r="H31">
        <v>1970</v>
      </c>
      <c r="I31">
        <v>483</v>
      </c>
      <c r="J31">
        <v>737</v>
      </c>
      <c r="K31">
        <v>365</v>
      </c>
      <c r="L31">
        <v>1351</v>
      </c>
      <c r="M31">
        <v>587</v>
      </c>
      <c r="N31">
        <v>207</v>
      </c>
      <c r="O31">
        <v>135</v>
      </c>
      <c r="P31">
        <v>492</v>
      </c>
      <c r="Q31">
        <v>618</v>
      </c>
      <c r="R31">
        <v>30</v>
      </c>
    </row>
    <row r="32" spans="1:18">
      <c r="A32" s="1" t="s">
        <v>41</v>
      </c>
      <c r="B32">
        <v>29</v>
      </c>
      <c r="C32">
        <v>19</v>
      </c>
      <c r="D32">
        <v>10</v>
      </c>
      <c r="E32">
        <v>-4.6500000000000004</v>
      </c>
      <c r="F32">
        <v>1997</v>
      </c>
      <c r="G32">
        <v>646</v>
      </c>
      <c r="H32">
        <v>1360</v>
      </c>
      <c r="I32">
        <v>478</v>
      </c>
      <c r="J32">
        <v>641</v>
      </c>
      <c r="K32">
        <v>198</v>
      </c>
      <c r="L32">
        <v>850</v>
      </c>
      <c r="M32">
        <v>412</v>
      </c>
      <c r="N32">
        <v>202</v>
      </c>
      <c r="O32">
        <v>70</v>
      </c>
      <c r="P32">
        <v>378</v>
      </c>
      <c r="Q32">
        <v>451</v>
      </c>
      <c r="R32">
        <v>31</v>
      </c>
    </row>
    <row r="33" spans="1:18">
      <c r="A33" s="1" t="s">
        <v>42</v>
      </c>
      <c r="B33">
        <v>31</v>
      </c>
      <c r="C33">
        <v>12</v>
      </c>
      <c r="D33">
        <v>19</v>
      </c>
      <c r="E33">
        <v>-3.88</v>
      </c>
      <c r="F33">
        <v>1925</v>
      </c>
      <c r="G33">
        <v>662</v>
      </c>
      <c r="H33">
        <v>1559</v>
      </c>
      <c r="I33">
        <v>389</v>
      </c>
      <c r="J33">
        <v>574</v>
      </c>
      <c r="K33">
        <v>299</v>
      </c>
      <c r="L33">
        <v>997</v>
      </c>
      <c r="M33">
        <v>396</v>
      </c>
      <c r="N33">
        <v>194</v>
      </c>
      <c r="O33">
        <v>86</v>
      </c>
      <c r="P33">
        <v>502</v>
      </c>
      <c r="Q33">
        <v>622</v>
      </c>
      <c r="R33">
        <v>32</v>
      </c>
    </row>
    <row r="34" spans="1:18">
      <c r="A34" s="1" t="s">
        <v>43</v>
      </c>
      <c r="B34">
        <v>30</v>
      </c>
      <c r="C34">
        <v>10</v>
      </c>
      <c r="D34">
        <v>20</v>
      </c>
      <c r="E34">
        <v>0.61</v>
      </c>
      <c r="F34">
        <v>2146</v>
      </c>
      <c r="G34">
        <v>782</v>
      </c>
      <c r="H34">
        <v>1895</v>
      </c>
      <c r="I34">
        <v>411</v>
      </c>
      <c r="J34">
        <v>601</v>
      </c>
      <c r="K34">
        <v>451</v>
      </c>
      <c r="L34">
        <v>1153</v>
      </c>
      <c r="M34">
        <v>404</v>
      </c>
      <c r="N34">
        <v>240</v>
      </c>
      <c r="O34">
        <v>87</v>
      </c>
      <c r="P34">
        <v>503</v>
      </c>
      <c r="Q34">
        <v>685</v>
      </c>
      <c r="R34">
        <v>33</v>
      </c>
    </row>
    <row r="35" spans="1:18">
      <c r="A35" s="1" t="s">
        <v>304</v>
      </c>
      <c r="B35">
        <v>34</v>
      </c>
      <c r="C35">
        <v>30</v>
      </c>
      <c r="D35">
        <v>4</v>
      </c>
      <c r="E35">
        <v>2.64</v>
      </c>
      <c r="F35">
        <v>2339</v>
      </c>
      <c r="G35">
        <v>776</v>
      </c>
      <c r="H35">
        <v>1729</v>
      </c>
      <c r="I35">
        <v>468</v>
      </c>
      <c r="J35">
        <v>635</v>
      </c>
      <c r="K35">
        <v>308</v>
      </c>
      <c r="L35">
        <v>1016</v>
      </c>
      <c r="M35">
        <v>445</v>
      </c>
      <c r="N35">
        <v>221</v>
      </c>
      <c r="O35">
        <v>83</v>
      </c>
      <c r="P35">
        <v>352</v>
      </c>
      <c r="Q35">
        <v>588</v>
      </c>
      <c r="R35">
        <v>34</v>
      </c>
    </row>
    <row r="36" spans="1:18">
      <c r="A36" s="1" t="s">
        <v>44</v>
      </c>
      <c r="B36">
        <v>30</v>
      </c>
      <c r="C36">
        <v>12</v>
      </c>
      <c r="D36">
        <v>18</v>
      </c>
      <c r="E36">
        <v>-2.08</v>
      </c>
      <c r="F36">
        <v>1896</v>
      </c>
      <c r="G36">
        <v>671</v>
      </c>
      <c r="H36">
        <v>1665</v>
      </c>
      <c r="I36">
        <v>370</v>
      </c>
      <c r="J36">
        <v>564</v>
      </c>
      <c r="K36">
        <v>317</v>
      </c>
      <c r="L36">
        <v>996</v>
      </c>
      <c r="M36">
        <v>336</v>
      </c>
      <c r="N36">
        <v>216</v>
      </c>
      <c r="O36">
        <v>94</v>
      </c>
      <c r="P36">
        <v>403</v>
      </c>
      <c r="Q36">
        <v>512</v>
      </c>
      <c r="R36">
        <v>35</v>
      </c>
    </row>
    <row r="37" spans="1:18">
      <c r="A37" s="1" t="s">
        <v>343</v>
      </c>
      <c r="B37">
        <v>29</v>
      </c>
      <c r="C37">
        <v>8</v>
      </c>
      <c r="D37">
        <v>21</v>
      </c>
      <c r="F37">
        <v>1929</v>
      </c>
      <c r="G37">
        <v>687</v>
      </c>
      <c r="H37">
        <v>1694</v>
      </c>
      <c r="I37">
        <v>364</v>
      </c>
      <c r="J37">
        <v>536</v>
      </c>
      <c r="K37">
        <v>376</v>
      </c>
      <c r="L37">
        <v>985</v>
      </c>
      <c r="M37">
        <v>341</v>
      </c>
      <c r="N37">
        <v>175</v>
      </c>
      <c r="O37">
        <v>53</v>
      </c>
      <c r="P37">
        <v>396</v>
      </c>
      <c r="Q37">
        <v>476</v>
      </c>
      <c r="R37">
        <v>36</v>
      </c>
    </row>
    <row r="38" spans="1:18">
      <c r="A38" s="1" t="s">
        <v>45</v>
      </c>
      <c r="B38">
        <v>33</v>
      </c>
      <c r="C38">
        <v>24</v>
      </c>
      <c r="D38">
        <v>9</v>
      </c>
      <c r="E38">
        <v>-3.06</v>
      </c>
      <c r="F38">
        <v>2700</v>
      </c>
      <c r="G38">
        <v>974</v>
      </c>
      <c r="H38">
        <v>2060</v>
      </c>
      <c r="I38">
        <v>467</v>
      </c>
      <c r="J38">
        <v>665</v>
      </c>
      <c r="K38">
        <v>391</v>
      </c>
      <c r="L38">
        <v>1182</v>
      </c>
      <c r="M38">
        <v>505</v>
      </c>
      <c r="N38">
        <v>296</v>
      </c>
      <c r="O38">
        <v>51</v>
      </c>
      <c r="P38">
        <v>445</v>
      </c>
      <c r="Q38">
        <v>629</v>
      </c>
      <c r="R38">
        <v>37</v>
      </c>
    </row>
    <row r="39" spans="1:18">
      <c r="A39" s="1" t="s">
        <v>46</v>
      </c>
      <c r="B39">
        <v>30</v>
      </c>
      <c r="C39">
        <v>20</v>
      </c>
      <c r="D39">
        <v>10</v>
      </c>
      <c r="E39">
        <v>-2.81</v>
      </c>
      <c r="F39">
        <v>2340</v>
      </c>
      <c r="G39">
        <v>853</v>
      </c>
      <c r="H39">
        <v>1844</v>
      </c>
      <c r="I39">
        <v>408</v>
      </c>
      <c r="J39">
        <v>591</v>
      </c>
      <c r="K39">
        <v>349</v>
      </c>
      <c r="L39">
        <v>1113</v>
      </c>
      <c r="M39">
        <v>456</v>
      </c>
      <c r="N39">
        <v>274</v>
      </c>
      <c r="O39">
        <v>96</v>
      </c>
      <c r="P39">
        <v>479</v>
      </c>
      <c r="Q39">
        <v>674</v>
      </c>
      <c r="R39">
        <v>38</v>
      </c>
    </row>
    <row r="40" spans="1:18">
      <c r="A40" s="1" t="s">
        <v>330</v>
      </c>
      <c r="B40">
        <v>31</v>
      </c>
      <c r="C40">
        <v>9</v>
      </c>
      <c r="D40">
        <v>22</v>
      </c>
      <c r="E40">
        <v>-2.68</v>
      </c>
      <c r="F40">
        <v>1962</v>
      </c>
      <c r="G40">
        <v>668</v>
      </c>
      <c r="H40">
        <v>1510</v>
      </c>
      <c r="I40">
        <v>401</v>
      </c>
      <c r="J40">
        <v>515</v>
      </c>
      <c r="K40">
        <v>216</v>
      </c>
      <c r="L40">
        <v>819</v>
      </c>
      <c r="M40">
        <v>404</v>
      </c>
      <c r="N40">
        <v>188</v>
      </c>
      <c r="O40">
        <v>79</v>
      </c>
      <c r="P40">
        <v>477</v>
      </c>
      <c r="Q40">
        <v>530</v>
      </c>
      <c r="R40">
        <v>39</v>
      </c>
    </row>
    <row r="41" spans="1:18">
      <c r="A41" s="1" t="s">
        <v>47</v>
      </c>
      <c r="B41">
        <v>34</v>
      </c>
      <c r="C41">
        <v>18</v>
      </c>
      <c r="D41">
        <v>16</v>
      </c>
      <c r="E41">
        <v>-2.41</v>
      </c>
      <c r="F41">
        <v>2311</v>
      </c>
      <c r="G41">
        <v>818</v>
      </c>
      <c r="H41">
        <v>1792</v>
      </c>
      <c r="I41">
        <v>443</v>
      </c>
      <c r="J41">
        <v>595</v>
      </c>
      <c r="K41">
        <v>279</v>
      </c>
      <c r="L41">
        <v>1005</v>
      </c>
      <c r="M41">
        <v>416</v>
      </c>
      <c r="N41">
        <v>246</v>
      </c>
      <c r="O41">
        <v>72</v>
      </c>
      <c r="P41">
        <v>438</v>
      </c>
      <c r="Q41">
        <v>607</v>
      </c>
      <c r="R41">
        <v>40</v>
      </c>
    </row>
    <row r="42" spans="1:18">
      <c r="A42" s="1" t="s">
        <v>305</v>
      </c>
      <c r="B42">
        <v>30</v>
      </c>
      <c r="C42">
        <v>9</v>
      </c>
      <c r="D42">
        <v>21</v>
      </c>
      <c r="E42">
        <v>-2.02</v>
      </c>
      <c r="F42">
        <v>1803</v>
      </c>
      <c r="G42">
        <v>635</v>
      </c>
      <c r="H42">
        <v>1500</v>
      </c>
      <c r="I42">
        <v>408</v>
      </c>
      <c r="J42">
        <v>593</v>
      </c>
      <c r="K42">
        <v>310</v>
      </c>
      <c r="L42">
        <v>971</v>
      </c>
      <c r="M42">
        <v>331</v>
      </c>
      <c r="N42">
        <v>216</v>
      </c>
      <c r="O42">
        <v>56</v>
      </c>
      <c r="P42">
        <v>484</v>
      </c>
      <c r="Q42">
        <v>561</v>
      </c>
      <c r="R42">
        <v>41</v>
      </c>
    </row>
    <row r="43" spans="1:18">
      <c r="A43" s="1" t="s">
        <v>48</v>
      </c>
      <c r="B43">
        <v>32</v>
      </c>
      <c r="C43">
        <v>23</v>
      </c>
      <c r="D43">
        <v>9</v>
      </c>
      <c r="E43">
        <v>-3.16</v>
      </c>
      <c r="F43">
        <v>2232</v>
      </c>
      <c r="G43">
        <v>770</v>
      </c>
      <c r="H43">
        <v>1704</v>
      </c>
      <c r="I43">
        <v>450</v>
      </c>
      <c r="J43">
        <v>598</v>
      </c>
      <c r="K43">
        <v>281</v>
      </c>
      <c r="L43">
        <v>963</v>
      </c>
      <c r="M43">
        <v>468</v>
      </c>
      <c r="N43">
        <v>276</v>
      </c>
      <c r="O43">
        <v>73</v>
      </c>
      <c r="P43">
        <v>460</v>
      </c>
      <c r="Q43">
        <v>636</v>
      </c>
      <c r="R43">
        <v>42</v>
      </c>
    </row>
    <row r="44" spans="1:18">
      <c r="A44" s="1" t="s">
        <v>49</v>
      </c>
      <c r="B44">
        <v>33</v>
      </c>
      <c r="C44">
        <v>17</v>
      </c>
      <c r="D44">
        <v>16</v>
      </c>
      <c r="E44">
        <v>8.4499999999999993</v>
      </c>
      <c r="F44">
        <v>2521</v>
      </c>
      <c r="G44">
        <v>884</v>
      </c>
      <c r="H44">
        <v>1901</v>
      </c>
      <c r="I44">
        <v>533</v>
      </c>
      <c r="J44">
        <v>687</v>
      </c>
      <c r="K44">
        <v>372</v>
      </c>
      <c r="L44">
        <v>1180</v>
      </c>
      <c r="M44">
        <v>493</v>
      </c>
      <c r="N44">
        <v>136</v>
      </c>
      <c r="O44">
        <v>81</v>
      </c>
      <c r="P44">
        <v>446</v>
      </c>
      <c r="Q44">
        <v>590</v>
      </c>
      <c r="R44">
        <v>43</v>
      </c>
    </row>
    <row r="45" spans="1:18">
      <c r="A45" s="1" t="s">
        <v>50</v>
      </c>
      <c r="B45">
        <v>30</v>
      </c>
      <c r="C45">
        <v>10</v>
      </c>
      <c r="D45">
        <v>20</v>
      </c>
      <c r="E45">
        <v>-6.62</v>
      </c>
      <c r="F45">
        <v>2144</v>
      </c>
      <c r="G45">
        <v>718</v>
      </c>
      <c r="H45">
        <v>1691</v>
      </c>
      <c r="I45">
        <v>512</v>
      </c>
      <c r="J45">
        <v>732</v>
      </c>
      <c r="K45">
        <v>386</v>
      </c>
      <c r="L45">
        <v>1100</v>
      </c>
      <c r="M45">
        <v>456</v>
      </c>
      <c r="N45">
        <v>225</v>
      </c>
      <c r="O45">
        <v>85</v>
      </c>
      <c r="P45">
        <v>502</v>
      </c>
      <c r="Q45">
        <v>610</v>
      </c>
      <c r="R45">
        <v>44</v>
      </c>
    </row>
    <row r="46" spans="1:18">
      <c r="A46" s="1" t="s">
        <v>51</v>
      </c>
      <c r="B46">
        <v>31</v>
      </c>
      <c r="C46">
        <v>6</v>
      </c>
      <c r="D46">
        <v>25</v>
      </c>
      <c r="E46">
        <v>-3.14</v>
      </c>
      <c r="F46">
        <v>1923</v>
      </c>
      <c r="G46">
        <v>688</v>
      </c>
      <c r="H46">
        <v>1729</v>
      </c>
      <c r="I46">
        <v>313</v>
      </c>
      <c r="J46">
        <v>482</v>
      </c>
      <c r="K46">
        <v>386</v>
      </c>
      <c r="L46">
        <v>1079</v>
      </c>
      <c r="M46">
        <v>365</v>
      </c>
      <c r="N46">
        <v>179</v>
      </c>
      <c r="O46">
        <v>130</v>
      </c>
      <c r="P46">
        <v>504</v>
      </c>
      <c r="Q46">
        <v>620</v>
      </c>
      <c r="R46">
        <v>45</v>
      </c>
    </row>
    <row r="47" spans="1:18">
      <c r="A47" s="1" t="s">
        <v>52</v>
      </c>
      <c r="B47">
        <v>31</v>
      </c>
      <c r="C47">
        <v>10</v>
      </c>
      <c r="D47">
        <v>21</v>
      </c>
      <c r="E47">
        <v>-1.71</v>
      </c>
      <c r="F47">
        <v>2164</v>
      </c>
      <c r="G47">
        <v>745</v>
      </c>
      <c r="H47">
        <v>1712</v>
      </c>
      <c r="I47">
        <v>462</v>
      </c>
      <c r="J47">
        <v>644</v>
      </c>
      <c r="L47">
        <v>954</v>
      </c>
      <c r="M47">
        <v>404</v>
      </c>
      <c r="N47">
        <v>235</v>
      </c>
      <c r="O47">
        <v>88</v>
      </c>
      <c r="P47">
        <v>479</v>
      </c>
      <c r="Q47">
        <v>669</v>
      </c>
      <c r="R47">
        <v>46</v>
      </c>
    </row>
    <row r="48" spans="1:18">
      <c r="A48" s="1" t="s">
        <v>344</v>
      </c>
      <c r="B48">
        <v>30</v>
      </c>
      <c r="C48">
        <v>14</v>
      </c>
      <c r="D48">
        <v>16</v>
      </c>
      <c r="F48">
        <v>1999</v>
      </c>
      <c r="G48">
        <v>677</v>
      </c>
      <c r="H48">
        <v>1704</v>
      </c>
      <c r="I48">
        <v>464</v>
      </c>
      <c r="J48">
        <v>674</v>
      </c>
      <c r="K48">
        <v>383</v>
      </c>
      <c r="L48">
        <v>1147</v>
      </c>
      <c r="M48">
        <v>291</v>
      </c>
      <c r="N48">
        <v>206</v>
      </c>
      <c r="O48">
        <v>146</v>
      </c>
      <c r="P48">
        <v>467</v>
      </c>
      <c r="Q48">
        <v>566</v>
      </c>
      <c r="R48">
        <v>47</v>
      </c>
    </row>
    <row r="49" spans="1:18">
      <c r="A49" s="1" t="s">
        <v>274</v>
      </c>
      <c r="B49">
        <v>30</v>
      </c>
      <c r="C49">
        <v>14</v>
      </c>
      <c r="D49">
        <v>16</v>
      </c>
      <c r="E49">
        <v>-6.68</v>
      </c>
      <c r="F49">
        <v>2095</v>
      </c>
      <c r="G49">
        <v>768</v>
      </c>
      <c r="H49">
        <v>1688</v>
      </c>
      <c r="I49">
        <v>348</v>
      </c>
      <c r="J49">
        <v>493</v>
      </c>
      <c r="K49">
        <v>365</v>
      </c>
      <c r="L49">
        <v>1051</v>
      </c>
      <c r="M49">
        <v>449</v>
      </c>
      <c r="N49">
        <v>163</v>
      </c>
      <c r="O49">
        <v>92</v>
      </c>
      <c r="P49">
        <v>438</v>
      </c>
      <c r="Q49">
        <v>425</v>
      </c>
      <c r="R49">
        <v>48</v>
      </c>
    </row>
    <row r="50" spans="1:18">
      <c r="A50" s="1" t="s">
        <v>53</v>
      </c>
      <c r="B50">
        <v>31</v>
      </c>
      <c r="C50">
        <v>16</v>
      </c>
      <c r="D50">
        <v>15</v>
      </c>
      <c r="E50">
        <v>3.16</v>
      </c>
      <c r="F50">
        <v>2269</v>
      </c>
      <c r="G50">
        <v>788</v>
      </c>
      <c r="H50">
        <v>1746</v>
      </c>
      <c r="I50">
        <v>462</v>
      </c>
      <c r="J50">
        <v>650</v>
      </c>
      <c r="K50">
        <v>356</v>
      </c>
      <c r="L50">
        <v>1083</v>
      </c>
      <c r="M50">
        <v>469</v>
      </c>
      <c r="N50">
        <v>237</v>
      </c>
      <c r="O50">
        <v>109</v>
      </c>
      <c r="P50">
        <v>433</v>
      </c>
      <c r="Q50">
        <v>621</v>
      </c>
      <c r="R50">
        <v>49</v>
      </c>
    </row>
    <row r="51" spans="1:18">
      <c r="A51" s="1" t="s">
        <v>54</v>
      </c>
      <c r="B51">
        <v>31</v>
      </c>
      <c r="C51">
        <v>14</v>
      </c>
      <c r="D51">
        <v>17</v>
      </c>
      <c r="E51">
        <v>0.19</v>
      </c>
      <c r="F51">
        <v>2208</v>
      </c>
      <c r="G51">
        <v>769</v>
      </c>
      <c r="H51">
        <v>1760</v>
      </c>
      <c r="I51">
        <v>448</v>
      </c>
      <c r="J51">
        <v>662</v>
      </c>
      <c r="K51">
        <v>398</v>
      </c>
      <c r="L51">
        <v>1030</v>
      </c>
      <c r="M51">
        <v>317</v>
      </c>
      <c r="N51">
        <v>248</v>
      </c>
      <c r="O51">
        <v>90</v>
      </c>
      <c r="P51">
        <v>491</v>
      </c>
      <c r="Q51">
        <v>759</v>
      </c>
      <c r="R51">
        <v>50</v>
      </c>
    </row>
    <row r="52" spans="1:18">
      <c r="A52" s="1" t="s">
        <v>55</v>
      </c>
      <c r="B52">
        <v>30</v>
      </c>
      <c r="C52">
        <v>10</v>
      </c>
      <c r="D52">
        <v>20</v>
      </c>
      <c r="E52">
        <v>-4.63</v>
      </c>
      <c r="F52">
        <v>2225</v>
      </c>
      <c r="G52">
        <v>807</v>
      </c>
      <c r="H52">
        <v>1869</v>
      </c>
      <c r="I52">
        <v>334</v>
      </c>
      <c r="J52">
        <v>497</v>
      </c>
      <c r="K52">
        <v>376</v>
      </c>
      <c r="L52">
        <v>1119</v>
      </c>
      <c r="M52">
        <v>421</v>
      </c>
      <c r="N52">
        <v>181</v>
      </c>
      <c r="O52">
        <v>67</v>
      </c>
      <c r="P52">
        <v>443</v>
      </c>
      <c r="Q52">
        <v>575</v>
      </c>
      <c r="R52">
        <v>51</v>
      </c>
    </row>
    <row r="53" spans="1:18">
      <c r="A53" s="1" t="s">
        <v>56</v>
      </c>
      <c r="B53">
        <v>34</v>
      </c>
      <c r="C53">
        <v>20</v>
      </c>
      <c r="D53">
        <v>14</v>
      </c>
      <c r="E53">
        <v>4.34</v>
      </c>
      <c r="F53">
        <v>2366</v>
      </c>
      <c r="G53">
        <v>776</v>
      </c>
      <c r="H53">
        <v>1936</v>
      </c>
      <c r="I53">
        <v>544</v>
      </c>
      <c r="J53">
        <v>808</v>
      </c>
      <c r="K53">
        <v>432</v>
      </c>
      <c r="L53">
        <v>1223</v>
      </c>
      <c r="M53">
        <v>436</v>
      </c>
      <c r="N53">
        <v>271</v>
      </c>
      <c r="O53">
        <v>118</v>
      </c>
      <c r="P53">
        <v>488</v>
      </c>
      <c r="Q53">
        <v>690</v>
      </c>
      <c r="R53">
        <v>52</v>
      </c>
    </row>
    <row r="54" spans="1:18">
      <c r="A54" s="1" t="s">
        <v>57</v>
      </c>
      <c r="B54">
        <v>31</v>
      </c>
      <c r="C54">
        <v>18</v>
      </c>
      <c r="D54">
        <v>13</v>
      </c>
      <c r="E54">
        <v>-1.1200000000000001</v>
      </c>
      <c r="F54">
        <v>2344</v>
      </c>
      <c r="G54">
        <v>795</v>
      </c>
      <c r="H54">
        <v>1733</v>
      </c>
      <c r="I54">
        <v>515</v>
      </c>
      <c r="J54">
        <v>790</v>
      </c>
      <c r="K54">
        <v>376</v>
      </c>
      <c r="L54">
        <v>1231</v>
      </c>
      <c r="M54">
        <v>451</v>
      </c>
      <c r="N54">
        <v>200</v>
      </c>
      <c r="O54">
        <v>76</v>
      </c>
      <c r="P54">
        <v>542</v>
      </c>
      <c r="Q54">
        <v>553</v>
      </c>
      <c r="R54">
        <v>53</v>
      </c>
    </row>
    <row r="55" spans="1:18">
      <c r="A55" s="1" t="s">
        <v>58</v>
      </c>
      <c r="B55">
        <v>28</v>
      </c>
      <c r="C55">
        <v>11</v>
      </c>
      <c r="D55">
        <v>17</v>
      </c>
      <c r="E55">
        <v>1.47</v>
      </c>
      <c r="F55">
        <v>2050</v>
      </c>
      <c r="G55">
        <v>743</v>
      </c>
      <c r="H55">
        <v>1671</v>
      </c>
      <c r="I55">
        <v>344</v>
      </c>
      <c r="J55">
        <v>505</v>
      </c>
      <c r="K55">
        <v>328</v>
      </c>
      <c r="L55">
        <v>973</v>
      </c>
      <c r="M55">
        <v>398</v>
      </c>
      <c r="N55">
        <v>205</v>
      </c>
      <c r="O55">
        <v>120</v>
      </c>
      <c r="P55">
        <v>454</v>
      </c>
      <c r="Q55">
        <v>543</v>
      </c>
      <c r="R55">
        <v>54</v>
      </c>
    </row>
    <row r="56" spans="1:18">
      <c r="A56" s="1" t="s">
        <v>335</v>
      </c>
      <c r="B56">
        <v>32</v>
      </c>
      <c r="C56">
        <v>13</v>
      </c>
      <c r="D56">
        <v>19</v>
      </c>
      <c r="E56">
        <v>8.51</v>
      </c>
      <c r="F56">
        <v>2067</v>
      </c>
      <c r="G56">
        <v>735</v>
      </c>
      <c r="H56">
        <v>1783</v>
      </c>
      <c r="I56">
        <v>389</v>
      </c>
      <c r="J56">
        <v>585</v>
      </c>
      <c r="K56">
        <v>405</v>
      </c>
      <c r="L56">
        <v>1169</v>
      </c>
      <c r="M56">
        <v>407</v>
      </c>
      <c r="N56">
        <v>169</v>
      </c>
      <c r="O56">
        <v>73</v>
      </c>
      <c r="P56">
        <v>445</v>
      </c>
      <c r="Q56">
        <v>658</v>
      </c>
      <c r="R56">
        <v>55</v>
      </c>
    </row>
    <row r="57" spans="1:18">
      <c r="A57" s="1" t="s">
        <v>59</v>
      </c>
      <c r="B57">
        <v>30</v>
      </c>
      <c r="C57">
        <v>6</v>
      </c>
      <c r="D57">
        <v>24</v>
      </c>
      <c r="E57">
        <v>-1.1399999999999999</v>
      </c>
      <c r="F57">
        <v>1903</v>
      </c>
      <c r="G57">
        <v>691</v>
      </c>
      <c r="H57">
        <v>1680</v>
      </c>
      <c r="I57">
        <v>238</v>
      </c>
      <c r="J57">
        <v>349</v>
      </c>
      <c r="K57">
        <v>259</v>
      </c>
      <c r="L57">
        <v>869</v>
      </c>
      <c r="M57">
        <v>356</v>
      </c>
      <c r="N57">
        <v>179</v>
      </c>
      <c r="O57">
        <v>37</v>
      </c>
      <c r="P57">
        <v>372</v>
      </c>
      <c r="Q57">
        <v>487</v>
      </c>
      <c r="R57">
        <v>56</v>
      </c>
    </row>
    <row r="58" spans="1:18">
      <c r="A58" s="1" t="s">
        <v>60</v>
      </c>
      <c r="B58">
        <v>34</v>
      </c>
      <c r="C58">
        <v>24</v>
      </c>
      <c r="D58">
        <v>10</v>
      </c>
      <c r="E58">
        <v>9.08</v>
      </c>
      <c r="F58">
        <v>2693</v>
      </c>
      <c r="G58">
        <v>1000</v>
      </c>
      <c r="H58">
        <v>2191</v>
      </c>
      <c r="I58">
        <v>422</v>
      </c>
      <c r="J58">
        <v>677</v>
      </c>
      <c r="K58">
        <v>536</v>
      </c>
      <c r="L58">
        <v>1305</v>
      </c>
      <c r="M58">
        <v>535</v>
      </c>
      <c r="N58">
        <v>334</v>
      </c>
      <c r="O58">
        <v>185</v>
      </c>
      <c r="P58">
        <v>505</v>
      </c>
      <c r="Q58">
        <v>664</v>
      </c>
      <c r="R58">
        <v>57</v>
      </c>
    </row>
    <row r="59" spans="1:18">
      <c r="A59" s="1" t="s">
        <v>61</v>
      </c>
      <c r="B59">
        <v>34</v>
      </c>
      <c r="C59">
        <v>21</v>
      </c>
      <c r="D59">
        <v>13</v>
      </c>
      <c r="E59">
        <v>1.69</v>
      </c>
      <c r="F59">
        <v>2281</v>
      </c>
      <c r="G59">
        <v>813</v>
      </c>
      <c r="H59">
        <v>1853</v>
      </c>
      <c r="I59">
        <v>503</v>
      </c>
      <c r="J59">
        <v>717</v>
      </c>
      <c r="K59">
        <v>402</v>
      </c>
      <c r="L59">
        <v>1180</v>
      </c>
      <c r="M59">
        <v>416</v>
      </c>
      <c r="N59">
        <v>254</v>
      </c>
      <c r="O59">
        <v>116</v>
      </c>
      <c r="P59">
        <v>477</v>
      </c>
      <c r="Q59">
        <v>679</v>
      </c>
      <c r="R59">
        <v>58</v>
      </c>
    </row>
    <row r="60" spans="1:18">
      <c r="A60" s="1" t="s">
        <v>62</v>
      </c>
      <c r="B60">
        <v>28</v>
      </c>
      <c r="C60">
        <v>13</v>
      </c>
      <c r="D60">
        <v>15</v>
      </c>
      <c r="E60">
        <v>-5.44</v>
      </c>
      <c r="F60">
        <v>1936</v>
      </c>
      <c r="G60">
        <v>693</v>
      </c>
      <c r="H60">
        <v>1580</v>
      </c>
      <c r="I60">
        <v>311</v>
      </c>
      <c r="J60">
        <v>460</v>
      </c>
      <c r="K60">
        <v>298</v>
      </c>
      <c r="L60">
        <v>961</v>
      </c>
      <c r="M60">
        <v>423</v>
      </c>
      <c r="N60">
        <v>169</v>
      </c>
      <c r="O60">
        <v>60</v>
      </c>
      <c r="P60">
        <v>366</v>
      </c>
      <c r="Q60">
        <v>453</v>
      </c>
      <c r="R60">
        <v>59</v>
      </c>
    </row>
    <row r="61" spans="1:18">
      <c r="A61" s="1" t="s">
        <v>63</v>
      </c>
      <c r="B61">
        <v>32</v>
      </c>
      <c r="C61">
        <v>18</v>
      </c>
      <c r="D61">
        <v>14</v>
      </c>
      <c r="E61">
        <v>-5.0599999999999996</v>
      </c>
      <c r="F61">
        <v>2095</v>
      </c>
      <c r="G61">
        <v>734</v>
      </c>
      <c r="H61">
        <v>1659</v>
      </c>
      <c r="I61">
        <v>438</v>
      </c>
      <c r="J61">
        <v>629</v>
      </c>
      <c r="K61">
        <v>341</v>
      </c>
      <c r="L61">
        <v>1087</v>
      </c>
      <c r="M61">
        <v>364</v>
      </c>
      <c r="N61">
        <v>210</v>
      </c>
      <c r="O61">
        <v>122</v>
      </c>
      <c r="P61">
        <v>519</v>
      </c>
      <c r="Q61">
        <v>562</v>
      </c>
      <c r="R61">
        <v>60</v>
      </c>
    </row>
    <row r="62" spans="1:18">
      <c r="A62" s="1" t="s">
        <v>64</v>
      </c>
      <c r="B62">
        <v>33</v>
      </c>
      <c r="C62">
        <v>16</v>
      </c>
      <c r="D62">
        <v>17</v>
      </c>
      <c r="E62">
        <v>-2.31</v>
      </c>
      <c r="F62">
        <v>2391</v>
      </c>
      <c r="G62">
        <v>882</v>
      </c>
      <c r="H62">
        <v>1924</v>
      </c>
      <c r="I62">
        <v>365</v>
      </c>
      <c r="J62">
        <v>525</v>
      </c>
      <c r="K62">
        <v>353</v>
      </c>
      <c r="L62">
        <v>1175</v>
      </c>
      <c r="M62">
        <v>415</v>
      </c>
      <c r="N62">
        <v>192</v>
      </c>
      <c r="O62">
        <v>127</v>
      </c>
      <c r="P62">
        <v>463</v>
      </c>
      <c r="Q62">
        <v>497</v>
      </c>
      <c r="R62">
        <v>61</v>
      </c>
    </row>
    <row r="63" spans="1:18">
      <c r="A63" s="1" t="s">
        <v>65</v>
      </c>
      <c r="B63">
        <v>32</v>
      </c>
      <c r="C63">
        <v>7</v>
      </c>
      <c r="D63">
        <v>25</v>
      </c>
      <c r="E63">
        <v>2.8</v>
      </c>
      <c r="F63">
        <v>2051</v>
      </c>
      <c r="G63">
        <v>748</v>
      </c>
      <c r="H63">
        <v>1720</v>
      </c>
      <c r="I63">
        <v>359</v>
      </c>
      <c r="J63">
        <v>499</v>
      </c>
      <c r="K63">
        <v>289</v>
      </c>
      <c r="L63">
        <v>1021</v>
      </c>
      <c r="M63">
        <v>385</v>
      </c>
      <c r="N63">
        <v>137</v>
      </c>
      <c r="O63">
        <v>101</v>
      </c>
      <c r="P63">
        <v>434</v>
      </c>
      <c r="Q63">
        <v>597</v>
      </c>
      <c r="R63">
        <v>62</v>
      </c>
    </row>
    <row r="64" spans="1:18">
      <c r="A64" s="1" t="s">
        <v>66</v>
      </c>
      <c r="B64">
        <v>32</v>
      </c>
      <c r="C64">
        <v>12</v>
      </c>
      <c r="D64">
        <v>20</v>
      </c>
      <c r="E64">
        <v>6.76</v>
      </c>
      <c r="F64">
        <v>1997</v>
      </c>
      <c r="G64">
        <v>716</v>
      </c>
      <c r="H64">
        <v>1587</v>
      </c>
      <c r="I64">
        <v>375</v>
      </c>
      <c r="J64">
        <v>548</v>
      </c>
      <c r="K64">
        <v>256</v>
      </c>
      <c r="L64">
        <v>952</v>
      </c>
      <c r="M64">
        <v>425</v>
      </c>
      <c r="N64">
        <v>201</v>
      </c>
      <c r="O64">
        <v>137</v>
      </c>
      <c r="P64">
        <v>428</v>
      </c>
      <c r="Q64">
        <v>559</v>
      </c>
      <c r="R64">
        <v>63</v>
      </c>
    </row>
    <row r="65" spans="1:18">
      <c r="A65" s="1" t="s">
        <v>67</v>
      </c>
      <c r="B65">
        <v>29</v>
      </c>
      <c r="C65">
        <v>14</v>
      </c>
      <c r="D65">
        <v>15</v>
      </c>
      <c r="E65">
        <v>-5.79</v>
      </c>
      <c r="F65">
        <v>1846</v>
      </c>
      <c r="G65">
        <v>634</v>
      </c>
      <c r="H65">
        <v>1502</v>
      </c>
      <c r="I65">
        <v>373</v>
      </c>
      <c r="J65">
        <v>515</v>
      </c>
      <c r="K65">
        <v>279</v>
      </c>
      <c r="L65">
        <v>950</v>
      </c>
      <c r="M65">
        <v>392</v>
      </c>
      <c r="N65">
        <v>135</v>
      </c>
      <c r="O65">
        <v>47</v>
      </c>
      <c r="P65">
        <v>401</v>
      </c>
      <c r="Q65">
        <v>599</v>
      </c>
      <c r="R65">
        <v>64</v>
      </c>
    </row>
    <row r="66" spans="1:18">
      <c r="A66" s="1" t="s">
        <v>275</v>
      </c>
      <c r="B66">
        <v>33</v>
      </c>
      <c r="C66">
        <v>24</v>
      </c>
      <c r="D66">
        <v>9</v>
      </c>
      <c r="E66">
        <v>6.76</v>
      </c>
      <c r="F66">
        <v>2556</v>
      </c>
      <c r="G66">
        <v>868</v>
      </c>
      <c r="H66">
        <v>1880</v>
      </c>
      <c r="I66">
        <v>652</v>
      </c>
      <c r="J66">
        <v>905</v>
      </c>
      <c r="K66">
        <v>449</v>
      </c>
      <c r="L66">
        <v>1383</v>
      </c>
      <c r="M66">
        <v>488</v>
      </c>
      <c r="N66">
        <v>189</v>
      </c>
      <c r="O66">
        <v>285</v>
      </c>
      <c r="P66">
        <v>451</v>
      </c>
      <c r="Q66">
        <v>506</v>
      </c>
      <c r="R66">
        <v>65</v>
      </c>
    </row>
    <row r="67" spans="1:18">
      <c r="A67" s="1" t="s">
        <v>68</v>
      </c>
      <c r="B67">
        <v>37</v>
      </c>
      <c r="C67">
        <v>16</v>
      </c>
      <c r="D67">
        <v>21</v>
      </c>
      <c r="E67">
        <v>-6.2</v>
      </c>
      <c r="F67">
        <v>2212</v>
      </c>
      <c r="G67">
        <v>775</v>
      </c>
      <c r="H67">
        <v>1940</v>
      </c>
      <c r="I67">
        <v>515</v>
      </c>
      <c r="J67">
        <v>721</v>
      </c>
      <c r="K67">
        <v>409</v>
      </c>
      <c r="L67">
        <v>1158</v>
      </c>
      <c r="M67">
        <v>347</v>
      </c>
      <c r="N67">
        <v>261</v>
      </c>
      <c r="O67">
        <v>78</v>
      </c>
      <c r="P67">
        <v>539</v>
      </c>
      <c r="Q67">
        <v>693</v>
      </c>
      <c r="R67">
        <v>66</v>
      </c>
    </row>
    <row r="68" spans="1:18">
      <c r="A68" s="1" t="s">
        <v>69</v>
      </c>
      <c r="B68">
        <v>28</v>
      </c>
      <c r="C68">
        <v>22</v>
      </c>
      <c r="D68">
        <v>6</v>
      </c>
      <c r="E68">
        <v>-4.74</v>
      </c>
      <c r="F68">
        <v>2136</v>
      </c>
      <c r="G68">
        <v>758</v>
      </c>
      <c r="H68">
        <v>1562</v>
      </c>
      <c r="I68">
        <v>392</v>
      </c>
      <c r="J68">
        <v>515</v>
      </c>
      <c r="K68">
        <v>258</v>
      </c>
      <c r="L68">
        <v>939</v>
      </c>
      <c r="M68">
        <v>427</v>
      </c>
      <c r="N68">
        <v>170</v>
      </c>
      <c r="O68">
        <v>88</v>
      </c>
      <c r="P68">
        <v>381</v>
      </c>
      <c r="Q68">
        <v>510</v>
      </c>
      <c r="R68">
        <v>67</v>
      </c>
    </row>
    <row r="69" spans="1:18">
      <c r="A69" s="1" t="s">
        <v>326</v>
      </c>
      <c r="B69">
        <v>33</v>
      </c>
      <c r="C69">
        <v>22</v>
      </c>
      <c r="D69">
        <v>11</v>
      </c>
      <c r="E69">
        <v>4.45</v>
      </c>
      <c r="F69">
        <v>2360</v>
      </c>
      <c r="G69">
        <v>822</v>
      </c>
      <c r="H69">
        <v>1840</v>
      </c>
      <c r="I69">
        <v>442</v>
      </c>
      <c r="J69">
        <v>615</v>
      </c>
      <c r="K69">
        <v>371</v>
      </c>
      <c r="L69">
        <v>1144</v>
      </c>
      <c r="M69">
        <v>473</v>
      </c>
      <c r="N69">
        <v>245</v>
      </c>
      <c r="O69">
        <v>116</v>
      </c>
      <c r="P69">
        <v>469</v>
      </c>
      <c r="Q69">
        <v>612</v>
      </c>
      <c r="R69">
        <v>68</v>
      </c>
    </row>
    <row r="70" spans="1:18">
      <c r="A70" s="1" t="s">
        <v>70</v>
      </c>
      <c r="B70">
        <v>28</v>
      </c>
      <c r="C70">
        <v>10</v>
      </c>
      <c r="D70">
        <v>18</v>
      </c>
      <c r="E70">
        <v>-7.19</v>
      </c>
      <c r="F70">
        <v>1769</v>
      </c>
      <c r="G70">
        <v>682</v>
      </c>
      <c r="H70">
        <v>1597</v>
      </c>
      <c r="I70">
        <v>282</v>
      </c>
      <c r="J70">
        <v>422</v>
      </c>
      <c r="K70">
        <v>312</v>
      </c>
      <c r="L70">
        <v>912</v>
      </c>
      <c r="M70">
        <v>348</v>
      </c>
      <c r="N70">
        <v>206</v>
      </c>
      <c r="O70">
        <v>96</v>
      </c>
      <c r="P70">
        <v>399</v>
      </c>
      <c r="Q70">
        <v>537</v>
      </c>
      <c r="R70">
        <v>69</v>
      </c>
    </row>
    <row r="71" spans="1:18">
      <c r="A71" s="1" t="s">
        <v>71</v>
      </c>
      <c r="B71">
        <v>36</v>
      </c>
      <c r="C71">
        <v>29</v>
      </c>
      <c r="D71">
        <v>7</v>
      </c>
      <c r="E71">
        <v>1.66</v>
      </c>
      <c r="F71">
        <v>2803</v>
      </c>
      <c r="G71">
        <v>1032</v>
      </c>
      <c r="H71">
        <v>2199</v>
      </c>
      <c r="I71">
        <v>411</v>
      </c>
      <c r="J71">
        <v>573</v>
      </c>
      <c r="K71">
        <v>417</v>
      </c>
      <c r="L71">
        <v>1302</v>
      </c>
      <c r="M71">
        <v>615</v>
      </c>
      <c r="N71">
        <v>290</v>
      </c>
      <c r="O71">
        <v>114</v>
      </c>
      <c r="P71">
        <v>426</v>
      </c>
      <c r="Q71">
        <v>654</v>
      </c>
      <c r="R71">
        <v>70</v>
      </c>
    </row>
    <row r="72" spans="1:18">
      <c r="A72" s="1" t="s">
        <v>276</v>
      </c>
      <c r="B72">
        <v>34</v>
      </c>
      <c r="C72">
        <v>23</v>
      </c>
      <c r="D72">
        <v>11</v>
      </c>
      <c r="E72">
        <v>4.0599999999999996</v>
      </c>
      <c r="F72">
        <v>2317</v>
      </c>
      <c r="G72">
        <v>820</v>
      </c>
      <c r="H72">
        <v>1749</v>
      </c>
      <c r="I72">
        <v>474</v>
      </c>
      <c r="J72">
        <v>740</v>
      </c>
      <c r="K72">
        <v>382</v>
      </c>
      <c r="L72">
        <v>1174</v>
      </c>
      <c r="M72">
        <v>394</v>
      </c>
      <c r="N72">
        <v>167</v>
      </c>
      <c r="O72">
        <v>88</v>
      </c>
      <c r="P72">
        <v>445</v>
      </c>
      <c r="Q72">
        <v>612</v>
      </c>
      <c r="R72">
        <v>71</v>
      </c>
    </row>
    <row r="73" spans="1:18">
      <c r="A73" s="1" t="s">
        <v>72</v>
      </c>
      <c r="B73">
        <v>30</v>
      </c>
      <c r="C73">
        <v>14</v>
      </c>
      <c r="D73">
        <v>16</v>
      </c>
      <c r="E73">
        <v>-6.88</v>
      </c>
      <c r="F73">
        <v>1769</v>
      </c>
      <c r="G73">
        <v>642</v>
      </c>
      <c r="H73">
        <v>1519</v>
      </c>
      <c r="I73">
        <v>285</v>
      </c>
      <c r="J73">
        <v>399</v>
      </c>
      <c r="K73">
        <v>301</v>
      </c>
      <c r="L73">
        <v>814</v>
      </c>
      <c r="M73">
        <v>340</v>
      </c>
      <c r="N73">
        <v>153</v>
      </c>
      <c r="O73">
        <v>52</v>
      </c>
      <c r="P73">
        <v>338</v>
      </c>
      <c r="Q73">
        <v>471</v>
      </c>
      <c r="R73">
        <v>72</v>
      </c>
    </row>
    <row r="74" spans="1:18">
      <c r="A74" s="1" t="s">
        <v>73</v>
      </c>
      <c r="B74">
        <v>31</v>
      </c>
      <c r="C74">
        <v>14</v>
      </c>
      <c r="D74">
        <v>17</v>
      </c>
      <c r="E74">
        <v>-2.4300000000000002</v>
      </c>
      <c r="F74">
        <v>1956</v>
      </c>
      <c r="G74">
        <v>661</v>
      </c>
      <c r="H74">
        <v>1633</v>
      </c>
      <c r="I74">
        <v>451</v>
      </c>
      <c r="J74">
        <v>657</v>
      </c>
      <c r="K74">
        <v>298</v>
      </c>
      <c r="L74">
        <v>967</v>
      </c>
      <c r="M74">
        <v>369</v>
      </c>
      <c r="N74">
        <v>207</v>
      </c>
      <c r="O74">
        <v>93</v>
      </c>
      <c r="P74">
        <v>431</v>
      </c>
      <c r="Q74">
        <v>579</v>
      </c>
      <c r="R74">
        <v>73</v>
      </c>
    </row>
    <row r="75" spans="1:18">
      <c r="A75" s="1" t="s">
        <v>74</v>
      </c>
      <c r="B75">
        <v>30</v>
      </c>
      <c r="C75">
        <v>11</v>
      </c>
      <c r="D75">
        <v>19</v>
      </c>
      <c r="E75">
        <v>-2.2200000000000002</v>
      </c>
      <c r="F75">
        <v>1698</v>
      </c>
      <c r="G75">
        <v>568</v>
      </c>
      <c r="H75">
        <v>1229</v>
      </c>
      <c r="I75">
        <v>373</v>
      </c>
      <c r="J75">
        <v>489</v>
      </c>
      <c r="K75">
        <v>164</v>
      </c>
      <c r="L75">
        <v>719</v>
      </c>
      <c r="M75">
        <v>378</v>
      </c>
      <c r="N75">
        <v>190</v>
      </c>
      <c r="O75">
        <v>102</v>
      </c>
      <c r="P75">
        <v>441</v>
      </c>
      <c r="Q75">
        <v>533</v>
      </c>
      <c r="R75">
        <v>74</v>
      </c>
    </row>
    <row r="76" spans="1:18">
      <c r="A76" s="1" t="s">
        <v>277</v>
      </c>
      <c r="B76">
        <v>30</v>
      </c>
      <c r="C76">
        <v>11</v>
      </c>
      <c r="D76">
        <v>19</v>
      </c>
      <c r="E76">
        <v>8.73</v>
      </c>
      <c r="F76">
        <v>2177</v>
      </c>
      <c r="G76">
        <v>791</v>
      </c>
      <c r="H76">
        <v>1827</v>
      </c>
      <c r="I76">
        <v>364</v>
      </c>
      <c r="J76">
        <v>562</v>
      </c>
      <c r="K76">
        <v>381</v>
      </c>
      <c r="L76">
        <v>1038</v>
      </c>
      <c r="M76">
        <v>416</v>
      </c>
      <c r="N76">
        <v>221</v>
      </c>
      <c r="O76">
        <v>85</v>
      </c>
      <c r="P76">
        <v>361</v>
      </c>
      <c r="Q76">
        <v>458</v>
      </c>
      <c r="R76">
        <v>75</v>
      </c>
    </row>
    <row r="77" spans="1:18">
      <c r="A77" s="1" t="s">
        <v>75</v>
      </c>
      <c r="B77">
        <v>30</v>
      </c>
      <c r="C77">
        <v>7</v>
      </c>
      <c r="D77">
        <v>23</v>
      </c>
      <c r="E77">
        <v>1</v>
      </c>
      <c r="F77">
        <v>1765</v>
      </c>
      <c r="G77">
        <v>642</v>
      </c>
      <c r="H77">
        <v>1536</v>
      </c>
      <c r="I77">
        <v>266</v>
      </c>
      <c r="J77">
        <v>397</v>
      </c>
      <c r="K77">
        <v>284</v>
      </c>
      <c r="L77">
        <v>875</v>
      </c>
      <c r="M77">
        <v>343</v>
      </c>
      <c r="N77">
        <v>185</v>
      </c>
      <c r="O77">
        <v>73</v>
      </c>
      <c r="P77">
        <v>379</v>
      </c>
      <c r="Q77">
        <v>550</v>
      </c>
      <c r="R77">
        <v>76</v>
      </c>
    </row>
    <row r="78" spans="1:18">
      <c r="A78" s="1" t="s">
        <v>76</v>
      </c>
      <c r="B78">
        <v>33</v>
      </c>
      <c r="C78">
        <v>28</v>
      </c>
      <c r="D78">
        <v>5</v>
      </c>
      <c r="E78">
        <v>4.1500000000000004</v>
      </c>
      <c r="F78">
        <v>2440</v>
      </c>
      <c r="G78">
        <v>816</v>
      </c>
      <c r="H78">
        <v>1829</v>
      </c>
      <c r="I78">
        <v>498</v>
      </c>
      <c r="J78">
        <v>656</v>
      </c>
      <c r="K78">
        <v>399</v>
      </c>
      <c r="L78">
        <v>1128</v>
      </c>
      <c r="M78">
        <v>485</v>
      </c>
      <c r="N78">
        <v>252</v>
      </c>
      <c r="O78">
        <v>85</v>
      </c>
      <c r="P78">
        <v>390</v>
      </c>
      <c r="Q78">
        <v>492</v>
      </c>
      <c r="R78">
        <v>77</v>
      </c>
    </row>
    <row r="79" spans="1:18">
      <c r="A79" s="1" t="s">
        <v>77</v>
      </c>
      <c r="B79">
        <v>32</v>
      </c>
      <c r="C79">
        <v>12</v>
      </c>
      <c r="D79">
        <v>20</v>
      </c>
      <c r="E79">
        <v>-1.85</v>
      </c>
      <c r="F79">
        <v>1904</v>
      </c>
      <c r="G79">
        <v>674</v>
      </c>
      <c r="H79">
        <v>1659</v>
      </c>
      <c r="I79">
        <v>391</v>
      </c>
      <c r="J79">
        <v>622</v>
      </c>
      <c r="K79">
        <v>312</v>
      </c>
      <c r="L79">
        <v>1063</v>
      </c>
      <c r="M79">
        <v>412</v>
      </c>
      <c r="N79">
        <v>223</v>
      </c>
      <c r="O79">
        <v>104</v>
      </c>
      <c r="P79">
        <v>504</v>
      </c>
      <c r="Q79">
        <v>598</v>
      </c>
      <c r="R79">
        <v>78</v>
      </c>
    </row>
    <row r="80" spans="1:18">
      <c r="A80" s="1" t="s">
        <v>373</v>
      </c>
      <c r="B80">
        <v>34</v>
      </c>
      <c r="C80">
        <v>28</v>
      </c>
      <c r="D80">
        <v>6</v>
      </c>
      <c r="E80">
        <v>9.2799999999999994</v>
      </c>
      <c r="F80">
        <v>2830</v>
      </c>
      <c r="G80">
        <v>964</v>
      </c>
      <c r="H80">
        <v>2084</v>
      </c>
      <c r="I80">
        <v>594</v>
      </c>
      <c r="J80">
        <v>852</v>
      </c>
      <c r="K80">
        <v>426</v>
      </c>
      <c r="L80">
        <v>1255</v>
      </c>
      <c r="M80">
        <v>497</v>
      </c>
      <c r="N80">
        <v>295</v>
      </c>
      <c r="O80">
        <v>133</v>
      </c>
      <c r="P80">
        <v>462</v>
      </c>
      <c r="Q80">
        <v>654</v>
      </c>
      <c r="R80">
        <v>79</v>
      </c>
    </row>
    <row r="81" spans="1:18">
      <c r="A81" s="1" t="s">
        <v>78</v>
      </c>
      <c r="B81">
        <v>30</v>
      </c>
      <c r="C81">
        <v>17</v>
      </c>
      <c r="D81">
        <v>13</v>
      </c>
      <c r="E81">
        <v>1.85</v>
      </c>
      <c r="F81">
        <v>2470</v>
      </c>
      <c r="G81">
        <v>856</v>
      </c>
      <c r="H81">
        <v>1863</v>
      </c>
      <c r="I81">
        <v>543</v>
      </c>
      <c r="J81">
        <v>737</v>
      </c>
      <c r="K81">
        <v>410</v>
      </c>
      <c r="L81">
        <v>1147</v>
      </c>
      <c r="M81">
        <v>542</v>
      </c>
      <c r="N81">
        <v>282</v>
      </c>
      <c r="O81">
        <v>220</v>
      </c>
      <c r="P81">
        <v>487</v>
      </c>
      <c r="Q81">
        <v>599</v>
      </c>
      <c r="R81">
        <v>80</v>
      </c>
    </row>
    <row r="82" spans="1:18">
      <c r="A82" s="1" t="s">
        <v>79</v>
      </c>
      <c r="B82">
        <v>30</v>
      </c>
      <c r="C82">
        <v>11</v>
      </c>
      <c r="D82">
        <v>19</v>
      </c>
      <c r="E82">
        <v>2.84</v>
      </c>
      <c r="F82">
        <v>2049</v>
      </c>
      <c r="G82">
        <v>678</v>
      </c>
      <c r="H82">
        <v>1631</v>
      </c>
      <c r="I82">
        <v>461</v>
      </c>
      <c r="J82">
        <v>664</v>
      </c>
      <c r="K82">
        <v>346</v>
      </c>
      <c r="L82">
        <v>983</v>
      </c>
      <c r="M82">
        <v>427</v>
      </c>
      <c r="N82">
        <v>200</v>
      </c>
      <c r="O82">
        <v>117</v>
      </c>
      <c r="P82">
        <v>430</v>
      </c>
      <c r="Q82">
        <v>603</v>
      </c>
      <c r="R82">
        <v>81</v>
      </c>
    </row>
    <row r="83" spans="1:18">
      <c r="A83" s="1" t="s">
        <v>80</v>
      </c>
      <c r="B83">
        <v>32</v>
      </c>
      <c r="C83">
        <v>19</v>
      </c>
      <c r="D83">
        <v>13</v>
      </c>
      <c r="E83">
        <v>-1.89</v>
      </c>
      <c r="F83">
        <v>2514</v>
      </c>
      <c r="G83">
        <v>888</v>
      </c>
      <c r="H83">
        <v>1951</v>
      </c>
      <c r="I83">
        <v>508</v>
      </c>
      <c r="J83">
        <v>705</v>
      </c>
      <c r="K83">
        <v>395</v>
      </c>
      <c r="L83">
        <v>1191</v>
      </c>
      <c r="M83">
        <v>419</v>
      </c>
      <c r="N83">
        <v>285</v>
      </c>
      <c r="O83">
        <v>101</v>
      </c>
      <c r="P83">
        <v>524</v>
      </c>
      <c r="Q83">
        <v>671</v>
      </c>
      <c r="R83">
        <v>82</v>
      </c>
    </row>
    <row r="84" spans="1:18">
      <c r="A84" s="1" t="s">
        <v>81</v>
      </c>
      <c r="B84">
        <v>29</v>
      </c>
      <c r="C84">
        <v>7</v>
      </c>
      <c r="D84">
        <v>22</v>
      </c>
      <c r="E84">
        <v>-7.97</v>
      </c>
      <c r="F84">
        <v>1833</v>
      </c>
      <c r="G84">
        <v>660</v>
      </c>
      <c r="H84">
        <v>1503</v>
      </c>
      <c r="I84">
        <v>358</v>
      </c>
      <c r="J84">
        <v>486</v>
      </c>
      <c r="K84">
        <v>302</v>
      </c>
      <c r="L84">
        <v>941</v>
      </c>
      <c r="M84">
        <v>394</v>
      </c>
      <c r="N84">
        <v>141</v>
      </c>
      <c r="O84">
        <v>60</v>
      </c>
      <c r="P84">
        <v>414</v>
      </c>
      <c r="Q84">
        <v>548</v>
      </c>
      <c r="R84">
        <v>83</v>
      </c>
    </row>
    <row r="85" spans="1:18">
      <c r="A85" s="1" t="s">
        <v>82</v>
      </c>
      <c r="B85">
        <v>30</v>
      </c>
      <c r="C85">
        <v>14</v>
      </c>
      <c r="D85">
        <v>16</v>
      </c>
      <c r="E85">
        <v>-6.34</v>
      </c>
      <c r="F85">
        <v>1890</v>
      </c>
      <c r="G85">
        <v>674</v>
      </c>
      <c r="H85">
        <v>1530</v>
      </c>
      <c r="I85">
        <v>284</v>
      </c>
      <c r="J85">
        <v>395</v>
      </c>
      <c r="K85">
        <v>228</v>
      </c>
      <c r="L85">
        <v>817</v>
      </c>
      <c r="M85">
        <v>432</v>
      </c>
      <c r="N85">
        <v>215</v>
      </c>
      <c r="O85">
        <v>70</v>
      </c>
      <c r="P85">
        <v>388</v>
      </c>
      <c r="Q85">
        <v>475</v>
      </c>
      <c r="R85">
        <v>84</v>
      </c>
    </row>
    <row r="86" spans="1:18">
      <c r="A86" s="1" t="s">
        <v>83</v>
      </c>
      <c r="B86">
        <v>31</v>
      </c>
      <c r="C86">
        <v>14</v>
      </c>
      <c r="D86">
        <v>17</v>
      </c>
      <c r="E86">
        <v>-1.82</v>
      </c>
      <c r="F86">
        <v>2054</v>
      </c>
      <c r="G86">
        <v>666</v>
      </c>
      <c r="H86">
        <v>1580</v>
      </c>
      <c r="I86">
        <v>465</v>
      </c>
      <c r="J86">
        <v>638</v>
      </c>
      <c r="K86">
        <v>349</v>
      </c>
      <c r="L86">
        <v>1017</v>
      </c>
      <c r="M86">
        <v>396</v>
      </c>
      <c r="N86">
        <v>184</v>
      </c>
      <c r="O86">
        <v>72</v>
      </c>
      <c r="P86">
        <v>461</v>
      </c>
      <c r="Q86">
        <v>583</v>
      </c>
      <c r="R86">
        <v>85</v>
      </c>
    </row>
    <row r="87" spans="1:18">
      <c r="A87" s="1" t="s">
        <v>84</v>
      </c>
      <c r="B87">
        <v>30</v>
      </c>
      <c r="C87">
        <v>11</v>
      </c>
      <c r="D87">
        <v>19</v>
      </c>
      <c r="E87">
        <v>-2.06</v>
      </c>
      <c r="F87">
        <v>1897</v>
      </c>
      <c r="G87">
        <v>652</v>
      </c>
      <c r="H87">
        <v>1604</v>
      </c>
      <c r="I87">
        <v>370</v>
      </c>
      <c r="J87">
        <v>516</v>
      </c>
      <c r="K87">
        <v>288</v>
      </c>
      <c r="L87">
        <v>914</v>
      </c>
      <c r="M87">
        <v>344</v>
      </c>
      <c r="N87">
        <v>202</v>
      </c>
      <c r="O87">
        <v>51</v>
      </c>
      <c r="P87">
        <v>409</v>
      </c>
      <c r="Q87">
        <v>558</v>
      </c>
      <c r="R87">
        <v>86</v>
      </c>
    </row>
    <row r="88" spans="1:18">
      <c r="A88" s="1" t="s">
        <v>85</v>
      </c>
      <c r="B88">
        <v>33</v>
      </c>
      <c r="C88">
        <v>14</v>
      </c>
      <c r="D88">
        <v>19</v>
      </c>
      <c r="E88">
        <v>-1.91</v>
      </c>
      <c r="F88">
        <v>2074</v>
      </c>
      <c r="G88">
        <v>773</v>
      </c>
      <c r="H88">
        <v>1810</v>
      </c>
      <c r="I88">
        <v>347</v>
      </c>
      <c r="J88">
        <v>508</v>
      </c>
      <c r="K88">
        <v>349</v>
      </c>
      <c r="L88">
        <v>1091</v>
      </c>
      <c r="M88">
        <v>387</v>
      </c>
      <c r="N88">
        <v>219</v>
      </c>
      <c r="O88">
        <v>86</v>
      </c>
      <c r="P88">
        <v>444</v>
      </c>
      <c r="Q88">
        <v>625</v>
      </c>
      <c r="R88">
        <v>87</v>
      </c>
    </row>
    <row r="89" spans="1:18">
      <c r="A89" s="1" t="s">
        <v>86</v>
      </c>
      <c r="B89">
        <v>30</v>
      </c>
      <c r="C89">
        <v>9</v>
      </c>
      <c r="D89">
        <v>21</v>
      </c>
      <c r="E89">
        <v>2.0699999999999998</v>
      </c>
      <c r="F89">
        <v>1785</v>
      </c>
      <c r="G89">
        <v>623</v>
      </c>
      <c r="H89">
        <v>1487</v>
      </c>
      <c r="I89">
        <v>386</v>
      </c>
      <c r="J89">
        <v>561</v>
      </c>
      <c r="K89">
        <v>276</v>
      </c>
      <c r="L89">
        <v>893</v>
      </c>
      <c r="M89">
        <v>364</v>
      </c>
      <c r="N89">
        <v>138</v>
      </c>
      <c r="O89">
        <v>30</v>
      </c>
      <c r="P89">
        <v>416</v>
      </c>
      <c r="Q89">
        <v>590</v>
      </c>
      <c r="R89">
        <v>88</v>
      </c>
    </row>
    <row r="90" spans="1:18">
      <c r="A90" s="1" t="s">
        <v>87</v>
      </c>
      <c r="B90">
        <v>30</v>
      </c>
      <c r="C90">
        <v>14</v>
      </c>
      <c r="D90">
        <v>16</v>
      </c>
      <c r="E90">
        <v>-2.5099999999999998</v>
      </c>
      <c r="F90">
        <v>1972</v>
      </c>
      <c r="G90">
        <v>674</v>
      </c>
      <c r="H90">
        <v>1557</v>
      </c>
      <c r="I90">
        <v>418</v>
      </c>
      <c r="J90">
        <v>600</v>
      </c>
      <c r="K90">
        <v>355</v>
      </c>
      <c r="L90">
        <v>986</v>
      </c>
      <c r="M90">
        <v>424</v>
      </c>
      <c r="N90">
        <v>198</v>
      </c>
      <c r="O90">
        <v>97</v>
      </c>
      <c r="P90">
        <v>420</v>
      </c>
      <c r="Q90">
        <v>548</v>
      </c>
      <c r="R90">
        <v>89</v>
      </c>
    </row>
    <row r="91" spans="1:18">
      <c r="A91" s="1" t="s">
        <v>88</v>
      </c>
      <c r="B91">
        <v>28</v>
      </c>
      <c r="C91">
        <v>8</v>
      </c>
      <c r="D91">
        <v>20</v>
      </c>
      <c r="E91">
        <v>-5.12</v>
      </c>
      <c r="F91">
        <v>1961</v>
      </c>
      <c r="G91">
        <v>659</v>
      </c>
      <c r="H91">
        <v>1573</v>
      </c>
      <c r="I91">
        <v>417</v>
      </c>
      <c r="J91">
        <v>585</v>
      </c>
      <c r="K91">
        <v>278</v>
      </c>
      <c r="L91">
        <v>916</v>
      </c>
      <c r="M91">
        <v>327</v>
      </c>
      <c r="N91">
        <v>139</v>
      </c>
      <c r="O91">
        <v>83</v>
      </c>
      <c r="P91">
        <v>394</v>
      </c>
      <c r="Q91">
        <v>455</v>
      </c>
      <c r="R91">
        <v>90</v>
      </c>
    </row>
    <row r="92" spans="1:18">
      <c r="A92" s="1" t="s">
        <v>89</v>
      </c>
      <c r="B92">
        <v>32</v>
      </c>
      <c r="C92">
        <v>15</v>
      </c>
      <c r="D92">
        <v>17</v>
      </c>
      <c r="E92">
        <v>-7.18</v>
      </c>
      <c r="F92">
        <v>2065</v>
      </c>
      <c r="G92">
        <v>741</v>
      </c>
      <c r="H92">
        <v>1801</v>
      </c>
      <c r="I92">
        <v>356</v>
      </c>
      <c r="J92">
        <v>569</v>
      </c>
      <c r="L92">
        <v>1053</v>
      </c>
      <c r="M92">
        <v>401</v>
      </c>
      <c r="N92">
        <v>216</v>
      </c>
      <c r="O92">
        <v>64</v>
      </c>
      <c r="P92">
        <v>490</v>
      </c>
      <c r="Q92">
        <v>556</v>
      </c>
      <c r="R92">
        <v>91</v>
      </c>
    </row>
    <row r="93" spans="1:18">
      <c r="A93" s="1" t="s">
        <v>90</v>
      </c>
      <c r="B93">
        <v>33</v>
      </c>
      <c r="C93">
        <v>15</v>
      </c>
      <c r="D93">
        <v>18</v>
      </c>
      <c r="E93">
        <v>-2.38</v>
      </c>
      <c r="F93">
        <v>2365</v>
      </c>
      <c r="G93">
        <v>778</v>
      </c>
      <c r="H93">
        <v>1711</v>
      </c>
      <c r="I93">
        <v>615</v>
      </c>
      <c r="J93">
        <v>913</v>
      </c>
      <c r="K93">
        <v>337</v>
      </c>
      <c r="L93">
        <v>1146</v>
      </c>
      <c r="M93">
        <v>415</v>
      </c>
      <c r="N93">
        <v>197</v>
      </c>
      <c r="O93">
        <v>74</v>
      </c>
      <c r="P93">
        <v>535</v>
      </c>
      <c r="Q93">
        <v>698</v>
      </c>
      <c r="R93">
        <v>92</v>
      </c>
    </row>
    <row r="94" spans="1:18">
      <c r="A94" s="1" t="s">
        <v>346</v>
      </c>
      <c r="B94">
        <v>31</v>
      </c>
      <c r="C94">
        <v>10</v>
      </c>
      <c r="D94">
        <v>21</v>
      </c>
      <c r="F94">
        <v>2045</v>
      </c>
      <c r="G94">
        <v>723</v>
      </c>
      <c r="H94">
        <v>1742</v>
      </c>
      <c r="I94">
        <v>385</v>
      </c>
      <c r="J94">
        <v>596</v>
      </c>
      <c r="K94">
        <v>398</v>
      </c>
      <c r="L94">
        <v>1073</v>
      </c>
      <c r="M94">
        <v>423</v>
      </c>
      <c r="N94">
        <v>274</v>
      </c>
      <c r="O94">
        <v>93</v>
      </c>
      <c r="P94">
        <v>565</v>
      </c>
      <c r="Q94">
        <v>578</v>
      </c>
      <c r="R94">
        <v>93</v>
      </c>
    </row>
    <row r="95" spans="1:18">
      <c r="A95" s="1" t="s">
        <v>91</v>
      </c>
      <c r="B95">
        <v>29</v>
      </c>
      <c r="C95">
        <v>9</v>
      </c>
      <c r="D95">
        <v>20</v>
      </c>
      <c r="E95">
        <v>0.22</v>
      </c>
      <c r="F95">
        <v>1855</v>
      </c>
      <c r="G95">
        <v>662</v>
      </c>
      <c r="H95">
        <v>1499</v>
      </c>
      <c r="I95">
        <v>401</v>
      </c>
      <c r="J95">
        <v>609</v>
      </c>
      <c r="K95">
        <v>311</v>
      </c>
      <c r="L95">
        <v>993</v>
      </c>
      <c r="M95">
        <v>362</v>
      </c>
      <c r="N95">
        <v>177</v>
      </c>
      <c r="O95">
        <v>111</v>
      </c>
      <c r="P95">
        <v>536</v>
      </c>
      <c r="Q95">
        <v>615</v>
      </c>
      <c r="R95">
        <v>94</v>
      </c>
    </row>
    <row r="96" spans="1:18">
      <c r="A96" s="1" t="s">
        <v>92</v>
      </c>
      <c r="B96">
        <v>34</v>
      </c>
      <c r="C96">
        <v>19</v>
      </c>
      <c r="D96">
        <v>15</v>
      </c>
      <c r="E96">
        <v>7.31</v>
      </c>
      <c r="F96">
        <v>2451</v>
      </c>
      <c r="G96">
        <v>844</v>
      </c>
      <c r="H96">
        <v>1905</v>
      </c>
      <c r="I96">
        <v>529</v>
      </c>
      <c r="J96">
        <v>684</v>
      </c>
      <c r="K96">
        <v>373</v>
      </c>
      <c r="L96">
        <v>1151</v>
      </c>
      <c r="M96">
        <v>375</v>
      </c>
      <c r="N96">
        <v>290</v>
      </c>
      <c r="O96">
        <v>130</v>
      </c>
      <c r="P96">
        <v>519</v>
      </c>
      <c r="Q96">
        <v>641</v>
      </c>
      <c r="R96">
        <v>95</v>
      </c>
    </row>
    <row r="97" spans="1:18">
      <c r="A97" s="1" t="s">
        <v>347</v>
      </c>
      <c r="B97">
        <v>36</v>
      </c>
      <c r="C97">
        <v>24</v>
      </c>
      <c r="D97">
        <v>12</v>
      </c>
      <c r="E97">
        <v>4.9800000000000004</v>
      </c>
      <c r="F97">
        <v>2791</v>
      </c>
      <c r="G97">
        <v>1029</v>
      </c>
      <c r="H97">
        <v>2108</v>
      </c>
      <c r="I97">
        <v>461</v>
      </c>
      <c r="J97">
        <v>658</v>
      </c>
      <c r="K97">
        <v>427</v>
      </c>
      <c r="L97">
        <v>1297</v>
      </c>
      <c r="M97">
        <v>629</v>
      </c>
      <c r="N97">
        <v>223</v>
      </c>
      <c r="O97">
        <v>111</v>
      </c>
      <c r="P97">
        <v>453</v>
      </c>
      <c r="Q97">
        <v>583</v>
      </c>
      <c r="R97">
        <v>96</v>
      </c>
    </row>
    <row r="98" spans="1:18">
      <c r="A98" s="1" t="s">
        <v>93</v>
      </c>
      <c r="B98">
        <v>29</v>
      </c>
      <c r="C98">
        <v>12</v>
      </c>
      <c r="D98">
        <v>17</v>
      </c>
      <c r="E98">
        <v>4.32</v>
      </c>
      <c r="F98">
        <v>1880</v>
      </c>
      <c r="G98">
        <v>650</v>
      </c>
      <c r="H98">
        <v>1538</v>
      </c>
      <c r="I98">
        <v>382</v>
      </c>
      <c r="J98">
        <v>571</v>
      </c>
      <c r="K98">
        <v>311</v>
      </c>
      <c r="L98">
        <v>925</v>
      </c>
      <c r="M98">
        <v>382</v>
      </c>
      <c r="N98">
        <v>183</v>
      </c>
      <c r="O98">
        <v>102</v>
      </c>
      <c r="P98">
        <v>381</v>
      </c>
      <c r="Q98">
        <v>523</v>
      </c>
      <c r="R98">
        <v>97</v>
      </c>
    </row>
    <row r="99" spans="1:18">
      <c r="A99" s="1" t="s">
        <v>306</v>
      </c>
      <c r="B99">
        <v>32</v>
      </c>
      <c r="C99">
        <v>13</v>
      </c>
      <c r="D99">
        <v>19</v>
      </c>
      <c r="E99">
        <v>-0.91</v>
      </c>
      <c r="F99">
        <v>2200</v>
      </c>
      <c r="G99">
        <v>778</v>
      </c>
      <c r="H99">
        <v>1871</v>
      </c>
      <c r="I99">
        <v>379</v>
      </c>
      <c r="J99">
        <v>545</v>
      </c>
      <c r="K99">
        <v>275</v>
      </c>
      <c r="L99">
        <v>1079</v>
      </c>
      <c r="M99">
        <v>396</v>
      </c>
      <c r="N99">
        <v>190</v>
      </c>
      <c r="O99">
        <v>104</v>
      </c>
      <c r="P99">
        <v>379</v>
      </c>
      <c r="Q99">
        <v>508</v>
      </c>
      <c r="R99">
        <v>98</v>
      </c>
    </row>
    <row r="100" spans="1:18">
      <c r="A100" s="1" t="s">
        <v>94</v>
      </c>
      <c r="B100">
        <v>30</v>
      </c>
      <c r="C100">
        <v>7</v>
      </c>
      <c r="D100">
        <v>23</v>
      </c>
      <c r="E100">
        <v>-2.39</v>
      </c>
      <c r="F100">
        <v>1837</v>
      </c>
      <c r="G100">
        <v>640</v>
      </c>
      <c r="H100">
        <v>1591</v>
      </c>
      <c r="I100">
        <v>332</v>
      </c>
      <c r="J100">
        <v>468</v>
      </c>
      <c r="K100">
        <v>265</v>
      </c>
      <c r="L100">
        <v>938</v>
      </c>
      <c r="M100">
        <v>360</v>
      </c>
      <c r="N100">
        <v>173</v>
      </c>
      <c r="O100">
        <v>63</v>
      </c>
      <c r="P100">
        <v>433</v>
      </c>
      <c r="Q100">
        <v>496</v>
      </c>
      <c r="R100">
        <v>99</v>
      </c>
    </row>
    <row r="101" spans="1:18">
      <c r="A101" s="1" t="s">
        <v>318</v>
      </c>
      <c r="B101">
        <v>32</v>
      </c>
      <c r="C101">
        <v>16</v>
      </c>
      <c r="D101">
        <v>16</v>
      </c>
      <c r="E101">
        <v>-3.66</v>
      </c>
      <c r="F101">
        <v>2465</v>
      </c>
      <c r="G101">
        <v>865</v>
      </c>
      <c r="H101">
        <v>1956</v>
      </c>
      <c r="I101">
        <v>466</v>
      </c>
      <c r="J101">
        <v>706</v>
      </c>
      <c r="K101">
        <v>379</v>
      </c>
      <c r="L101">
        <v>1214</v>
      </c>
      <c r="M101">
        <v>542</v>
      </c>
      <c r="N101">
        <v>242</v>
      </c>
      <c r="O101">
        <v>91</v>
      </c>
      <c r="P101">
        <v>495</v>
      </c>
      <c r="Q101">
        <v>734</v>
      </c>
      <c r="R101">
        <v>100</v>
      </c>
    </row>
    <row r="102" spans="1:18">
      <c r="A102" s="1" t="s">
        <v>95</v>
      </c>
      <c r="B102">
        <v>34</v>
      </c>
      <c r="C102">
        <v>23</v>
      </c>
      <c r="D102">
        <v>11</v>
      </c>
      <c r="E102">
        <v>-0.75</v>
      </c>
      <c r="F102">
        <v>2356</v>
      </c>
      <c r="G102">
        <v>827</v>
      </c>
      <c r="H102">
        <v>1778</v>
      </c>
      <c r="I102">
        <v>497</v>
      </c>
      <c r="J102">
        <v>707</v>
      </c>
      <c r="K102">
        <v>340</v>
      </c>
      <c r="L102">
        <v>1170</v>
      </c>
      <c r="M102">
        <v>445</v>
      </c>
      <c r="N102">
        <v>189</v>
      </c>
      <c r="O102">
        <v>108</v>
      </c>
      <c r="P102">
        <v>406</v>
      </c>
      <c r="Q102">
        <v>525</v>
      </c>
      <c r="R102">
        <v>101</v>
      </c>
    </row>
    <row r="103" spans="1:18">
      <c r="A103" s="1" t="s">
        <v>96</v>
      </c>
      <c r="B103">
        <v>26</v>
      </c>
      <c r="C103">
        <v>9</v>
      </c>
      <c r="D103">
        <v>17</v>
      </c>
      <c r="E103">
        <v>3.15</v>
      </c>
      <c r="F103">
        <v>1649</v>
      </c>
      <c r="G103">
        <v>588</v>
      </c>
      <c r="H103">
        <v>1425</v>
      </c>
      <c r="I103">
        <v>304</v>
      </c>
      <c r="J103">
        <v>443</v>
      </c>
      <c r="K103">
        <v>322</v>
      </c>
      <c r="L103">
        <v>928</v>
      </c>
      <c r="M103">
        <v>321</v>
      </c>
      <c r="N103">
        <v>166</v>
      </c>
      <c r="O103">
        <v>87</v>
      </c>
      <c r="P103">
        <v>389</v>
      </c>
      <c r="Q103">
        <v>485</v>
      </c>
      <c r="R103">
        <v>102</v>
      </c>
    </row>
    <row r="104" spans="1:18">
      <c r="A104" s="1" t="s">
        <v>97</v>
      </c>
      <c r="B104">
        <v>34</v>
      </c>
      <c r="C104">
        <v>28</v>
      </c>
      <c r="D104">
        <v>6</v>
      </c>
      <c r="E104">
        <v>7.23</v>
      </c>
      <c r="F104">
        <v>2367</v>
      </c>
      <c r="G104">
        <v>855</v>
      </c>
      <c r="H104">
        <v>1744</v>
      </c>
      <c r="I104">
        <v>388</v>
      </c>
      <c r="J104">
        <v>593</v>
      </c>
      <c r="K104">
        <v>335</v>
      </c>
      <c r="L104">
        <v>1190</v>
      </c>
      <c r="M104">
        <v>527</v>
      </c>
      <c r="N104">
        <v>236</v>
      </c>
      <c r="O104">
        <v>163</v>
      </c>
      <c r="P104">
        <v>458</v>
      </c>
      <c r="Q104">
        <v>600</v>
      </c>
      <c r="R104">
        <v>103</v>
      </c>
    </row>
    <row r="105" spans="1:18">
      <c r="A105" s="1" t="s">
        <v>98</v>
      </c>
      <c r="B105">
        <v>32</v>
      </c>
      <c r="C105">
        <v>20</v>
      </c>
      <c r="D105">
        <v>12</v>
      </c>
      <c r="E105">
        <v>-2.17</v>
      </c>
      <c r="F105">
        <v>2400</v>
      </c>
      <c r="G105">
        <v>883</v>
      </c>
      <c r="H105">
        <v>1961</v>
      </c>
      <c r="I105">
        <v>444</v>
      </c>
      <c r="J105">
        <v>671</v>
      </c>
      <c r="K105">
        <v>452</v>
      </c>
      <c r="L105">
        <v>1207</v>
      </c>
      <c r="M105">
        <v>493</v>
      </c>
      <c r="N105">
        <v>290</v>
      </c>
      <c r="O105">
        <v>130</v>
      </c>
      <c r="P105">
        <v>462</v>
      </c>
      <c r="Q105">
        <v>636</v>
      </c>
      <c r="R105">
        <v>104</v>
      </c>
    </row>
    <row r="106" spans="1:18">
      <c r="A106" s="1" t="s">
        <v>99</v>
      </c>
      <c r="B106">
        <v>30</v>
      </c>
      <c r="C106">
        <v>9</v>
      </c>
      <c r="D106">
        <v>21</v>
      </c>
      <c r="E106">
        <v>-2.97</v>
      </c>
      <c r="F106">
        <v>1847</v>
      </c>
      <c r="G106">
        <v>670</v>
      </c>
      <c r="H106">
        <v>1586</v>
      </c>
      <c r="I106">
        <v>329</v>
      </c>
      <c r="J106">
        <v>512</v>
      </c>
      <c r="K106">
        <v>363</v>
      </c>
      <c r="L106">
        <v>984</v>
      </c>
      <c r="M106">
        <v>315</v>
      </c>
      <c r="N106">
        <v>207</v>
      </c>
      <c r="O106">
        <v>68</v>
      </c>
      <c r="P106">
        <v>450</v>
      </c>
      <c r="Q106">
        <v>563</v>
      </c>
      <c r="R106">
        <v>105</v>
      </c>
    </row>
    <row r="107" spans="1:18">
      <c r="A107" s="1" t="s">
        <v>100</v>
      </c>
      <c r="B107">
        <v>32</v>
      </c>
      <c r="C107">
        <v>15</v>
      </c>
      <c r="D107">
        <v>17</v>
      </c>
      <c r="E107">
        <v>9.57</v>
      </c>
      <c r="F107">
        <v>2482</v>
      </c>
      <c r="G107">
        <v>883</v>
      </c>
      <c r="H107">
        <v>1873</v>
      </c>
      <c r="I107">
        <v>502</v>
      </c>
      <c r="J107">
        <v>716</v>
      </c>
      <c r="K107">
        <v>371</v>
      </c>
      <c r="L107">
        <v>1086</v>
      </c>
      <c r="M107">
        <v>480</v>
      </c>
      <c r="N107">
        <v>265</v>
      </c>
      <c r="O107">
        <v>112</v>
      </c>
      <c r="P107">
        <v>490</v>
      </c>
      <c r="Q107">
        <v>721</v>
      </c>
      <c r="R107">
        <v>106</v>
      </c>
    </row>
    <row r="108" spans="1:18">
      <c r="A108" s="1" t="s">
        <v>101</v>
      </c>
      <c r="B108">
        <v>34</v>
      </c>
      <c r="C108">
        <v>17</v>
      </c>
      <c r="D108">
        <v>17</v>
      </c>
      <c r="E108">
        <v>7.03</v>
      </c>
      <c r="F108">
        <v>2314</v>
      </c>
      <c r="G108">
        <v>840</v>
      </c>
      <c r="H108">
        <v>1956</v>
      </c>
      <c r="I108">
        <v>430</v>
      </c>
      <c r="J108">
        <v>633</v>
      </c>
      <c r="K108">
        <v>451</v>
      </c>
      <c r="L108">
        <v>1295</v>
      </c>
      <c r="M108">
        <v>396</v>
      </c>
      <c r="N108">
        <v>228</v>
      </c>
      <c r="O108">
        <v>116</v>
      </c>
      <c r="P108">
        <v>505</v>
      </c>
      <c r="Q108">
        <v>612</v>
      </c>
      <c r="R108">
        <v>107</v>
      </c>
    </row>
    <row r="109" spans="1:18">
      <c r="A109" s="1" t="s">
        <v>374</v>
      </c>
      <c r="B109">
        <v>33</v>
      </c>
      <c r="C109">
        <v>25</v>
      </c>
      <c r="D109">
        <v>8</v>
      </c>
      <c r="E109">
        <v>2.15</v>
      </c>
      <c r="F109">
        <v>2524</v>
      </c>
      <c r="G109">
        <v>892</v>
      </c>
      <c r="H109">
        <v>1838</v>
      </c>
      <c r="I109">
        <v>520</v>
      </c>
      <c r="J109">
        <v>730</v>
      </c>
      <c r="K109">
        <v>369</v>
      </c>
      <c r="L109">
        <v>1235</v>
      </c>
      <c r="M109">
        <v>479</v>
      </c>
      <c r="N109">
        <v>253</v>
      </c>
      <c r="O109">
        <v>153</v>
      </c>
      <c r="P109">
        <v>473</v>
      </c>
      <c r="Q109">
        <v>584</v>
      </c>
      <c r="R109">
        <v>108</v>
      </c>
    </row>
    <row r="110" spans="1:18">
      <c r="A110" s="1" t="s">
        <v>102</v>
      </c>
      <c r="B110">
        <v>26</v>
      </c>
      <c r="C110">
        <v>7</v>
      </c>
      <c r="D110">
        <v>19</v>
      </c>
      <c r="E110">
        <v>-12.41</v>
      </c>
      <c r="F110">
        <v>1733</v>
      </c>
      <c r="G110">
        <v>637</v>
      </c>
      <c r="H110">
        <v>1525</v>
      </c>
      <c r="I110">
        <v>317</v>
      </c>
      <c r="J110">
        <v>500</v>
      </c>
      <c r="K110">
        <v>334</v>
      </c>
      <c r="L110">
        <v>1009</v>
      </c>
      <c r="M110">
        <v>327</v>
      </c>
      <c r="N110">
        <v>115</v>
      </c>
      <c r="O110">
        <v>76</v>
      </c>
      <c r="P110">
        <v>457</v>
      </c>
      <c r="Q110">
        <v>540</v>
      </c>
      <c r="R110">
        <v>109</v>
      </c>
    </row>
    <row r="111" spans="1:18">
      <c r="A111" s="1" t="s">
        <v>103</v>
      </c>
      <c r="B111">
        <v>30</v>
      </c>
      <c r="C111">
        <v>15</v>
      </c>
      <c r="D111">
        <v>15</v>
      </c>
      <c r="E111">
        <v>1.53</v>
      </c>
      <c r="F111">
        <v>2071</v>
      </c>
      <c r="G111">
        <v>742</v>
      </c>
      <c r="H111">
        <v>1613</v>
      </c>
      <c r="I111">
        <v>423</v>
      </c>
      <c r="J111">
        <v>573</v>
      </c>
      <c r="K111">
        <v>300</v>
      </c>
      <c r="L111">
        <v>986</v>
      </c>
      <c r="M111">
        <v>353</v>
      </c>
      <c r="N111">
        <v>173</v>
      </c>
      <c r="O111">
        <v>95</v>
      </c>
      <c r="P111">
        <v>405</v>
      </c>
      <c r="Q111">
        <v>577</v>
      </c>
      <c r="R111">
        <v>110</v>
      </c>
    </row>
    <row r="112" spans="1:18">
      <c r="A112" s="1" t="s">
        <v>104</v>
      </c>
      <c r="B112">
        <v>30</v>
      </c>
      <c r="C112">
        <v>18</v>
      </c>
      <c r="D112">
        <v>12</v>
      </c>
      <c r="E112">
        <v>-8.0299999999999994</v>
      </c>
      <c r="F112">
        <v>1955</v>
      </c>
      <c r="G112">
        <v>664</v>
      </c>
      <c r="H112">
        <v>1630</v>
      </c>
      <c r="I112">
        <v>453</v>
      </c>
      <c r="J112">
        <v>754</v>
      </c>
      <c r="K112">
        <v>436</v>
      </c>
      <c r="L112">
        <v>1128</v>
      </c>
      <c r="M112">
        <v>332</v>
      </c>
      <c r="N112">
        <v>255</v>
      </c>
      <c r="O112">
        <v>120</v>
      </c>
      <c r="P112">
        <v>510</v>
      </c>
      <c r="Q112">
        <v>584</v>
      </c>
      <c r="R112">
        <v>111</v>
      </c>
    </row>
    <row r="113" spans="1:18">
      <c r="A113" s="1" t="s">
        <v>105</v>
      </c>
      <c r="B113">
        <v>34</v>
      </c>
      <c r="C113">
        <v>18</v>
      </c>
      <c r="D113">
        <v>16</v>
      </c>
      <c r="E113">
        <v>-5.28</v>
      </c>
      <c r="F113">
        <v>2407</v>
      </c>
      <c r="G113">
        <v>812</v>
      </c>
      <c r="H113">
        <v>1811</v>
      </c>
      <c r="I113">
        <v>471</v>
      </c>
      <c r="J113">
        <v>696</v>
      </c>
      <c r="K113">
        <v>295</v>
      </c>
      <c r="L113">
        <v>1048</v>
      </c>
      <c r="M113">
        <v>491</v>
      </c>
      <c r="N113">
        <v>250</v>
      </c>
      <c r="O113">
        <v>91</v>
      </c>
      <c r="P113">
        <v>507</v>
      </c>
      <c r="Q113">
        <v>657</v>
      </c>
      <c r="R113">
        <v>112</v>
      </c>
    </row>
    <row r="114" spans="1:18">
      <c r="A114" s="1" t="s">
        <v>106</v>
      </c>
      <c r="B114">
        <v>30</v>
      </c>
      <c r="C114">
        <v>8</v>
      </c>
      <c r="D114">
        <v>22</v>
      </c>
      <c r="E114">
        <v>-4.8600000000000003</v>
      </c>
      <c r="F114">
        <v>2056</v>
      </c>
      <c r="G114">
        <v>725</v>
      </c>
      <c r="H114">
        <v>1625</v>
      </c>
      <c r="I114">
        <v>441</v>
      </c>
      <c r="J114">
        <v>601</v>
      </c>
      <c r="K114">
        <v>310</v>
      </c>
      <c r="L114">
        <v>975</v>
      </c>
      <c r="M114">
        <v>397</v>
      </c>
      <c r="N114">
        <v>217</v>
      </c>
      <c r="O114">
        <v>92</v>
      </c>
      <c r="P114">
        <v>472</v>
      </c>
      <c r="Q114">
        <v>522</v>
      </c>
      <c r="R114">
        <v>113</v>
      </c>
    </row>
    <row r="115" spans="1:18">
      <c r="A115" s="1" t="s">
        <v>107</v>
      </c>
      <c r="B115">
        <v>30</v>
      </c>
      <c r="C115">
        <v>11</v>
      </c>
      <c r="D115">
        <v>19</v>
      </c>
      <c r="E115">
        <v>-2.42</v>
      </c>
      <c r="F115">
        <v>2111</v>
      </c>
      <c r="G115">
        <v>750</v>
      </c>
      <c r="H115">
        <v>1703</v>
      </c>
      <c r="I115">
        <v>441</v>
      </c>
      <c r="J115">
        <v>595</v>
      </c>
      <c r="K115">
        <v>315</v>
      </c>
      <c r="L115">
        <v>914</v>
      </c>
      <c r="M115">
        <v>450</v>
      </c>
      <c r="N115">
        <v>183</v>
      </c>
      <c r="O115">
        <v>94</v>
      </c>
      <c r="P115">
        <v>420</v>
      </c>
      <c r="Q115">
        <v>613</v>
      </c>
      <c r="R115">
        <v>114</v>
      </c>
    </row>
    <row r="116" spans="1:18">
      <c r="A116" s="1" t="s">
        <v>108</v>
      </c>
      <c r="B116">
        <v>31</v>
      </c>
      <c r="C116">
        <v>17</v>
      </c>
      <c r="D116">
        <v>14</v>
      </c>
      <c r="E116">
        <v>-6.41</v>
      </c>
      <c r="F116">
        <v>2201</v>
      </c>
      <c r="G116">
        <v>810</v>
      </c>
      <c r="H116">
        <v>1717</v>
      </c>
      <c r="I116">
        <v>339</v>
      </c>
      <c r="J116">
        <v>463</v>
      </c>
      <c r="K116">
        <v>329</v>
      </c>
      <c r="L116">
        <v>1086</v>
      </c>
      <c r="M116">
        <v>518</v>
      </c>
      <c r="N116">
        <v>184</v>
      </c>
      <c r="O116">
        <v>118</v>
      </c>
      <c r="P116">
        <v>420</v>
      </c>
      <c r="Q116">
        <v>530</v>
      </c>
      <c r="R116">
        <v>115</v>
      </c>
    </row>
    <row r="117" spans="1:18">
      <c r="A117" s="1" t="s">
        <v>307</v>
      </c>
      <c r="B117">
        <v>30</v>
      </c>
      <c r="C117">
        <v>12</v>
      </c>
      <c r="D117">
        <v>18</v>
      </c>
      <c r="E117">
        <v>-3</v>
      </c>
      <c r="F117">
        <v>1989</v>
      </c>
      <c r="G117">
        <v>725</v>
      </c>
      <c r="H117">
        <v>1664</v>
      </c>
      <c r="I117">
        <v>391</v>
      </c>
      <c r="J117">
        <v>582</v>
      </c>
      <c r="K117">
        <v>353</v>
      </c>
      <c r="L117">
        <v>1110</v>
      </c>
      <c r="M117">
        <v>306</v>
      </c>
      <c r="N117">
        <v>187</v>
      </c>
      <c r="O117">
        <v>168</v>
      </c>
      <c r="P117">
        <v>491</v>
      </c>
      <c r="Q117">
        <v>582</v>
      </c>
      <c r="R117">
        <v>116</v>
      </c>
    </row>
    <row r="118" spans="1:18">
      <c r="A118" s="1" t="s">
        <v>109</v>
      </c>
      <c r="B118">
        <v>29</v>
      </c>
      <c r="C118">
        <v>15</v>
      </c>
      <c r="D118">
        <v>14</v>
      </c>
      <c r="E118">
        <v>-3.6</v>
      </c>
      <c r="F118">
        <v>1781</v>
      </c>
      <c r="G118">
        <v>613</v>
      </c>
      <c r="H118">
        <v>1406</v>
      </c>
      <c r="I118">
        <v>415</v>
      </c>
      <c r="J118">
        <v>569</v>
      </c>
      <c r="K118">
        <v>356</v>
      </c>
      <c r="L118">
        <v>972</v>
      </c>
      <c r="M118">
        <v>392</v>
      </c>
      <c r="N118">
        <v>214</v>
      </c>
      <c r="O118">
        <v>114</v>
      </c>
      <c r="P118">
        <v>461</v>
      </c>
      <c r="Q118">
        <v>563</v>
      </c>
      <c r="R118">
        <v>117</v>
      </c>
    </row>
    <row r="119" spans="1:18">
      <c r="A119" s="1" t="s">
        <v>110</v>
      </c>
      <c r="B119">
        <v>34</v>
      </c>
      <c r="C119">
        <v>24</v>
      </c>
      <c r="D119">
        <v>10</v>
      </c>
      <c r="E119">
        <v>-0.16</v>
      </c>
      <c r="F119">
        <v>2681</v>
      </c>
      <c r="G119">
        <v>877</v>
      </c>
      <c r="H119">
        <v>2138</v>
      </c>
      <c r="I119">
        <v>552</v>
      </c>
      <c r="J119">
        <v>717</v>
      </c>
      <c r="K119">
        <v>427</v>
      </c>
      <c r="L119">
        <v>1255</v>
      </c>
      <c r="M119">
        <v>427</v>
      </c>
      <c r="N119">
        <v>289</v>
      </c>
      <c r="O119">
        <v>130</v>
      </c>
      <c r="P119">
        <v>372</v>
      </c>
      <c r="Q119">
        <v>636</v>
      </c>
      <c r="R119">
        <v>118</v>
      </c>
    </row>
    <row r="120" spans="1:18">
      <c r="A120" s="1" t="s">
        <v>111</v>
      </c>
      <c r="B120">
        <v>32</v>
      </c>
      <c r="C120">
        <v>6</v>
      </c>
      <c r="D120">
        <v>26</v>
      </c>
      <c r="E120">
        <v>-7.73</v>
      </c>
      <c r="F120">
        <v>1817</v>
      </c>
      <c r="G120">
        <v>658</v>
      </c>
      <c r="H120">
        <v>1594</v>
      </c>
      <c r="I120">
        <v>353</v>
      </c>
      <c r="J120">
        <v>574</v>
      </c>
      <c r="K120">
        <v>321</v>
      </c>
      <c r="L120">
        <v>1063</v>
      </c>
      <c r="M120">
        <v>309</v>
      </c>
      <c r="N120">
        <v>137</v>
      </c>
      <c r="O120">
        <v>140</v>
      </c>
      <c r="P120">
        <v>586</v>
      </c>
      <c r="Q120">
        <v>539</v>
      </c>
      <c r="R120">
        <v>119</v>
      </c>
    </row>
    <row r="121" spans="1:18">
      <c r="A121" s="1" t="s">
        <v>112</v>
      </c>
      <c r="B121">
        <v>31</v>
      </c>
      <c r="C121">
        <v>12</v>
      </c>
      <c r="D121">
        <v>19</v>
      </c>
      <c r="E121">
        <v>-2.14</v>
      </c>
      <c r="F121">
        <v>1856</v>
      </c>
      <c r="G121">
        <v>666</v>
      </c>
      <c r="H121">
        <v>1541</v>
      </c>
      <c r="I121">
        <v>384</v>
      </c>
      <c r="J121">
        <v>550</v>
      </c>
      <c r="K121">
        <v>313</v>
      </c>
      <c r="L121">
        <v>964</v>
      </c>
      <c r="M121">
        <v>360</v>
      </c>
      <c r="N121">
        <v>163</v>
      </c>
      <c r="O121">
        <v>92</v>
      </c>
      <c r="P121">
        <v>445</v>
      </c>
      <c r="Q121">
        <v>565</v>
      </c>
      <c r="R121">
        <v>120</v>
      </c>
    </row>
    <row r="122" spans="1:18">
      <c r="A122" s="1" t="s">
        <v>113</v>
      </c>
      <c r="B122">
        <v>29</v>
      </c>
      <c r="C122">
        <v>8</v>
      </c>
      <c r="D122">
        <v>21</v>
      </c>
      <c r="E122">
        <v>-1.04</v>
      </c>
      <c r="F122">
        <v>1879</v>
      </c>
      <c r="G122">
        <v>683</v>
      </c>
      <c r="H122">
        <v>1609</v>
      </c>
      <c r="I122">
        <v>303</v>
      </c>
      <c r="J122">
        <v>501</v>
      </c>
      <c r="K122">
        <v>341</v>
      </c>
      <c r="L122">
        <v>934</v>
      </c>
      <c r="M122">
        <v>356</v>
      </c>
      <c r="N122">
        <v>184</v>
      </c>
      <c r="O122">
        <v>80</v>
      </c>
      <c r="P122">
        <v>459</v>
      </c>
      <c r="Q122">
        <v>605</v>
      </c>
      <c r="R122">
        <v>121</v>
      </c>
    </row>
    <row r="123" spans="1:18">
      <c r="A123" s="1" t="s">
        <v>114</v>
      </c>
      <c r="B123">
        <v>33</v>
      </c>
      <c r="C123">
        <v>18</v>
      </c>
      <c r="D123">
        <v>15</v>
      </c>
      <c r="E123">
        <v>0.64</v>
      </c>
      <c r="F123">
        <v>2246</v>
      </c>
      <c r="G123">
        <v>796</v>
      </c>
      <c r="H123">
        <v>1804</v>
      </c>
      <c r="I123">
        <v>417</v>
      </c>
      <c r="J123">
        <v>579</v>
      </c>
      <c r="K123">
        <v>341</v>
      </c>
      <c r="L123">
        <v>1135</v>
      </c>
      <c r="M123">
        <v>437</v>
      </c>
      <c r="N123">
        <v>211</v>
      </c>
      <c r="O123">
        <v>155</v>
      </c>
      <c r="P123">
        <v>433</v>
      </c>
      <c r="Q123">
        <v>514</v>
      </c>
      <c r="R123">
        <v>122</v>
      </c>
    </row>
    <row r="124" spans="1:18">
      <c r="A124" s="1" t="s">
        <v>115</v>
      </c>
      <c r="B124">
        <v>35</v>
      </c>
      <c r="C124">
        <v>25</v>
      </c>
      <c r="D124">
        <v>10</v>
      </c>
      <c r="E124">
        <v>3.44</v>
      </c>
      <c r="F124">
        <v>2286</v>
      </c>
      <c r="G124">
        <v>824</v>
      </c>
      <c r="H124">
        <v>1818</v>
      </c>
      <c r="I124">
        <v>383</v>
      </c>
      <c r="J124">
        <v>606</v>
      </c>
      <c r="K124">
        <v>350</v>
      </c>
      <c r="L124">
        <v>1154</v>
      </c>
      <c r="M124">
        <v>518</v>
      </c>
      <c r="N124">
        <v>247</v>
      </c>
      <c r="O124">
        <v>115</v>
      </c>
      <c r="P124">
        <v>445</v>
      </c>
      <c r="Q124">
        <v>647</v>
      </c>
      <c r="R124">
        <v>123</v>
      </c>
    </row>
    <row r="125" spans="1:18">
      <c r="A125" s="1" t="s">
        <v>348</v>
      </c>
      <c r="B125">
        <v>35</v>
      </c>
      <c r="C125">
        <v>16</v>
      </c>
      <c r="D125">
        <v>19</v>
      </c>
      <c r="E125">
        <v>8.4600000000000009</v>
      </c>
      <c r="F125">
        <v>2227</v>
      </c>
      <c r="G125">
        <v>809</v>
      </c>
      <c r="H125">
        <v>1860</v>
      </c>
      <c r="I125">
        <v>413</v>
      </c>
      <c r="J125">
        <v>679</v>
      </c>
      <c r="K125">
        <v>440</v>
      </c>
      <c r="L125">
        <v>1266</v>
      </c>
      <c r="M125">
        <v>482</v>
      </c>
      <c r="N125">
        <v>171</v>
      </c>
      <c r="O125">
        <v>94</v>
      </c>
      <c r="P125">
        <v>478</v>
      </c>
      <c r="Q125">
        <v>645</v>
      </c>
      <c r="R125">
        <v>124</v>
      </c>
    </row>
    <row r="126" spans="1:18">
      <c r="A126" s="1" t="s">
        <v>308</v>
      </c>
      <c r="B126">
        <v>31</v>
      </c>
      <c r="C126">
        <v>15</v>
      </c>
      <c r="D126">
        <v>16</v>
      </c>
      <c r="E126">
        <v>4.1100000000000003</v>
      </c>
      <c r="F126">
        <v>2019</v>
      </c>
      <c r="G126">
        <v>683</v>
      </c>
      <c r="H126">
        <v>1649</v>
      </c>
      <c r="I126">
        <v>439</v>
      </c>
      <c r="J126">
        <v>588</v>
      </c>
      <c r="K126">
        <v>333</v>
      </c>
      <c r="L126">
        <v>981</v>
      </c>
      <c r="M126">
        <v>380</v>
      </c>
      <c r="N126">
        <v>205</v>
      </c>
      <c r="O126">
        <v>100</v>
      </c>
      <c r="P126">
        <v>398</v>
      </c>
      <c r="Q126">
        <v>575</v>
      </c>
      <c r="R126">
        <v>125</v>
      </c>
    </row>
    <row r="127" spans="1:18">
      <c r="A127" s="1" t="s">
        <v>327</v>
      </c>
      <c r="B127">
        <v>33</v>
      </c>
      <c r="C127">
        <v>25</v>
      </c>
      <c r="D127">
        <v>8</v>
      </c>
      <c r="E127">
        <v>6.08</v>
      </c>
      <c r="F127">
        <v>2476</v>
      </c>
      <c r="G127">
        <v>839</v>
      </c>
      <c r="H127">
        <v>1814</v>
      </c>
      <c r="I127">
        <v>577</v>
      </c>
      <c r="J127">
        <v>760</v>
      </c>
      <c r="K127">
        <v>386</v>
      </c>
      <c r="L127">
        <v>1247</v>
      </c>
      <c r="M127">
        <v>436</v>
      </c>
      <c r="N127">
        <v>233</v>
      </c>
      <c r="O127">
        <v>125</v>
      </c>
      <c r="P127">
        <v>449</v>
      </c>
      <c r="Q127">
        <v>575</v>
      </c>
      <c r="R127">
        <v>126</v>
      </c>
    </row>
    <row r="128" spans="1:18">
      <c r="A128" s="1" t="s">
        <v>309</v>
      </c>
      <c r="B128">
        <v>32</v>
      </c>
      <c r="C128">
        <v>12</v>
      </c>
      <c r="D128">
        <v>20</v>
      </c>
      <c r="E128">
        <v>-3.27</v>
      </c>
      <c r="F128">
        <v>2099</v>
      </c>
      <c r="G128">
        <v>753</v>
      </c>
      <c r="H128">
        <v>1739</v>
      </c>
      <c r="I128">
        <v>410</v>
      </c>
      <c r="J128">
        <v>591</v>
      </c>
      <c r="K128">
        <v>376</v>
      </c>
      <c r="L128">
        <v>1114</v>
      </c>
      <c r="M128">
        <v>432</v>
      </c>
      <c r="N128">
        <v>248</v>
      </c>
      <c r="O128">
        <v>108</v>
      </c>
      <c r="P128">
        <v>559</v>
      </c>
      <c r="Q128">
        <v>683</v>
      </c>
      <c r="R128">
        <v>127</v>
      </c>
    </row>
    <row r="129" spans="1:18">
      <c r="A129" s="1" t="s">
        <v>310</v>
      </c>
      <c r="B129">
        <v>32</v>
      </c>
      <c r="C129">
        <v>14</v>
      </c>
      <c r="D129">
        <v>18</v>
      </c>
      <c r="E129">
        <v>7.97</v>
      </c>
      <c r="F129">
        <v>2048</v>
      </c>
      <c r="G129">
        <v>721</v>
      </c>
      <c r="H129">
        <v>1733</v>
      </c>
      <c r="I129">
        <v>416</v>
      </c>
      <c r="J129">
        <v>578</v>
      </c>
      <c r="K129">
        <v>308</v>
      </c>
      <c r="L129">
        <v>1113</v>
      </c>
      <c r="M129">
        <v>401</v>
      </c>
      <c r="N129">
        <v>167</v>
      </c>
      <c r="O129">
        <v>124</v>
      </c>
      <c r="P129">
        <v>421</v>
      </c>
      <c r="Q129">
        <v>516</v>
      </c>
      <c r="R129">
        <v>128</v>
      </c>
    </row>
    <row r="130" spans="1:18">
      <c r="A130" s="1" t="s">
        <v>116</v>
      </c>
      <c r="B130">
        <v>32</v>
      </c>
      <c r="C130">
        <v>13</v>
      </c>
      <c r="D130">
        <v>19</v>
      </c>
      <c r="E130">
        <v>5.23</v>
      </c>
      <c r="F130">
        <v>1794</v>
      </c>
      <c r="G130">
        <v>616</v>
      </c>
      <c r="H130">
        <v>1455</v>
      </c>
      <c r="I130">
        <v>340</v>
      </c>
      <c r="J130">
        <v>524</v>
      </c>
      <c r="K130">
        <v>280</v>
      </c>
      <c r="L130">
        <v>1039</v>
      </c>
      <c r="M130">
        <v>393</v>
      </c>
      <c r="N130">
        <v>140</v>
      </c>
      <c r="O130">
        <v>101</v>
      </c>
      <c r="P130">
        <v>504</v>
      </c>
      <c r="Q130">
        <v>534</v>
      </c>
      <c r="R130">
        <v>129</v>
      </c>
    </row>
    <row r="131" spans="1:18">
      <c r="A131" s="1" t="s">
        <v>319</v>
      </c>
      <c r="B131">
        <v>31</v>
      </c>
      <c r="C131">
        <v>13</v>
      </c>
      <c r="D131">
        <v>18</v>
      </c>
      <c r="E131">
        <v>0.96</v>
      </c>
      <c r="F131">
        <v>2135</v>
      </c>
      <c r="G131">
        <v>740</v>
      </c>
      <c r="H131">
        <v>1620</v>
      </c>
      <c r="I131">
        <v>451</v>
      </c>
      <c r="J131">
        <v>615</v>
      </c>
      <c r="K131">
        <v>203</v>
      </c>
      <c r="L131">
        <v>938</v>
      </c>
      <c r="M131">
        <v>417</v>
      </c>
      <c r="N131">
        <v>176</v>
      </c>
      <c r="O131">
        <v>113</v>
      </c>
      <c r="P131">
        <v>424</v>
      </c>
      <c r="Q131">
        <v>561</v>
      </c>
      <c r="R131">
        <v>130</v>
      </c>
    </row>
    <row r="132" spans="1:18">
      <c r="A132" s="1" t="s">
        <v>117</v>
      </c>
      <c r="B132">
        <v>33</v>
      </c>
      <c r="C132">
        <v>26</v>
      </c>
      <c r="D132">
        <v>7</v>
      </c>
      <c r="E132">
        <v>-2.41</v>
      </c>
      <c r="F132">
        <v>2510</v>
      </c>
      <c r="G132">
        <v>883</v>
      </c>
      <c r="H132">
        <v>1754</v>
      </c>
      <c r="I132">
        <v>498</v>
      </c>
      <c r="J132">
        <v>642</v>
      </c>
      <c r="K132">
        <v>332</v>
      </c>
      <c r="L132">
        <v>1040</v>
      </c>
      <c r="M132">
        <v>479</v>
      </c>
      <c r="N132">
        <v>256</v>
      </c>
      <c r="O132">
        <v>85</v>
      </c>
      <c r="P132">
        <v>398</v>
      </c>
      <c r="Q132">
        <v>561</v>
      </c>
      <c r="R132">
        <v>131</v>
      </c>
    </row>
    <row r="133" spans="1:18">
      <c r="A133" s="1" t="s">
        <v>278</v>
      </c>
      <c r="B133">
        <v>34</v>
      </c>
      <c r="C133">
        <v>14</v>
      </c>
      <c r="D133">
        <v>20</v>
      </c>
      <c r="E133">
        <v>-10.78</v>
      </c>
      <c r="F133">
        <v>2340</v>
      </c>
      <c r="G133">
        <v>808</v>
      </c>
      <c r="H133">
        <v>1961</v>
      </c>
      <c r="I133">
        <v>554</v>
      </c>
      <c r="J133">
        <v>821</v>
      </c>
      <c r="K133">
        <v>430</v>
      </c>
      <c r="L133">
        <v>1212</v>
      </c>
      <c r="M133">
        <v>410</v>
      </c>
      <c r="N133">
        <v>251</v>
      </c>
      <c r="O133">
        <v>108</v>
      </c>
      <c r="P133">
        <v>559</v>
      </c>
      <c r="Q133">
        <v>670</v>
      </c>
      <c r="R133">
        <v>132</v>
      </c>
    </row>
    <row r="134" spans="1:18">
      <c r="A134" s="1" t="s">
        <v>118</v>
      </c>
      <c r="B134">
        <v>29</v>
      </c>
      <c r="C134">
        <v>7</v>
      </c>
      <c r="D134">
        <v>22</v>
      </c>
      <c r="E134">
        <v>-8.59</v>
      </c>
      <c r="F134">
        <v>2098</v>
      </c>
      <c r="G134">
        <v>752</v>
      </c>
      <c r="H134">
        <v>1710</v>
      </c>
      <c r="I134">
        <v>333</v>
      </c>
      <c r="J134">
        <v>555</v>
      </c>
      <c r="K134">
        <v>317</v>
      </c>
      <c r="L134">
        <v>965</v>
      </c>
      <c r="M134">
        <v>492</v>
      </c>
      <c r="N134">
        <v>217</v>
      </c>
      <c r="O134">
        <v>106</v>
      </c>
      <c r="P134">
        <v>422</v>
      </c>
      <c r="Q134">
        <v>585</v>
      </c>
      <c r="R134">
        <v>133</v>
      </c>
    </row>
    <row r="135" spans="1:18">
      <c r="A135" s="1" t="s">
        <v>119</v>
      </c>
      <c r="B135">
        <v>31</v>
      </c>
      <c r="C135">
        <v>18</v>
      </c>
      <c r="D135">
        <v>13</v>
      </c>
      <c r="E135">
        <v>-3.61</v>
      </c>
      <c r="F135">
        <v>2248</v>
      </c>
      <c r="G135">
        <v>763</v>
      </c>
      <c r="H135">
        <v>1738</v>
      </c>
      <c r="I135">
        <v>553</v>
      </c>
      <c r="J135">
        <v>752</v>
      </c>
      <c r="K135">
        <v>409</v>
      </c>
      <c r="L135">
        <v>1112</v>
      </c>
      <c r="M135">
        <v>403</v>
      </c>
      <c r="N135">
        <v>239</v>
      </c>
      <c r="O135">
        <v>98</v>
      </c>
      <c r="P135">
        <v>521</v>
      </c>
      <c r="Q135">
        <v>612</v>
      </c>
      <c r="R135">
        <v>134</v>
      </c>
    </row>
    <row r="136" spans="1:18">
      <c r="A136" s="1" t="s">
        <v>120</v>
      </c>
      <c r="B136">
        <v>30</v>
      </c>
      <c r="C136">
        <v>13</v>
      </c>
      <c r="D136">
        <v>17</v>
      </c>
      <c r="E136">
        <v>-4.09</v>
      </c>
      <c r="F136">
        <v>2188</v>
      </c>
      <c r="G136">
        <v>765</v>
      </c>
      <c r="H136">
        <v>1665</v>
      </c>
      <c r="I136">
        <v>489</v>
      </c>
      <c r="J136">
        <v>678</v>
      </c>
      <c r="K136">
        <v>367</v>
      </c>
      <c r="L136">
        <v>998</v>
      </c>
      <c r="M136">
        <v>392</v>
      </c>
      <c r="N136">
        <v>236</v>
      </c>
      <c r="O136">
        <v>65</v>
      </c>
      <c r="P136">
        <v>501</v>
      </c>
      <c r="Q136">
        <v>627</v>
      </c>
      <c r="R136">
        <v>135</v>
      </c>
    </row>
    <row r="137" spans="1:18">
      <c r="A137" s="1" t="s">
        <v>121</v>
      </c>
      <c r="B137">
        <v>33</v>
      </c>
      <c r="C137">
        <v>21</v>
      </c>
      <c r="D137">
        <v>12</v>
      </c>
      <c r="E137">
        <v>7.79</v>
      </c>
      <c r="F137">
        <v>2574</v>
      </c>
      <c r="G137">
        <v>916</v>
      </c>
      <c r="H137">
        <v>2067</v>
      </c>
      <c r="I137">
        <v>532</v>
      </c>
      <c r="J137">
        <v>774</v>
      </c>
      <c r="K137">
        <v>539</v>
      </c>
      <c r="L137">
        <v>1362</v>
      </c>
      <c r="M137">
        <v>511</v>
      </c>
      <c r="N137">
        <v>249</v>
      </c>
      <c r="O137">
        <v>113</v>
      </c>
      <c r="P137">
        <v>501</v>
      </c>
      <c r="Q137">
        <v>666</v>
      </c>
      <c r="R137">
        <v>136</v>
      </c>
    </row>
    <row r="138" spans="1:18">
      <c r="A138" s="1" t="s">
        <v>375</v>
      </c>
      <c r="B138">
        <v>40</v>
      </c>
      <c r="C138">
        <v>37</v>
      </c>
      <c r="D138">
        <v>3</v>
      </c>
      <c r="E138">
        <v>8.1999999999999993</v>
      </c>
      <c r="F138">
        <v>3221</v>
      </c>
      <c r="G138">
        <v>1176</v>
      </c>
      <c r="H138">
        <v>2314</v>
      </c>
      <c r="I138">
        <v>598</v>
      </c>
      <c r="J138">
        <v>852</v>
      </c>
      <c r="K138">
        <v>482</v>
      </c>
      <c r="L138">
        <v>1547</v>
      </c>
      <c r="M138">
        <v>721</v>
      </c>
      <c r="N138">
        <v>356</v>
      </c>
      <c r="O138">
        <v>235</v>
      </c>
      <c r="P138">
        <v>529</v>
      </c>
      <c r="Q138">
        <v>706</v>
      </c>
      <c r="R138">
        <v>137</v>
      </c>
    </row>
    <row r="139" spans="1:18">
      <c r="A139" s="1" t="s">
        <v>336</v>
      </c>
      <c r="B139">
        <v>30</v>
      </c>
      <c r="C139">
        <v>10</v>
      </c>
      <c r="D139">
        <v>20</v>
      </c>
      <c r="F139">
        <v>2054</v>
      </c>
      <c r="G139">
        <v>711</v>
      </c>
      <c r="H139">
        <v>1762</v>
      </c>
      <c r="I139">
        <v>419</v>
      </c>
      <c r="J139">
        <v>639</v>
      </c>
      <c r="K139">
        <v>420</v>
      </c>
      <c r="L139">
        <v>1028</v>
      </c>
      <c r="M139">
        <v>364</v>
      </c>
      <c r="N139">
        <v>284</v>
      </c>
      <c r="O139">
        <v>116</v>
      </c>
      <c r="P139">
        <v>533</v>
      </c>
      <c r="Q139">
        <v>598</v>
      </c>
      <c r="R139">
        <v>138</v>
      </c>
    </row>
    <row r="140" spans="1:18">
      <c r="A140" s="1" t="s">
        <v>122</v>
      </c>
      <c r="B140">
        <v>35</v>
      </c>
      <c r="C140">
        <v>28</v>
      </c>
      <c r="D140">
        <v>7</v>
      </c>
      <c r="E140">
        <v>0.41</v>
      </c>
      <c r="F140">
        <v>2412</v>
      </c>
      <c r="G140">
        <v>839</v>
      </c>
      <c r="H140">
        <v>1809</v>
      </c>
      <c r="I140">
        <v>532</v>
      </c>
      <c r="J140">
        <v>745</v>
      </c>
      <c r="K140">
        <v>385</v>
      </c>
      <c r="L140">
        <v>1166</v>
      </c>
      <c r="M140">
        <v>485</v>
      </c>
      <c r="N140">
        <v>300</v>
      </c>
      <c r="O140">
        <v>134</v>
      </c>
      <c r="P140">
        <v>516</v>
      </c>
      <c r="Q140">
        <v>653</v>
      </c>
      <c r="R140">
        <v>139</v>
      </c>
    </row>
    <row r="141" spans="1:18">
      <c r="A141" s="1" t="s">
        <v>354</v>
      </c>
      <c r="B141">
        <v>31</v>
      </c>
      <c r="C141">
        <v>18</v>
      </c>
      <c r="D141">
        <v>13</v>
      </c>
      <c r="E141">
        <v>7.09</v>
      </c>
      <c r="F141">
        <v>2124</v>
      </c>
      <c r="G141">
        <v>735</v>
      </c>
      <c r="H141">
        <v>1566</v>
      </c>
      <c r="I141">
        <v>472</v>
      </c>
      <c r="J141">
        <v>644</v>
      </c>
      <c r="K141">
        <v>301</v>
      </c>
      <c r="L141">
        <v>1038</v>
      </c>
      <c r="M141">
        <v>395</v>
      </c>
      <c r="N141">
        <v>206</v>
      </c>
      <c r="O141">
        <v>149</v>
      </c>
      <c r="P141">
        <v>490</v>
      </c>
      <c r="Q141">
        <v>586</v>
      </c>
      <c r="R141">
        <v>140</v>
      </c>
    </row>
    <row r="142" spans="1:18">
      <c r="A142" s="1" t="s">
        <v>123</v>
      </c>
      <c r="B142">
        <v>32</v>
      </c>
      <c r="C142">
        <v>15</v>
      </c>
      <c r="D142">
        <v>17</v>
      </c>
      <c r="E142">
        <v>2.08</v>
      </c>
      <c r="F142">
        <v>2424</v>
      </c>
      <c r="G142">
        <v>840</v>
      </c>
      <c r="H142">
        <v>1886</v>
      </c>
      <c r="I142">
        <v>489</v>
      </c>
      <c r="J142">
        <v>702</v>
      </c>
      <c r="K142">
        <v>426</v>
      </c>
      <c r="L142">
        <v>1186</v>
      </c>
      <c r="M142">
        <v>466</v>
      </c>
      <c r="N142">
        <v>219</v>
      </c>
      <c r="O142">
        <v>95</v>
      </c>
      <c r="P142">
        <v>520</v>
      </c>
      <c r="Q142">
        <v>610</v>
      </c>
      <c r="R142">
        <v>141</v>
      </c>
    </row>
    <row r="143" spans="1:18">
      <c r="A143" s="1" t="s">
        <v>279</v>
      </c>
      <c r="B143">
        <v>30</v>
      </c>
      <c r="C143">
        <v>15</v>
      </c>
      <c r="D143">
        <v>15</v>
      </c>
      <c r="E143">
        <v>-4.68</v>
      </c>
      <c r="F143">
        <v>2247</v>
      </c>
      <c r="G143">
        <v>733</v>
      </c>
      <c r="H143">
        <v>1660</v>
      </c>
      <c r="I143">
        <v>482</v>
      </c>
      <c r="J143">
        <v>695</v>
      </c>
      <c r="K143">
        <v>354</v>
      </c>
      <c r="L143">
        <v>998</v>
      </c>
      <c r="M143">
        <v>444</v>
      </c>
      <c r="N143">
        <v>237</v>
      </c>
      <c r="O143">
        <v>93</v>
      </c>
      <c r="P143">
        <v>506</v>
      </c>
      <c r="Q143">
        <v>633</v>
      </c>
      <c r="R143">
        <v>142</v>
      </c>
    </row>
    <row r="144" spans="1:18">
      <c r="A144" s="1" t="s">
        <v>280</v>
      </c>
      <c r="B144">
        <v>30</v>
      </c>
      <c r="C144">
        <v>19</v>
      </c>
      <c r="D144">
        <v>11</v>
      </c>
      <c r="E144">
        <v>-4.0999999999999996</v>
      </c>
      <c r="F144">
        <v>2445</v>
      </c>
      <c r="G144">
        <v>871</v>
      </c>
      <c r="H144">
        <v>1857</v>
      </c>
      <c r="I144">
        <v>450</v>
      </c>
      <c r="J144">
        <v>673</v>
      </c>
      <c r="K144">
        <v>389</v>
      </c>
      <c r="L144">
        <v>1052</v>
      </c>
      <c r="M144">
        <v>512</v>
      </c>
      <c r="N144">
        <v>266</v>
      </c>
      <c r="O144">
        <v>78</v>
      </c>
      <c r="P144">
        <v>458</v>
      </c>
      <c r="Q144">
        <v>578</v>
      </c>
      <c r="R144">
        <v>143</v>
      </c>
    </row>
    <row r="145" spans="1:18">
      <c r="A145" s="1" t="s">
        <v>124</v>
      </c>
      <c r="B145">
        <v>29</v>
      </c>
      <c r="C145">
        <v>14</v>
      </c>
      <c r="D145">
        <v>15</v>
      </c>
      <c r="E145">
        <v>-5.82</v>
      </c>
      <c r="F145">
        <v>1850</v>
      </c>
      <c r="G145">
        <v>643</v>
      </c>
      <c r="H145">
        <v>1548</v>
      </c>
      <c r="I145">
        <v>423</v>
      </c>
      <c r="J145">
        <v>577</v>
      </c>
      <c r="K145">
        <v>290</v>
      </c>
      <c r="L145">
        <v>972</v>
      </c>
      <c r="M145">
        <v>367</v>
      </c>
      <c r="N145">
        <v>164</v>
      </c>
      <c r="O145">
        <v>97</v>
      </c>
      <c r="P145">
        <v>388</v>
      </c>
      <c r="Q145">
        <v>546</v>
      </c>
      <c r="R145">
        <v>144</v>
      </c>
    </row>
    <row r="146" spans="1:18">
      <c r="A146" s="1" t="s">
        <v>125</v>
      </c>
      <c r="B146">
        <v>32</v>
      </c>
      <c r="C146">
        <v>16</v>
      </c>
      <c r="D146">
        <v>16</v>
      </c>
      <c r="E146">
        <v>-5.96</v>
      </c>
      <c r="F146">
        <v>2222</v>
      </c>
      <c r="G146">
        <v>777</v>
      </c>
      <c r="H146">
        <v>1667</v>
      </c>
      <c r="I146">
        <v>380</v>
      </c>
      <c r="J146">
        <v>518</v>
      </c>
      <c r="K146">
        <v>269</v>
      </c>
      <c r="L146">
        <v>1024</v>
      </c>
      <c r="M146">
        <v>513</v>
      </c>
      <c r="N146">
        <v>174</v>
      </c>
      <c r="O146">
        <v>49</v>
      </c>
      <c r="P146">
        <v>437</v>
      </c>
      <c r="Q146">
        <v>568</v>
      </c>
      <c r="R146">
        <v>145</v>
      </c>
    </row>
    <row r="147" spans="1:18">
      <c r="A147" s="1" t="s">
        <v>320</v>
      </c>
      <c r="B147">
        <v>31</v>
      </c>
      <c r="C147">
        <v>15</v>
      </c>
      <c r="D147">
        <v>16</v>
      </c>
      <c r="E147">
        <v>-4.88</v>
      </c>
      <c r="F147">
        <v>2216</v>
      </c>
      <c r="G147">
        <v>765</v>
      </c>
      <c r="H147">
        <v>1750</v>
      </c>
      <c r="I147">
        <v>472</v>
      </c>
      <c r="J147">
        <v>722</v>
      </c>
      <c r="K147">
        <v>356</v>
      </c>
      <c r="L147">
        <v>1169</v>
      </c>
      <c r="M147">
        <v>423</v>
      </c>
      <c r="N147">
        <v>204</v>
      </c>
      <c r="O147">
        <v>85</v>
      </c>
      <c r="P147">
        <v>471</v>
      </c>
      <c r="Q147">
        <v>611</v>
      </c>
      <c r="R147">
        <v>146</v>
      </c>
    </row>
    <row r="148" spans="1:18">
      <c r="A148" s="1" t="s">
        <v>126</v>
      </c>
      <c r="B148">
        <v>31</v>
      </c>
      <c r="C148">
        <v>6</v>
      </c>
      <c r="D148">
        <v>25</v>
      </c>
      <c r="E148">
        <v>-2.92</v>
      </c>
      <c r="F148">
        <v>1944</v>
      </c>
      <c r="G148">
        <v>665</v>
      </c>
      <c r="H148">
        <v>1558</v>
      </c>
      <c r="I148">
        <v>408</v>
      </c>
      <c r="J148">
        <v>549</v>
      </c>
      <c r="K148">
        <v>269</v>
      </c>
      <c r="L148">
        <v>953</v>
      </c>
      <c r="M148">
        <v>422</v>
      </c>
      <c r="N148">
        <v>163</v>
      </c>
      <c r="O148">
        <v>71</v>
      </c>
      <c r="P148">
        <v>504</v>
      </c>
      <c r="Q148">
        <v>526</v>
      </c>
      <c r="R148">
        <v>147</v>
      </c>
    </row>
    <row r="149" spans="1:18">
      <c r="A149" s="1" t="s">
        <v>127</v>
      </c>
      <c r="B149">
        <v>30</v>
      </c>
      <c r="C149">
        <v>15</v>
      </c>
      <c r="D149">
        <v>15</v>
      </c>
      <c r="E149">
        <v>-6.72</v>
      </c>
      <c r="F149">
        <v>2172</v>
      </c>
      <c r="G149">
        <v>738</v>
      </c>
      <c r="H149">
        <v>1828</v>
      </c>
      <c r="I149">
        <v>488</v>
      </c>
      <c r="J149">
        <v>717</v>
      </c>
      <c r="K149">
        <v>426</v>
      </c>
      <c r="L149">
        <v>1184</v>
      </c>
      <c r="M149">
        <v>324</v>
      </c>
      <c r="N149">
        <v>190</v>
      </c>
      <c r="O149">
        <v>82</v>
      </c>
      <c r="P149">
        <v>398</v>
      </c>
      <c r="Q149">
        <v>533</v>
      </c>
      <c r="R149">
        <v>148</v>
      </c>
    </row>
    <row r="150" spans="1:18">
      <c r="A150" s="1" t="s">
        <v>331</v>
      </c>
      <c r="B150">
        <v>31</v>
      </c>
      <c r="C150">
        <v>9</v>
      </c>
      <c r="D150">
        <v>22</v>
      </c>
      <c r="E150">
        <v>-4.92</v>
      </c>
      <c r="F150">
        <v>2120</v>
      </c>
      <c r="G150">
        <v>743</v>
      </c>
      <c r="H150">
        <v>1855</v>
      </c>
      <c r="I150">
        <v>376</v>
      </c>
      <c r="J150">
        <v>558</v>
      </c>
      <c r="K150">
        <v>423</v>
      </c>
      <c r="L150">
        <v>1091</v>
      </c>
      <c r="M150">
        <v>470</v>
      </c>
      <c r="N150">
        <v>247</v>
      </c>
      <c r="O150">
        <v>70</v>
      </c>
      <c r="P150">
        <v>509</v>
      </c>
      <c r="Q150">
        <v>598</v>
      </c>
      <c r="R150">
        <v>149</v>
      </c>
    </row>
    <row r="151" spans="1:18">
      <c r="A151" s="1" t="s">
        <v>281</v>
      </c>
      <c r="B151">
        <v>30</v>
      </c>
      <c r="C151">
        <v>15</v>
      </c>
      <c r="D151">
        <v>15</v>
      </c>
      <c r="E151">
        <v>-2.1</v>
      </c>
      <c r="F151">
        <v>1951</v>
      </c>
      <c r="G151">
        <v>672</v>
      </c>
      <c r="H151">
        <v>1618</v>
      </c>
      <c r="I151">
        <v>403</v>
      </c>
      <c r="J151">
        <v>627</v>
      </c>
      <c r="K151">
        <v>358</v>
      </c>
      <c r="L151">
        <v>979</v>
      </c>
      <c r="M151">
        <v>317</v>
      </c>
      <c r="N151">
        <v>215</v>
      </c>
      <c r="O151">
        <v>109</v>
      </c>
      <c r="P151">
        <v>438</v>
      </c>
      <c r="Q151">
        <v>601</v>
      </c>
      <c r="R151">
        <v>150</v>
      </c>
    </row>
    <row r="152" spans="1:18">
      <c r="A152" s="1" t="s">
        <v>128</v>
      </c>
      <c r="B152">
        <v>31</v>
      </c>
      <c r="C152">
        <v>10</v>
      </c>
      <c r="D152">
        <v>21</v>
      </c>
      <c r="E152">
        <v>-0.39</v>
      </c>
      <c r="F152">
        <v>2108</v>
      </c>
      <c r="G152">
        <v>697</v>
      </c>
      <c r="H152">
        <v>1647</v>
      </c>
      <c r="I152">
        <v>463</v>
      </c>
      <c r="J152">
        <v>645</v>
      </c>
      <c r="K152">
        <v>329</v>
      </c>
      <c r="L152">
        <v>997</v>
      </c>
      <c r="M152">
        <v>346</v>
      </c>
      <c r="N152">
        <v>205</v>
      </c>
      <c r="O152">
        <v>77</v>
      </c>
      <c r="P152">
        <v>482</v>
      </c>
      <c r="Q152">
        <v>568</v>
      </c>
      <c r="R152">
        <v>151</v>
      </c>
    </row>
    <row r="153" spans="1:18">
      <c r="A153" s="1" t="s">
        <v>282</v>
      </c>
      <c r="B153">
        <v>31</v>
      </c>
      <c r="C153">
        <v>13</v>
      </c>
      <c r="D153">
        <v>18</v>
      </c>
      <c r="E153">
        <v>5.66</v>
      </c>
      <c r="F153">
        <v>2131</v>
      </c>
      <c r="G153">
        <v>772</v>
      </c>
      <c r="H153">
        <v>1800</v>
      </c>
      <c r="I153">
        <v>386</v>
      </c>
      <c r="J153">
        <v>521</v>
      </c>
      <c r="K153">
        <v>350</v>
      </c>
      <c r="L153">
        <v>1108</v>
      </c>
      <c r="M153">
        <v>362</v>
      </c>
      <c r="N153">
        <v>186</v>
      </c>
      <c r="O153">
        <v>196</v>
      </c>
      <c r="P153">
        <v>428</v>
      </c>
      <c r="Q153">
        <v>520</v>
      </c>
      <c r="R153">
        <v>152</v>
      </c>
    </row>
    <row r="154" spans="1:18">
      <c r="A154" s="1" t="s">
        <v>129</v>
      </c>
      <c r="B154">
        <v>30</v>
      </c>
      <c r="C154">
        <v>6</v>
      </c>
      <c r="D154">
        <v>24</v>
      </c>
      <c r="E154">
        <v>-4.3499999999999996</v>
      </c>
      <c r="F154">
        <v>1824</v>
      </c>
      <c r="G154">
        <v>636</v>
      </c>
      <c r="H154">
        <v>1616</v>
      </c>
      <c r="I154">
        <v>379</v>
      </c>
      <c r="J154">
        <v>514</v>
      </c>
      <c r="K154">
        <v>254</v>
      </c>
      <c r="L154">
        <v>840</v>
      </c>
      <c r="M154">
        <v>255</v>
      </c>
      <c r="N154">
        <v>191</v>
      </c>
      <c r="O154">
        <v>64</v>
      </c>
      <c r="P154">
        <v>387</v>
      </c>
      <c r="Q154">
        <v>540</v>
      </c>
      <c r="R154">
        <v>153</v>
      </c>
    </row>
    <row r="155" spans="1:18">
      <c r="A155" s="1" t="s">
        <v>283</v>
      </c>
      <c r="B155">
        <v>36</v>
      </c>
      <c r="C155">
        <v>27</v>
      </c>
      <c r="D155">
        <v>9</v>
      </c>
      <c r="E155">
        <v>8</v>
      </c>
      <c r="F155">
        <v>2611</v>
      </c>
      <c r="G155">
        <v>932</v>
      </c>
      <c r="H155">
        <v>2011</v>
      </c>
      <c r="I155">
        <v>475</v>
      </c>
      <c r="J155">
        <v>734</v>
      </c>
      <c r="K155">
        <v>413</v>
      </c>
      <c r="L155">
        <v>1338</v>
      </c>
      <c r="M155">
        <v>542</v>
      </c>
      <c r="N155">
        <v>289</v>
      </c>
      <c r="O155">
        <v>178</v>
      </c>
      <c r="P155">
        <v>491</v>
      </c>
      <c r="Q155">
        <v>659</v>
      </c>
      <c r="R155">
        <v>154</v>
      </c>
    </row>
    <row r="156" spans="1:18">
      <c r="A156" s="1" t="s">
        <v>130</v>
      </c>
      <c r="B156">
        <v>31</v>
      </c>
      <c r="C156">
        <v>12</v>
      </c>
      <c r="D156">
        <v>19</v>
      </c>
      <c r="E156">
        <v>0.55000000000000004</v>
      </c>
      <c r="F156">
        <v>1900</v>
      </c>
      <c r="G156">
        <v>678</v>
      </c>
      <c r="H156">
        <v>1672</v>
      </c>
      <c r="I156">
        <v>402</v>
      </c>
      <c r="J156">
        <v>562</v>
      </c>
      <c r="K156">
        <v>367</v>
      </c>
      <c r="L156">
        <v>1008</v>
      </c>
      <c r="M156">
        <v>315</v>
      </c>
      <c r="N156">
        <v>183</v>
      </c>
      <c r="O156">
        <v>87</v>
      </c>
      <c r="P156">
        <v>384</v>
      </c>
      <c r="Q156">
        <v>560</v>
      </c>
      <c r="R156">
        <v>155</v>
      </c>
    </row>
    <row r="157" spans="1:18">
      <c r="A157" s="1" t="s">
        <v>131</v>
      </c>
      <c r="B157">
        <v>31</v>
      </c>
      <c r="C157">
        <v>5</v>
      </c>
      <c r="D157">
        <v>26</v>
      </c>
      <c r="E157">
        <v>-0.05</v>
      </c>
      <c r="F157">
        <v>1918</v>
      </c>
      <c r="G157">
        <v>668</v>
      </c>
      <c r="H157">
        <v>1682</v>
      </c>
      <c r="I157">
        <v>400</v>
      </c>
      <c r="J157">
        <v>624</v>
      </c>
      <c r="K157">
        <v>321</v>
      </c>
      <c r="L157">
        <v>990</v>
      </c>
      <c r="M157">
        <v>397</v>
      </c>
      <c r="N157">
        <v>177</v>
      </c>
      <c r="O157">
        <v>71</v>
      </c>
      <c r="P157">
        <v>569</v>
      </c>
      <c r="Q157">
        <v>641</v>
      </c>
      <c r="R157">
        <v>156</v>
      </c>
    </row>
    <row r="158" spans="1:18">
      <c r="A158" s="1" t="s">
        <v>132</v>
      </c>
      <c r="B158">
        <v>33</v>
      </c>
      <c r="C158">
        <v>19</v>
      </c>
      <c r="D158">
        <v>14</v>
      </c>
      <c r="E158">
        <v>-3.2</v>
      </c>
      <c r="F158">
        <v>2365</v>
      </c>
      <c r="G158">
        <v>779</v>
      </c>
      <c r="H158">
        <v>1808</v>
      </c>
      <c r="I158">
        <v>541</v>
      </c>
      <c r="J158">
        <v>704</v>
      </c>
      <c r="K158">
        <v>397</v>
      </c>
      <c r="L158">
        <v>1183</v>
      </c>
      <c r="M158">
        <v>466</v>
      </c>
      <c r="N158">
        <v>194</v>
      </c>
      <c r="O158">
        <v>103</v>
      </c>
      <c r="P158">
        <v>490</v>
      </c>
      <c r="Q158">
        <v>701</v>
      </c>
      <c r="R158">
        <v>157</v>
      </c>
    </row>
    <row r="159" spans="1:18">
      <c r="A159" s="1" t="s">
        <v>133</v>
      </c>
      <c r="B159">
        <v>30</v>
      </c>
      <c r="C159">
        <v>7</v>
      </c>
      <c r="D159">
        <v>23</v>
      </c>
      <c r="E159">
        <v>-4.8899999999999997</v>
      </c>
      <c r="F159">
        <v>1912</v>
      </c>
      <c r="G159">
        <v>665</v>
      </c>
      <c r="H159">
        <v>1608</v>
      </c>
      <c r="I159">
        <v>422</v>
      </c>
      <c r="J159">
        <v>623</v>
      </c>
      <c r="K159">
        <v>359</v>
      </c>
      <c r="L159">
        <v>1075</v>
      </c>
      <c r="M159">
        <v>357</v>
      </c>
      <c r="N159">
        <v>206</v>
      </c>
      <c r="O159">
        <v>88</v>
      </c>
      <c r="P159">
        <v>563</v>
      </c>
      <c r="Q159">
        <v>566</v>
      </c>
      <c r="R159">
        <v>158</v>
      </c>
    </row>
    <row r="160" spans="1:18">
      <c r="A160" s="1" t="s">
        <v>134</v>
      </c>
      <c r="B160">
        <v>31</v>
      </c>
      <c r="C160">
        <v>12</v>
      </c>
      <c r="D160">
        <v>19</v>
      </c>
      <c r="E160">
        <v>-4.6100000000000003</v>
      </c>
      <c r="F160">
        <v>2147</v>
      </c>
      <c r="G160">
        <v>747</v>
      </c>
      <c r="H160">
        <v>1751</v>
      </c>
      <c r="I160">
        <v>451</v>
      </c>
      <c r="J160">
        <v>680</v>
      </c>
      <c r="K160">
        <v>369</v>
      </c>
      <c r="L160">
        <v>1033</v>
      </c>
      <c r="M160">
        <v>346</v>
      </c>
      <c r="N160">
        <v>240</v>
      </c>
      <c r="O160">
        <v>97</v>
      </c>
      <c r="P160">
        <v>437</v>
      </c>
      <c r="Q160">
        <v>630</v>
      </c>
      <c r="R160">
        <v>159</v>
      </c>
    </row>
    <row r="161" spans="1:18">
      <c r="A161" s="1" t="s">
        <v>135</v>
      </c>
      <c r="B161">
        <v>32</v>
      </c>
      <c r="C161">
        <v>18</v>
      </c>
      <c r="D161">
        <v>14</v>
      </c>
      <c r="E161">
        <v>-1.83</v>
      </c>
      <c r="F161">
        <v>2237</v>
      </c>
      <c r="G161">
        <v>787</v>
      </c>
      <c r="H161">
        <v>1757</v>
      </c>
      <c r="I161">
        <v>407</v>
      </c>
      <c r="J161">
        <v>629</v>
      </c>
      <c r="K161">
        <v>368</v>
      </c>
      <c r="L161">
        <v>1143</v>
      </c>
      <c r="M161">
        <v>380</v>
      </c>
      <c r="N161">
        <v>164</v>
      </c>
      <c r="O161">
        <v>89</v>
      </c>
      <c r="P161">
        <v>448</v>
      </c>
      <c r="Q161">
        <v>579</v>
      </c>
      <c r="R161">
        <v>160</v>
      </c>
    </row>
    <row r="162" spans="1:18">
      <c r="A162" s="1" t="s">
        <v>136</v>
      </c>
      <c r="B162">
        <v>35</v>
      </c>
      <c r="C162">
        <v>25</v>
      </c>
      <c r="D162">
        <v>10</v>
      </c>
      <c r="E162">
        <v>8.09</v>
      </c>
      <c r="F162">
        <v>2658</v>
      </c>
      <c r="G162">
        <v>929</v>
      </c>
      <c r="H162">
        <v>2082</v>
      </c>
      <c r="I162">
        <v>554</v>
      </c>
      <c r="J162">
        <v>785</v>
      </c>
      <c r="K162">
        <v>474</v>
      </c>
      <c r="L162">
        <v>1287</v>
      </c>
      <c r="M162">
        <v>515</v>
      </c>
      <c r="N162">
        <v>325</v>
      </c>
      <c r="O162">
        <v>132</v>
      </c>
      <c r="P162">
        <v>451</v>
      </c>
      <c r="Q162">
        <v>733</v>
      </c>
      <c r="R162">
        <v>161</v>
      </c>
    </row>
    <row r="163" spans="1:18">
      <c r="A163" s="1" t="s">
        <v>137</v>
      </c>
      <c r="B163">
        <v>30</v>
      </c>
      <c r="C163">
        <v>16</v>
      </c>
      <c r="D163">
        <v>14</v>
      </c>
      <c r="E163">
        <v>2.17</v>
      </c>
      <c r="F163">
        <v>2018</v>
      </c>
      <c r="G163">
        <v>684</v>
      </c>
      <c r="H163">
        <v>1610</v>
      </c>
      <c r="I163">
        <v>479</v>
      </c>
      <c r="J163">
        <v>704</v>
      </c>
      <c r="K163">
        <v>379</v>
      </c>
      <c r="L163">
        <v>1029</v>
      </c>
      <c r="M163">
        <v>373</v>
      </c>
      <c r="N163">
        <v>205</v>
      </c>
      <c r="O163">
        <v>81</v>
      </c>
      <c r="P163">
        <v>399</v>
      </c>
      <c r="Q163">
        <v>553</v>
      </c>
      <c r="R163">
        <v>162</v>
      </c>
    </row>
    <row r="164" spans="1:18">
      <c r="A164" s="1" t="s">
        <v>138</v>
      </c>
      <c r="B164">
        <v>33</v>
      </c>
      <c r="C164">
        <v>24</v>
      </c>
      <c r="D164">
        <v>9</v>
      </c>
      <c r="E164">
        <v>-4.53</v>
      </c>
      <c r="F164">
        <v>2450</v>
      </c>
      <c r="G164">
        <v>869</v>
      </c>
      <c r="H164">
        <v>1928</v>
      </c>
      <c r="I164">
        <v>464</v>
      </c>
      <c r="J164">
        <v>640</v>
      </c>
      <c r="K164">
        <v>371</v>
      </c>
      <c r="L164">
        <v>1126</v>
      </c>
      <c r="M164">
        <v>500</v>
      </c>
      <c r="N164">
        <v>209</v>
      </c>
      <c r="O164">
        <v>114</v>
      </c>
      <c r="P164">
        <v>318</v>
      </c>
      <c r="Q164">
        <v>537</v>
      </c>
      <c r="R164">
        <v>163</v>
      </c>
    </row>
    <row r="165" spans="1:18">
      <c r="A165" s="1" t="s">
        <v>139</v>
      </c>
      <c r="B165">
        <v>32</v>
      </c>
      <c r="C165">
        <v>4</v>
      </c>
      <c r="D165">
        <v>28</v>
      </c>
      <c r="E165">
        <v>-7.82</v>
      </c>
      <c r="F165">
        <v>1878</v>
      </c>
      <c r="G165">
        <v>655</v>
      </c>
      <c r="H165">
        <v>1840</v>
      </c>
      <c r="I165">
        <v>429</v>
      </c>
      <c r="J165">
        <v>695</v>
      </c>
      <c r="K165">
        <v>458</v>
      </c>
      <c r="L165">
        <v>1125</v>
      </c>
      <c r="M165">
        <v>267</v>
      </c>
      <c r="N165">
        <v>235</v>
      </c>
      <c r="O165">
        <v>83</v>
      </c>
      <c r="P165">
        <v>490</v>
      </c>
      <c r="Q165">
        <v>621</v>
      </c>
      <c r="R165">
        <v>164</v>
      </c>
    </row>
    <row r="166" spans="1:18">
      <c r="A166" s="1" t="s">
        <v>332</v>
      </c>
      <c r="B166">
        <v>34</v>
      </c>
      <c r="C166">
        <v>19</v>
      </c>
      <c r="D166">
        <v>15</v>
      </c>
      <c r="E166">
        <v>7.28</v>
      </c>
      <c r="F166">
        <v>2483</v>
      </c>
      <c r="G166">
        <v>895</v>
      </c>
      <c r="H166">
        <v>1939</v>
      </c>
      <c r="I166">
        <v>511</v>
      </c>
      <c r="J166">
        <v>727</v>
      </c>
      <c r="K166">
        <v>403</v>
      </c>
      <c r="L166">
        <v>1293</v>
      </c>
      <c r="M166">
        <v>562</v>
      </c>
      <c r="N166">
        <v>225</v>
      </c>
      <c r="O166">
        <v>224</v>
      </c>
      <c r="P166">
        <v>573</v>
      </c>
      <c r="Q166">
        <v>591</v>
      </c>
      <c r="R166">
        <v>165</v>
      </c>
    </row>
    <row r="167" spans="1:18">
      <c r="A167" s="1" t="s">
        <v>140</v>
      </c>
      <c r="B167">
        <v>36</v>
      </c>
      <c r="C167">
        <v>25</v>
      </c>
      <c r="D167">
        <v>11</v>
      </c>
      <c r="E167">
        <v>3.77</v>
      </c>
      <c r="F167">
        <v>2934</v>
      </c>
      <c r="G167">
        <v>1006</v>
      </c>
      <c r="H167">
        <v>2281</v>
      </c>
      <c r="I167">
        <v>591</v>
      </c>
      <c r="J167">
        <v>880</v>
      </c>
      <c r="K167">
        <v>443</v>
      </c>
      <c r="L167">
        <v>1386</v>
      </c>
      <c r="M167">
        <v>566</v>
      </c>
      <c r="N167">
        <v>269</v>
      </c>
      <c r="O167">
        <v>264</v>
      </c>
      <c r="P167">
        <v>484</v>
      </c>
      <c r="Q167">
        <v>724</v>
      </c>
      <c r="R167">
        <v>166</v>
      </c>
    </row>
    <row r="168" spans="1:18">
      <c r="A168" s="1" t="s">
        <v>141</v>
      </c>
      <c r="B168">
        <v>29</v>
      </c>
      <c r="C168">
        <v>13</v>
      </c>
      <c r="D168">
        <v>16</v>
      </c>
      <c r="E168">
        <v>-3.59</v>
      </c>
      <c r="F168">
        <v>1875</v>
      </c>
      <c r="G168">
        <v>675</v>
      </c>
      <c r="H168">
        <v>1611</v>
      </c>
      <c r="I168">
        <v>370</v>
      </c>
      <c r="J168">
        <v>539</v>
      </c>
      <c r="K168">
        <v>388</v>
      </c>
      <c r="L168">
        <v>1139</v>
      </c>
      <c r="M168">
        <v>357</v>
      </c>
      <c r="N168">
        <v>191</v>
      </c>
      <c r="O168">
        <v>180</v>
      </c>
      <c r="P168">
        <v>518</v>
      </c>
      <c r="Q168">
        <v>536</v>
      </c>
      <c r="R168">
        <v>167</v>
      </c>
    </row>
    <row r="169" spans="1:18">
      <c r="A169" s="1" t="s">
        <v>142</v>
      </c>
      <c r="B169">
        <v>40</v>
      </c>
      <c r="C169">
        <v>38</v>
      </c>
      <c r="D169">
        <v>2</v>
      </c>
      <c r="E169">
        <v>5.76</v>
      </c>
      <c r="F169">
        <v>3196</v>
      </c>
      <c r="G169">
        <v>1143</v>
      </c>
      <c r="H169">
        <v>2454</v>
      </c>
      <c r="I169">
        <v>608</v>
      </c>
      <c r="J169">
        <v>991</v>
      </c>
      <c r="K169">
        <v>565</v>
      </c>
      <c r="L169">
        <v>1620</v>
      </c>
      <c r="M169">
        <v>637</v>
      </c>
      <c r="N169">
        <v>337</v>
      </c>
      <c r="O169">
        <v>244</v>
      </c>
      <c r="P169">
        <v>470</v>
      </c>
      <c r="Q169">
        <v>691</v>
      </c>
      <c r="R169">
        <v>168</v>
      </c>
    </row>
    <row r="170" spans="1:18">
      <c r="A170" s="1" t="s">
        <v>143</v>
      </c>
      <c r="B170">
        <v>30</v>
      </c>
      <c r="C170">
        <v>11</v>
      </c>
      <c r="D170">
        <v>19</v>
      </c>
      <c r="E170">
        <v>-5.68</v>
      </c>
      <c r="F170">
        <v>2285</v>
      </c>
      <c r="G170">
        <v>826</v>
      </c>
      <c r="H170">
        <v>1912</v>
      </c>
      <c r="I170">
        <v>452</v>
      </c>
      <c r="J170">
        <v>676</v>
      </c>
      <c r="K170">
        <v>422</v>
      </c>
      <c r="L170">
        <v>1231</v>
      </c>
      <c r="M170">
        <v>388</v>
      </c>
      <c r="N170">
        <v>195</v>
      </c>
      <c r="O170">
        <v>165</v>
      </c>
      <c r="P170">
        <v>465</v>
      </c>
      <c r="Q170">
        <v>531</v>
      </c>
      <c r="R170">
        <v>169</v>
      </c>
    </row>
    <row r="171" spans="1:18">
      <c r="A171" s="1" t="s">
        <v>284</v>
      </c>
      <c r="B171">
        <v>34</v>
      </c>
      <c r="C171">
        <v>23</v>
      </c>
      <c r="D171">
        <v>11</v>
      </c>
      <c r="E171">
        <v>7.13</v>
      </c>
      <c r="F171">
        <v>2542</v>
      </c>
      <c r="G171">
        <v>867</v>
      </c>
      <c r="H171">
        <v>1985</v>
      </c>
      <c r="I171">
        <v>572</v>
      </c>
      <c r="J171">
        <v>766</v>
      </c>
      <c r="K171">
        <v>433</v>
      </c>
      <c r="L171">
        <v>1293</v>
      </c>
      <c r="M171">
        <v>451</v>
      </c>
      <c r="N171">
        <v>202</v>
      </c>
      <c r="O171">
        <v>157</v>
      </c>
      <c r="P171">
        <v>454</v>
      </c>
      <c r="Q171">
        <v>638</v>
      </c>
      <c r="R171">
        <v>170</v>
      </c>
    </row>
    <row r="172" spans="1:18">
      <c r="A172" s="1" t="s">
        <v>144</v>
      </c>
      <c r="B172">
        <v>33</v>
      </c>
      <c r="C172">
        <v>17</v>
      </c>
      <c r="D172">
        <v>16</v>
      </c>
      <c r="E172">
        <v>3.82</v>
      </c>
      <c r="F172">
        <v>2062</v>
      </c>
      <c r="G172">
        <v>758</v>
      </c>
      <c r="H172">
        <v>1655</v>
      </c>
      <c r="I172">
        <v>359</v>
      </c>
      <c r="J172">
        <v>512</v>
      </c>
      <c r="K172">
        <v>303</v>
      </c>
      <c r="L172">
        <v>1016</v>
      </c>
      <c r="M172">
        <v>412</v>
      </c>
      <c r="N172">
        <v>178</v>
      </c>
      <c r="O172">
        <v>110</v>
      </c>
      <c r="P172">
        <v>399</v>
      </c>
      <c r="Q172">
        <v>556</v>
      </c>
      <c r="R172">
        <v>171</v>
      </c>
    </row>
    <row r="173" spans="1:18">
      <c r="A173" s="1" t="s">
        <v>377</v>
      </c>
      <c r="B173">
        <v>36</v>
      </c>
      <c r="C173">
        <v>27</v>
      </c>
      <c r="D173">
        <v>9</v>
      </c>
      <c r="E173">
        <v>7.68</v>
      </c>
      <c r="F173">
        <v>2564</v>
      </c>
      <c r="G173">
        <v>949</v>
      </c>
      <c r="H173">
        <v>1976</v>
      </c>
      <c r="I173">
        <v>487</v>
      </c>
      <c r="J173">
        <v>661</v>
      </c>
      <c r="K173">
        <v>440</v>
      </c>
      <c r="L173">
        <v>1330</v>
      </c>
      <c r="M173">
        <v>631</v>
      </c>
      <c r="N173">
        <v>208</v>
      </c>
      <c r="O173">
        <v>152</v>
      </c>
      <c r="P173">
        <v>490</v>
      </c>
      <c r="Q173">
        <v>665</v>
      </c>
      <c r="R173">
        <v>172</v>
      </c>
    </row>
    <row r="174" spans="1:18">
      <c r="A174" s="1" t="s">
        <v>145</v>
      </c>
      <c r="B174">
        <v>32</v>
      </c>
      <c r="C174">
        <v>10</v>
      </c>
      <c r="D174">
        <v>22</v>
      </c>
      <c r="E174">
        <v>7.99</v>
      </c>
      <c r="F174">
        <v>2006</v>
      </c>
      <c r="G174">
        <v>709</v>
      </c>
      <c r="H174">
        <v>1796</v>
      </c>
      <c r="I174">
        <v>360</v>
      </c>
      <c r="J174">
        <v>510</v>
      </c>
      <c r="K174">
        <v>388</v>
      </c>
      <c r="L174">
        <v>1079</v>
      </c>
      <c r="M174">
        <v>390</v>
      </c>
      <c r="N174">
        <v>199</v>
      </c>
      <c r="O174">
        <v>160</v>
      </c>
      <c r="P174">
        <v>412</v>
      </c>
      <c r="Q174">
        <v>483</v>
      </c>
      <c r="R174">
        <v>173</v>
      </c>
    </row>
    <row r="175" spans="1:18">
      <c r="A175" s="1" t="s">
        <v>146</v>
      </c>
      <c r="B175">
        <v>32</v>
      </c>
      <c r="C175">
        <v>17</v>
      </c>
      <c r="D175">
        <v>15</v>
      </c>
      <c r="E175">
        <v>-0.23</v>
      </c>
      <c r="F175">
        <v>2180</v>
      </c>
      <c r="G175">
        <v>765</v>
      </c>
      <c r="H175">
        <v>1639</v>
      </c>
      <c r="I175">
        <v>475</v>
      </c>
      <c r="J175">
        <v>668</v>
      </c>
      <c r="K175">
        <v>297</v>
      </c>
      <c r="L175">
        <v>997</v>
      </c>
      <c r="M175">
        <v>388</v>
      </c>
      <c r="N175">
        <v>190</v>
      </c>
      <c r="O175">
        <v>70</v>
      </c>
      <c r="P175">
        <v>463</v>
      </c>
      <c r="Q175">
        <v>648</v>
      </c>
      <c r="R175">
        <v>174</v>
      </c>
    </row>
    <row r="176" spans="1:18">
      <c r="A176" s="1" t="s">
        <v>147</v>
      </c>
      <c r="B176">
        <v>30</v>
      </c>
      <c r="C176">
        <v>14</v>
      </c>
      <c r="D176">
        <v>16</v>
      </c>
      <c r="E176">
        <v>2.19</v>
      </c>
      <c r="F176">
        <v>2007</v>
      </c>
      <c r="G176">
        <v>694</v>
      </c>
      <c r="H176">
        <v>1758</v>
      </c>
      <c r="I176">
        <v>426</v>
      </c>
      <c r="J176">
        <v>627</v>
      </c>
      <c r="K176">
        <v>377</v>
      </c>
      <c r="L176">
        <v>1081</v>
      </c>
      <c r="M176">
        <v>366</v>
      </c>
      <c r="N176">
        <v>180</v>
      </c>
      <c r="O176">
        <v>93</v>
      </c>
      <c r="P176">
        <v>383</v>
      </c>
      <c r="Q176">
        <v>580</v>
      </c>
      <c r="R176">
        <v>175</v>
      </c>
    </row>
    <row r="177" spans="1:18">
      <c r="A177" s="1" t="s">
        <v>148</v>
      </c>
      <c r="B177">
        <v>34</v>
      </c>
      <c r="C177">
        <v>20</v>
      </c>
      <c r="D177">
        <v>14</v>
      </c>
      <c r="E177">
        <v>6.5</v>
      </c>
      <c r="F177">
        <v>2322</v>
      </c>
      <c r="G177">
        <v>817</v>
      </c>
      <c r="H177">
        <v>1872</v>
      </c>
      <c r="I177">
        <v>443</v>
      </c>
      <c r="J177">
        <v>655</v>
      </c>
      <c r="K177">
        <v>425</v>
      </c>
      <c r="L177">
        <v>1150</v>
      </c>
      <c r="M177">
        <v>515</v>
      </c>
      <c r="N177">
        <v>298</v>
      </c>
      <c r="O177">
        <v>137</v>
      </c>
      <c r="P177">
        <v>482</v>
      </c>
      <c r="Q177">
        <v>636</v>
      </c>
      <c r="R177">
        <v>176</v>
      </c>
    </row>
    <row r="178" spans="1:18">
      <c r="A178" s="1" t="s">
        <v>149</v>
      </c>
      <c r="B178">
        <v>34</v>
      </c>
      <c r="C178">
        <v>23</v>
      </c>
      <c r="D178">
        <v>11</v>
      </c>
      <c r="E178">
        <v>5.74</v>
      </c>
      <c r="F178">
        <v>2489</v>
      </c>
      <c r="G178">
        <v>885</v>
      </c>
      <c r="H178">
        <v>1922</v>
      </c>
      <c r="I178">
        <v>484</v>
      </c>
      <c r="J178">
        <v>749</v>
      </c>
      <c r="K178">
        <v>410</v>
      </c>
      <c r="L178">
        <v>1385</v>
      </c>
      <c r="M178">
        <v>448</v>
      </c>
      <c r="N178">
        <v>199</v>
      </c>
      <c r="O178">
        <v>267</v>
      </c>
      <c r="P178">
        <v>509</v>
      </c>
      <c r="Q178">
        <v>568</v>
      </c>
      <c r="R178">
        <v>177</v>
      </c>
    </row>
    <row r="179" spans="1:18">
      <c r="A179" s="1" t="s">
        <v>150</v>
      </c>
      <c r="B179">
        <v>33</v>
      </c>
      <c r="C179">
        <v>17</v>
      </c>
      <c r="D179">
        <v>16</v>
      </c>
      <c r="E179">
        <v>-9.5</v>
      </c>
      <c r="F179">
        <v>2036</v>
      </c>
      <c r="G179">
        <v>698</v>
      </c>
      <c r="H179">
        <v>1755</v>
      </c>
      <c r="I179">
        <v>493</v>
      </c>
      <c r="J179">
        <v>727</v>
      </c>
      <c r="K179">
        <v>389</v>
      </c>
      <c r="L179">
        <v>1107</v>
      </c>
      <c r="M179">
        <v>379</v>
      </c>
      <c r="N179">
        <v>206</v>
      </c>
      <c r="O179">
        <v>90</v>
      </c>
      <c r="P179">
        <v>473</v>
      </c>
      <c r="Q179">
        <v>582</v>
      </c>
      <c r="R179">
        <v>178</v>
      </c>
    </row>
    <row r="180" spans="1:18">
      <c r="A180" s="1" t="s">
        <v>151</v>
      </c>
      <c r="B180">
        <v>35</v>
      </c>
      <c r="C180">
        <v>24</v>
      </c>
      <c r="D180">
        <v>11</v>
      </c>
      <c r="E180">
        <v>5.88</v>
      </c>
      <c r="F180">
        <v>2781</v>
      </c>
      <c r="G180">
        <v>1034</v>
      </c>
      <c r="H180">
        <v>2253</v>
      </c>
      <c r="I180">
        <v>440</v>
      </c>
      <c r="J180">
        <v>676</v>
      </c>
      <c r="K180">
        <v>529</v>
      </c>
      <c r="L180">
        <v>1421</v>
      </c>
      <c r="M180">
        <v>558</v>
      </c>
      <c r="N180">
        <v>241</v>
      </c>
      <c r="O180">
        <v>118</v>
      </c>
      <c r="P180">
        <v>469</v>
      </c>
      <c r="Q180">
        <v>645</v>
      </c>
      <c r="R180">
        <v>179</v>
      </c>
    </row>
    <row r="181" spans="1:18">
      <c r="A181" s="1" t="s">
        <v>152</v>
      </c>
      <c r="B181">
        <v>32</v>
      </c>
      <c r="C181">
        <v>11</v>
      </c>
      <c r="D181">
        <v>21</v>
      </c>
      <c r="E181">
        <v>-0.37</v>
      </c>
      <c r="F181">
        <v>2198</v>
      </c>
      <c r="G181">
        <v>717</v>
      </c>
      <c r="H181">
        <v>1766</v>
      </c>
      <c r="I181">
        <v>481</v>
      </c>
      <c r="J181">
        <v>651</v>
      </c>
      <c r="K181">
        <v>346</v>
      </c>
      <c r="L181">
        <v>1006</v>
      </c>
      <c r="M181">
        <v>397</v>
      </c>
      <c r="N181">
        <v>218</v>
      </c>
      <c r="O181">
        <v>116</v>
      </c>
      <c r="P181">
        <v>460</v>
      </c>
      <c r="Q181">
        <v>696</v>
      </c>
      <c r="R181">
        <v>180</v>
      </c>
    </row>
    <row r="182" spans="1:18">
      <c r="A182" s="1" t="s">
        <v>153</v>
      </c>
      <c r="B182">
        <v>33</v>
      </c>
      <c r="C182">
        <v>17</v>
      </c>
      <c r="D182">
        <v>16</v>
      </c>
      <c r="E182">
        <v>3.43</v>
      </c>
      <c r="F182">
        <v>2236</v>
      </c>
      <c r="G182">
        <v>784</v>
      </c>
      <c r="H182">
        <v>1748</v>
      </c>
      <c r="I182">
        <v>453</v>
      </c>
      <c r="J182">
        <v>633</v>
      </c>
      <c r="K182">
        <v>367</v>
      </c>
      <c r="L182">
        <v>1103</v>
      </c>
      <c r="M182">
        <v>466</v>
      </c>
      <c r="N182">
        <v>230</v>
      </c>
      <c r="O182">
        <v>131</v>
      </c>
      <c r="P182">
        <v>484</v>
      </c>
      <c r="Q182">
        <v>592</v>
      </c>
      <c r="R182">
        <v>181</v>
      </c>
    </row>
    <row r="183" spans="1:18">
      <c r="A183" s="1" t="s">
        <v>328</v>
      </c>
      <c r="B183">
        <v>32</v>
      </c>
      <c r="C183">
        <v>16</v>
      </c>
      <c r="D183">
        <v>16</v>
      </c>
      <c r="E183">
        <v>6.87</v>
      </c>
      <c r="F183">
        <v>2468</v>
      </c>
      <c r="G183">
        <v>913</v>
      </c>
      <c r="H183">
        <v>2011</v>
      </c>
      <c r="I183">
        <v>428</v>
      </c>
      <c r="J183">
        <v>620</v>
      </c>
      <c r="K183">
        <v>378</v>
      </c>
      <c r="L183">
        <v>1113</v>
      </c>
      <c r="M183">
        <v>534</v>
      </c>
      <c r="N183">
        <v>259</v>
      </c>
      <c r="O183">
        <v>97</v>
      </c>
      <c r="P183">
        <v>412</v>
      </c>
      <c r="Q183">
        <v>655</v>
      </c>
      <c r="R183">
        <v>182</v>
      </c>
    </row>
    <row r="184" spans="1:18">
      <c r="A184" s="1" t="s">
        <v>154</v>
      </c>
      <c r="B184">
        <v>31</v>
      </c>
      <c r="C184">
        <v>7</v>
      </c>
      <c r="D184">
        <v>24</v>
      </c>
      <c r="E184">
        <v>-5.22</v>
      </c>
      <c r="F184">
        <v>1834</v>
      </c>
      <c r="G184">
        <v>637</v>
      </c>
      <c r="H184">
        <v>1594</v>
      </c>
      <c r="I184">
        <v>337</v>
      </c>
      <c r="J184">
        <v>491</v>
      </c>
      <c r="K184">
        <v>258</v>
      </c>
      <c r="L184">
        <v>883</v>
      </c>
      <c r="M184">
        <v>372</v>
      </c>
      <c r="N184">
        <v>205</v>
      </c>
      <c r="O184">
        <v>65</v>
      </c>
      <c r="P184">
        <v>446</v>
      </c>
      <c r="Q184">
        <v>629</v>
      </c>
      <c r="R184">
        <v>183</v>
      </c>
    </row>
    <row r="185" spans="1:18">
      <c r="A185" s="1" t="s">
        <v>155</v>
      </c>
      <c r="B185">
        <v>30</v>
      </c>
      <c r="C185">
        <v>15</v>
      </c>
      <c r="D185">
        <v>15</v>
      </c>
      <c r="E185">
        <v>-4.8499999999999996</v>
      </c>
      <c r="F185">
        <v>2180</v>
      </c>
      <c r="G185">
        <v>743</v>
      </c>
      <c r="H185">
        <v>1666</v>
      </c>
      <c r="I185">
        <v>476</v>
      </c>
      <c r="J185">
        <v>639</v>
      </c>
      <c r="K185">
        <v>334</v>
      </c>
      <c r="L185">
        <v>1021</v>
      </c>
      <c r="M185">
        <v>387</v>
      </c>
      <c r="N185">
        <v>160</v>
      </c>
      <c r="O185">
        <v>93</v>
      </c>
      <c r="P185">
        <v>423</v>
      </c>
      <c r="Q185">
        <v>614</v>
      </c>
      <c r="R185">
        <v>184</v>
      </c>
    </row>
    <row r="186" spans="1:18">
      <c r="A186" s="1" t="s">
        <v>156</v>
      </c>
      <c r="B186">
        <v>30</v>
      </c>
      <c r="C186">
        <v>14</v>
      </c>
      <c r="D186">
        <v>16</v>
      </c>
      <c r="E186">
        <v>-4</v>
      </c>
      <c r="F186">
        <v>2081</v>
      </c>
      <c r="G186">
        <v>743</v>
      </c>
      <c r="H186">
        <v>1584</v>
      </c>
      <c r="I186">
        <v>358</v>
      </c>
      <c r="J186">
        <v>531</v>
      </c>
      <c r="K186">
        <v>274</v>
      </c>
      <c r="L186">
        <v>942</v>
      </c>
      <c r="M186">
        <v>455</v>
      </c>
      <c r="N186">
        <v>144</v>
      </c>
      <c r="O186">
        <v>101</v>
      </c>
      <c r="P186">
        <v>369</v>
      </c>
      <c r="Q186">
        <v>512</v>
      </c>
      <c r="R186">
        <v>185</v>
      </c>
    </row>
    <row r="187" spans="1:18">
      <c r="A187" s="1" t="s">
        <v>157</v>
      </c>
      <c r="B187">
        <v>30</v>
      </c>
      <c r="C187">
        <v>15</v>
      </c>
      <c r="D187">
        <v>15</v>
      </c>
      <c r="E187">
        <v>-6.31</v>
      </c>
      <c r="F187">
        <v>1945</v>
      </c>
      <c r="G187">
        <v>665</v>
      </c>
      <c r="H187">
        <v>1553</v>
      </c>
      <c r="I187">
        <v>433</v>
      </c>
      <c r="J187">
        <v>610</v>
      </c>
      <c r="K187">
        <v>330</v>
      </c>
      <c r="L187">
        <v>979</v>
      </c>
      <c r="M187">
        <v>417</v>
      </c>
      <c r="N187">
        <v>219</v>
      </c>
      <c r="O187">
        <v>57</v>
      </c>
      <c r="P187">
        <v>452</v>
      </c>
      <c r="Q187">
        <v>572</v>
      </c>
      <c r="R187">
        <v>186</v>
      </c>
    </row>
    <row r="188" spans="1:18">
      <c r="A188" s="1" t="s">
        <v>158</v>
      </c>
      <c r="B188">
        <v>33</v>
      </c>
      <c r="C188">
        <v>22</v>
      </c>
      <c r="D188">
        <v>11</v>
      </c>
      <c r="E188">
        <v>-8.6</v>
      </c>
      <c r="F188">
        <v>2227</v>
      </c>
      <c r="G188">
        <v>804</v>
      </c>
      <c r="H188">
        <v>1857</v>
      </c>
      <c r="I188">
        <v>460</v>
      </c>
      <c r="J188">
        <v>697</v>
      </c>
      <c r="K188">
        <v>443</v>
      </c>
      <c r="L188">
        <v>1217</v>
      </c>
      <c r="M188">
        <v>355</v>
      </c>
      <c r="N188">
        <v>225</v>
      </c>
      <c r="O188">
        <v>152</v>
      </c>
      <c r="P188">
        <v>428</v>
      </c>
      <c r="Q188">
        <v>640</v>
      </c>
      <c r="R188">
        <v>187</v>
      </c>
    </row>
    <row r="189" spans="1:18">
      <c r="A189" s="1" t="s">
        <v>159</v>
      </c>
      <c r="B189">
        <v>34</v>
      </c>
      <c r="C189">
        <v>19</v>
      </c>
      <c r="D189">
        <v>15</v>
      </c>
      <c r="E189">
        <v>-5.12</v>
      </c>
      <c r="F189">
        <v>2353</v>
      </c>
      <c r="G189">
        <v>822</v>
      </c>
      <c r="H189">
        <v>1856</v>
      </c>
      <c r="I189">
        <v>505</v>
      </c>
      <c r="J189">
        <v>718</v>
      </c>
      <c r="K189">
        <v>345</v>
      </c>
      <c r="L189">
        <v>1152</v>
      </c>
      <c r="M189">
        <v>437</v>
      </c>
      <c r="N189">
        <v>246</v>
      </c>
      <c r="O189">
        <v>121</v>
      </c>
      <c r="P189">
        <v>486</v>
      </c>
      <c r="Q189">
        <v>671</v>
      </c>
      <c r="R189">
        <v>188</v>
      </c>
    </row>
    <row r="190" spans="1:18">
      <c r="A190" s="1" t="s">
        <v>160</v>
      </c>
      <c r="B190">
        <v>31</v>
      </c>
      <c r="C190">
        <v>18</v>
      </c>
      <c r="D190">
        <v>13</v>
      </c>
      <c r="E190">
        <v>-6.97</v>
      </c>
      <c r="F190">
        <v>2262</v>
      </c>
      <c r="G190">
        <v>812</v>
      </c>
      <c r="H190">
        <v>1659</v>
      </c>
      <c r="I190">
        <v>454</v>
      </c>
      <c r="J190">
        <v>626</v>
      </c>
      <c r="K190">
        <v>317</v>
      </c>
      <c r="L190">
        <v>1054</v>
      </c>
      <c r="M190">
        <v>469</v>
      </c>
      <c r="N190">
        <v>225</v>
      </c>
      <c r="O190">
        <v>101</v>
      </c>
      <c r="P190">
        <v>451</v>
      </c>
      <c r="Q190">
        <v>623</v>
      </c>
      <c r="R190">
        <v>189</v>
      </c>
    </row>
    <row r="191" spans="1:18">
      <c r="A191" s="1" t="s">
        <v>161</v>
      </c>
      <c r="B191">
        <v>30</v>
      </c>
      <c r="C191">
        <v>16</v>
      </c>
      <c r="D191">
        <v>14</v>
      </c>
      <c r="E191">
        <v>-7.68</v>
      </c>
      <c r="F191">
        <v>2289</v>
      </c>
      <c r="G191">
        <v>759</v>
      </c>
      <c r="H191">
        <v>1870</v>
      </c>
      <c r="I191">
        <v>483</v>
      </c>
      <c r="J191">
        <v>645</v>
      </c>
      <c r="K191">
        <v>388</v>
      </c>
      <c r="L191">
        <v>1113</v>
      </c>
      <c r="M191">
        <v>421</v>
      </c>
      <c r="N191">
        <v>273</v>
      </c>
      <c r="O191">
        <v>76</v>
      </c>
      <c r="P191">
        <v>493</v>
      </c>
      <c r="Q191">
        <v>650</v>
      </c>
      <c r="R191">
        <v>190</v>
      </c>
    </row>
    <row r="192" spans="1:18">
      <c r="A192" s="1" t="s">
        <v>162</v>
      </c>
      <c r="B192">
        <v>33</v>
      </c>
      <c r="C192">
        <v>20</v>
      </c>
      <c r="D192">
        <v>13</v>
      </c>
      <c r="E192">
        <v>6.34</v>
      </c>
      <c r="F192">
        <v>2214</v>
      </c>
      <c r="G192">
        <v>790</v>
      </c>
      <c r="H192">
        <v>1729</v>
      </c>
      <c r="I192">
        <v>444</v>
      </c>
      <c r="J192">
        <v>667</v>
      </c>
      <c r="K192">
        <v>342</v>
      </c>
      <c r="L192">
        <v>1131</v>
      </c>
      <c r="M192">
        <v>475</v>
      </c>
      <c r="N192">
        <v>277</v>
      </c>
      <c r="O192">
        <v>96</v>
      </c>
      <c r="P192">
        <v>443</v>
      </c>
      <c r="Q192">
        <v>546</v>
      </c>
      <c r="R192">
        <v>191</v>
      </c>
    </row>
    <row r="193" spans="1:18">
      <c r="A193" s="1" t="s">
        <v>285</v>
      </c>
      <c r="B193">
        <v>35</v>
      </c>
      <c r="C193">
        <v>27</v>
      </c>
      <c r="D193">
        <v>8</v>
      </c>
      <c r="E193">
        <v>4.0199999999999996</v>
      </c>
      <c r="F193">
        <v>2440</v>
      </c>
      <c r="G193">
        <v>844</v>
      </c>
      <c r="H193">
        <v>1999</v>
      </c>
      <c r="I193">
        <v>488</v>
      </c>
      <c r="J193">
        <v>653</v>
      </c>
      <c r="K193">
        <v>356</v>
      </c>
      <c r="L193">
        <v>1209</v>
      </c>
      <c r="M193">
        <v>510</v>
      </c>
      <c r="N193">
        <v>278</v>
      </c>
      <c r="O193">
        <v>106</v>
      </c>
      <c r="P193">
        <v>379</v>
      </c>
      <c r="Q193">
        <v>605</v>
      </c>
      <c r="R193">
        <v>192</v>
      </c>
    </row>
    <row r="194" spans="1:18">
      <c r="A194" s="1" t="s">
        <v>163</v>
      </c>
      <c r="B194">
        <v>33</v>
      </c>
      <c r="C194">
        <v>21</v>
      </c>
      <c r="D194">
        <v>12</v>
      </c>
      <c r="E194">
        <v>-0.11</v>
      </c>
      <c r="F194">
        <v>2488</v>
      </c>
      <c r="G194">
        <v>900</v>
      </c>
      <c r="H194">
        <v>1875</v>
      </c>
      <c r="I194">
        <v>493</v>
      </c>
      <c r="J194">
        <v>690</v>
      </c>
      <c r="K194">
        <v>365</v>
      </c>
      <c r="L194">
        <v>1217</v>
      </c>
      <c r="M194">
        <v>475</v>
      </c>
      <c r="N194">
        <v>158</v>
      </c>
      <c r="O194">
        <v>192</v>
      </c>
      <c r="P194">
        <v>460</v>
      </c>
      <c r="Q194">
        <v>582</v>
      </c>
      <c r="R194">
        <v>193</v>
      </c>
    </row>
    <row r="195" spans="1:18">
      <c r="A195" s="1" t="s">
        <v>164</v>
      </c>
      <c r="B195">
        <v>29</v>
      </c>
      <c r="C195">
        <v>9</v>
      </c>
      <c r="D195">
        <v>20</v>
      </c>
      <c r="E195">
        <v>-6.11</v>
      </c>
      <c r="F195">
        <v>1961</v>
      </c>
      <c r="G195">
        <v>645</v>
      </c>
      <c r="H195">
        <v>1647</v>
      </c>
      <c r="I195">
        <v>396</v>
      </c>
      <c r="J195">
        <v>564</v>
      </c>
      <c r="K195">
        <v>333</v>
      </c>
      <c r="L195">
        <v>994</v>
      </c>
      <c r="M195">
        <v>357</v>
      </c>
      <c r="N195">
        <v>170</v>
      </c>
      <c r="O195">
        <v>68</v>
      </c>
      <c r="P195">
        <v>394</v>
      </c>
      <c r="Q195">
        <v>549</v>
      </c>
      <c r="R195">
        <v>194</v>
      </c>
    </row>
    <row r="196" spans="1:18">
      <c r="A196" s="1" t="s">
        <v>165</v>
      </c>
      <c r="B196">
        <v>35</v>
      </c>
      <c r="C196">
        <v>21</v>
      </c>
      <c r="D196">
        <v>14</v>
      </c>
      <c r="E196">
        <v>-1.31</v>
      </c>
      <c r="F196">
        <v>2793</v>
      </c>
      <c r="G196">
        <v>1023</v>
      </c>
      <c r="H196">
        <v>2151</v>
      </c>
      <c r="I196">
        <v>533</v>
      </c>
      <c r="J196">
        <v>843</v>
      </c>
      <c r="K196">
        <v>542</v>
      </c>
      <c r="L196">
        <v>1461</v>
      </c>
      <c r="M196">
        <v>527</v>
      </c>
      <c r="N196">
        <v>239</v>
      </c>
      <c r="O196">
        <v>110</v>
      </c>
      <c r="P196">
        <v>560</v>
      </c>
      <c r="Q196">
        <v>662</v>
      </c>
      <c r="R196">
        <v>195</v>
      </c>
    </row>
    <row r="197" spans="1:18">
      <c r="A197" s="1" t="s">
        <v>166</v>
      </c>
      <c r="B197">
        <v>33</v>
      </c>
      <c r="C197">
        <v>24</v>
      </c>
      <c r="D197">
        <v>9</v>
      </c>
      <c r="E197">
        <v>1.72</v>
      </c>
      <c r="F197">
        <v>2446</v>
      </c>
      <c r="G197">
        <v>847</v>
      </c>
      <c r="H197">
        <v>1817</v>
      </c>
      <c r="I197">
        <v>481</v>
      </c>
      <c r="J197">
        <v>730</v>
      </c>
      <c r="K197">
        <v>342</v>
      </c>
      <c r="L197">
        <v>1138</v>
      </c>
      <c r="M197">
        <v>537</v>
      </c>
      <c r="N197">
        <v>207</v>
      </c>
      <c r="O197">
        <v>88</v>
      </c>
      <c r="P197">
        <v>403</v>
      </c>
      <c r="Q197">
        <v>644</v>
      </c>
      <c r="R197">
        <v>196</v>
      </c>
    </row>
    <row r="198" spans="1:18">
      <c r="A198" s="1" t="s">
        <v>167</v>
      </c>
      <c r="B198">
        <v>32</v>
      </c>
      <c r="C198">
        <v>19</v>
      </c>
      <c r="D198">
        <v>13</v>
      </c>
      <c r="E198">
        <v>-3.56</v>
      </c>
      <c r="F198">
        <v>2352</v>
      </c>
      <c r="G198">
        <v>838</v>
      </c>
      <c r="H198">
        <v>1847</v>
      </c>
      <c r="I198">
        <v>495</v>
      </c>
      <c r="J198">
        <v>677</v>
      </c>
      <c r="K198">
        <v>328</v>
      </c>
      <c r="L198">
        <v>1040</v>
      </c>
      <c r="M198">
        <v>385</v>
      </c>
      <c r="N198">
        <v>232</v>
      </c>
      <c r="O198">
        <v>58</v>
      </c>
      <c r="P198">
        <v>387</v>
      </c>
      <c r="Q198">
        <v>641</v>
      </c>
      <c r="R198">
        <v>197</v>
      </c>
    </row>
    <row r="199" spans="1:18">
      <c r="A199" s="1" t="s">
        <v>168</v>
      </c>
      <c r="B199">
        <v>29</v>
      </c>
      <c r="C199">
        <v>19</v>
      </c>
      <c r="D199">
        <v>10</v>
      </c>
      <c r="E199">
        <v>-3.61</v>
      </c>
      <c r="F199">
        <v>2219</v>
      </c>
      <c r="G199">
        <v>714</v>
      </c>
      <c r="H199">
        <v>1763</v>
      </c>
      <c r="I199">
        <v>569</v>
      </c>
      <c r="J199">
        <v>781</v>
      </c>
      <c r="K199">
        <v>437</v>
      </c>
      <c r="L199">
        <v>1112</v>
      </c>
      <c r="M199">
        <v>364</v>
      </c>
      <c r="N199">
        <v>227</v>
      </c>
      <c r="O199">
        <v>105</v>
      </c>
      <c r="P199">
        <v>392</v>
      </c>
      <c r="Q199">
        <v>578</v>
      </c>
      <c r="R199">
        <v>198</v>
      </c>
    </row>
    <row r="200" spans="1:18">
      <c r="A200" s="1" t="s">
        <v>169</v>
      </c>
      <c r="B200">
        <v>31</v>
      </c>
      <c r="C200">
        <v>10</v>
      </c>
      <c r="D200">
        <v>21</v>
      </c>
      <c r="E200">
        <v>-1.1299999999999999</v>
      </c>
      <c r="F200">
        <v>2007</v>
      </c>
      <c r="G200">
        <v>684</v>
      </c>
      <c r="H200">
        <v>1670</v>
      </c>
      <c r="I200">
        <v>386</v>
      </c>
      <c r="J200">
        <v>582</v>
      </c>
      <c r="K200">
        <v>333</v>
      </c>
      <c r="L200">
        <v>985</v>
      </c>
      <c r="M200">
        <v>413</v>
      </c>
      <c r="N200">
        <v>251</v>
      </c>
      <c r="O200">
        <v>61</v>
      </c>
      <c r="P200">
        <v>545</v>
      </c>
      <c r="Q200">
        <v>634</v>
      </c>
      <c r="R200">
        <v>199</v>
      </c>
    </row>
    <row r="201" spans="1:18">
      <c r="A201" s="1" t="s">
        <v>337</v>
      </c>
      <c r="B201">
        <v>29</v>
      </c>
      <c r="C201">
        <v>0</v>
      </c>
      <c r="D201">
        <v>29</v>
      </c>
      <c r="F201">
        <v>1622</v>
      </c>
      <c r="G201">
        <v>550</v>
      </c>
      <c r="H201">
        <v>1546</v>
      </c>
      <c r="I201">
        <v>380</v>
      </c>
      <c r="J201">
        <v>620</v>
      </c>
      <c r="K201">
        <v>342</v>
      </c>
      <c r="L201">
        <v>998</v>
      </c>
      <c r="M201">
        <v>278</v>
      </c>
      <c r="N201">
        <v>186</v>
      </c>
      <c r="O201">
        <v>101</v>
      </c>
      <c r="P201">
        <v>577</v>
      </c>
      <c r="Q201">
        <v>650</v>
      </c>
      <c r="R201">
        <v>200</v>
      </c>
    </row>
    <row r="202" spans="1:18">
      <c r="A202" s="1" t="s">
        <v>170</v>
      </c>
      <c r="B202">
        <v>31</v>
      </c>
      <c r="C202">
        <v>16</v>
      </c>
      <c r="D202">
        <v>15</v>
      </c>
      <c r="E202">
        <v>-11.97</v>
      </c>
      <c r="F202">
        <v>2158</v>
      </c>
      <c r="G202">
        <v>817</v>
      </c>
      <c r="H202">
        <v>1855</v>
      </c>
      <c r="I202">
        <v>368</v>
      </c>
      <c r="J202">
        <v>553</v>
      </c>
      <c r="K202">
        <v>404</v>
      </c>
      <c r="L202">
        <v>1109</v>
      </c>
      <c r="M202">
        <v>341</v>
      </c>
      <c r="N202">
        <v>268</v>
      </c>
      <c r="O202">
        <v>107</v>
      </c>
      <c r="P202">
        <v>480</v>
      </c>
      <c r="Q202">
        <v>662</v>
      </c>
      <c r="R202">
        <v>201</v>
      </c>
    </row>
    <row r="203" spans="1:18">
      <c r="A203" s="1" t="s">
        <v>171</v>
      </c>
      <c r="B203">
        <v>33</v>
      </c>
      <c r="C203">
        <v>23</v>
      </c>
      <c r="D203">
        <v>10</v>
      </c>
      <c r="E203">
        <v>-4.41</v>
      </c>
      <c r="F203">
        <v>2479</v>
      </c>
      <c r="G203">
        <v>901</v>
      </c>
      <c r="H203">
        <v>1846</v>
      </c>
      <c r="I203">
        <v>469</v>
      </c>
      <c r="J203">
        <v>693</v>
      </c>
      <c r="K203">
        <v>336</v>
      </c>
      <c r="L203">
        <v>1209</v>
      </c>
      <c r="M203">
        <v>572</v>
      </c>
      <c r="N203">
        <v>203</v>
      </c>
      <c r="O203">
        <v>196</v>
      </c>
      <c r="P203">
        <v>447</v>
      </c>
      <c r="Q203">
        <v>465</v>
      </c>
      <c r="R203">
        <v>202</v>
      </c>
    </row>
    <row r="204" spans="1:18">
      <c r="A204" s="1" t="s">
        <v>172</v>
      </c>
      <c r="B204">
        <v>31</v>
      </c>
      <c r="C204">
        <v>15</v>
      </c>
      <c r="D204">
        <v>16</v>
      </c>
      <c r="E204">
        <v>-6.48</v>
      </c>
      <c r="F204">
        <v>2165</v>
      </c>
      <c r="G204">
        <v>767</v>
      </c>
      <c r="H204">
        <v>1686</v>
      </c>
      <c r="I204">
        <v>429</v>
      </c>
      <c r="J204">
        <v>676</v>
      </c>
      <c r="K204">
        <v>354</v>
      </c>
      <c r="L204">
        <v>1136</v>
      </c>
      <c r="M204">
        <v>381</v>
      </c>
      <c r="N204">
        <v>217</v>
      </c>
      <c r="O204">
        <v>102</v>
      </c>
      <c r="P204">
        <v>548</v>
      </c>
      <c r="Q204">
        <v>552</v>
      </c>
      <c r="R204">
        <v>203</v>
      </c>
    </row>
    <row r="205" spans="1:18">
      <c r="A205" s="1" t="s">
        <v>349</v>
      </c>
      <c r="B205">
        <v>30</v>
      </c>
      <c r="C205">
        <v>4</v>
      </c>
      <c r="D205">
        <v>26</v>
      </c>
      <c r="F205">
        <v>1686</v>
      </c>
      <c r="G205">
        <v>605</v>
      </c>
      <c r="H205">
        <v>1598</v>
      </c>
      <c r="I205">
        <v>316</v>
      </c>
      <c r="J205">
        <v>499</v>
      </c>
      <c r="K205">
        <v>307</v>
      </c>
      <c r="L205">
        <v>933</v>
      </c>
      <c r="M205">
        <v>370</v>
      </c>
      <c r="N205">
        <v>236</v>
      </c>
      <c r="O205">
        <v>75</v>
      </c>
      <c r="P205">
        <v>618</v>
      </c>
      <c r="Q205">
        <v>601</v>
      </c>
      <c r="R205">
        <v>204</v>
      </c>
    </row>
    <row r="206" spans="1:18">
      <c r="A206" s="1" t="s">
        <v>173</v>
      </c>
      <c r="B206">
        <v>31</v>
      </c>
      <c r="C206">
        <v>19</v>
      </c>
      <c r="D206">
        <v>12</v>
      </c>
      <c r="E206">
        <v>-1.41</v>
      </c>
      <c r="F206">
        <v>2194</v>
      </c>
      <c r="G206">
        <v>758</v>
      </c>
      <c r="H206">
        <v>1660</v>
      </c>
      <c r="I206">
        <v>448</v>
      </c>
      <c r="J206">
        <v>665</v>
      </c>
      <c r="K206">
        <v>363</v>
      </c>
      <c r="L206">
        <v>1058</v>
      </c>
      <c r="M206">
        <v>443</v>
      </c>
      <c r="N206">
        <v>205</v>
      </c>
      <c r="O206">
        <v>138</v>
      </c>
      <c r="P206">
        <v>438</v>
      </c>
      <c r="Q206">
        <v>500</v>
      </c>
      <c r="R206">
        <v>205</v>
      </c>
    </row>
    <row r="207" spans="1:18">
      <c r="A207" s="1" t="s">
        <v>174</v>
      </c>
      <c r="B207">
        <v>31</v>
      </c>
      <c r="C207">
        <v>15</v>
      </c>
      <c r="D207">
        <v>16</v>
      </c>
      <c r="E207">
        <v>9.06</v>
      </c>
      <c r="F207">
        <v>2086</v>
      </c>
      <c r="G207">
        <v>698</v>
      </c>
      <c r="H207">
        <v>1534</v>
      </c>
      <c r="I207">
        <v>514</v>
      </c>
      <c r="J207">
        <v>715</v>
      </c>
      <c r="K207">
        <v>290</v>
      </c>
      <c r="L207">
        <v>1039</v>
      </c>
      <c r="M207">
        <v>411</v>
      </c>
      <c r="N207">
        <v>157</v>
      </c>
      <c r="O207">
        <v>143</v>
      </c>
      <c r="P207">
        <v>481</v>
      </c>
      <c r="Q207">
        <v>496</v>
      </c>
      <c r="R207">
        <v>206</v>
      </c>
    </row>
    <row r="208" spans="1:18">
      <c r="A208" s="1" t="s">
        <v>286</v>
      </c>
      <c r="B208">
        <v>33</v>
      </c>
      <c r="C208">
        <v>20</v>
      </c>
      <c r="D208">
        <v>13</v>
      </c>
      <c r="E208">
        <v>-2.42</v>
      </c>
      <c r="F208">
        <v>2397</v>
      </c>
      <c r="G208">
        <v>861</v>
      </c>
      <c r="H208">
        <v>1817</v>
      </c>
      <c r="I208">
        <v>446</v>
      </c>
      <c r="J208">
        <v>590</v>
      </c>
      <c r="K208">
        <v>350</v>
      </c>
      <c r="L208">
        <v>1167</v>
      </c>
      <c r="M208">
        <v>466</v>
      </c>
      <c r="N208">
        <v>205</v>
      </c>
      <c r="O208">
        <v>86</v>
      </c>
      <c r="P208">
        <v>506</v>
      </c>
      <c r="Q208">
        <v>595</v>
      </c>
      <c r="R208">
        <v>207</v>
      </c>
    </row>
    <row r="209" spans="1:18">
      <c r="A209" s="1" t="s">
        <v>312</v>
      </c>
      <c r="B209">
        <v>39</v>
      </c>
      <c r="C209">
        <v>36</v>
      </c>
      <c r="D209">
        <v>3</v>
      </c>
      <c r="E209">
        <v>8.1199999999999992</v>
      </c>
      <c r="F209">
        <v>3454</v>
      </c>
      <c r="G209">
        <v>1250</v>
      </c>
      <c r="H209">
        <v>2564</v>
      </c>
      <c r="I209">
        <v>738</v>
      </c>
      <c r="J209">
        <v>975</v>
      </c>
      <c r="K209">
        <v>605</v>
      </c>
      <c r="L209">
        <v>1695</v>
      </c>
      <c r="M209">
        <v>656</v>
      </c>
      <c r="N209">
        <v>318</v>
      </c>
      <c r="O209">
        <v>174</v>
      </c>
      <c r="P209">
        <v>560</v>
      </c>
      <c r="Q209">
        <v>658</v>
      </c>
      <c r="R209">
        <v>208</v>
      </c>
    </row>
    <row r="210" spans="1:18">
      <c r="A210" s="1" t="s">
        <v>338</v>
      </c>
      <c r="B210">
        <v>29</v>
      </c>
      <c r="C210">
        <v>16</v>
      </c>
      <c r="D210">
        <v>13</v>
      </c>
      <c r="F210">
        <v>2238</v>
      </c>
      <c r="G210">
        <v>775</v>
      </c>
      <c r="H210">
        <v>1643</v>
      </c>
      <c r="I210">
        <v>496</v>
      </c>
      <c r="J210">
        <v>668</v>
      </c>
      <c r="K210">
        <v>328</v>
      </c>
      <c r="L210">
        <v>1036</v>
      </c>
      <c r="M210">
        <v>427</v>
      </c>
      <c r="N210">
        <v>173</v>
      </c>
      <c r="O210">
        <v>75</v>
      </c>
      <c r="P210">
        <v>411</v>
      </c>
      <c r="Q210">
        <v>573</v>
      </c>
      <c r="R210">
        <v>209</v>
      </c>
    </row>
    <row r="211" spans="1:18">
      <c r="A211" s="1" t="s">
        <v>339</v>
      </c>
      <c r="B211">
        <v>29</v>
      </c>
      <c r="C211">
        <v>3</v>
      </c>
      <c r="D211">
        <v>26</v>
      </c>
      <c r="F211">
        <v>1723</v>
      </c>
      <c r="G211">
        <v>618</v>
      </c>
      <c r="H211">
        <v>1603</v>
      </c>
      <c r="I211">
        <v>357</v>
      </c>
      <c r="J211">
        <v>585</v>
      </c>
      <c r="K211">
        <v>354</v>
      </c>
      <c r="L211">
        <v>1010</v>
      </c>
      <c r="M211">
        <v>317</v>
      </c>
      <c r="N211">
        <v>189</v>
      </c>
      <c r="O211">
        <v>100</v>
      </c>
      <c r="P211">
        <v>506</v>
      </c>
      <c r="Q211">
        <v>632</v>
      </c>
      <c r="R211">
        <v>210</v>
      </c>
    </row>
    <row r="212" spans="1:18">
      <c r="A212" s="1" t="s">
        <v>175</v>
      </c>
      <c r="B212">
        <v>31</v>
      </c>
      <c r="C212">
        <v>20</v>
      </c>
      <c r="D212">
        <v>11</v>
      </c>
      <c r="E212">
        <v>-2.72</v>
      </c>
      <c r="F212">
        <v>2385</v>
      </c>
      <c r="G212">
        <v>827</v>
      </c>
      <c r="H212">
        <v>1796</v>
      </c>
      <c r="I212">
        <v>527</v>
      </c>
      <c r="J212">
        <v>733</v>
      </c>
      <c r="K212">
        <v>402</v>
      </c>
      <c r="L212">
        <v>1197</v>
      </c>
      <c r="M212">
        <v>336</v>
      </c>
      <c r="N212">
        <v>170</v>
      </c>
      <c r="O212">
        <v>95</v>
      </c>
      <c r="P212">
        <v>466</v>
      </c>
      <c r="Q212">
        <v>599</v>
      </c>
      <c r="R212">
        <v>211</v>
      </c>
    </row>
    <row r="213" spans="1:18">
      <c r="A213" s="1" t="s">
        <v>176</v>
      </c>
      <c r="B213">
        <v>31</v>
      </c>
      <c r="C213">
        <v>14</v>
      </c>
      <c r="D213">
        <v>17</v>
      </c>
      <c r="E213">
        <v>-1.1000000000000001</v>
      </c>
      <c r="F213">
        <v>1965</v>
      </c>
      <c r="G213">
        <v>684</v>
      </c>
      <c r="H213">
        <v>1638</v>
      </c>
      <c r="I213">
        <v>435</v>
      </c>
      <c r="J213">
        <v>596</v>
      </c>
      <c r="K213">
        <v>361</v>
      </c>
      <c r="L213">
        <v>1010</v>
      </c>
      <c r="M213">
        <v>363</v>
      </c>
      <c r="N213">
        <v>218</v>
      </c>
      <c r="O213">
        <v>92</v>
      </c>
      <c r="P213">
        <v>409</v>
      </c>
      <c r="Q213">
        <v>506</v>
      </c>
      <c r="R213">
        <v>212</v>
      </c>
    </row>
    <row r="214" spans="1:18">
      <c r="A214" s="1" t="s">
        <v>287</v>
      </c>
      <c r="B214">
        <v>32</v>
      </c>
      <c r="C214">
        <v>21</v>
      </c>
      <c r="D214">
        <v>11</v>
      </c>
      <c r="E214">
        <v>-3.81</v>
      </c>
      <c r="F214">
        <v>2333</v>
      </c>
      <c r="G214">
        <v>792</v>
      </c>
      <c r="H214">
        <v>1639</v>
      </c>
      <c r="I214">
        <v>538</v>
      </c>
      <c r="J214">
        <v>752</v>
      </c>
      <c r="K214">
        <v>290</v>
      </c>
      <c r="L214">
        <v>1095</v>
      </c>
      <c r="M214">
        <v>510</v>
      </c>
      <c r="N214">
        <v>200</v>
      </c>
      <c r="O214">
        <v>70</v>
      </c>
      <c r="P214">
        <v>490</v>
      </c>
      <c r="Q214">
        <v>658</v>
      </c>
      <c r="R214">
        <v>213</v>
      </c>
    </row>
    <row r="215" spans="1:18">
      <c r="A215" s="1" t="s">
        <v>333</v>
      </c>
      <c r="B215">
        <v>29</v>
      </c>
      <c r="C215">
        <v>13</v>
      </c>
      <c r="D215">
        <v>16</v>
      </c>
      <c r="E215">
        <v>-4.71</v>
      </c>
      <c r="F215">
        <v>2004</v>
      </c>
      <c r="G215">
        <v>681</v>
      </c>
      <c r="H215">
        <v>1574</v>
      </c>
      <c r="I215">
        <v>463</v>
      </c>
      <c r="J215">
        <v>653</v>
      </c>
      <c r="K215">
        <v>356</v>
      </c>
      <c r="L215">
        <v>1033</v>
      </c>
      <c r="M215">
        <v>368</v>
      </c>
      <c r="N215">
        <v>209</v>
      </c>
      <c r="O215">
        <v>46</v>
      </c>
      <c r="P215">
        <v>516</v>
      </c>
      <c r="Q215">
        <v>582</v>
      </c>
      <c r="R215">
        <v>214</v>
      </c>
    </row>
    <row r="216" spans="1:18">
      <c r="A216" s="1" t="s">
        <v>177</v>
      </c>
      <c r="B216">
        <v>28</v>
      </c>
      <c r="C216">
        <v>6</v>
      </c>
      <c r="D216">
        <v>22</v>
      </c>
      <c r="E216">
        <v>0.38</v>
      </c>
      <c r="F216">
        <v>1840</v>
      </c>
      <c r="G216">
        <v>655</v>
      </c>
      <c r="H216">
        <v>1563</v>
      </c>
      <c r="I216">
        <v>388</v>
      </c>
      <c r="J216">
        <v>571</v>
      </c>
      <c r="K216">
        <v>349</v>
      </c>
      <c r="L216">
        <v>990</v>
      </c>
      <c r="M216">
        <v>327</v>
      </c>
      <c r="N216">
        <v>174</v>
      </c>
      <c r="O216">
        <v>101</v>
      </c>
      <c r="P216">
        <v>509</v>
      </c>
      <c r="Q216">
        <v>607</v>
      </c>
      <c r="R216">
        <v>215</v>
      </c>
    </row>
    <row r="217" spans="1:18">
      <c r="A217" s="1" t="s">
        <v>178</v>
      </c>
      <c r="B217">
        <v>32</v>
      </c>
      <c r="C217">
        <v>18</v>
      </c>
      <c r="D217">
        <v>14</v>
      </c>
      <c r="E217">
        <v>3.61</v>
      </c>
      <c r="F217">
        <v>1996</v>
      </c>
      <c r="G217">
        <v>670</v>
      </c>
      <c r="H217">
        <v>1506</v>
      </c>
      <c r="I217">
        <v>479</v>
      </c>
      <c r="J217">
        <v>654</v>
      </c>
      <c r="K217">
        <v>247</v>
      </c>
      <c r="L217">
        <v>1038</v>
      </c>
      <c r="M217">
        <v>374</v>
      </c>
      <c r="N217">
        <v>130</v>
      </c>
      <c r="O217">
        <v>104</v>
      </c>
      <c r="P217">
        <v>379</v>
      </c>
      <c r="Q217">
        <v>582</v>
      </c>
      <c r="R217">
        <v>216</v>
      </c>
    </row>
    <row r="218" spans="1:18">
      <c r="A218" s="1" t="s">
        <v>179</v>
      </c>
      <c r="B218">
        <v>33</v>
      </c>
      <c r="C218">
        <v>15</v>
      </c>
      <c r="D218">
        <v>18</v>
      </c>
      <c r="E218">
        <v>-2.7</v>
      </c>
      <c r="F218">
        <v>2437</v>
      </c>
      <c r="G218">
        <v>856</v>
      </c>
      <c r="H218">
        <v>1989</v>
      </c>
      <c r="I218">
        <v>504</v>
      </c>
      <c r="J218">
        <v>711</v>
      </c>
      <c r="K218">
        <v>431</v>
      </c>
      <c r="L218">
        <v>1218</v>
      </c>
      <c r="M218">
        <v>503</v>
      </c>
      <c r="N218">
        <v>279</v>
      </c>
      <c r="O218">
        <v>141</v>
      </c>
      <c r="P218">
        <v>626</v>
      </c>
      <c r="Q218">
        <v>723</v>
      </c>
      <c r="R218">
        <v>217</v>
      </c>
    </row>
    <row r="219" spans="1:18">
      <c r="A219" s="1" t="s">
        <v>180</v>
      </c>
      <c r="B219">
        <v>30</v>
      </c>
      <c r="C219">
        <v>8</v>
      </c>
      <c r="D219">
        <v>22</v>
      </c>
      <c r="E219">
        <v>6.15</v>
      </c>
      <c r="F219">
        <v>1854</v>
      </c>
      <c r="G219">
        <v>681</v>
      </c>
      <c r="H219">
        <v>1541</v>
      </c>
      <c r="I219">
        <v>246</v>
      </c>
      <c r="J219">
        <v>372</v>
      </c>
      <c r="K219">
        <v>197</v>
      </c>
      <c r="L219">
        <v>720</v>
      </c>
      <c r="M219">
        <v>492</v>
      </c>
      <c r="N219">
        <v>240</v>
      </c>
      <c r="O219">
        <v>58</v>
      </c>
      <c r="P219">
        <v>343</v>
      </c>
      <c r="Q219">
        <v>534</v>
      </c>
      <c r="R219">
        <v>218</v>
      </c>
    </row>
    <row r="220" spans="1:18">
      <c r="A220" s="1" t="s">
        <v>181</v>
      </c>
      <c r="B220">
        <v>33</v>
      </c>
      <c r="C220">
        <v>25</v>
      </c>
      <c r="D220">
        <v>8</v>
      </c>
      <c r="E220">
        <v>7.03</v>
      </c>
      <c r="F220">
        <v>2608</v>
      </c>
      <c r="G220">
        <v>914</v>
      </c>
      <c r="H220">
        <v>2015</v>
      </c>
      <c r="I220">
        <v>506</v>
      </c>
      <c r="J220">
        <v>686</v>
      </c>
      <c r="K220">
        <v>436</v>
      </c>
      <c r="L220">
        <v>1371</v>
      </c>
      <c r="M220">
        <v>608</v>
      </c>
      <c r="N220">
        <v>205</v>
      </c>
      <c r="O220">
        <v>125</v>
      </c>
      <c r="P220">
        <v>429</v>
      </c>
      <c r="Q220">
        <v>497</v>
      </c>
      <c r="R220">
        <v>219</v>
      </c>
    </row>
    <row r="221" spans="1:18">
      <c r="A221" s="1" t="s">
        <v>182</v>
      </c>
      <c r="B221">
        <v>31</v>
      </c>
      <c r="C221">
        <v>17</v>
      </c>
      <c r="D221">
        <v>14</v>
      </c>
      <c r="E221">
        <v>-0.81</v>
      </c>
      <c r="F221">
        <v>2369</v>
      </c>
      <c r="G221">
        <v>825</v>
      </c>
      <c r="H221">
        <v>1865</v>
      </c>
      <c r="I221">
        <v>530</v>
      </c>
      <c r="J221">
        <v>758</v>
      </c>
      <c r="K221">
        <v>488</v>
      </c>
      <c r="L221">
        <v>1139</v>
      </c>
      <c r="M221">
        <v>410</v>
      </c>
      <c r="N221">
        <v>234</v>
      </c>
      <c r="O221">
        <v>120</v>
      </c>
      <c r="P221">
        <v>417</v>
      </c>
      <c r="Q221">
        <v>566</v>
      </c>
      <c r="R221">
        <v>220</v>
      </c>
    </row>
    <row r="222" spans="1:18">
      <c r="A222" s="1" t="s">
        <v>321</v>
      </c>
      <c r="B222">
        <v>37</v>
      </c>
      <c r="C222">
        <v>24</v>
      </c>
      <c r="D222">
        <v>13</v>
      </c>
      <c r="E222">
        <v>7.97</v>
      </c>
      <c r="F222">
        <v>2551</v>
      </c>
      <c r="G222">
        <v>951</v>
      </c>
      <c r="H222">
        <v>2052</v>
      </c>
      <c r="I222">
        <v>397</v>
      </c>
      <c r="J222">
        <v>578</v>
      </c>
      <c r="K222">
        <v>397</v>
      </c>
      <c r="L222">
        <v>1303</v>
      </c>
      <c r="M222">
        <v>544</v>
      </c>
      <c r="N222">
        <v>243</v>
      </c>
      <c r="O222">
        <v>186</v>
      </c>
      <c r="P222">
        <v>494</v>
      </c>
      <c r="Q222">
        <v>537</v>
      </c>
      <c r="R222">
        <v>221</v>
      </c>
    </row>
    <row r="223" spans="1:18">
      <c r="A223" s="1" t="s">
        <v>183</v>
      </c>
      <c r="B223">
        <v>33</v>
      </c>
      <c r="C223">
        <v>20</v>
      </c>
      <c r="D223">
        <v>13</v>
      </c>
      <c r="E223">
        <v>1.3</v>
      </c>
      <c r="F223">
        <v>2234</v>
      </c>
      <c r="G223">
        <v>765</v>
      </c>
      <c r="H223">
        <v>1703</v>
      </c>
      <c r="I223">
        <v>480</v>
      </c>
      <c r="J223">
        <v>671</v>
      </c>
      <c r="K223">
        <v>352</v>
      </c>
      <c r="L223">
        <v>1106</v>
      </c>
      <c r="M223">
        <v>477</v>
      </c>
      <c r="N223">
        <v>251</v>
      </c>
      <c r="O223">
        <v>66</v>
      </c>
      <c r="P223">
        <v>474</v>
      </c>
      <c r="Q223">
        <v>566</v>
      </c>
      <c r="R223">
        <v>222</v>
      </c>
    </row>
    <row r="224" spans="1:18">
      <c r="A224" s="1" t="s">
        <v>340</v>
      </c>
      <c r="B224">
        <v>33</v>
      </c>
      <c r="C224">
        <v>17</v>
      </c>
      <c r="D224">
        <v>16</v>
      </c>
      <c r="E224">
        <v>7.67</v>
      </c>
      <c r="F224">
        <v>2257</v>
      </c>
      <c r="G224">
        <v>763</v>
      </c>
      <c r="H224">
        <v>1780</v>
      </c>
      <c r="I224">
        <v>491</v>
      </c>
      <c r="J224">
        <v>687</v>
      </c>
      <c r="K224">
        <v>366</v>
      </c>
      <c r="L224">
        <v>1057</v>
      </c>
      <c r="M224">
        <v>354</v>
      </c>
      <c r="N224">
        <v>273</v>
      </c>
      <c r="O224">
        <v>105</v>
      </c>
      <c r="P224">
        <v>482</v>
      </c>
      <c r="Q224">
        <v>677</v>
      </c>
      <c r="R224">
        <v>223</v>
      </c>
    </row>
    <row r="225" spans="1:18">
      <c r="A225" s="1" t="s">
        <v>329</v>
      </c>
      <c r="B225">
        <v>35</v>
      </c>
      <c r="C225">
        <v>23</v>
      </c>
      <c r="D225">
        <v>12</v>
      </c>
      <c r="E225">
        <v>7.85</v>
      </c>
      <c r="F225">
        <v>2378</v>
      </c>
      <c r="G225">
        <v>831</v>
      </c>
      <c r="H225">
        <v>1880</v>
      </c>
      <c r="I225">
        <v>496</v>
      </c>
      <c r="J225">
        <v>728</v>
      </c>
      <c r="K225">
        <v>391</v>
      </c>
      <c r="L225">
        <v>1240</v>
      </c>
      <c r="M225">
        <v>436</v>
      </c>
      <c r="N225">
        <v>226</v>
      </c>
      <c r="O225">
        <v>135</v>
      </c>
      <c r="P225">
        <v>451</v>
      </c>
      <c r="Q225">
        <v>595</v>
      </c>
      <c r="R225">
        <v>224</v>
      </c>
    </row>
    <row r="226" spans="1:18">
      <c r="A226" s="1" t="s">
        <v>184</v>
      </c>
      <c r="B226">
        <v>34</v>
      </c>
      <c r="C226">
        <v>18</v>
      </c>
      <c r="D226">
        <v>16</v>
      </c>
      <c r="E226">
        <v>0.28000000000000003</v>
      </c>
      <c r="F226">
        <v>2263</v>
      </c>
      <c r="G226">
        <v>847</v>
      </c>
      <c r="H226">
        <v>1974</v>
      </c>
      <c r="I226">
        <v>357</v>
      </c>
      <c r="J226">
        <v>536</v>
      </c>
      <c r="K226">
        <v>470</v>
      </c>
      <c r="L226">
        <v>1247</v>
      </c>
      <c r="M226">
        <v>505</v>
      </c>
      <c r="N226">
        <v>260</v>
      </c>
      <c r="O226">
        <v>167</v>
      </c>
      <c r="P226">
        <v>444</v>
      </c>
      <c r="Q226">
        <v>560</v>
      </c>
      <c r="R226">
        <v>225</v>
      </c>
    </row>
    <row r="227" spans="1:18">
      <c r="A227" s="1" t="s">
        <v>185</v>
      </c>
      <c r="B227">
        <v>33</v>
      </c>
      <c r="C227">
        <v>24</v>
      </c>
      <c r="D227">
        <v>9</v>
      </c>
      <c r="E227">
        <v>-0.26</v>
      </c>
      <c r="F227">
        <v>2282</v>
      </c>
      <c r="G227">
        <v>785</v>
      </c>
      <c r="H227">
        <v>1783</v>
      </c>
      <c r="I227">
        <v>489</v>
      </c>
      <c r="J227">
        <v>730</v>
      </c>
      <c r="K227">
        <v>371</v>
      </c>
      <c r="L227">
        <v>1182</v>
      </c>
      <c r="M227">
        <v>445</v>
      </c>
      <c r="N227">
        <v>206</v>
      </c>
      <c r="O227">
        <v>132</v>
      </c>
      <c r="P227">
        <v>431</v>
      </c>
      <c r="Q227">
        <v>554</v>
      </c>
      <c r="R227">
        <v>226</v>
      </c>
    </row>
    <row r="228" spans="1:18">
      <c r="A228" s="1" t="s">
        <v>186</v>
      </c>
      <c r="B228">
        <v>31</v>
      </c>
      <c r="C228">
        <v>6</v>
      </c>
      <c r="D228">
        <v>25</v>
      </c>
      <c r="E228">
        <v>7.34</v>
      </c>
      <c r="F228">
        <v>1858</v>
      </c>
      <c r="G228">
        <v>684</v>
      </c>
      <c r="H228">
        <v>1832</v>
      </c>
      <c r="I228">
        <v>322</v>
      </c>
      <c r="J228">
        <v>496</v>
      </c>
      <c r="K228">
        <v>405</v>
      </c>
      <c r="L228">
        <v>1071</v>
      </c>
      <c r="M228">
        <v>327</v>
      </c>
      <c r="N228">
        <v>168</v>
      </c>
      <c r="O228">
        <v>90</v>
      </c>
      <c r="P228">
        <v>390</v>
      </c>
      <c r="Q228">
        <v>570</v>
      </c>
      <c r="R228">
        <v>227</v>
      </c>
    </row>
    <row r="229" spans="1:18">
      <c r="A229" s="1" t="s">
        <v>288</v>
      </c>
      <c r="B229">
        <v>32</v>
      </c>
      <c r="C229">
        <v>18</v>
      </c>
      <c r="D229">
        <v>14</v>
      </c>
      <c r="E229">
        <v>7.65</v>
      </c>
      <c r="F229">
        <v>2450</v>
      </c>
      <c r="G229">
        <v>858</v>
      </c>
      <c r="H229">
        <v>1788</v>
      </c>
      <c r="I229">
        <v>455</v>
      </c>
      <c r="J229">
        <v>656</v>
      </c>
      <c r="K229">
        <v>327</v>
      </c>
      <c r="L229">
        <v>1093</v>
      </c>
      <c r="M229">
        <v>475</v>
      </c>
      <c r="N229">
        <v>148</v>
      </c>
      <c r="O229">
        <v>81</v>
      </c>
      <c r="P229">
        <v>402</v>
      </c>
      <c r="Q229">
        <v>586</v>
      </c>
      <c r="R229">
        <v>228</v>
      </c>
    </row>
    <row r="230" spans="1:18">
      <c r="A230" s="1" t="s">
        <v>187</v>
      </c>
      <c r="B230">
        <v>31</v>
      </c>
      <c r="C230">
        <v>21</v>
      </c>
      <c r="D230">
        <v>10</v>
      </c>
      <c r="E230">
        <v>-4.22</v>
      </c>
      <c r="F230">
        <v>2237</v>
      </c>
      <c r="G230">
        <v>772</v>
      </c>
      <c r="H230">
        <v>1569</v>
      </c>
      <c r="I230">
        <v>459</v>
      </c>
      <c r="J230">
        <v>675</v>
      </c>
      <c r="K230">
        <v>292</v>
      </c>
      <c r="L230">
        <v>1039</v>
      </c>
      <c r="M230">
        <v>433</v>
      </c>
      <c r="N230">
        <v>192</v>
      </c>
      <c r="O230">
        <v>60</v>
      </c>
      <c r="P230">
        <v>462</v>
      </c>
      <c r="Q230">
        <v>549</v>
      </c>
      <c r="R230">
        <v>229</v>
      </c>
    </row>
    <row r="231" spans="1:18">
      <c r="A231" s="1" t="s">
        <v>188</v>
      </c>
      <c r="B231">
        <v>31</v>
      </c>
      <c r="C231">
        <v>15</v>
      </c>
      <c r="D231">
        <v>16</v>
      </c>
      <c r="E231">
        <v>6.12</v>
      </c>
      <c r="F231">
        <v>2019</v>
      </c>
      <c r="G231">
        <v>723</v>
      </c>
      <c r="H231">
        <v>1731</v>
      </c>
      <c r="I231">
        <v>346</v>
      </c>
      <c r="J231">
        <v>556</v>
      </c>
      <c r="K231">
        <v>400</v>
      </c>
      <c r="L231">
        <v>1065</v>
      </c>
      <c r="M231">
        <v>412</v>
      </c>
      <c r="N231">
        <v>179</v>
      </c>
      <c r="O231">
        <v>66</v>
      </c>
      <c r="P231">
        <v>391</v>
      </c>
      <c r="Q231">
        <v>509</v>
      </c>
      <c r="R231">
        <v>230</v>
      </c>
    </row>
    <row r="232" spans="1:18">
      <c r="A232" s="1" t="s">
        <v>289</v>
      </c>
      <c r="B232">
        <v>31</v>
      </c>
      <c r="C232">
        <v>13</v>
      </c>
      <c r="D232">
        <v>18</v>
      </c>
      <c r="E232">
        <v>-3.75</v>
      </c>
      <c r="F232">
        <v>2096</v>
      </c>
      <c r="G232">
        <v>737</v>
      </c>
      <c r="H232">
        <v>1717</v>
      </c>
      <c r="I232">
        <v>466</v>
      </c>
      <c r="J232">
        <v>686</v>
      </c>
      <c r="K232">
        <v>355</v>
      </c>
      <c r="L232">
        <v>1057</v>
      </c>
      <c r="M232">
        <v>425</v>
      </c>
      <c r="N232">
        <v>192</v>
      </c>
      <c r="O232">
        <v>125</v>
      </c>
      <c r="P232">
        <v>491</v>
      </c>
      <c r="Q232">
        <v>638</v>
      </c>
      <c r="R232">
        <v>231</v>
      </c>
    </row>
    <row r="233" spans="1:18">
      <c r="A233" s="1" t="s">
        <v>290</v>
      </c>
      <c r="B233">
        <v>32</v>
      </c>
      <c r="C233">
        <v>11</v>
      </c>
      <c r="D233">
        <v>21</v>
      </c>
      <c r="E233">
        <v>-0.06</v>
      </c>
      <c r="F233">
        <v>2365</v>
      </c>
      <c r="G233">
        <v>829</v>
      </c>
      <c r="H233">
        <v>1992</v>
      </c>
      <c r="I233">
        <v>474</v>
      </c>
      <c r="J233">
        <v>685</v>
      </c>
      <c r="K233">
        <v>414</v>
      </c>
      <c r="L233">
        <v>1117</v>
      </c>
      <c r="M233">
        <v>401</v>
      </c>
      <c r="N233">
        <v>316</v>
      </c>
      <c r="O233">
        <v>128</v>
      </c>
      <c r="P233">
        <v>544</v>
      </c>
      <c r="Q233">
        <v>607</v>
      </c>
      <c r="R233">
        <v>232</v>
      </c>
    </row>
    <row r="234" spans="1:18">
      <c r="A234" s="1" t="s">
        <v>189</v>
      </c>
      <c r="B234">
        <v>37</v>
      </c>
      <c r="C234">
        <v>27</v>
      </c>
      <c r="D234">
        <v>10</v>
      </c>
      <c r="E234">
        <v>7.84</v>
      </c>
      <c r="F234">
        <v>2731</v>
      </c>
      <c r="G234">
        <v>997</v>
      </c>
      <c r="H234">
        <v>2185</v>
      </c>
      <c r="I234">
        <v>512</v>
      </c>
      <c r="J234">
        <v>768</v>
      </c>
      <c r="K234">
        <v>533</v>
      </c>
      <c r="L234">
        <v>1399</v>
      </c>
      <c r="M234">
        <v>578</v>
      </c>
      <c r="N234">
        <v>251</v>
      </c>
      <c r="O234">
        <v>125</v>
      </c>
      <c r="P234">
        <v>445</v>
      </c>
      <c r="Q234">
        <v>598</v>
      </c>
      <c r="R234">
        <v>233</v>
      </c>
    </row>
    <row r="235" spans="1:18">
      <c r="A235" s="1" t="s">
        <v>190</v>
      </c>
      <c r="B235">
        <v>33</v>
      </c>
      <c r="C235">
        <v>23</v>
      </c>
      <c r="D235">
        <v>10</v>
      </c>
      <c r="E235">
        <v>-3.01</v>
      </c>
      <c r="F235">
        <v>2438</v>
      </c>
      <c r="G235">
        <v>846</v>
      </c>
      <c r="H235">
        <v>1822</v>
      </c>
      <c r="I235">
        <v>452</v>
      </c>
      <c r="J235">
        <v>668</v>
      </c>
      <c r="K235">
        <v>381</v>
      </c>
      <c r="L235">
        <v>1129</v>
      </c>
      <c r="M235">
        <v>521</v>
      </c>
      <c r="N235">
        <v>231</v>
      </c>
      <c r="O235">
        <v>108</v>
      </c>
      <c r="P235">
        <v>484</v>
      </c>
      <c r="Q235">
        <v>591</v>
      </c>
      <c r="R235">
        <v>234</v>
      </c>
    </row>
    <row r="236" spans="1:18">
      <c r="A236" s="1" t="s">
        <v>191</v>
      </c>
      <c r="B236">
        <v>31</v>
      </c>
      <c r="C236">
        <v>9</v>
      </c>
      <c r="D236">
        <v>22</v>
      </c>
      <c r="E236">
        <v>-1.24</v>
      </c>
      <c r="F236">
        <v>1957</v>
      </c>
      <c r="G236">
        <v>710</v>
      </c>
      <c r="H236">
        <v>1661</v>
      </c>
      <c r="I236">
        <v>345</v>
      </c>
      <c r="J236">
        <v>488</v>
      </c>
      <c r="K236">
        <v>339</v>
      </c>
      <c r="L236">
        <v>1069</v>
      </c>
      <c r="M236">
        <v>383</v>
      </c>
      <c r="N236">
        <v>160</v>
      </c>
      <c r="O236">
        <v>70</v>
      </c>
      <c r="P236">
        <v>484</v>
      </c>
      <c r="Q236">
        <v>594</v>
      </c>
      <c r="R236">
        <v>235</v>
      </c>
    </row>
    <row r="237" spans="1:18">
      <c r="A237" s="1" t="s">
        <v>192</v>
      </c>
      <c r="B237">
        <v>30</v>
      </c>
      <c r="C237">
        <v>8</v>
      </c>
      <c r="D237">
        <v>22</v>
      </c>
      <c r="E237">
        <v>-9.6999999999999993</v>
      </c>
      <c r="F237">
        <v>1977</v>
      </c>
      <c r="G237">
        <v>717</v>
      </c>
      <c r="H237">
        <v>1660</v>
      </c>
      <c r="I237">
        <v>388</v>
      </c>
      <c r="J237">
        <v>644</v>
      </c>
      <c r="K237">
        <v>361</v>
      </c>
      <c r="L237">
        <v>1064</v>
      </c>
      <c r="M237">
        <v>357</v>
      </c>
      <c r="N237">
        <v>232</v>
      </c>
      <c r="O237">
        <v>124</v>
      </c>
      <c r="P237">
        <v>559</v>
      </c>
      <c r="Q237">
        <v>685</v>
      </c>
      <c r="R237">
        <v>236</v>
      </c>
    </row>
    <row r="238" spans="1:18">
      <c r="A238" s="1" t="s">
        <v>350</v>
      </c>
      <c r="B238">
        <v>30</v>
      </c>
      <c r="C238">
        <v>5</v>
      </c>
      <c r="D238">
        <v>25</v>
      </c>
      <c r="F238">
        <v>1787</v>
      </c>
      <c r="G238">
        <v>622</v>
      </c>
      <c r="H238">
        <v>1470</v>
      </c>
      <c r="I238">
        <v>267</v>
      </c>
      <c r="J238">
        <v>408</v>
      </c>
      <c r="K238">
        <v>262</v>
      </c>
      <c r="L238">
        <v>817</v>
      </c>
      <c r="M238">
        <v>375</v>
      </c>
      <c r="N238">
        <v>199</v>
      </c>
      <c r="O238">
        <v>46</v>
      </c>
      <c r="P238">
        <v>449</v>
      </c>
      <c r="Q238">
        <v>479</v>
      </c>
      <c r="R238">
        <v>237</v>
      </c>
    </row>
    <row r="239" spans="1:18">
      <c r="A239" s="1" t="s">
        <v>193</v>
      </c>
      <c r="B239">
        <v>29</v>
      </c>
      <c r="C239">
        <v>6</v>
      </c>
      <c r="D239">
        <v>23</v>
      </c>
      <c r="E239">
        <v>-4.05</v>
      </c>
      <c r="F239">
        <v>1673</v>
      </c>
      <c r="G239">
        <v>601</v>
      </c>
      <c r="H239">
        <v>1415</v>
      </c>
      <c r="I239">
        <v>266</v>
      </c>
      <c r="J239">
        <v>381</v>
      </c>
      <c r="K239">
        <v>245</v>
      </c>
      <c r="L239">
        <v>815</v>
      </c>
      <c r="M239">
        <v>352</v>
      </c>
      <c r="N239">
        <v>152</v>
      </c>
      <c r="O239">
        <v>59</v>
      </c>
      <c r="P239">
        <v>417</v>
      </c>
      <c r="Q239">
        <v>557</v>
      </c>
      <c r="R239">
        <v>238</v>
      </c>
    </row>
    <row r="240" spans="1:18">
      <c r="A240" s="1" t="s">
        <v>194</v>
      </c>
      <c r="B240">
        <v>31</v>
      </c>
      <c r="C240">
        <v>15</v>
      </c>
      <c r="D240">
        <v>16</v>
      </c>
      <c r="E240">
        <v>7.86</v>
      </c>
      <c r="F240">
        <v>2253</v>
      </c>
      <c r="G240">
        <v>810</v>
      </c>
      <c r="H240">
        <v>1802</v>
      </c>
      <c r="I240">
        <v>396</v>
      </c>
      <c r="J240">
        <v>582</v>
      </c>
      <c r="K240">
        <v>399</v>
      </c>
      <c r="L240">
        <v>1076</v>
      </c>
      <c r="M240">
        <v>453</v>
      </c>
      <c r="N240">
        <v>244</v>
      </c>
      <c r="O240">
        <v>104</v>
      </c>
      <c r="P240">
        <v>450</v>
      </c>
      <c r="Q240">
        <v>551</v>
      </c>
      <c r="R240">
        <v>239</v>
      </c>
    </row>
    <row r="241" spans="1:18">
      <c r="A241" s="1" t="s">
        <v>291</v>
      </c>
      <c r="B241">
        <v>34</v>
      </c>
      <c r="C241">
        <v>25</v>
      </c>
      <c r="D241">
        <v>9</v>
      </c>
      <c r="E241">
        <v>5.9</v>
      </c>
      <c r="F241">
        <v>2367</v>
      </c>
      <c r="G241">
        <v>806</v>
      </c>
      <c r="H241">
        <v>1900</v>
      </c>
      <c r="I241">
        <v>502</v>
      </c>
      <c r="J241">
        <v>705</v>
      </c>
      <c r="K241">
        <v>389</v>
      </c>
      <c r="L241">
        <v>1124</v>
      </c>
      <c r="M241">
        <v>451</v>
      </c>
      <c r="N241">
        <v>286</v>
      </c>
      <c r="O241">
        <v>147</v>
      </c>
      <c r="P241">
        <v>436</v>
      </c>
      <c r="Q241">
        <v>671</v>
      </c>
      <c r="R241">
        <v>240</v>
      </c>
    </row>
    <row r="242" spans="1:18">
      <c r="A242" s="1" t="s">
        <v>195</v>
      </c>
      <c r="B242">
        <v>30</v>
      </c>
      <c r="C242">
        <v>15</v>
      </c>
      <c r="D242">
        <v>15</v>
      </c>
      <c r="E242">
        <v>-7.08</v>
      </c>
      <c r="F242">
        <v>2226</v>
      </c>
      <c r="G242">
        <v>816</v>
      </c>
      <c r="H242">
        <v>1769</v>
      </c>
      <c r="I242">
        <v>416</v>
      </c>
      <c r="J242">
        <v>590</v>
      </c>
      <c r="K242">
        <v>376</v>
      </c>
      <c r="L242">
        <v>1148</v>
      </c>
      <c r="M242">
        <v>443</v>
      </c>
      <c r="N242">
        <v>176</v>
      </c>
      <c r="O242">
        <v>76</v>
      </c>
      <c r="P242">
        <v>450</v>
      </c>
      <c r="Q242">
        <v>612</v>
      </c>
      <c r="R242">
        <v>241</v>
      </c>
    </row>
    <row r="243" spans="1:18">
      <c r="A243" s="1" t="s">
        <v>196</v>
      </c>
      <c r="B243">
        <v>30</v>
      </c>
      <c r="C243">
        <v>10</v>
      </c>
      <c r="D243">
        <v>20</v>
      </c>
      <c r="E243">
        <v>-3.15</v>
      </c>
      <c r="F243">
        <v>2128</v>
      </c>
      <c r="G243">
        <v>744</v>
      </c>
      <c r="H243">
        <v>1687</v>
      </c>
      <c r="I243">
        <v>477</v>
      </c>
      <c r="J243">
        <v>702</v>
      </c>
      <c r="K243">
        <v>366</v>
      </c>
      <c r="L243">
        <v>1134</v>
      </c>
      <c r="M243">
        <v>392</v>
      </c>
      <c r="N243">
        <v>182</v>
      </c>
      <c r="O243">
        <v>101</v>
      </c>
      <c r="P243">
        <v>527</v>
      </c>
      <c r="Q243">
        <v>606</v>
      </c>
      <c r="R243">
        <v>242</v>
      </c>
    </row>
    <row r="244" spans="1:18">
      <c r="A244" s="1" t="s">
        <v>197</v>
      </c>
      <c r="B244">
        <v>33</v>
      </c>
      <c r="C244">
        <v>21</v>
      </c>
      <c r="D244">
        <v>12</v>
      </c>
      <c r="E244">
        <v>2.29</v>
      </c>
      <c r="F244">
        <v>2658</v>
      </c>
      <c r="G244">
        <v>937</v>
      </c>
      <c r="H244">
        <v>1994</v>
      </c>
      <c r="I244">
        <v>541</v>
      </c>
      <c r="J244">
        <v>781</v>
      </c>
      <c r="K244">
        <v>445</v>
      </c>
      <c r="L244">
        <v>1263</v>
      </c>
      <c r="M244">
        <v>490</v>
      </c>
      <c r="N244">
        <v>231</v>
      </c>
      <c r="O244">
        <v>132</v>
      </c>
      <c r="P244">
        <v>462</v>
      </c>
      <c r="Q244">
        <v>606</v>
      </c>
      <c r="R244">
        <v>243</v>
      </c>
    </row>
    <row r="245" spans="1:18">
      <c r="A245" s="1" t="s">
        <v>198</v>
      </c>
      <c r="B245">
        <v>30</v>
      </c>
      <c r="C245">
        <v>3</v>
      </c>
      <c r="D245">
        <v>27</v>
      </c>
      <c r="E245">
        <v>2.78</v>
      </c>
      <c r="F245">
        <v>1678</v>
      </c>
      <c r="G245">
        <v>590</v>
      </c>
      <c r="H245">
        <v>1558</v>
      </c>
      <c r="I245">
        <v>394</v>
      </c>
      <c r="J245">
        <v>608</v>
      </c>
      <c r="K245">
        <v>373</v>
      </c>
      <c r="L245">
        <v>1046</v>
      </c>
      <c r="M245">
        <v>298</v>
      </c>
      <c r="N245">
        <v>197</v>
      </c>
      <c r="O245">
        <v>93</v>
      </c>
      <c r="P245">
        <v>566</v>
      </c>
      <c r="Q245">
        <v>622</v>
      </c>
      <c r="R245">
        <v>244</v>
      </c>
    </row>
    <row r="246" spans="1:18">
      <c r="A246" s="1" t="s">
        <v>199</v>
      </c>
      <c r="B246">
        <v>31</v>
      </c>
      <c r="C246">
        <v>16</v>
      </c>
      <c r="D246">
        <v>15</v>
      </c>
      <c r="E246">
        <v>2.5499999999999998</v>
      </c>
      <c r="F246">
        <v>1974</v>
      </c>
      <c r="G246">
        <v>707</v>
      </c>
      <c r="H246">
        <v>1615</v>
      </c>
      <c r="I246">
        <v>342</v>
      </c>
      <c r="J246">
        <v>486</v>
      </c>
      <c r="K246">
        <v>256</v>
      </c>
      <c r="L246">
        <v>882</v>
      </c>
      <c r="M246">
        <v>416</v>
      </c>
      <c r="N246">
        <v>257</v>
      </c>
      <c r="O246">
        <v>108</v>
      </c>
      <c r="P246">
        <v>444</v>
      </c>
      <c r="Q246">
        <v>628</v>
      </c>
      <c r="R246">
        <v>245</v>
      </c>
    </row>
    <row r="247" spans="1:18">
      <c r="A247" s="1" t="s">
        <v>200</v>
      </c>
      <c r="B247">
        <v>34</v>
      </c>
      <c r="C247">
        <v>23</v>
      </c>
      <c r="D247">
        <v>11</v>
      </c>
      <c r="E247">
        <v>-3.72</v>
      </c>
      <c r="F247">
        <v>2610</v>
      </c>
      <c r="G247">
        <v>943</v>
      </c>
      <c r="H247">
        <v>1944</v>
      </c>
      <c r="I247">
        <v>482</v>
      </c>
      <c r="J247">
        <v>750</v>
      </c>
      <c r="K247">
        <v>397</v>
      </c>
      <c r="L247">
        <v>1276</v>
      </c>
      <c r="M247">
        <v>525</v>
      </c>
      <c r="N247">
        <v>251</v>
      </c>
      <c r="O247">
        <v>154</v>
      </c>
      <c r="P247">
        <v>495</v>
      </c>
      <c r="Q247">
        <v>600</v>
      </c>
      <c r="R247">
        <v>246</v>
      </c>
    </row>
    <row r="248" spans="1:18">
      <c r="A248" s="1" t="s">
        <v>201</v>
      </c>
      <c r="B248">
        <v>34</v>
      </c>
      <c r="C248">
        <v>26</v>
      </c>
      <c r="D248">
        <v>8</v>
      </c>
      <c r="E248">
        <v>-6.57</v>
      </c>
      <c r="F248">
        <v>2550</v>
      </c>
      <c r="G248">
        <v>932</v>
      </c>
      <c r="H248">
        <v>2021</v>
      </c>
      <c r="I248">
        <v>406</v>
      </c>
      <c r="J248">
        <v>559</v>
      </c>
      <c r="K248">
        <v>417</v>
      </c>
      <c r="L248">
        <v>1207</v>
      </c>
      <c r="M248">
        <v>597</v>
      </c>
      <c r="N248">
        <v>337</v>
      </c>
      <c r="O248">
        <v>77</v>
      </c>
      <c r="P248">
        <v>570</v>
      </c>
      <c r="Q248">
        <v>680</v>
      </c>
      <c r="R248">
        <v>247</v>
      </c>
    </row>
    <row r="249" spans="1:18">
      <c r="A249" s="1" t="s">
        <v>202</v>
      </c>
      <c r="B249">
        <v>31</v>
      </c>
      <c r="C249">
        <v>11</v>
      </c>
      <c r="D249">
        <v>20</v>
      </c>
      <c r="E249">
        <v>7.07</v>
      </c>
      <c r="F249">
        <v>1928</v>
      </c>
      <c r="G249">
        <v>685</v>
      </c>
      <c r="H249">
        <v>1721</v>
      </c>
      <c r="I249">
        <v>387</v>
      </c>
      <c r="J249">
        <v>597</v>
      </c>
      <c r="K249">
        <v>367</v>
      </c>
      <c r="L249">
        <v>1135</v>
      </c>
      <c r="M249">
        <v>293</v>
      </c>
      <c r="N249">
        <v>175</v>
      </c>
      <c r="O249">
        <v>159</v>
      </c>
      <c r="P249">
        <v>475</v>
      </c>
      <c r="Q249">
        <v>510</v>
      </c>
      <c r="R249">
        <v>248</v>
      </c>
    </row>
    <row r="250" spans="1:18">
      <c r="A250" s="1" t="s">
        <v>203</v>
      </c>
      <c r="B250">
        <v>28</v>
      </c>
      <c r="C250">
        <v>4</v>
      </c>
      <c r="D250">
        <v>24</v>
      </c>
      <c r="E250">
        <v>-1.9</v>
      </c>
      <c r="F250">
        <v>1805</v>
      </c>
      <c r="G250">
        <v>653</v>
      </c>
      <c r="H250">
        <v>1642</v>
      </c>
      <c r="I250">
        <v>335</v>
      </c>
      <c r="J250">
        <v>549</v>
      </c>
      <c r="K250">
        <v>337</v>
      </c>
      <c r="L250">
        <v>877</v>
      </c>
      <c r="M250">
        <v>332</v>
      </c>
      <c r="N250">
        <v>252</v>
      </c>
      <c r="O250">
        <v>81</v>
      </c>
      <c r="P250">
        <v>413</v>
      </c>
      <c r="Q250">
        <v>556</v>
      </c>
      <c r="R250">
        <v>249</v>
      </c>
    </row>
    <row r="251" spans="1:18">
      <c r="A251" s="1" t="s">
        <v>204</v>
      </c>
      <c r="B251">
        <v>32</v>
      </c>
      <c r="C251">
        <v>18</v>
      </c>
      <c r="D251">
        <v>14</v>
      </c>
      <c r="E251">
        <v>-6.3</v>
      </c>
      <c r="F251">
        <v>2300</v>
      </c>
      <c r="G251">
        <v>839</v>
      </c>
      <c r="H251">
        <v>1901</v>
      </c>
      <c r="I251">
        <v>390</v>
      </c>
      <c r="J251">
        <v>531</v>
      </c>
      <c r="K251">
        <v>352</v>
      </c>
      <c r="L251">
        <v>1056</v>
      </c>
      <c r="M251">
        <v>470</v>
      </c>
      <c r="N251">
        <v>277</v>
      </c>
      <c r="O251">
        <v>92</v>
      </c>
      <c r="P251">
        <v>461</v>
      </c>
      <c r="Q251">
        <v>638</v>
      </c>
      <c r="R251">
        <v>250</v>
      </c>
    </row>
    <row r="252" spans="1:18">
      <c r="A252" s="1" t="s">
        <v>205</v>
      </c>
      <c r="B252">
        <v>29</v>
      </c>
      <c r="C252">
        <v>6</v>
      </c>
      <c r="D252">
        <v>23</v>
      </c>
      <c r="E252">
        <v>-5.27</v>
      </c>
      <c r="F252">
        <v>1848</v>
      </c>
      <c r="G252">
        <v>621</v>
      </c>
      <c r="H252">
        <v>1525</v>
      </c>
      <c r="I252">
        <v>416</v>
      </c>
      <c r="J252">
        <v>583</v>
      </c>
      <c r="K252">
        <v>328</v>
      </c>
      <c r="L252">
        <v>939</v>
      </c>
      <c r="M252">
        <v>335</v>
      </c>
      <c r="N252">
        <v>153</v>
      </c>
      <c r="O252">
        <v>70</v>
      </c>
      <c r="P252">
        <v>437</v>
      </c>
      <c r="Q252">
        <v>510</v>
      </c>
      <c r="R252">
        <v>251</v>
      </c>
    </row>
    <row r="253" spans="1:18">
      <c r="A253" s="1" t="s">
        <v>206</v>
      </c>
      <c r="B253">
        <v>34</v>
      </c>
      <c r="C253">
        <v>21</v>
      </c>
      <c r="D253">
        <v>13</v>
      </c>
      <c r="E253">
        <v>3.98</v>
      </c>
      <c r="F253">
        <v>2484</v>
      </c>
      <c r="G253">
        <v>859</v>
      </c>
      <c r="H253">
        <v>1800</v>
      </c>
      <c r="I253">
        <v>519</v>
      </c>
      <c r="J253">
        <v>715</v>
      </c>
      <c r="K253">
        <v>337</v>
      </c>
      <c r="L253">
        <v>1086</v>
      </c>
      <c r="M253">
        <v>502</v>
      </c>
      <c r="N253">
        <v>242</v>
      </c>
      <c r="O253">
        <v>154</v>
      </c>
      <c r="P253">
        <v>432</v>
      </c>
      <c r="Q253">
        <v>598</v>
      </c>
      <c r="R253">
        <v>252</v>
      </c>
    </row>
    <row r="254" spans="1:18">
      <c r="A254" s="1" t="s">
        <v>292</v>
      </c>
      <c r="B254">
        <v>31</v>
      </c>
      <c r="C254">
        <v>16</v>
      </c>
      <c r="D254">
        <v>15</v>
      </c>
      <c r="E254">
        <v>3.05</v>
      </c>
      <c r="F254">
        <v>1862</v>
      </c>
      <c r="G254">
        <v>645</v>
      </c>
      <c r="H254">
        <v>1484</v>
      </c>
      <c r="I254">
        <v>392</v>
      </c>
      <c r="J254">
        <v>542</v>
      </c>
      <c r="K254">
        <v>224</v>
      </c>
      <c r="L254">
        <v>955</v>
      </c>
      <c r="M254">
        <v>391</v>
      </c>
      <c r="N254">
        <v>127</v>
      </c>
      <c r="O254">
        <v>85</v>
      </c>
      <c r="P254">
        <v>384</v>
      </c>
      <c r="Q254">
        <v>510</v>
      </c>
      <c r="R254">
        <v>253</v>
      </c>
    </row>
    <row r="255" spans="1:18">
      <c r="A255" s="1" t="s">
        <v>207</v>
      </c>
      <c r="B255">
        <v>32</v>
      </c>
      <c r="C255">
        <v>25</v>
      </c>
      <c r="D255">
        <v>7</v>
      </c>
      <c r="E255">
        <v>0.36</v>
      </c>
      <c r="F255">
        <v>2421</v>
      </c>
      <c r="G255">
        <v>845</v>
      </c>
      <c r="H255">
        <v>1843</v>
      </c>
      <c r="I255">
        <v>477</v>
      </c>
      <c r="J255">
        <v>722</v>
      </c>
      <c r="K255">
        <v>385</v>
      </c>
      <c r="L255">
        <v>1215</v>
      </c>
      <c r="M255">
        <v>468</v>
      </c>
      <c r="N255">
        <v>230</v>
      </c>
      <c r="O255">
        <v>169</v>
      </c>
      <c r="P255">
        <v>439</v>
      </c>
      <c r="Q255">
        <v>557</v>
      </c>
      <c r="R255">
        <v>254</v>
      </c>
    </row>
    <row r="256" spans="1:18">
      <c r="A256" s="1" t="s">
        <v>208</v>
      </c>
      <c r="B256">
        <v>30</v>
      </c>
      <c r="C256">
        <v>6</v>
      </c>
      <c r="D256">
        <v>24</v>
      </c>
      <c r="E256">
        <v>-4.1100000000000003</v>
      </c>
      <c r="F256">
        <v>2002</v>
      </c>
      <c r="G256">
        <v>720</v>
      </c>
      <c r="H256">
        <v>1760</v>
      </c>
      <c r="I256">
        <v>354</v>
      </c>
      <c r="J256">
        <v>532</v>
      </c>
      <c r="K256">
        <v>397</v>
      </c>
      <c r="L256">
        <v>1109</v>
      </c>
      <c r="M256">
        <v>312</v>
      </c>
      <c r="N256">
        <v>219</v>
      </c>
      <c r="O256">
        <v>134</v>
      </c>
      <c r="P256">
        <v>483</v>
      </c>
      <c r="Q256">
        <v>593</v>
      </c>
      <c r="R256">
        <v>255</v>
      </c>
    </row>
    <row r="257" spans="1:18">
      <c r="A257" s="1" t="s">
        <v>209</v>
      </c>
      <c r="B257">
        <v>31</v>
      </c>
      <c r="C257">
        <v>23</v>
      </c>
      <c r="D257">
        <v>8</v>
      </c>
      <c r="E257">
        <v>-5.25</v>
      </c>
      <c r="F257">
        <v>2192</v>
      </c>
      <c r="G257">
        <v>775</v>
      </c>
      <c r="H257">
        <v>1787</v>
      </c>
      <c r="I257">
        <v>454</v>
      </c>
      <c r="J257">
        <v>690</v>
      </c>
      <c r="K257">
        <v>399</v>
      </c>
      <c r="L257">
        <v>1278</v>
      </c>
      <c r="M257">
        <v>564</v>
      </c>
      <c r="N257">
        <v>255</v>
      </c>
      <c r="O257">
        <v>100</v>
      </c>
      <c r="P257">
        <v>502</v>
      </c>
      <c r="Q257">
        <v>606</v>
      </c>
      <c r="R257">
        <v>256</v>
      </c>
    </row>
    <row r="258" spans="1:18">
      <c r="A258" s="1" t="s">
        <v>293</v>
      </c>
      <c r="B258">
        <v>30</v>
      </c>
      <c r="C258">
        <v>14</v>
      </c>
      <c r="D258">
        <v>16</v>
      </c>
      <c r="E258">
        <v>-7.19</v>
      </c>
      <c r="F258">
        <v>1792</v>
      </c>
      <c r="G258">
        <v>623</v>
      </c>
      <c r="H258">
        <v>1344</v>
      </c>
      <c r="I258">
        <v>294</v>
      </c>
      <c r="J258">
        <v>433</v>
      </c>
      <c r="K258">
        <v>197</v>
      </c>
      <c r="L258">
        <v>811</v>
      </c>
      <c r="M258">
        <v>445</v>
      </c>
      <c r="N258">
        <v>153</v>
      </c>
      <c r="O258">
        <v>55</v>
      </c>
      <c r="P258">
        <v>397</v>
      </c>
      <c r="Q258">
        <v>430</v>
      </c>
      <c r="R258">
        <v>257</v>
      </c>
    </row>
    <row r="259" spans="1:18">
      <c r="A259" s="1" t="s">
        <v>210</v>
      </c>
      <c r="B259">
        <v>33</v>
      </c>
      <c r="C259">
        <v>20</v>
      </c>
      <c r="D259">
        <v>13</v>
      </c>
      <c r="E259">
        <v>2.15</v>
      </c>
      <c r="F259">
        <v>2204</v>
      </c>
      <c r="G259">
        <v>793</v>
      </c>
      <c r="H259">
        <v>1789</v>
      </c>
      <c r="I259">
        <v>437</v>
      </c>
      <c r="J259">
        <v>644</v>
      </c>
      <c r="K259">
        <v>361</v>
      </c>
      <c r="L259">
        <v>1110</v>
      </c>
      <c r="M259">
        <v>420</v>
      </c>
      <c r="N259">
        <v>260</v>
      </c>
      <c r="O259">
        <v>83</v>
      </c>
      <c r="P259">
        <v>448</v>
      </c>
      <c r="Q259">
        <v>583</v>
      </c>
      <c r="R259">
        <v>258</v>
      </c>
    </row>
    <row r="260" spans="1:18">
      <c r="A260" s="1" t="s">
        <v>211</v>
      </c>
      <c r="B260">
        <v>36</v>
      </c>
      <c r="C260">
        <v>22</v>
      </c>
      <c r="D260">
        <v>14</v>
      </c>
      <c r="E260">
        <v>1.45</v>
      </c>
      <c r="F260">
        <v>2365</v>
      </c>
      <c r="G260">
        <v>868</v>
      </c>
      <c r="H260">
        <v>1925</v>
      </c>
      <c r="I260">
        <v>452</v>
      </c>
      <c r="J260">
        <v>673</v>
      </c>
      <c r="K260">
        <v>384</v>
      </c>
      <c r="L260">
        <v>1206</v>
      </c>
      <c r="M260">
        <v>476</v>
      </c>
      <c r="N260">
        <v>250</v>
      </c>
      <c r="O260">
        <v>113</v>
      </c>
      <c r="P260">
        <v>538</v>
      </c>
      <c r="Q260">
        <v>629</v>
      </c>
      <c r="R260">
        <v>259</v>
      </c>
    </row>
    <row r="261" spans="1:18">
      <c r="A261" s="1" t="s">
        <v>212</v>
      </c>
      <c r="B261">
        <v>31</v>
      </c>
      <c r="C261">
        <v>10</v>
      </c>
      <c r="D261">
        <v>21</v>
      </c>
      <c r="E261">
        <v>-0.95</v>
      </c>
      <c r="F261">
        <v>2069</v>
      </c>
      <c r="G261">
        <v>761</v>
      </c>
      <c r="H261">
        <v>1730</v>
      </c>
      <c r="I261">
        <v>390</v>
      </c>
      <c r="J261">
        <v>552</v>
      </c>
      <c r="K261">
        <v>351</v>
      </c>
      <c r="L261">
        <v>993</v>
      </c>
      <c r="M261">
        <v>381</v>
      </c>
      <c r="N261">
        <v>189</v>
      </c>
      <c r="O261">
        <v>87</v>
      </c>
      <c r="P261">
        <v>477</v>
      </c>
      <c r="Q261">
        <v>591</v>
      </c>
      <c r="R261">
        <v>260</v>
      </c>
    </row>
    <row r="262" spans="1:18">
      <c r="A262" s="1" t="s">
        <v>213</v>
      </c>
      <c r="B262">
        <v>32</v>
      </c>
      <c r="C262">
        <v>13</v>
      </c>
      <c r="D262">
        <v>19</v>
      </c>
      <c r="E262">
        <v>-1.66</v>
      </c>
      <c r="F262">
        <v>2137</v>
      </c>
      <c r="G262">
        <v>776</v>
      </c>
      <c r="H262">
        <v>1807</v>
      </c>
      <c r="I262">
        <v>455</v>
      </c>
      <c r="J262">
        <v>678</v>
      </c>
      <c r="K262">
        <v>423</v>
      </c>
      <c r="L262">
        <v>1175</v>
      </c>
      <c r="M262">
        <v>375</v>
      </c>
      <c r="N262">
        <v>186</v>
      </c>
      <c r="O262">
        <v>88</v>
      </c>
      <c r="P262">
        <v>489</v>
      </c>
      <c r="Q262">
        <v>569</v>
      </c>
      <c r="R262">
        <v>261</v>
      </c>
    </row>
    <row r="263" spans="1:18">
      <c r="A263" s="1" t="s">
        <v>214</v>
      </c>
      <c r="B263">
        <v>31</v>
      </c>
      <c r="C263">
        <v>15</v>
      </c>
      <c r="D263">
        <v>16</v>
      </c>
      <c r="E263">
        <v>-0.98</v>
      </c>
      <c r="F263">
        <v>1953</v>
      </c>
      <c r="G263">
        <v>696</v>
      </c>
      <c r="H263">
        <v>1450</v>
      </c>
      <c r="I263">
        <v>377</v>
      </c>
      <c r="J263">
        <v>535</v>
      </c>
      <c r="K263">
        <v>257</v>
      </c>
      <c r="L263">
        <v>986</v>
      </c>
      <c r="M263">
        <v>439</v>
      </c>
      <c r="N263">
        <v>166</v>
      </c>
      <c r="O263">
        <v>113</v>
      </c>
      <c r="P263">
        <v>506</v>
      </c>
      <c r="Q263">
        <v>531</v>
      </c>
      <c r="R263">
        <v>262</v>
      </c>
    </row>
    <row r="264" spans="1:18">
      <c r="A264" s="1" t="s">
        <v>322</v>
      </c>
      <c r="B264">
        <v>31</v>
      </c>
      <c r="C264">
        <v>13</v>
      </c>
      <c r="D264">
        <v>18</v>
      </c>
      <c r="E264">
        <v>-2.76</v>
      </c>
      <c r="F264">
        <v>1846</v>
      </c>
      <c r="G264">
        <v>653</v>
      </c>
      <c r="H264">
        <v>1598</v>
      </c>
      <c r="I264">
        <v>402</v>
      </c>
      <c r="J264">
        <v>602</v>
      </c>
      <c r="K264">
        <v>347</v>
      </c>
      <c r="L264">
        <v>1047</v>
      </c>
      <c r="M264">
        <v>333</v>
      </c>
      <c r="N264">
        <v>266</v>
      </c>
      <c r="O264">
        <v>94</v>
      </c>
      <c r="P264">
        <v>613</v>
      </c>
      <c r="Q264">
        <v>729</v>
      </c>
      <c r="R264">
        <v>263</v>
      </c>
    </row>
    <row r="265" spans="1:18">
      <c r="A265" s="1" t="s">
        <v>294</v>
      </c>
      <c r="B265">
        <v>32</v>
      </c>
      <c r="C265">
        <v>17</v>
      </c>
      <c r="D265">
        <v>15</v>
      </c>
      <c r="E265">
        <v>5.47</v>
      </c>
      <c r="F265">
        <v>2452</v>
      </c>
      <c r="G265">
        <v>848</v>
      </c>
      <c r="H265">
        <v>2006</v>
      </c>
      <c r="I265">
        <v>527</v>
      </c>
      <c r="J265">
        <v>736</v>
      </c>
      <c r="K265">
        <v>423</v>
      </c>
      <c r="L265">
        <v>1154</v>
      </c>
      <c r="M265">
        <v>417</v>
      </c>
      <c r="N265">
        <v>305</v>
      </c>
      <c r="O265">
        <v>158</v>
      </c>
      <c r="P265">
        <v>393</v>
      </c>
      <c r="Q265">
        <v>631</v>
      </c>
      <c r="R265">
        <v>264</v>
      </c>
    </row>
    <row r="266" spans="1:18">
      <c r="A266" s="1" t="s">
        <v>215</v>
      </c>
      <c r="B266">
        <v>34</v>
      </c>
      <c r="C266">
        <v>23</v>
      </c>
      <c r="D266">
        <v>11</v>
      </c>
      <c r="E266">
        <v>-1.62</v>
      </c>
      <c r="F266">
        <v>2613</v>
      </c>
      <c r="G266">
        <v>928</v>
      </c>
      <c r="H266">
        <v>2058</v>
      </c>
      <c r="I266">
        <v>518</v>
      </c>
      <c r="J266">
        <v>752</v>
      </c>
      <c r="K266">
        <v>390</v>
      </c>
      <c r="L266">
        <v>1148</v>
      </c>
      <c r="M266">
        <v>489</v>
      </c>
      <c r="N266">
        <v>320</v>
      </c>
      <c r="O266">
        <v>119</v>
      </c>
      <c r="P266">
        <v>385</v>
      </c>
      <c r="Q266">
        <v>526</v>
      </c>
      <c r="R266">
        <v>265</v>
      </c>
    </row>
    <row r="267" spans="1:18">
      <c r="A267" s="1" t="s">
        <v>216</v>
      </c>
      <c r="B267">
        <v>33</v>
      </c>
      <c r="C267">
        <v>26</v>
      </c>
      <c r="D267">
        <v>7</v>
      </c>
      <c r="E267">
        <v>-1.21</v>
      </c>
      <c r="F267">
        <v>2478</v>
      </c>
      <c r="G267">
        <v>840</v>
      </c>
      <c r="H267">
        <v>1774</v>
      </c>
      <c r="I267">
        <v>578</v>
      </c>
      <c r="J267">
        <v>821</v>
      </c>
      <c r="K267">
        <v>404</v>
      </c>
      <c r="L267">
        <v>1221</v>
      </c>
      <c r="M267">
        <v>509</v>
      </c>
      <c r="N267">
        <v>201</v>
      </c>
      <c r="O267">
        <v>100</v>
      </c>
      <c r="P267">
        <v>457</v>
      </c>
      <c r="Q267">
        <v>569</v>
      </c>
      <c r="R267">
        <v>266</v>
      </c>
    </row>
    <row r="268" spans="1:18">
      <c r="A268" s="1" t="s">
        <v>295</v>
      </c>
      <c r="B268">
        <v>33</v>
      </c>
      <c r="C268">
        <v>13</v>
      </c>
      <c r="D268">
        <v>20</v>
      </c>
      <c r="E268">
        <v>-9.23</v>
      </c>
      <c r="F268">
        <v>2331</v>
      </c>
      <c r="G268">
        <v>846</v>
      </c>
      <c r="H268">
        <v>1964</v>
      </c>
      <c r="I268">
        <v>438</v>
      </c>
      <c r="J268">
        <v>725</v>
      </c>
      <c r="K268">
        <v>484</v>
      </c>
      <c r="L268">
        <v>1317</v>
      </c>
      <c r="M268">
        <v>465</v>
      </c>
      <c r="N268">
        <v>196</v>
      </c>
      <c r="O268">
        <v>133</v>
      </c>
      <c r="P268">
        <v>599</v>
      </c>
      <c r="Q268">
        <v>675</v>
      </c>
      <c r="R268">
        <v>267</v>
      </c>
    </row>
    <row r="269" spans="1:18">
      <c r="A269" s="1" t="s">
        <v>351</v>
      </c>
      <c r="B269">
        <v>30</v>
      </c>
      <c r="C269">
        <v>7</v>
      </c>
      <c r="D269">
        <v>23</v>
      </c>
      <c r="F269">
        <v>1895</v>
      </c>
      <c r="G269">
        <v>660</v>
      </c>
      <c r="H269">
        <v>1632</v>
      </c>
      <c r="I269">
        <v>378</v>
      </c>
      <c r="J269">
        <v>608</v>
      </c>
      <c r="K269">
        <v>318</v>
      </c>
      <c r="L269">
        <v>985</v>
      </c>
      <c r="M269">
        <v>390</v>
      </c>
      <c r="N269">
        <v>231</v>
      </c>
      <c r="O269">
        <v>79</v>
      </c>
      <c r="P269">
        <v>475</v>
      </c>
      <c r="Q269">
        <v>564</v>
      </c>
      <c r="R269">
        <v>268</v>
      </c>
    </row>
    <row r="270" spans="1:18">
      <c r="A270" s="1" t="s">
        <v>217</v>
      </c>
      <c r="B270">
        <v>32</v>
      </c>
      <c r="C270">
        <v>14</v>
      </c>
      <c r="D270">
        <v>18</v>
      </c>
      <c r="E270">
        <v>6.11</v>
      </c>
      <c r="F270">
        <v>2314</v>
      </c>
      <c r="G270">
        <v>878</v>
      </c>
      <c r="H270">
        <v>1993</v>
      </c>
      <c r="I270">
        <v>306</v>
      </c>
      <c r="J270">
        <v>450</v>
      </c>
      <c r="K270">
        <v>366</v>
      </c>
      <c r="L270">
        <v>1056</v>
      </c>
      <c r="M270">
        <v>421</v>
      </c>
      <c r="N270">
        <v>246</v>
      </c>
      <c r="O270">
        <v>114</v>
      </c>
      <c r="P270">
        <v>337</v>
      </c>
      <c r="Q270">
        <v>502</v>
      </c>
      <c r="R270">
        <v>269</v>
      </c>
    </row>
    <row r="271" spans="1:18">
      <c r="A271" s="1" t="s">
        <v>341</v>
      </c>
      <c r="B271">
        <v>29</v>
      </c>
      <c r="C271">
        <v>8</v>
      </c>
      <c r="D271">
        <v>21</v>
      </c>
      <c r="F271">
        <v>1904</v>
      </c>
      <c r="G271">
        <v>670</v>
      </c>
      <c r="H271">
        <v>1542</v>
      </c>
      <c r="I271">
        <v>414</v>
      </c>
      <c r="J271">
        <v>586</v>
      </c>
      <c r="K271">
        <v>340</v>
      </c>
      <c r="L271">
        <v>1010</v>
      </c>
      <c r="M271">
        <v>352</v>
      </c>
      <c r="N271">
        <v>127</v>
      </c>
      <c r="O271">
        <v>70</v>
      </c>
      <c r="P271">
        <v>459</v>
      </c>
      <c r="Q271">
        <v>600</v>
      </c>
      <c r="R271">
        <v>270</v>
      </c>
    </row>
    <row r="272" spans="1:18">
      <c r="A272" s="1" t="s">
        <v>218</v>
      </c>
      <c r="B272">
        <v>31</v>
      </c>
      <c r="C272">
        <v>12</v>
      </c>
      <c r="D272">
        <v>19</v>
      </c>
      <c r="E272">
        <v>6.57</v>
      </c>
      <c r="F272">
        <v>2132</v>
      </c>
      <c r="G272">
        <v>749</v>
      </c>
      <c r="H272">
        <v>1705</v>
      </c>
      <c r="I272">
        <v>468</v>
      </c>
      <c r="J272">
        <v>734</v>
      </c>
      <c r="K272">
        <v>399</v>
      </c>
      <c r="L272">
        <v>1145</v>
      </c>
      <c r="M272">
        <v>470</v>
      </c>
      <c r="N272">
        <v>166</v>
      </c>
      <c r="O272">
        <v>110</v>
      </c>
      <c r="P272">
        <v>420</v>
      </c>
      <c r="Q272">
        <v>551</v>
      </c>
      <c r="R272">
        <v>271</v>
      </c>
    </row>
    <row r="273" spans="1:18">
      <c r="A273" s="1" t="s">
        <v>296</v>
      </c>
      <c r="B273">
        <v>31</v>
      </c>
      <c r="C273">
        <v>12</v>
      </c>
      <c r="D273">
        <v>19</v>
      </c>
      <c r="E273">
        <v>-6.99</v>
      </c>
      <c r="F273">
        <v>2374</v>
      </c>
      <c r="G273">
        <v>837</v>
      </c>
      <c r="H273">
        <v>1853</v>
      </c>
      <c r="I273">
        <v>494</v>
      </c>
      <c r="J273">
        <v>745</v>
      </c>
      <c r="K273">
        <v>382</v>
      </c>
      <c r="L273">
        <v>1178</v>
      </c>
      <c r="M273">
        <v>427</v>
      </c>
      <c r="N273">
        <v>262</v>
      </c>
      <c r="O273">
        <v>125</v>
      </c>
      <c r="P273">
        <v>558</v>
      </c>
      <c r="Q273">
        <v>679</v>
      </c>
      <c r="R273">
        <v>272</v>
      </c>
    </row>
    <row r="274" spans="1:18">
      <c r="A274" s="1" t="s">
        <v>219</v>
      </c>
      <c r="B274">
        <v>30</v>
      </c>
      <c r="C274">
        <v>17</v>
      </c>
      <c r="D274">
        <v>13</v>
      </c>
      <c r="E274">
        <v>-5.53</v>
      </c>
      <c r="F274">
        <v>2030</v>
      </c>
      <c r="G274">
        <v>733</v>
      </c>
      <c r="H274">
        <v>1557</v>
      </c>
      <c r="I274">
        <v>420</v>
      </c>
      <c r="J274">
        <v>634</v>
      </c>
      <c r="K274">
        <v>321</v>
      </c>
      <c r="L274">
        <v>1083</v>
      </c>
      <c r="M274">
        <v>412</v>
      </c>
      <c r="N274">
        <v>196</v>
      </c>
      <c r="O274">
        <v>124</v>
      </c>
      <c r="P274">
        <v>507</v>
      </c>
      <c r="Q274">
        <v>549</v>
      </c>
      <c r="R274">
        <v>273</v>
      </c>
    </row>
    <row r="275" spans="1:18">
      <c r="A275" s="1" t="s">
        <v>220</v>
      </c>
      <c r="B275">
        <v>33</v>
      </c>
      <c r="C275">
        <v>21</v>
      </c>
      <c r="D275">
        <v>12</v>
      </c>
      <c r="E275">
        <v>8.59</v>
      </c>
      <c r="F275">
        <v>2277</v>
      </c>
      <c r="G275">
        <v>820</v>
      </c>
      <c r="H275">
        <v>1710</v>
      </c>
      <c r="I275">
        <v>453</v>
      </c>
      <c r="J275">
        <v>661</v>
      </c>
      <c r="K275">
        <v>305</v>
      </c>
      <c r="L275">
        <v>1106</v>
      </c>
      <c r="M275">
        <v>409</v>
      </c>
      <c r="N275">
        <v>188</v>
      </c>
      <c r="O275">
        <v>145</v>
      </c>
      <c r="P275">
        <v>482</v>
      </c>
      <c r="Q275">
        <v>530</v>
      </c>
      <c r="R275">
        <v>274</v>
      </c>
    </row>
    <row r="276" spans="1:18">
      <c r="A276" s="1" t="s">
        <v>221</v>
      </c>
      <c r="B276">
        <v>33</v>
      </c>
      <c r="C276">
        <v>18</v>
      </c>
      <c r="D276">
        <v>15</v>
      </c>
      <c r="E276">
        <v>5.88</v>
      </c>
      <c r="F276">
        <v>2065</v>
      </c>
      <c r="G276">
        <v>695</v>
      </c>
      <c r="H276">
        <v>1639</v>
      </c>
      <c r="I276">
        <v>477</v>
      </c>
      <c r="J276">
        <v>667</v>
      </c>
      <c r="K276">
        <v>355</v>
      </c>
      <c r="L276">
        <v>1050</v>
      </c>
      <c r="M276">
        <v>397</v>
      </c>
      <c r="N276">
        <v>216</v>
      </c>
      <c r="O276">
        <v>76</v>
      </c>
      <c r="P276">
        <v>457</v>
      </c>
      <c r="Q276">
        <v>677</v>
      </c>
      <c r="R276">
        <v>275</v>
      </c>
    </row>
    <row r="277" spans="1:18">
      <c r="A277" s="1" t="s">
        <v>222</v>
      </c>
      <c r="B277">
        <v>30</v>
      </c>
      <c r="C277">
        <v>10</v>
      </c>
      <c r="D277">
        <v>20</v>
      </c>
      <c r="E277">
        <v>0.92</v>
      </c>
      <c r="F277">
        <v>1916</v>
      </c>
      <c r="G277">
        <v>674</v>
      </c>
      <c r="H277">
        <v>1600</v>
      </c>
      <c r="I277">
        <v>376</v>
      </c>
      <c r="J277">
        <v>568</v>
      </c>
      <c r="K277">
        <v>300</v>
      </c>
      <c r="L277">
        <v>1015</v>
      </c>
      <c r="M277">
        <v>387</v>
      </c>
      <c r="N277">
        <v>176</v>
      </c>
      <c r="O277">
        <v>122</v>
      </c>
      <c r="P277">
        <v>487</v>
      </c>
      <c r="Q277">
        <v>530</v>
      </c>
      <c r="R277">
        <v>276</v>
      </c>
    </row>
    <row r="278" spans="1:18">
      <c r="A278" s="1" t="s">
        <v>223</v>
      </c>
      <c r="B278">
        <v>33</v>
      </c>
      <c r="C278">
        <v>19</v>
      </c>
      <c r="D278">
        <v>14</v>
      </c>
      <c r="E278">
        <v>1.81</v>
      </c>
      <c r="F278">
        <v>2388</v>
      </c>
      <c r="G278">
        <v>831</v>
      </c>
      <c r="H278">
        <v>1833</v>
      </c>
      <c r="I278">
        <v>598</v>
      </c>
      <c r="J278">
        <v>867</v>
      </c>
      <c r="K278">
        <v>424</v>
      </c>
      <c r="L278">
        <v>1257</v>
      </c>
      <c r="M278">
        <v>380</v>
      </c>
      <c r="N278">
        <v>182</v>
      </c>
      <c r="O278">
        <v>103</v>
      </c>
      <c r="P278">
        <v>425</v>
      </c>
      <c r="Q278">
        <v>665</v>
      </c>
      <c r="R278">
        <v>277</v>
      </c>
    </row>
    <row r="279" spans="1:18">
      <c r="A279" s="1" t="s">
        <v>224</v>
      </c>
      <c r="B279">
        <v>30</v>
      </c>
      <c r="C279">
        <v>11</v>
      </c>
      <c r="D279">
        <v>19</v>
      </c>
      <c r="E279">
        <v>-2.02</v>
      </c>
      <c r="F279">
        <v>2072</v>
      </c>
      <c r="G279">
        <v>728</v>
      </c>
      <c r="H279">
        <v>1565</v>
      </c>
      <c r="I279">
        <v>501</v>
      </c>
      <c r="J279">
        <v>717</v>
      </c>
      <c r="K279">
        <v>333</v>
      </c>
      <c r="L279">
        <v>986</v>
      </c>
      <c r="M279">
        <v>463</v>
      </c>
      <c r="N279">
        <v>201</v>
      </c>
      <c r="O279">
        <v>56</v>
      </c>
      <c r="P279">
        <v>491</v>
      </c>
      <c r="Q279">
        <v>607</v>
      </c>
      <c r="R279">
        <v>278</v>
      </c>
    </row>
    <row r="280" spans="1:18">
      <c r="A280" s="1" t="s">
        <v>225</v>
      </c>
      <c r="B280">
        <v>30</v>
      </c>
      <c r="C280">
        <v>11</v>
      </c>
      <c r="D280">
        <v>19</v>
      </c>
      <c r="E280">
        <v>-11.16</v>
      </c>
      <c r="F280">
        <v>1884</v>
      </c>
      <c r="G280">
        <v>638</v>
      </c>
      <c r="H280">
        <v>1570</v>
      </c>
      <c r="I280">
        <v>432</v>
      </c>
      <c r="J280">
        <v>646</v>
      </c>
      <c r="K280">
        <v>298</v>
      </c>
      <c r="L280">
        <v>1043</v>
      </c>
      <c r="M280">
        <v>314</v>
      </c>
      <c r="N280">
        <v>214</v>
      </c>
      <c r="O280">
        <v>103</v>
      </c>
      <c r="P280">
        <v>473</v>
      </c>
      <c r="Q280">
        <v>518</v>
      </c>
      <c r="R280">
        <v>279</v>
      </c>
    </row>
    <row r="281" spans="1:18">
      <c r="A281" s="1" t="s">
        <v>297</v>
      </c>
      <c r="B281">
        <v>30</v>
      </c>
      <c r="C281">
        <v>8</v>
      </c>
      <c r="D281">
        <v>22</v>
      </c>
      <c r="E281">
        <v>1.08</v>
      </c>
      <c r="F281">
        <v>1992</v>
      </c>
      <c r="G281">
        <v>680</v>
      </c>
      <c r="H281">
        <v>1617</v>
      </c>
      <c r="I281">
        <v>424</v>
      </c>
      <c r="J281">
        <v>564</v>
      </c>
      <c r="K281">
        <v>316</v>
      </c>
      <c r="L281">
        <v>992</v>
      </c>
      <c r="M281">
        <v>390</v>
      </c>
      <c r="N281">
        <v>152</v>
      </c>
      <c r="O281">
        <v>64</v>
      </c>
      <c r="P281">
        <v>428</v>
      </c>
      <c r="Q281">
        <v>535</v>
      </c>
      <c r="R281">
        <v>280</v>
      </c>
    </row>
    <row r="282" spans="1:18">
      <c r="A282" s="1" t="s">
        <v>226</v>
      </c>
      <c r="B282">
        <v>29</v>
      </c>
      <c r="C282">
        <v>7</v>
      </c>
      <c r="D282">
        <v>22</v>
      </c>
      <c r="E282">
        <v>-6.29</v>
      </c>
      <c r="F282">
        <v>1953</v>
      </c>
      <c r="G282">
        <v>710</v>
      </c>
      <c r="H282">
        <v>1732</v>
      </c>
      <c r="I282">
        <v>357</v>
      </c>
      <c r="J282">
        <v>562</v>
      </c>
      <c r="K282">
        <v>393</v>
      </c>
      <c r="L282">
        <v>1063</v>
      </c>
      <c r="M282">
        <v>366</v>
      </c>
      <c r="N282">
        <v>216</v>
      </c>
      <c r="O282">
        <v>56</v>
      </c>
      <c r="P282">
        <v>473</v>
      </c>
      <c r="Q282">
        <v>537</v>
      </c>
      <c r="R282">
        <v>281</v>
      </c>
    </row>
    <row r="283" spans="1:18">
      <c r="A283" s="1" t="s">
        <v>298</v>
      </c>
      <c r="B283">
        <v>30</v>
      </c>
      <c r="C283">
        <v>11</v>
      </c>
      <c r="D283">
        <v>19</v>
      </c>
      <c r="E283">
        <v>7.3</v>
      </c>
      <c r="F283">
        <v>1864</v>
      </c>
      <c r="G283">
        <v>665</v>
      </c>
      <c r="H283">
        <v>1625</v>
      </c>
      <c r="I283">
        <v>377</v>
      </c>
      <c r="J283">
        <v>569</v>
      </c>
      <c r="K283">
        <v>349</v>
      </c>
      <c r="L283">
        <v>1033</v>
      </c>
      <c r="M283">
        <v>351</v>
      </c>
      <c r="N283">
        <v>194</v>
      </c>
      <c r="O283">
        <v>94</v>
      </c>
      <c r="P283">
        <v>459</v>
      </c>
      <c r="Q283">
        <v>591</v>
      </c>
      <c r="R283">
        <v>282</v>
      </c>
    </row>
    <row r="284" spans="1:18">
      <c r="A284" s="1" t="s">
        <v>342</v>
      </c>
      <c r="B284">
        <v>36</v>
      </c>
      <c r="C284">
        <v>28</v>
      </c>
      <c r="D284">
        <v>8</v>
      </c>
      <c r="E284">
        <v>6.95</v>
      </c>
      <c r="F284">
        <v>2553</v>
      </c>
      <c r="G284">
        <v>901</v>
      </c>
      <c r="H284">
        <v>2008</v>
      </c>
      <c r="I284">
        <v>552</v>
      </c>
      <c r="J284">
        <v>795</v>
      </c>
      <c r="K284">
        <v>478</v>
      </c>
      <c r="L284">
        <v>1409</v>
      </c>
      <c r="M284">
        <v>525</v>
      </c>
      <c r="N284">
        <v>158</v>
      </c>
      <c r="O284">
        <v>187</v>
      </c>
      <c r="P284">
        <v>442</v>
      </c>
      <c r="Q284">
        <v>613</v>
      </c>
      <c r="R284">
        <v>283</v>
      </c>
    </row>
    <row r="285" spans="1:18">
      <c r="A285" s="1" t="s">
        <v>227</v>
      </c>
      <c r="B285">
        <v>32</v>
      </c>
      <c r="C285">
        <v>26</v>
      </c>
      <c r="D285">
        <v>6</v>
      </c>
      <c r="E285">
        <v>-6.17</v>
      </c>
      <c r="F285">
        <v>2151</v>
      </c>
      <c r="G285">
        <v>750</v>
      </c>
      <c r="H285">
        <v>1656</v>
      </c>
      <c r="I285">
        <v>440</v>
      </c>
      <c r="J285">
        <v>654</v>
      </c>
      <c r="K285">
        <v>342</v>
      </c>
      <c r="L285">
        <v>1098</v>
      </c>
      <c r="M285">
        <v>425</v>
      </c>
      <c r="N285">
        <v>198</v>
      </c>
      <c r="O285">
        <v>114</v>
      </c>
      <c r="P285">
        <v>393</v>
      </c>
      <c r="Q285">
        <v>543</v>
      </c>
      <c r="R285">
        <v>284</v>
      </c>
    </row>
    <row r="286" spans="1:18">
      <c r="A286" s="1" t="s">
        <v>228</v>
      </c>
      <c r="B286">
        <v>32</v>
      </c>
      <c r="C286">
        <v>16</v>
      </c>
      <c r="D286">
        <v>16</v>
      </c>
      <c r="E286">
        <v>-5.67</v>
      </c>
      <c r="F286">
        <v>2090</v>
      </c>
      <c r="G286">
        <v>707</v>
      </c>
      <c r="H286">
        <v>1728</v>
      </c>
      <c r="I286">
        <v>476</v>
      </c>
      <c r="J286">
        <v>707</v>
      </c>
      <c r="K286">
        <v>374</v>
      </c>
      <c r="L286">
        <v>1101</v>
      </c>
      <c r="M286">
        <v>281</v>
      </c>
      <c r="N286">
        <v>228</v>
      </c>
      <c r="O286">
        <v>80</v>
      </c>
      <c r="P286">
        <v>524</v>
      </c>
      <c r="Q286">
        <v>624</v>
      </c>
      <c r="R286">
        <v>285</v>
      </c>
    </row>
    <row r="287" spans="1:18">
      <c r="A287" s="1" t="s">
        <v>229</v>
      </c>
      <c r="B287">
        <v>30</v>
      </c>
      <c r="C287">
        <v>7</v>
      </c>
      <c r="D287">
        <v>23</v>
      </c>
      <c r="E287">
        <v>-6.5</v>
      </c>
      <c r="F287">
        <v>1837</v>
      </c>
      <c r="G287">
        <v>662</v>
      </c>
      <c r="H287">
        <v>1695</v>
      </c>
      <c r="I287">
        <v>362</v>
      </c>
      <c r="J287">
        <v>528</v>
      </c>
      <c r="K287">
        <v>404</v>
      </c>
      <c r="L287">
        <v>1046</v>
      </c>
      <c r="M287">
        <v>261</v>
      </c>
      <c r="N287">
        <v>214</v>
      </c>
      <c r="O287">
        <v>62</v>
      </c>
      <c r="P287">
        <v>409</v>
      </c>
      <c r="Q287">
        <v>609</v>
      </c>
      <c r="R287">
        <v>286</v>
      </c>
    </row>
    <row r="288" spans="1:18">
      <c r="A288" s="1" t="s">
        <v>313</v>
      </c>
      <c r="B288">
        <v>35</v>
      </c>
      <c r="C288">
        <v>21</v>
      </c>
      <c r="D288">
        <v>14</v>
      </c>
      <c r="E288">
        <v>7.96</v>
      </c>
      <c r="F288">
        <v>2765</v>
      </c>
      <c r="G288">
        <v>997</v>
      </c>
      <c r="H288">
        <v>2071</v>
      </c>
      <c r="I288">
        <v>581</v>
      </c>
      <c r="J288">
        <v>870</v>
      </c>
      <c r="K288">
        <v>482</v>
      </c>
      <c r="L288">
        <v>1406</v>
      </c>
      <c r="M288">
        <v>578</v>
      </c>
      <c r="N288">
        <v>291</v>
      </c>
      <c r="O288">
        <v>210</v>
      </c>
      <c r="P288">
        <v>557</v>
      </c>
      <c r="Q288">
        <v>580</v>
      </c>
      <c r="R288">
        <v>287</v>
      </c>
    </row>
    <row r="289" spans="1:18">
      <c r="A289" s="1" t="s">
        <v>314</v>
      </c>
      <c r="B289">
        <v>34</v>
      </c>
      <c r="C289">
        <v>21</v>
      </c>
      <c r="D289">
        <v>13</v>
      </c>
      <c r="E289">
        <v>4.57</v>
      </c>
      <c r="F289">
        <v>2457</v>
      </c>
      <c r="G289">
        <v>857</v>
      </c>
      <c r="H289">
        <v>1829</v>
      </c>
      <c r="I289">
        <v>477</v>
      </c>
      <c r="J289">
        <v>645</v>
      </c>
      <c r="K289">
        <v>302</v>
      </c>
      <c r="L289">
        <v>1108</v>
      </c>
      <c r="M289">
        <v>510</v>
      </c>
      <c r="N289">
        <v>214</v>
      </c>
      <c r="O289">
        <v>148</v>
      </c>
      <c r="P289">
        <v>432</v>
      </c>
      <c r="Q289">
        <v>601</v>
      </c>
      <c r="R289">
        <v>288</v>
      </c>
    </row>
    <row r="290" spans="1:18">
      <c r="A290" s="1" t="s">
        <v>230</v>
      </c>
      <c r="B290">
        <v>33</v>
      </c>
      <c r="C290">
        <v>17</v>
      </c>
      <c r="D290">
        <v>16</v>
      </c>
      <c r="E290">
        <v>-6.37</v>
      </c>
      <c r="F290">
        <v>2560</v>
      </c>
      <c r="G290">
        <v>892</v>
      </c>
      <c r="H290">
        <v>2031</v>
      </c>
      <c r="I290">
        <v>467</v>
      </c>
      <c r="J290">
        <v>677</v>
      </c>
      <c r="K290">
        <v>431</v>
      </c>
      <c r="L290">
        <v>1227</v>
      </c>
      <c r="M290">
        <v>461</v>
      </c>
      <c r="N290">
        <v>237</v>
      </c>
      <c r="O290">
        <v>79</v>
      </c>
      <c r="P290">
        <v>457</v>
      </c>
      <c r="Q290">
        <v>560</v>
      </c>
      <c r="R290">
        <v>289</v>
      </c>
    </row>
    <row r="291" spans="1:18">
      <c r="A291" s="1" t="s">
        <v>231</v>
      </c>
      <c r="B291">
        <v>32</v>
      </c>
      <c r="C291">
        <v>15</v>
      </c>
      <c r="D291">
        <v>17</v>
      </c>
      <c r="E291">
        <v>-5.65</v>
      </c>
      <c r="F291">
        <v>2404</v>
      </c>
      <c r="G291">
        <v>863</v>
      </c>
      <c r="H291">
        <v>1865</v>
      </c>
      <c r="I291">
        <v>416</v>
      </c>
      <c r="J291">
        <v>617</v>
      </c>
      <c r="K291">
        <v>346</v>
      </c>
      <c r="L291">
        <v>1043</v>
      </c>
      <c r="M291">
        <v>476</v>
      </c>
      <c r="N291">
        <v>303</v>
      </c>
      <c r="O291">
        <v>109</v>
      </c>
      <c r="P291">
        <v>450</v>
      </c>
      <c r="Q291">
        <v>668</v>
      </c>
      <c r="R291">
        <v>290</v>
      </c>
    </row>
    <row r="292" spans="1:18">
      <c r="A292" s="1" t="s">
        <v>232</v>
      </c>
      <c r="B292">
        <v>32</v>
      </c>
      <c r="C292">
        <v>13</v>
      </c>
      <c r="D292">
        <v>19</v>
      </c>
      <c r="E292">
        <v>-6.87</v>
      </c>
      <c r="F292">
        <v>2411</v>
      </c>
      <c r="G292">
        <v>835</v>
      </c>
      <c r="H292">
        <v>1836</v>
      </c>
      <c r="I292">
        <v>564</v>
      </c>
      <c r="J292">
        <v>857</v>
      </c>
      <c r="K292">
        <v>435</v>
      </c>
      <c r="L292">
        <v>1205</v>
      </c>
      <c r="M292">
        <v>448</v>
      </c>
      <c r="N292">
        <v>280</v>
      </c>
      <c r="O292">
        <v>126</v>
      </c>
      <c r="P292">
        <v>534</v>
      </c>
      <c r="Q292">
        <v>600</v>
      </c>
      <c r="R292">
        <v>291</v>
      </c>
    </row>
    <row r="293" spans="1:18">
      <c r="A293" s="1" t="s">
        <v>315</v>
      </c>
      <c r="B293">
        <v>36</v>
      </c>
      <c r="C293">
        <v>31</v>
      </c>
      <c r="D293">
        <v>5</v>
      </c>
      <c r="E293">
        <v>7.84</v>
      </c>
      <c r="F293">
        <v>2946</v>
      </c>
      <c r="G293">
        <v>1035</v>
      </c>
      <c r="H293">
        <v>2258</v>
      </c>
      <c r="I293">
        <v>564</v>
      </c>
      <c r="J293">
        <v>856</v>
      </c>
      <c r="K293">
        <v>501</v>
      </c>
      <c r="L293">
        <v>1358</v>
      </c>
      <c r="M293">
        <v>637</v>
      </c>
      <c r="N293">
        <v>334</v>
      </c>
      <c r="O293">
        <v>119</v>
      </c>
      <c r="P293">
        <v>474</v>
      </c>
      <c r="Q293">
        <v>749</v>
      </c>
      <c r="R293">
        <v>292</v>
      </c>
    </row>
    <row r="294" spans="1:18">
      <c r="A294" s="1" t="s">
        <v>323</v>
      </c>
      <c r="B294">
        <v>29</v>
      </c>
      <c r="C294">
        <v>9</v>
      </c>
      <c r="D294">
        <v>20</v>
      </c>
      <c r="E294">
        <v>-2.82</v>
      </c>
      <c r="F294">
        <v>1857</v>
      </c>
      <c r="G294">
        <v>650</v>
      </c>
      <c r="H294">
        <v>1554</v>
      </c>
      <c r="I294">
        <v>413</v>
      </c>
      <c r="J294">
        <v>634</v>
      </c>
      <c r="K294">
        <v>416</v>
      </c>
      <c r="L294">
        <v>1097</v>
      </c>
      <c r="M294">
        <v>330</v>
      </c>
      <c r="N294">
        <v>155</v>
      </c>
      <c r="O294">
        <v>123</v>
      </c>
      <c r="P294">
        <v>531</v>
      </c>
      <c r="Q294">
        <v>608</v>
      </c>
      <c r="R294">
        <v>293</v>
      </c>
    </row>
    <row r="295" spans="1:18">
      <c r="A295" s="1" t="s">
        <v>233</v>
      </c>
      <c r="B295">
        <v>36</v>
      </c>
      <c r="C295">
        <v>25</v>
      </c>
      <c r="D295">
        <v>11</v>
      </c>
      <c r="E295">
        <v>7.46</v>
      </c>
      <c r="F295">
        <v>2548</v>
      </c>
      <c r="G295">
        <v>909</v>
      </c>
      <c r="H295">
        <v>1945</v>
      </c>
      <c r="I295">
        <v>519</v>
      </c>
      <c r="J295">
        <v>820</v>
      </c>
      <c r="K295">
        <v>424</v>
      </c>
      <c r="L295">
        <v>1402</v>
      </c>
      <c r="M295">
        <v>486</v>
      </c>
      <c r="N295">
        <v>158</v>
      </c>
      <c r="O295">
        <v>145</v>
      </c>
      <c r="P295">
        <v>458</v>
      </c>
      <c r="Q295">
        <v>611</v>
      </c>
      <c r="R295">
        <v>294</v>
      </c>
    </row>
    <row r="296" spans="1:18">
      <c r="A296" s="1" t="s">
        <v>234</v>
      </c>
      <c r="B296">
        <v>33</v>
      </c>
      <c r="C296">
        <v>21</v>
      </c>
      <c r="D296">
        <v>12</v>
      </c>
      <c r="E296">
        <v>-4.62</v>
      </c>
      <c r="F296">
        <v>2422</v>
      </c>
      <c r="G296">
        <v>868</v>
      </c>
      <c r="H296">
        <v>1820</v>
      </c>
      <c r="I296">
        <v>485</v>
      </c>
      <c r="J296">
        <v>741</v>
      </c>
      <c r="K296">
        <v>352</v>
      </c>
      <c r="L296">
        <v>1249</v>
      </c>
      <c r="M296">
        <v>467</v>
      </c>
      <c r="N296">
        <v>218</v>
      </c>
      <c r="O296">
        <v>87</v>
      </c>
      <c r="P296">
        <v>565</v>
      </c>
      <c r="Q296">
        <v>649</v>
      </c>
      <c r="R296">
        <v>295</v>
      </c>
    </row>
    <row r="297" spans="1:18">
      <c r="A297" s="1" t="s">
        <v>235</v>
      </c>
      <c r="B297">
        <v>30</v>
      </c>
      <c r="C297">
        <v>14</v>
      </c>
      <c r="D297">
        <v>16</v>
      </c>
      <c r="E297">
        <v>-0.37</v>
      </c>
      <c r="F297">
        <v>2037</v>
      </c>
      <c r="G297">
        <v>701</v>
      </c>
      <c r="H297">
        <v>1744</v>
      </c>
      <c r="I297">
        <v>413</v>
      </c>
      <c r="J297">
        <v>611</v>
      </c>
      <c r="K297">
        <v>380</v>
      </c>
      <c r="L297">
        <v>1071</v>
      </c>
      <c r="M297">
        <v>377</v>
      </c>
      <c r="N297">
        <v>275</v>
      </c>
      <c r="O297">
        <v>73</v>
      </c>
      <c r="P297">
        <v>430</v>
      </c>
      <c r="Q297">
        <v>580</v>
      </c>
      <c r="R297">
        <v>296</v>
      </c>
    </row>
    <row r="298" spans="1:18">
      <c r="A298" s="1" t="s">
        <v>236</v>
      </c>
      <c r="B298">
        <v>33</v>
      </c>
      <c r="C298">
        <v>19</v>
      </c>
      <c r="D298">
        <v>14</v>
      </c>
      <c r="E298">
        <v>1.54</v>
      </c>
      <c r="F298">
        <v>2527</v>
      </c>
      <c r="G298">
        <v>858</v>
      </c>
      <c r="H298">
        <v>1980</v>
      </c>
      <c r="I298">
        <v>594</v>
      </c>
      <c r="J298">
        <v>904</v>
      </c>
      <c r="K298">
        <v>394</v>
      </c>
      <c r="L298">
        <v>1220</v>
      </c>
      <c r="M298">
        <v>443</v>
      </c>
      <c r="N298">
        <v>253</v>
      </c>
      <c r="O298">
        <v>92</v>
      </c>
      <c r="P298">
        <v>439</v>
      </c>
      <c r="Q298">
        <v>775</v>
      </c>
      <c r="R298">
        <v>297</v>
      </c>
    </row>
    <row r="299" spans="1:18">
      <c r="A299" s="1" t="s">
        <v>237</v>
      </c>
      <c r="B299">
        <v>31</v>
      </c>
      <c r="C299">
        <v>18</v>
      </c>
      <c r="D299">
        <v>13</v>
      </c>
      <c r="E299">
        <v>-6.94</v>
      </c>
      <c r="F299">
        <v>2285</v>
      </c>
      <c r="G299">
        <v>776</v>
      </c>
      <c r="H299">
        <v>1659</v>
      </c>
      <c r="I299">
        <v>487</v>
      </c>
      <c r="J299">
        <v>682</v>
      </c>
      <c r="K299">
        <v>269</v>
      </c>
      <c r="L299">
        <v>926</v>
      </c>
      <c r="M299">
        <v>526</v>
      </c>
      <c r="N299">
        <v>184</v>
      </c>
      <c r="O299">
        <v>33</v>
      </c>
      <c r="P299">
        <v>405</v>
      </c>
      <c r="Q299">
        <v>554</v>
      </c>
      <c r="R299">
        <v>298</v>
      </c>
    </row>
    <row r="300" spans="1:18">
      <c r="A300" s="1" t="s">
        <v>238</v>
      </c>
      <c r="B300">
        <v>30</v>
      </c>
      <c r="C300">
        <v>13</v>
      </c>
      <c r="D300">
        <v>17</v>
      </c>
      <c r="E300">
        <v>-2.95</v>
      </c>
      <c r="F300">
        <v>1903</v>
      </c>
      <c r="G300">
        <v>644</v>
      </c>
      <c r="H300">
        <v>1562</v>
      </c>
      <c r="I300">
        <v>424</v>
      </c>
      <c r="J300">
        <v>644</v>
      </c>
      <c r="K300">
        <v>329</v>
      </c>
      <c r="L300">
        <v>853</v>
      </c>
      <c r="M300">
        <v>338</v>
      </c>
      <c r="N300">
        <v>262</v>
      </c>
      <c r="O300">
        <v>43</v>
      </c>
      <c r="P300">
        <v>468</v>
      </c>
      <c r="Q300">
        <v>600</v>
      </c>
      <c r="R300">
        <v>299</v>
      </c>
    </row>
    <row r="301" spans="1:18">
      <c r="A301" s="1" t="s">
        <v>239</v>
      </c>
      <c r="B301">
        <v>32</v>
      </c>
      <c r="C301">
        <v>7</v>
      </c>
      <c r="D301">
        <v>25</v>
      </c>
      <c r="E301">
        <v>-9.0299999999999994</v>
      </c>
      <c r="F301">
        <v>2010</v>
      </c>
      <c r="G301">
        <v>713</v>
      </c>
      <c r="H301">
        <v>1848</v>
      </c>
      <c r="I301">
        <v>364</v>
      </c>
      <c r="J301">
        <v>560</v>
      </c>
      <c r="K301">
        <v>328</v>
      </c>
      <c r="L301">
        <v>1034</v>
      </c>
      <c r="M301">
        <v>359</v>
      </c>
      <c r="N301">
        <v>227</v>
      </c>
      <c r="O301">
        <v>64</v>
      </c>
      <c r="P301">
        <v>502</v>
      </c>
      <c r="Q301">
        <v>576</v>
      </c>
      <c r="R301">
        <v>300</v>
      </c>
    </row>
    <row r="302" spans="1:18">
      <c r="A302" s="1" t="s">
        <v>240</v>
      </c>
      <c r="B302">
        <v>29</v>
      </c>
      <c r="C302">
        <v>13</v>
      </c>
      <c r="D302">
        <v>16</v>
      </c>
      <c r="E302">
        <v>-5.35</v>
      </c>
      <c r="F302">
        <v>2423</v>
      </c>
      <c r="G302">
        <v>817</v>
      </c>
      <c r="H302">
        <v>1963</v>
      </c>
      <c r="I302">
        <v>553</v>
      </c>
      <c r="J302">
        <v>850</v>
      </c>
      <c r="K302">
        <v>482</v>
      </c>
      <c r="L302">
        <v>1225</v>
      </c>
      <c r="M302">
        <v>453</v>
      </c>
      <c r="N302">
        <v>265</v>
      </c>
      <c r="O302">
        <v>52</v>
      </c>
      <c r="P302">
        <v>524</v>
      </c>
      <c r="Q302">
        <v>809</v>
      </c>
      <c r="R302">
        <v>301</v>
      </c>
    </row>
    <row r="303" spans="1:18">
      <c r="A303" s="1" t="s">
        <v>241</v>
      </c>
      <c r="B303">
        <v>31</v>
      </c>
      <c r="C303">
        <v>16</v>
      </c>
      <c r="D303">
        <v>15</v>
      </c>
      <c r="E303">
        <v>7.62</v>
      </c>
      <c r="F303">
        <v>2166</v>
      </c>
      <c r="G303">
        <v>739</v>
      </c>
      <c r="H303">
        <v>1623</v>
      </c>
      <c r="I303">
        <v>528</v>
      </c>
      <c r="J303">
        <v>747</v>
      </c>
      <c r="K303">
        <v>259</v>
      </c>
      <c r="L303">
        <v>966</v>
      </c>
      <c r="M303">
        <v>390</v>
      </c>
      <c r="N303">
        <v>197</v>
      </c>
      <c r="O303">
        <v>74</v>
      </c>
      <c r="P303">
        <v>448</v>
      </c>
      <c r="Q303">
        <v>563</v>
      </c>
      <c r="R303">
        <v>302</v>
      </c>
    </row>
    <row r="304" spans="1:18">
      <c r="A304" s="1" t="s">
        <v>362</v>
      </c>
      <c r="B304">
        <v>38</v>
      </c>
      <c r="C304">
        <v>31</v>
      </c>
      <c r="D304">
        <v>7</v>
      </c>
      <c r="E304">
        <v>8.59</v>
      </c>
      <c r="F304">
        <v>2868</v>
      </c>
      <c r="G304">
        <v>1032</v>
      </c>
      <c r="H304">
        <v>2285</v>
      </c>
      <c r="I304">
        <v>495</v>
      </c>
      <c r="J304">
        <v>725</v>
      </c>
      <c r="K304">
        <v>496</v>
      </c>
      <c r="L304">
        <v>1448</v>
      </c>
      <c r="M304">
        <v>501</v>
      </c>
      <c r="N304">
        <v>228</v>
      </c>
      <c r="O304">
        <v>198</v>
      </c>
      <c r="P304">
        <v>359</v>
      </c>
      <c r="Q304">
        <v>629</v>
      </c>
      <c r="R304">
        <v>303</v>
      </c>
    </row>
    <row r="305" spans="1:18">
      <c r="A305" s="1" t="s">
        <v>242</v>
      </c>
      <c r="B305">
        <v>30</v>
      </c>
      <c r="C305">
        <v>11</v>
      </c>
      <c r="D305">
        <v>19</v>
      </c>
      <c r="E305">
        <v>1.55</v>
      </c>
      <c r="F305">
        <v>1794</v>
      </c>
      <c r="G305">
        <v>612</v>
      </c>
      <c r="H305">
        <v>1544</v>
      </c>
      <c r="I305">
        <v>393</v>
      </c>
      <c r="J305">
        <v>581</v>
      </c>
      <c r="K305">
        <v>310</v>
      </c>
      <c r="L305">
        <v>896</v>
      </c>
      <c r="M305">
        <v>277</v>
      </c>
      <c r="N305">
        <v>271</v>
      </c>
      <c r="O305">
        <v>106</v>
      </c>
      <c r="P305">
        <v>476</v>
      </c>
      <c r="Q305">
        <v>517</v>
      </c>
      <c r="R305">
        <v>304</v>
      </c>
    </row>
    <row r="306" spans="1:18">
      <c r="A306" s="1" t="s">
        <v>243</v>
      </c>
      <c r="B306">
        <v>31</v>
      </c>
      <c r="C306">
        <v>13</v>
      </c>
      <c r="D306">
        <v>18</v>
      </c>
      <c r="E306">
        <v>-2.83</v>
      </c>
      <c r="F306">
        <v>2027</v>
      </c>
      <c r="G306">
        <v>725</v>
      </c>
      <c r="H306">
        <v>1778</v>
      </c>
      <c r="I306">
        <v>357</v>
      </c>
      <c r="J306">
        <v>534</v>
      </c>
      <c r="K306">
        <v>327</v>
      </c>
      <c r="L306">
        <v>1043</v>
      </c>
      <c r="M306">
        <v>441</v>
      </c>
      <c r="N306">
        <v>241</v>
      </c>
      <c r="O306">
        <v>115</v>
      </c>
      <c r="P306">
        <v>365</v>
      </c>
      <c r="Q306">
        <v>532</v>
      </c>
      <c r="R306">
        <v>305</v>
      </c>
    </row>
    <row r="307" spans="1:18">
      <c r="A307" s="1" t="s">
        <v>244</v>
      </c>
      <c r="B307">
        <v>31</v>
      </c>
      <c r="C307">
        <v>12</v>
      </c>
      <c r="D307">
        <v>19</v>
      </c>
      <c r="E307">
        <v>-1.99</v>
      </c>
      <c r="F307">
        <v>2365</v>
      </c>
      <c r="G307">
        <v>793</v>
      </c>
      <c r="H307">
        <v>1944</v>
      </c>
      <c r="I307">
        <v>444</v>
      </c>
      <c r="J307">
        <v>614</v>
      </c>
      <c r="K307">
        <v>350</v>
      </c>
      <c r="L307">
        <v>1049</v>
      </c>
      <c r="M307">
        <v>401</v>
      </c>
      <c r="N307">
        <v>261</v>
      </c>
      <c r="O307">
        <v>105</v>
      </c>
      <c r="P307">
        <v>406</v>
      </c>
      <c r="Q307">
        <v>512</v>
      </c>
      <c r="R307">
        <v>306</v>
      </c>
    </row>
    <row r="308" spans="1:18">
      <c r="A308" s="1" t="s">
        <v>245</v>
      </c>
      <c r="B308">
        <v>32</v>
      </c>
      <c r="C308">
        <v>17</v>
      </c>
      <c r="D308">
        <v>15</v>
      </c>
      <c r="E308">
        <v>2.15</v>
      </c>
      <c r="F308">
        <v>2102</v>
      </c>
      <c r="G308">
        <v>725</v>
      </c>
      <c r="H308">
        <v>1640</v>
      </c>
      <c r="I308">
        <v>506</v>
      </c>
      <c r="J308">
        <v>716</v>
      </c>
      <c r="K308">
        <v>320</v>
      </c>
      <c r="L308">
        <v>1075</v>
      </c>
      <c r="M308">
        <v>406</v>
      </c>
      <c r="N308">
        <v>214</v>
      </c>
      <c r="O308">
        <v>171</v>
      </c>
      <c r="P308">
        <v>476</v>
      </c>
      <c r="Q308">
        <v>595</v>
      </c>
      <c r="R308">
        <v>307</v>
      </c>
    </row>
    <row r="309" spans="1:18">
      <c r="A309" s="1" t="s">
        <v>299</v>
      </c>
      <c r="B309">
        <v>39</v>
      </c>
      <c r="C309">
        <v>25</v>
      </c>
      <c r="D309">
        <v>14</v>
      </c>
      <c r="E309">
        <v>2.97</v>
      </c>
      <c r="F309">
        <v>2746</v>
      </c>
      <c r="G309">
        <v>947</v>
      </c>
      <c r="H309">
        <v>2140</v>
      </c>
      <c r="I309">
        <v>591</v>
      </c>
      <c r="J309">
        <v>813</v>
      </c>
      <c r="K309">
        <v>476</v>
      </c>
      <c r="L309">
        <v>1495</v>
      </c>
      <c r="M309">
        <v>490</v>
      </c>
      <c r="N309">
        <v>211</v>
      </c>
      <c r="O309">
        <v>230</v>
      </c>
      <c r="P309">
        <v>604</v>
      </c>
      <c r="Q309">
        <v>684</v>
      </c>
      <c r="R309">
        <v>308</v>
      </c>
    </row>
    <row r="310" spans="1:18">
      <c r="A310" s="1" t="s">
        <v>324</v>
      </c>
      <c r="B310">
        <v>39</v>
      </c>
      <c r="C310">
        <v>35</v>
      </c>
      <c r="D310">
        <v>4</v>
      </c>
      <c r="E310">
        <v>7.71</v>
      </c>
      <c r="F310">
        <v>2867</v>
      </c>
      <c r="G310">
        <v>1029</v>
      </c>
      <c r="H310">
        <v>2164</v>
      </c>
      <c r="I310">
        <v>595</v>
      </c>
      <c r="J310">
        <v>813</v>
      </c>
      <c r="K310">
        <v>492</v>
      </c>
      <c r="L310">
        <v>1432</v>
      </c>
      <c r="M310">
        <v>562</v>
      </c>
      <c r="N310">
        <v>285</v>
      </c>
      <c r="O310">
        <v>167</v>
      </c>
      <c r="P310">
        <v>491</v>
      </c>
      <c r="Q310">
        <v>569</v>
      </c>
      <c r="R310">
        <v>309</v>
      </c>
    </row>
    <row r="311" spans="1:18">
      <c r="A311" s="1" t="s">
        <v>316</v>
      </c>
      <c r="B311">
        <v>35</v>
      </c>
      <c r="C311">
        <v>24</v>
      </c>
      <c r="D311">
        <v>11</v>
      </c>
      <c r="E311">
        <v>-2.58</v>
      </c>
      <c r="F311">
        <v>2585</v>
      </c>
      <c r="G311">
        <v>923</v>
      </c>
      <c r="H311">
        <v>1797</v>
      </c>
      <c r="I311">
        <v>532</v>
      </c>
      <c r="J311">
        <v>672</v>
      </c>
      <c r="K311">
        <v>319</v>
      </c>
      <c r="L311">
        <v>1141</v>
      </c>
      <c r="M311">
        <v>620</v>
      </c>
      <c r="N311">
        <v>185</v>
      </c>
      <c r="O311">
        <v>95</v>
      </c>
      <c r="P311">
        <v>493</v>
      </c>
      <c r="Q311">
        <v>590</v>
      </c>
      <c r="R311">
        <v>310</v>
      </c>
    </row>
    <row r="312" spans="1:18">
      <c r="A312" s="1" t="s">
        <v>334</v>
      </c>
      <c r="B312">
        <v>29</v>
      </c>
      <c r="C312">
        <v>15</v>
      </c>
      <c r="D312">
        <v>14</v>
      </c>
      <c r="F312">
        <v>2062</v>
      </c>
      <c r="G312">
        <v>724</v>
      </c>
      <c r="H312">
        <v>1592</v>
      </c>
      <c r="I312">
        <v>388</v>
      </c>
      <c r="J312">
        <v>522</v>
      </c>
      <c r="K312">
        <v>306</v>
      </c>
      <c r="L312">
        <v>954</v>
      </c>
      <c r="M312">
        <v>381</v>
      </c>
      <c r="N312">
        <v>187</v>
      </c>
      <c r="O312">
        <v>83</v>
      </c>
      <c r="P312">
        <v>398</v>
      </c>
      <c r="Q312">
        <v>525</v>
      </c>
      <c r="R312">
        <v>311</v>
      </c>
    </row>
    <row r="313" spans="1:18">
      <c r="A313" s="1" t="s">
        <v>300</v>
      </c>
      <c r="B313">
        <v>33</v>
      </c>
      <c r="C313">
        <v>18</v>
      </c>
      <c r="D313">
        <v>15</v>
      </c>
      <c r="E313">
        <v>3.89</v>
      </c>
      <c r="F313">
        <v>2262</v>
      </c>
      <c r="G313">
        <v>810</v>
      </c>
      <c r="H313">
        <v>1712</v>
      </c>
      <c r="I313">
        <v>400</v>
      </c>
      <c r="J313">
        <v>528</v>
      </c>
      <c r="K313">
        <v>258</v>
      </c>
      <c r="L313">
        <v>1074</v>
      </c>
      <c r="M313">
        <v>484</v>
      </c>
      <c r="N313">
        <v>187</v>
      </c>
      <c r="O313">
        <v>113</v>
      </c>
      <c r="P313">
        <v>424</v>
      </c>
      <c r="Q313">
        <v>632</v>
      </c>
      <c r="R313">
        <v>312</v>
      </c>
    </row>
    <row r="314" spans="1:18">
      <c r="A314" s="1" t="s">
        <v>301</v>
      </c>
      <c r="B314">
        <v>36</v>
      </c>
      <c r="C314">
        <v>22</v>
      </c>
      <c r="D314">
        <v>14</v>
      </c>
      <c r="E314">
        <v>1.29</v>
      </c>
      <c r="F314">
        <v>2558</v>
      </c>
      <c r="G314">
        <v>883</v>
      </c>
      <c r="H314">
        <v>1960</v>
      </c>
      <c r="I314">
        <v>462</v>
      </c>
      <c r="J314">
        <v>687</v>
      </c>
      <c r="K314">
        <v>334</v>
      </c>
      <c r="L314">
        <v>1220</v>
      </c>
      <c r="M314">
        <v>507</v>
      </c>
      <c r="N314">
        <v>169</v>
      </c>
      <c r="O314">
        <v>86</v>
      </c>
      <c r="P314">
        <v>477</v>
      </c>
      <c r="Q314">
        <v>665</v>
      </c>
      <c r="R314">
        <v>313</v>
      </c>
    </row>
    <row r="315" spans="1:18">
      <c r="A315" s="1" t="s">
        <v>246</v>
      </c>
      <c r="B315">
        <v>34</v>
      </c>
      <c r="C315">
        <v>26</v>
      </c>
      <c r="D315">
        <v>8</v>
      </c>
      <c r="E315">
        <v>5.54</v>
      </c>
      <c r="F315">
        <v>2721</v>
      </c>
      <c r="G315">
        <v>928</v>
      </c>
      <c r="H315">
        <v>1995</v>
      </c>
      <c r="I315">
        <v>562</v>
      </c>
      <c r="J315">
        <v>765</v>
      </c>
      <c r="K315">
        <v>359</v>
      </c>
      <c r="L315">
        <v>1197</v>
      </c>
      <c r="M315">
        <v>606</v>
      </c>
      <c r="N315">
        <v>207</v>
      </c>
      <c r="O315">
        <v>118</v>
      </c>
      <c r="P315">
        <v>494</v>
      </c>
      <c r="Q315">
        <v>623</v>
      </c>
      <c r="R315">
        <v>314</v>
      </c>
    </row>
    <row r="316" spans="1:18">
      <c r="A316" s="1" t="s">
        <v>247</v>
      </c>
      <c r="B316">
        <v>31</v>
      </c>
      <c r="C316">
        <v>16</v>
      </c>
      <c r="D316">
        <v>15</v>
      </c>
      <c r="E316">
        <v>-5.77</v>
      </c>
      <c r="F316">
        <v>2241</v>
      </c>
      <c r="G316">
        <v>807</v>
      </c>
      <c r="H316">
        <v>1760</v>
      </c>
      <c r="I316">
        <v>450</v>
      </c>
      <c r="J316">
        <v>657</v>
      </c>
      <c r="K316">
        <v>361</v>
      </c>
      <c r="L316">
        <v>1137</v>
      </c>
      <c r="M316">
        <v>453</v>
      </c>
      <c r="N316">
        <v>186</v>
      </c>
      <c r="O316">
        <v>150</v>
      </c>
      <c r="P316">
        <v>466</v>
      </c>
      <c r="Q316">
        <v>622</v>
      </c>
      <c r="R316">
        <v>315</v>
      </c>
    </row>
    <row r="317" spans="1:18">
      <c r="A317" s="1" t="s">
        <v>248</v>
      </c>
      <c r="B317">
        <v>35</v>
      </c>
      <c r="C317">
        <v>22</v>
      </c>
      <c r="D317">
        <v>13</v>
      </c>
      <c r="E317">
        <v>7.69</v>
      </c>
      <c r="F317">
        <v>2547</v>
      </c>
      <c r="G317">
        <v>868</v>
      </c>
      <c r="H317">
        <v>2013</v>
      </c>
      <c r="I317">
        <v>569</v>
      </c>
      <c r="J317">
        <v>783</v>
      </c>
      <c r="K317">
        <v>457</v>
      </c>
      <c r="L317">
        <v>1257</v>
      </c>
      <c r="M317">
        <v>466</v>
      </c>
      <c r="N317">
        <v>283</v>
      </c>
      <c r="O317">
        <v>98</v>
      </c>
      <c r="P317">
        <v>503</v>
      </c>
      <c r="Q317">
        <v>727</v>
      </c>
      <c r="R317">
        <v>316</v>
      </c>
    </row>
    <row r="318" spans="1:18">
      <c r="A318" s="1" t="s">
        <v>249</v>
      </c>
      <c r="B318">
        <v>32</v>
      </c>
      <c r="C318">
        <v>24</v>
      </c>
      <c r="D318">
        <v>8</v>
      </c>
      <c r="E318">
        <v>-2.06</v>
      </c>
      <c r="F318">
        <v>2157</v>
      </c>
      <c r="G318">
        <v>742</v>
      </c>
      <c r="H318">
        <v>1706</v>
      </c>
      <c r="I318">
        <v>463</v>
      </c>
      <c r="J318">
        <v>684</v>
      </c>
      <c r="K318">
        <v>376</v>
      </c>
      <c r="L318">
        <v>1158</v>
      </c>
      <c r="M318">
        <v>402</v>
      </c>
      <c r="N318">
        <v>253</v>
      </c>
      <c r="O318">
        <v>170</v>
      </c>
      <c r="P318">
        <v>429</v>
      </c>
      <c r="Q318">
        <v>594</v>
      </c>
      <c r="R318">
        <v>317</v>
      </c>
    </row>
    <row r="319" spans="1:18">
      <c r="A319" s="1" t="s">
        <v>250</v>
      </c>
      <c r="B319">
        <v>29</v>
      </c>
      <c r="C319">
        <v>14</v>
      </c>
      <c r="D319">
        <v>15</v>
      </c>
      <c r="E319">
        <v>-7.32</v>
      </c>
      <c r="F319">
        <v>2649</v>
      </c>
      <c r="G319">
        <v>945</v>
      </c>
      <c r="H319">
        <v>2125</v>
      </c>
      <c r="I319">
        <v>423</v>
      </c>
      <c r="J319">
        <v>611</v>
      </c>
      <c r="K319">
        <v>433</v>
      </c>
      <c r="L319">
        <v>1116</v>
      </c>
      <c r="M319">
        <v>518</v>
      </c>
      <c r="N319">
        <v>369</v>
      </c>
      <c r="O319">
        <v>77</v>
      </c>
      <c r="P319">
        <v>463</v>
      </c>
      <c r="Q319">
        <v>521</v>
      </c>
      <c r="R319">
        <v>318</v>
      </c>
    </row>
    <row r="320" spans="1:18">
      <c r="A320" s="1" t="s">
        <v>251</v>
      </c>
      <c r="B320">
        <v>35</v>
      </c>
      <c r="C320">
        <v>21</v>
      </c>
      <c r="D320">
        <v>14</v>
      </c>
      <c r="E320">
        <v>6.54</v>
      </c>
      <c r="F320">
        <v>2456</v>
      </c>
      <c r="G320">
        <v>869</v>
      </c>
      <c r="H320">
        <v>1979</v>
      </c>
      <c r="I320">
        <v>526</v>
      </c>
      <c r="J320">
        <v>772</v>
      </c>
      <c r="K320">
        <v>425</v>
      </c>
      <c r="L320">
        <v>1305</v>
      </c>
      <c r="M320">
        <v>468</v>
      </c>
      <c r="N320">
        <v>249</v>
      </c>
      <c r="O320">
        <v>168</v>
      </c>
      <c r="P320">
        <v>508</v>
      </c>
      <c r="Q320">
        <v>662</v>
      </c>
      <c r="R320">
        <v>319</v>
      </c>
    </row>
    <row r="321" spans="1:18">
      <c r="A321" s="1" t="s">
        <v>252</v>
      </c>
      <c r="B321">
        <v>33</v>
      </c>
      <c r="C321">
        <v>17</v>
      </c>
      <c r="D321">
        <v>16</v>
      </c>
      <c r="E321">
        <v>5.63</v>
      </c>
      <c r="F321">
        <v>2535</v>
      </c>
      <c r="G321">
        <v>879</v>
      </c>
      <c r="H321">
        <v>2020</v>
      </c>
      <c r="I321">
        <v>503</v>
      </c>
      <c r="J321">
        <v>713</v>
      </c>
      <c r="K321">
        <v>443</v>
      </c>
      <c r="L321">
        <v>1289</v>
      </c>
      <c r="M321">
        <v>445</v>
      </c>
      <c r="N321">
        <v>191</v>
      </c>
      <c r="O321">
        <v>78</v>
      </c>
      <c r="P321">
        <v>462</v>
      </c>
      <c r="Q321">
        <v>643</v>
      </c>
      <c r="R321">
        <v>320</v>
      </c>
    </row>
    <row r="322" spans="1:18">
      <c r="A322" s="1" t="s">
        <v>253</v>
      </c>
      <c r="B322">
        <v>31</v>
      </c>
      <c r="C322">
        <v>23</v>
      </c>
      <c r="D322">
        <v>8</v>
      </c>
      <c r="E322">
        <v>-7.62</v>
      </c>
      <c r="F322">
        <v>2217</v>
      </c>
      <c r="G322">
        <v>819</v>
      </c>
      <c r="H322">
        <v>1846</v>
      </c>
      <c r="I322">
        <v>401</v>
      </c>
      <c r="J322">
        <v>669</v>
      </c>
      <c r="K322">
        <v>431</v>
      </c>
      <c r="L322">
        <v>1265</v>
      </c>
      <c r="M322">
        <v>442</v>
      </c>
      <c r="N322">
        <v>202</v>
      </c>
      <c r="O322">
        <v>116</v>
      </c>
      <c r="P322">
        <v>487</v>
      </c>
      <c r="Q322">
        <v>578</v>
      </c>
      <c r="R322">
        <v>321</v>
      </c>
    </row>
    <row r="323" spans="1:18">
      <c r="A323" s="1" t="s">
        <v>254</v>
      </c>
      <c r="B323">
        <v>30</v>
      </c>
      <c r="C323">
        <v>17</v>
      </c>
      <c r="D323">
        <v>13</v>
      </c>
      <c r="E323">
        <v>8.83</v>
      </c>
      <c r="F323">
        <v>2166</v>
      </c>
      <c r="G323">
        <v>784</v>
      </c>
      <c r="H323">
        <v>1811</v>
      </c>
      <c r="I323">
        <v>409</v>
      </c>
      <c r="J323">
        <v>615</v>
      </c>
      <c r="K323">
        <v>392</v>
      </c>
      <c r="L323">
        <v>1104</v>
      </c>
      <c r="M323">
        <v>357</v>
      </c>
      <c r="N323">
        <v>242</v>
      </c>
      <c r="O323">
        <v>155</v>
      </c>
      <c r="P323">
        <v>432</v>
      </c>
      <c r="Q323">
        <v>571</v>
      </c>
      <c r="R323">
        <v>322</v>
      </c>
    </row>
    <row r="324" spans="1:18">
      <c r="A324" s="1" t="s">
        <v>255</v>
      </c>
      <c r="B324">
        <v>35</v>
      </c>
      <c r="C324">
        <v>26</v>
      </c>
      <c r="D324">
        <v>9</v>
      </c>
      <c r="E324">
        <v>6.35</v>
      </c>
      <c r="F324">
        <v>2325</v>
      </c>
      <c r="G324">
        <v>815</v>
      </c>
      <c r="H324">
        <v>1716</v>
      </c>
      <c r="I324">
        <v>481</v>
      </c>
      <c r="J324">
        <v>661</v>
      </c>
      <c r="K324">
        <v>274</v>
      </c>
      <c r="L324">
        <v>1044</v>
      </c>
      <c r="M324">
        <v>482</v>
      </c>
      <c r="N324">
        <v>218</v>
      </c>
      <c r="O324">
        <v>102</v>
      </c>
      <c r="P324">
        <v>358</v>
      </c>
      <c r="Q324">
        <v>534</v>
      </c>
      <c r="R324">
        <v>323</v>
      </c>
    </row>
    <row r="325" spans="1:18">
      <c r="A325" s="1" t="s">
        <v>256</v>
      </c>
      <c r="B325">
        <v>33</v>
      </c>
      <c r="C325">
        <v>16</v>
      </c>
      <c r="D325">
        <v>17</v>
      </c>
      <c r="E325">
        <v>8</v>
      </c>
      <c r="F325">
        <v>2416</v>
      </c>
      <c r="G325">
        <v>911</v>
      </c>
      <c r="H325">
        <v>2014</v>
      </c>
      <c r="I325">
        <v>403</v>
      </c>
      <c r="J325">
        <v>688</v>
      </c>
      <c r="K325">
        <v>501</v>
      </c>
      <c r="L325">
        <v>1257</v>
      </c>
      <c r="M325">
        <v>459</v>
      </c>
      <c r="N325">
        <v>213</v>
      </c>
      <c r="O325">
        <v>72</v>
      </c>
      <c r="P325">
        <v>457</v>
      </c>
      <c r="Q325">
        <v>679</v>
      </c>
      <c r="R325">
        <v>324</v>
      </c>
    </row>
    <row r="326" spans="1:18">
      <c r="A326" s="1" t="s">
        <v>257</v>
      </c>
      <c r="B326">
        <v>30</v>
      </c>
      <c r="C326">
        <v>16</v>
      </c>
      <c r="D326">
        <v>14</v>
      </c>
      <c r="E326">
        <v>-3.5</v>
      </c>
      <c r="F326">
        <v>1993</v>
      </c>
      <c r="G326">
        <v>656</v>
      </c>
      <c r="H326">
        <v>1438</v>
      </c>
      <c r="I326">
        <v>487</v>
      </c>
      <c r="J326">
        <v>654</v>
      </c>
      <c r="K326">
        <v>255</v>
      </c>
      <c r="L326">
        <v>964</v>
      </c>
      <c r="M326">
        <v>360</v>
      </c>
      <c r="N326">
        <v>157</v>
      </c>
      <c r="O326">
        <v>101</v>
      </c>
      <c r="P326">
        <v>471</v>
      </c>
      <c r="Q326">
        <v>585</v>
      </c>
      <c r="R326">
        <v>325</v>
      </c>
    </row>
    <row r="327" spans="1:18">
      <c r="A327" s="1" t="s">
        <v>258</v>
      </c>
      <c r="B327">
        <v>37</v>
      </c>
      <c r="C327">
        <v>26</v>
      </c>
      <c r="D327">
        <v>11</v>
      </c>
      <c r="E327">
        <v>7.16</v>
      </c>
      <c r="F327">
        <v>2769</v>
      </c>
      <c r="G327">
        <v>983</v>
      </c>
      <c r="H327">
        <v>2169</v>
      </c>
      <c r="I327">
        <v>539</v>
      </c>
      <c r="J327">
        <v>782</v>
      </c>
      <c r="K327">
        <v>453</v>
      </c>
      <c r="L327">
        <v>1332</v>
      </c>
      <c r="M327">
        <v>571</v>
      </c>
      <c r="N327">
        <v>257</v>
      </c>
      <c r="O327">
        <v>188</v>
      </c>
      <c r="P327">
        <v>413</v>
      </c>
      <c r="Q327">
        <v>710</v>
      </c>
      <c r="R327">
        <v>326</v>
      </c>
    </row>
    <row r="328" spans="1:18">
      <c r="A328" s="1" t="s">
        <v>259</v>
      </c>
      <c r="B328">
        <v>31</v>
      </c>
      <c r="C328">
        <v>10</v>
      </c>
      <c r="D328">
        <v>21</v>
      </c>
      <c r="E328">
        <v>-1.2</v>
      </c>
      <c r="F328">
        <v>1979</v>
      </c>
      <c r="G328">
        <v>727</v>
      </c>
      <c r="H328">
        <v>1811</v>
      </c>
      <c r="I328">
        <v>288</v>
      </c>
      <c r="J328">
        <v>432</v>
      </c>
      <c r="K328">
        <v>424</v>
      </c>
      <c r="L328">
        <v>1082</v>
      </c>
      <c r="M328">
        <v>367</v>
      </c>
      <c r="N328">
        <v>224</v>
      </c>
      <c r="O328">
        <v>82</v>
      </c>
      <c r="P328">
        <v>457</v>
      </c>
      <c r="Q328">
        <v>643</v>
      </c>
      <c r="R328">
        <v>327</v>
      </c>
    </row>
    <row r="329" spans="1:18">
      <c r="A329" s="1" t="s">
        <v>260</v>
      </c>
      <c r="B329">
        <v>30</v>
      </c>
      <c r="C329">
        <v>12</v>
      </c>
      <c r="D329">
        <v>18</v>
      </c>
      <c r="E329">
        <v>-1.67</v>
      </c>
      <c r="F329">
        <v>2016</v>
      </c>
      <c r="G329">
        <v>688</v>
      </c>
      <c r="H329">
        <v>1635</v>
      </c>
      <c r="I329">
        <v>478</v>
      </c>
      <c r="J329">
        <v>684</v>
      </c>
      <c r="K329">
        <v>340</v>
      </c>
      <c r="L329">
        <v>1019</v>
      </c>
      <c r="M329">
        <v>349</v>
      </c>
      <c r="N329">
        <v>183</v>
      </c>
      <c r="O329">
        <v>68</v>
      </c>
      <c r="P329">
        <v>418</v>
      </c>
      <c r="Q329">
        <v>657</v>
      </c>
      <c r="R329">
        <v>328</v>
      </c>
    </row>
    <row r="330" spans="1:18">
      <c r="A330" s="1" t="s">
        <v>261</v>
      </c>
      <c r="B330">
        <v>36</v>
      </c>
      <c r="C330">
        <v>29</v>
      </c>
      <c r="D330">
        <v>7</v>
      </c>
      <c r="E330">
        <v>0.24</v>
      </c>
      <c r="F330">
        <v>2785</v>
      </c>
      <c r="G330">
        <v>993</v>
      </c>
      <c r="H330">
        <v>2106</v>
      </c>
      <c r="I330">
        <v>529</v>
      </c>
      <c r="J330">
        <v>755</v>
      </c>
      <c r="K330">
        <v>455</v>
      </c>
      <c r="L330">
        <v>1262</v>
      </c>
      <c r="M330">
        <v>458</v>
      </c>
      <c r="N330">
        <v>288</v>
      </c>
      <c r="O330">
        <v>135</v>
      </c>
      <c r="P330">
        <v>514</v>
      </c>
      <c r="Q330">
        <v>768</v>
      </c>
      <c r="R330">
        <v>329</v>
      </c>
    </row>
    <row r="331" spans="1:18">
      <c r="A331" s="1" t="s">
        <v>262</v>
      </c>
      <c r="B331">
        <v>32</v>
      </c>
      <c r="C331">
        <v>20</v>
      </c>
      <c r="D331">
        <v>12</v>
      </c>
      <c r="E331">
        <v>-0.51</v>
      </c>
      <c r="F331">
        <v>2231</v>
      </c>
      <c r="G331">
        <v>708</v>
      </c>
      <c r="H331">
        <v>1650</v>
      </c>
      <c r="I331">
        <v>591</v>
      </c>
      <c r="J331">
        <v>785</v>
      </c>
      <c r="K331">
        <v>373</v>
      </c>
      <c r="L331">
        <v>1140</v>
      </c>
      <c r="M331">
        <v>349</v>
      </c>
      <c r="N331">
        <v>162</v>
      </c>
      <c r="O331">
        <v>73</v>
      </c>
      <c r="P331">
        <v>466</v>
      </c>
      <c r="Q331">
        <v>685</v>
      </c>
      <c r="R331">
        <v>330</v>
      </c>
    </row>
    <row r="332" spans="1:18">
      <c r="A332" s="1" t="s">
        <v>263</v>
      </c>
      <c r="B332">
        <v>31</v>
      </c>
      <c r="C332">
        <v>11</v>
      </c>
      <c r="D332">
        <v>20</v>
      </c>
      <c r="E332">
        <v>2.85</v>
      </c>
      <c r="F332">
        <v>1939</v>
      </c>
      <c r="G332">
        <v>676</v>
      </c>
      <c r="H332">
        <v>1621</v>
      </c>
      <c r="I332">
        <v>407</v>
      </c>
      <c r="J332">
        <v>603</v>
      </c>
      <c r="K332">
        <v>396</v>
      </c>
      <c r="L332">
        <v>1127</v>
      </c>
      <c r="M332">
        <v>387</v>
      </c>
      <c r="N332">
        <v>157</v>
      </c>
      <c r="O332">
        <v>90</v>
      </c>
      <c r="P332">
        <v>441</v>
      </c>
      <c r="Q332">
        <v>579</v>
      </c>
      <c r="R332">
        <v>331</v>
      </c>
    </row>
    <row r="333" spans="1:18">
      <c r="A333" s="1" t="s">
        <v>264</v>
      </c>
      <c r="B333">
        <v>33</v>
      </c>
      <c r="C333">
        <v>17</v>
      </c>
      <c r="D333">
        <v>16</v>
      </c>
      <c r="E333">
        <v>-1.38</v>
      </c>
      <c r="F333">
        <v>2059</v>
      </c>
      <c r="G333">
        <v>715</v>
      </c>
      <c r="H333">
        <v>1714</v>
      </c>
      <c r="I333">
        <v>372</v>
      </c>
      <c r="J333">
        <v>535</v>
      </c>
      <c r="K333">
        <v>328</v>
      </c>
      <c r="L333">
        <v>1045</v>
      </c>
      <c r="M333">
        <v>441</v>
      </c>
      <c r="N333">
        <v>198</v>
      </c>
      <c r="O333">
        <v>65</v>
      </c>
      <c r="P333">
        <v>438</v>
      </c>
      <c r="Q333">
        <v>542</v>
      </c>
      <c r="R333">
        <v>332</v>
      </c>
    </row>
    <row r="334" spans="1:18">
      <c r="A334" s="1" t="s">
        <v>345</v>
      </c>
      <c r="B334">
        <v>30</v>
      </c>
      <c r="C334">
        <v>12</v>
      </c>
      <c r="D334">
        <v>18</v>
      </c>
      <c r="F334">
        <v>1876</v>
      </c>
      <c r="G334">
        <v>672</v>
      </c>
      <c r="H334">
        <v>1707</v>
      </c>
      <c r="I334">
        <v>371</v>
      </c>
      <c r="J334">
        <v>594</v>
      </c>
      <c r="L334">
        <v>1056</v>
      </c>
      <c r="M334">
        <v>317</v>
      </c>
      <c r="N334">
        <v>249</v>
      </c>
      <c r="O334">
        <v>95</v>
      </c>
      <c r="P334">
        <v>488</v>
      </c>
      <c r="Q334">
        <v>534</v>
      </c>
      <c r="R334">
        <v>333</v>
      </c>
    </row>
    <row r="335" spans="1:18">
      <c r="A335" s="1" t="s">
        <v>325</v>
      </c>
      <c r="B335">
        <v>34</v>
      </c>
      <c r="C335">
        <v>22</v>
      </c>
      <c r="D335">
        <v>12</v>
      </c>
      <c r="E335">
        <v>-1.45</v>
      </c>
      <c r="F335">
        <v>2205</v>
      </c>
      <c r="G335">
        <v>795</v>
      </c>
      <c r="H335">
        <v>1814</v>
      </c>
      <c r="I335">
        <v>398</v>
      </c>
      <c r="J335">
        <v>673</v>
      </c>
      <c r="K335">
        <v>393</v>
      </c>
      <c r="L335">
        <v>1195</v>
      </c>
      <c r="M335">
        <v>435</v>
      </c>
      <c r="N335">
        <v>284</v>
      </c>
      <c r="O335">
        <v>124</v>
      </c>
      <c r="P335">
        <v>439</v>
      </c>
      <c r="Q335">
        <v>591</v>
      </c>
      <c r="R335">
        <v>334</v>
      </c>
    </row>
    <row r="336" spans="1:18">
      <c r="A336" s="1" t="s">
        <v>367</v>
      </c>
      <c r="B336">
        <v>36</v>
      </c>
      <c r="C336">
        <v>31</v>
      </c>
      <c r="D336">
        <v>5</v>
      </c>
      <c r="E336">
        <v>6.73</v>
      </c>
      <c r="F336">
        <v>2421</v>
      </c>
      <c r="G336">
        <v>841</v>
      </c>
      <c r="H336">
        <v>1872</v>
      </c>
      <c r="I336">
        <v>527</v>
      </c>
      <c r="J336">
        <v>747</v>
      </c>
      <c r="K336">
        <v>419</v>
      </c>
      <c r="L336">
        <v>1292</v>
      </c>
      <c r="M336">
        <v>455</v>
      </c>
      <c r="N336">
        <v>221</v>
      </c>
      <c r="O336">
        <v>120</v>
      </c>
      <c r="P336">
        <v>438</v>
      </c>
      <c r="Q336">
        <v>517</v>
      </c>
      <c r="R336">
        <v>335</v>
      </c>
    </row>
    <row r="337" spans="1:18">
      <c r="A337" s="1" t="s">
        <v>265</v>
      </c>
      <c r="B337">
        <v>32</v>
      </c>
      <c r="C337">
        <v>16</v>
      </c>
      <c r="D337">
        <v>16</v>
      </c>
      <c r="E337">
        <v>-1.42</v>
      </c>
      <c r="F337">
        <v>2147</v>
      </c>
      <c r="G337">
        <v>743</v>
      </c>
      <c r="H337">
        <v>1686</v>
      </c>
      <c r="I337">
        <v>435</v>
      </c>
      <c r="J337">
        <v>663</v>
      </c>
      <c r="K337">
        <v>368</v>
      </c>
      <c r="L337">
        <v>1109</v>
      </c>
      <c r="M337">
        <v>404</v>
      </c>
      <c r="N337">
        <v>183</v>
      </c>
      <c r="O337">
        <v>83</v>
      </c>
      <c r="P337">
        <v>402</v>
      </c>
      <c r="Q337">
        <v>579</v>
      </c>
      <c r="R337">
        <v>336</v>
      </c>
    </row>
    <row r="338" spans="1:18">
      <c r="A338" s="1" t="s">
        <v>266</v>
      </c>
      <c r="B338">
        <v>31</v>
      </c>
      <c r="C338">
        <v>21</v>
      </c>
      <c r="D338">
        <v>10</v>
      </c>
      <c r="E338">
        <v>0.48</v>
      </c>
      <c r="F338">
        <v>1944</v>
      </c>
      <c r="G338">
        <v>686</v>
      </c>
      <c r="H338">
        <v>1524</v>
      </c>
      <c r="I338">
        <v>363</v>
      </c>
      <c r="J338">
        <v>537</v>
      </c>
      <c r="K338">
        <v>279</v>
      </c>
      <c r="L338">
        <v>1000</v>
      </c>
      <c r="M338">
        <v>368</v>
      </c>
      <c r="N338">
        <v>156</v>
      </c>
      <c r="O338">
        <v>54</v>
      </c>
      <c r="P338">
        <v>389</v>
      </c>
      <c r="Q338">
        <v>500</v>
      </c>
      <c r="R338">
        <v>337</v>
      </c>
    </row>
    <row r="339" spans="1:18">
      <c r="A339" s="1" t="s">
        <v>267</v>
      </c>
      <c r="B339">
        <v>30</v>
      </c>
      <c r="C339">
        <v>12</v>
      </c>
      <c r="D339">
        <v>18</v>
      </c>
      <c r="E339">
        <v>1.86</v>
      </c>
      <c r="F339">
        <v>2071</v>
      </c>
      <c r="G339">
        <v>691</v>
      </c>
      <c r="H339">
        <v>1568</v>
      </c>
      <c r="I339">
        <v>514</v>
      </c>
      <c r="J339">
        <v>711</v>
      </c>
      <c r="K339">
        <v>291</v>
      </c>
      <c r="L339">
        <v>1076</v>
      </c>
      <c r="M339">
        <v>409</v>
      </c>
      <c r="N339">
        <v>164</v>
      </c>
      <c r="O339">
        <v>144</v>
      </c>
      <c r="P339">
        <v>517</v>
      </c>
      <c r="Q339">
        <v>558</v>
      </c>
      <c r="R339">
        <v>338</v>
      </c>
    </row>
    <row r="340" spans="1:18">
      <c r="A340" s="1" t="s">
        <v>268</v>
      </c>
      <c r="B340">
        <v>37</v>
      </c>
      <c r="C340">
        <v>30</v>
      </c>
      <c r="D340">
        <v>7</v>
      </c>
      <c r="E340">
        <v>5.47</v>
      </c>
      <c r="F340">
        <v>2780</v>
      </c>
      <c r="G340">
        <v>936</v>
      </c>
      <c r="H340">
        <v>1973</v>
      </c>
      <c r="I340">
        <v>626</v>
      </c>
      <c r="J340">
        <v>836</v>
      </c>
      <c r="K340">
        <v>412</v>
      </c>
      <c r="L340">
        <v>1322</v>
      </c>
      <c r="M340">
        <v>564</v>
      </c>
      <c r="N340">
        <v>206</v>
      </c>
      <c r="O340">
        <v>125</v>
      </c>
      <c r="P340">
        <v>480</v>
      </c>
      <c r="Q340">
        <v>643</v>
      </c>
      <c r="R340">
        <v>339</v>
      </c>
    </row>
    <row r="341" spans="1:18">
      <c r="A341" s="1" t="s">
        <v>269</v>
      </c>
      <c r="B341">
        <v>28</v>
      </c>
      <c r="C341">
        <v>13</v>
      </c>
      <c r="D341">
        <v>15</v>
      </c>
      <c r="E341">
        <v>-3.88</v>
      </c>
      <c r="F341">
        <v>1918</v>
      </c>
      <c r="G341">
        <v>675</v>
      </c>
      <c r="H341">
        <v>1494</v>
      </c>
      <c r="I341">
        <v>385</v>
      </c>
      <c r="J341">
        <v>552</v>
      </c>
      <c r="K341">
        <v>284</v>
      </c>
      <c r="L341">
        <v>904</v>
      </c>
      <c r="M341">
        <v>385</v>
      </c>
      <c r="N341">
        <v>231</v>
      </c>
      <c r="O341">
        <v>97</v>
      </c>
      <c r="P341">
        <v>416</v>
      </c>
      <c r="Q341">
        <v>550</v>
      </c>
      <c r="R341">
        <v>340</v>
      </c>
    </row>
    <row r="342" spans="1:18">
      <c r="A342" s="1" t="s">
        <v>270</v>
      </c>
      <c r="B342">
        <v>30</v>
      </c>
      <c r="C342">
        <v>9</v>
      </c>
      <c r="D342">
        <v>21</v>
      </c>
      <c r="E342">
        <v>1.74</v>
      </c>
      <c r="F342">
        <v>1944</v>
      </c>
      <c r="G342">
        <v>708</v>
      </c>
      <c r="H342">
        <v>1643</v>
      </c>
      <c r="I342">
        <v>362</v>
      </c>
      <c r="J342">
        <v>571</v>
      </c>
      <c r="K342">
        <v>286</v>
      </c>
      <c r="L342">
        <v>994</v>
      </c>
      <c r="M342">
        <v>389</v>
      </c>
      <c r="N342">
        <v>195</v>
      </c>
      <c r="O342">
        <v>92</v>
      </c>
      <c r="P342">
        <v>434</v>
      </c>
      <c r="Q342">
        <v>559</v>
      </c>
      <c r="R342">
        <v>341</v>
      </c>
    </row>
    <row r="343" spans="1:18">
      <c r="R343">
        <v>342</v>
      </c>
    </row>
    <row r="344" spans="1:18">
      <c r="R344">
        <v>343</v>
      </c>
    </row>
    <row r="345" spans="1:18">
      <c r="R345">
        <v>344</v>
      </c>
    </row>
    <row r="346" spans="1:18">
      <c r="R346">
        <v>345</v>
      </c>
    </row>
    <row r="347" spans="1:18">
      <c r="R347">
        <v>346</v>
      </c>
    </row>
    <row r="348" spans="1:18">
      <c r="R348">
        <v>347</v>
      </c>
    </row>
    <row r="349" spans="1:18">
      <c r="R349">
        <v>348</v>
      </c>
    </row>
    <row r="350" spans="1:18">
      <c r="R350">
        <v>349</v>
      </c>
    </row>
    <row r="351" spans="1:18">
      <c r="R351">
        <v>350</v>
      </c>
    </row>
    <row r="352" spans="1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900C-F6AB-4666-997A-6834C5D53DB8}">
  <sheetPr codeName="Sheet10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28.425781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31</v>
      </c>
      <c r="C2">
        <v>10</v>
      </c>
      <c r="D2">
        <v>21</v>
      </c>
      <c r="E2">
        <v>2.37</v>
      </c>
      <c r="F2">
        <v>1821</v>
      </c>
      <c r="G2">
        <v>611</v>
      </c>
      <c r="H2">
        <v>1389</v>
      </c>
      <c r="I2">
        <v>393</v>
      </c>
      <c r="J2">
        <v>583</v>
      </c>
      <c r="K2">
        <v>229</v>
      </c>
      <c r="L2">
        <v>879</v>
      </c>
      <c r="M2">
        <v>378</v>
      </c>
      <c r="N2">
        <v>155</v>
      </c>
      <c r="O2">
        <v>70</v>
      </c>
      <c r="P2">
        <v>407</v>
      </c>
      <c r="Q2">
        <v>542</v>
      </c>
      <c r="R2">
        <v>1</v>
      </c>
    </row>
    <row r="3" spans="1:18">
      <c r="A3" s="1" t="s">
        <v>18</v>
      </c>
      <c r="B3">
        <v>36</v>
      </c>
      <c r="C3">
        <v>23</v>
      </c>
      <c r="D3">
        <v>13</v>
      </c>
      <c r="E3">
        <v>-2.0099999999999998</v>
      </c>
      <c r="F3">
        <v>2403</v>
      </c>
      <c r="G3">
        <v>823</v>
      </c>
      <c r="H3">
        <v>1969</v>
      </c>
      <c r="I3">
        <v>499</v>
      </c>
      <c r="J3">
        <v>705</v>
      </c>
      <c r="K3">
        <v>424</v>
      </c>
      <c r="L3">
        <v>1199</v>
      </c>
      <c r="M3">
        <v>446</v>
      </c>
      <c r="N3">
        <v>270</v>
      </c>
      <c r="O3">
        <v>80</v>
      </c>
      <c r="P3">
        <v>490</v>
      </c>
      <c r="Q3">
        <v>745</v>
      </c>
      <c r="R3">
        <v>2</v>
      </c>
    </row>
    <row r="4" spans="1:18">
      <c r="A4" s="1" t="s">
        <v>19</v>
      </c>
      <c r="B4">
        <v>27</v>
      </c>
      <c r="C4">
        <v>8</v>
      </c>
      <c r="D4">
        <v>19</v>
      </c>
      <c r="E4">
        <v>-11.63</v>
      </c>
      <c r="F4">
        <v>1761</v>
      </c>
      <c r="G4">
        <v>608</v>
      </c>
      <c r="H4">
        <v>1566</v>
      </c>
      <c r="I4">
        <v>424</v>
      </c>
      <c r="J4">
        <v>638</v>
      </c>
      <c r="K4">
        <v>340</v>
      </c>
      <c r="L4">
        <v>948</v>
      </c>
      <c r="M4">
        <v>298</v>
      </c>
      <c r="N4">
        <v>224</v>
      </c>
      <c r="O4">
        <v>90</v>
      </c>
      <c r="P4">
        <v>448</v>
      </c>
      <c r="Q4">
        <v>549</v>
      </c>
      <c r="R4">
        <v>3</v>
      </c>
    </row>
    <row r="5" spans="1:18">
      <c r="A5" s="1" t="s">
        <v>20</v>
      </c>
      <c r="B5">
        <v>34</v>
      </c>
      <c r="C5">
        <v>22</v>
      </c>
      <c r="D5">
        <v>12</v>
      </c>
      <c r="E5">
        <v>3.67</v>
      </c>
      <c r="F5">
        <v>2461</v>
      </c>
      <c r="G5">
        <v>880</v>
      </c>
      <c r="H5">
        <v>1935</v>
      </c>
      <c r="I5">
        <v>473</v>
      </c>
      <c r="J5">
        <v>669</v>
      </c>
      <c r="K5">
        <v>328</v>
      </c>
      <c r="L5">
        <v>1169</v>
      </c>
      <c r="M5">
        <v>430</v>
      </c>
      <c r="N5">
        <v>224</v>
      </c>
      <c r="O5">
        <v>69</v>
      </c>
      <c r="P5">
        <v>387</v>
      </c>
      <c r="Q5">
        <v>568</v>
      </c>
      <c r="R5">
        <v>4</v>
      </c>
    </row>
    <row r="6" spans="1:18">
      <c r="A6" s="1" t="s">
        <v>21</v>
      </c>
      <c r="B6">
        <v>32</v>
      </c>
      <c r="C6">
        <v>22</v>
      </c>
      <c r="D6">
        <v>10</v>
      </c>
      <c r="E6">
        <v>-11.2</v>
      </c>
      <c r="F6">
        <v>2202</v>
      </c>
      <c r="G6">
        <v>816</v>
      </c>
      <c r="H6">
        <v>1752</v>
      </c>
      <c r="I6">
        <v>389</v>
      </c>
      <c r="J6">
        <v>614</v>
      </c>
      <c r="K6">
        <v>358</v>
      </c>
      <c r="L6">
        <v>1130</v>
      </c>
      <c r="M6">
        <v>445</v>
      </c>
      <c r="N6">
        <v>182</v>
      </c>
      <c r="O6">
        <v>153</v>
      </c>
      <c r="P6">
        <v>435</v>
      </c>
      <c r="Q6">
        <v>558</v>
      </c>
      <c r="R6">
        <v>5</v>
      </c>
    </row>
    <row r="7" spans="1:18">
      <c r="A7" s="1" t="s">
        <v>22</v>
      </c>
      <c r="B7">
        <v>32</v>
      </c>
      <c r="C7">
        <v>18</v>
      </c>
      <c r="D7">
        <v>14</v>
      </c>
      <c r="E7">
        <v>3.99</v>
      </c>
      <c r="F7">
        <v>2349</v>
      </c>
      <c r="G7">
        <v>845</v>
      </c>
      <c r="H7">
        <v>1913</v>
      </c>
      <c r="I7">
        <v>502</v>
      </c>
      <c r="J7">
        <v>711</v>
      </c>
      <c r="K7">
        <v>441</v>
      </c>
      <c r="L7">
        <v>1264</v>
      </c>
      <c r="M7">
        <v>357</v>
      </c>
      <c r="N7">
        <v>235</v>
      </c>
      <c r="O7">
        <v>144</v>
      </c>
      <c r="P7">
        <v>464</v>
      </c>
      <c r="Q7">
        <v>546</v>
      </c>
      <c r="R7">
        <v>6</v>
      </c>
    </row>
    <row r="8" spans="1:18">
      <c r="A8" s="1" t="s">
        <v>23</v>
      </c>
      <c r="B8">
        <v>31</v>
      </c>
      <c r="C8">
        <v>15</v>
      </c>
      <c r="D8">
        <v>16</v>
      </c>
      <c r="E8">
        <v>-4.1100000000000003</v>
      </c>
      <c r="F8">
        <v>1984</v>
      </c>
      <c r="G8">
        <v>715</v>
      </c>
      <c r="H8">
        <v>1713</v>
      </c>
      <c r="I8">
        <v>424</v>
      </c>
      <c r="J8">
        <v>590</v>
      </c>
      <c r="K8">
        <v>425</v>
      </c>
      <c r="L8">
        <v>1206</v>
      </c>
      <c r="M8">
        <v>367</v>
      </c>
      <c r="N8">
        <v>160</v>
      </c>
      <c r="O8">
        <v>63</v>
      </c>
      <c r="P8">
        <v>474</v>
      </c>
      <c r="Q8">
        <v>626</v>
      </c>
      <c r="R8">
        <v>7</v>
      </c>
    </row>
    <row r="9" spans="1:18">
      <c r="A9" s="1" t="s">
        <v>24</v>
      </c>
      <c r="B9">
        <v>31</v>
      </c>
      <c r="C9">
        <v>6</v>
      </c>
      <c r="D9">
        <v>25</v>
      </c>
      <c r="E9">
        <v>-10.26</v>
      </c>
      <c r="F9">
        <v>2156</v>
      </c>
      <c r="G9">
        <v>742</v>
      </c>
      <c r="H9">
        <v>1901</v>
      </c>
      <c r="I9">
        <v>485</v>
      </c>
      <c r="J9">
        <v>709</v>
      </c>
      <c r="K9">
        <v>318</v>
      </c>
      <c r="L9">
        <v>992</v>
      </c>
      <c r="M9">
        <v>309</v>
      </c>
      <c r="N9">
        <v>257</v>
      </c>
      <c r="O9">
        <v>55</v>
      </c>
      <c r="P9">
        <v>455</v>
      </c>
      <c r="Q9">
        <v>609</v>
      </c>
      <c r="R9">
        <v>8</v>
      </c>
    </row>
    <row r="10" spans="1:18">
      <c r="A10" s="1" t="s">
        <v>25</v>
      </c>
      <c r="B10">
        <v>32</v>
      </c>
      <c r="C10">
        <v>24</v>
      </c>
      <c r="D10">
        <v>8</v>
      </c>
      <c r="E10">
        <v>-5.49</v>
      </c>
      <c r="F10">
        <v>2065</v>
      </c>
      <c r="G10">
        <v>751</v>
      </c>
      <c r="H10">
        <v>1614</v>
      </c>
      <c r="I10">
        <v>333</v>
      </c>
      <c r="J10">
        <v>514</v>
      </c>
      <c r="K10">
        <v>302</v>
      </c>
      <c r="L10">
        <v>1046</v>
      </c>
      <c r="M10">
        <v>421</v>
      </c>
      <c r="N10">
        <v>176</v>
      </c>
      <c r="O10">
        <v>79</v>
      </c>
      <c r="P10">
        <v>422</v>
      </c>
      <c r="Q10">
        <v>581</v>
      </c>
      <c r="R10">
        <v>9</v>
      </c>
    </row>
    <row r="11" spans="1:18">
      <c r="A11" s="1" t="s">
        <v>271</v>
      </c>
      <c r="B11">
        <v>31</v>
      </c>
      <c r="C11">
        <v>13</v>
      </c>
      <c r="D11">
        <v>18</v>
      </c>
      <c r="E11">
        <v>-5.44</v>
      </c>
      <c r="F11">
        <v>2356</v>
      </c>
      <c r="G11">
        <v>799</v>
      </c>
      <c r="H11">
        <v>1768</v>
      </c>
      <c r="I11">
        <v>519</v>
      </c>
      <c r="J11">
        <v>733</v>
      </c>
      <c r="K11">
        <v>404</v>
      </c>
      <c r="L11">
        <v>1220</v>
      </c>
      <c r="M11">
        <v>407</v>
      </c>
      <c r="N11">
        <v>187</v>
      </c>
      <c r="O11">
        <v>106</v>
      </c>
      <c r="P11">
        <v>542</v>
      </c>
      <c r="Q11">
        <v>626</v>
      </c>
      <c r="R11">
        <v>10</v>
      </c>
    </row>
    <row r="12" spans="1:18">
      <c r="A12" s="1" t="s">
        <v>26</v>
      </c>
      <c r="B12">
        <v>35</v>
      </c>
      <c r="C12">
        <v>25</v>
      </c>
      <c r="D12">
        <v>10</v>
      </c>
      <c r="E12">
        <v>7.82</v>
      </c>
      <c r="F12">
        <v>2428</v>
      </c>
      <c r="G12">
        <v>825</v>
      </c>
      <c r="H12">
        <v>1718</v>
      </c>
      <c r="I12">
        <v>490</v>
      </c>
      <c r="J12">
        <v>665</v>
      </c>
      <c r="K12">
        <v>288</v>
      </c>
      <c r="L12">
        <v>1085</v>
      </c>
      <c r="M12">
        <v>544</v>
      </c>
      <c r="N12">
        <v>201</v>
      </c>
      <c r="O12">
        <v>72</v>
      </c>
      <c r="P12">
        <v>401</v>
      </c>
      <c r="Q12">
        <v>557</v>
      </c>
      <c r="R12">
        <v>11</v>
      </c>
    </row>
    <row r="13" spans="1:18">
      <c r="A13" s="1" t="s">
        <v>356</v>
      </c>
      <c r="B13">
        <v>35</v>
      </c>
      <c r="C13">
        <v>21</v>
      </c>
      <c r="D13">
        <v>14</v>
      </c>
      <c r="E13">
        <v>8.8000000000000007</v>
      </c>
      <c r="F13">
        <v>2529</v>
      </c>
      <c r="G13">
        <v>897</v>
      </c>
      <c r="H13">
        <v>1892</v>
      </c>
      <c r="I13">
        <v>523</v>
      </c>
      <c r="J13">
        <v>709</v>
      </c>
      <c r="K13">
        <v>387</v>
      </c>
      <c r="L13">
        <v>1183</v>
      </c>
      <c r="M13">
        <v>500</v>
      </c>
      <c r="N13">
        <v>217</v>
      </c>
      <c r="O13">
        <v>104</v>
      </c>
      <c r="P13">
        <v>442</v>
      </c>
      <c r="Q13">
        <v>548</v>
      </c>
      <c r="R13">
        <v>12</v>
      </c>
    </row>
    <row r="14" spans="1:18">
      <c r="A14" s="1" t="s">
        <v>27</v>
      </c>
      <c r="B14">
        <v>31</v>
      </c>
      <c r="C14">
        <v>23</v>
      </c>
      <c r="D14">
        <v>8</v>
      </c>
      <c r="E14">
        <v>-3.72</v>
      </c>
      <c r="F14">
        <v>2059</v>
      </c>
      <c r="G14">
        <v>711</v>
      </c>
      <c r="H14">
        <v>1589</v>
      </c>
      <c r="I14">
        <v>478</v>
      </c>
      <c r="J14">
        <v>714</v>
      </c>
      <c r="K14">
        <v>335</v>
      </c>
      <c r="L14">
        <v>1079</v>
      </c>
      <c r="M14">
        <v>404</v>
      </c>
      <c r="N14">
        <v>171</v>
      </c>
      <c r="O14">
        <v>108</v>
      </c>
      <c r="P14">
        <v>465</v>
      </c>
      <c r="Q14">
        <v>608</v>
      </c>
      <c r="R14">
        <v>13</v>
      </c>
    </row>
    <row r="15" spans="1:18">
      <c r="A15" s="1" t="s">
        <v>28</v>
      </c>
      <c r="B15">
        <v>31</v>
      </c>
      <c r="C15">
        <v>13</v>
      </c>
      <c r="D15">
        <v>18</v>
      </c>
      <c r="E15">
        <v>-7.48</v>
      </c>
      <c r="F15">
        <v>1943</v>
      </c>
      <c r="G15">
        <v>709</v>
      </c>
      <c r="H15">
        <v>1768</v>
      </c>
      <c r="I15">
        <v>401</v>
      </c>
      <c r="J15">
        <v>649</v>
      </c>
      <c r="K15">
        <v>446</v>
      </c>
      <c r="L15">
        <v>1179</v>
      </c>
      <c r="M15">
        <v>339</v>
      </c>
      <c r="N15">
        <v>271</v>
      </c>
      <c r="O15">
        <v>84</v>
      </c>
      <c r="P15">
        <v>605</v>
      </c>
      <c r="Q15">
        <v>705</v>
      </c>
      <c r="R15">
        <v>14</v>
      </c>
    </row>
    <row r="16" spans="1:18">
      <c r="A16" s="1" t="s">
        <v>29</v>
      </c>
      <c r="B16">
        <v>30</v>
      </c>
      <c r="C16">
        <v>13</v>
      </c>
      <c r="D16">
        <v>17</v>
      </c>
      <c r="E16">
        <v>-4.3099999999999996</v>
      </c>
      <c r="F16">
        <v>1996</v>
      </c>
      <c r="G16">
        <v>731</v>
      </c>
      <c r="H16">
        <v>1685</v>
      </c>
      <c r="I16">
        <v>390</v>
      </c>
      <c r="J16">
        <v>571</v>
      </c>
      <c r="K16">
        <v>347</v>
      </c>
      <c r="L16">
        <v>1094</v>
      </c>
      <c r="M16">
        <v>402</v>
      </c>
      <c r="N16">
        <v>201</v>
      </c>
      <c r="O16">
        <v>109</v>
      </c>
      <c r="P16">
        <v>408</v>
      </c>
      <c r="Q16">
        <v>501</v>
      </c>
      <c r="R16">
        <v>15</v>
      </c>
    </row>
    <row r="17" spans="1:18">
      <c r="A17" s="1" t="s">
        <v>302</v>
      </c>
      <c r="B17">
        <v>30</v>
      </c>
      <c r="C17">
        <v>14</v>
      </c>
      <c r="D17">
        <v>16</v>
      </c>
      <c r="E17">
        <v>3.89</v>
      </c>
      <c r="F17">
        <v>2238</v>
      </c>
      <c r="G17">
        <v>797</v>
      </c>
      <c r="H17">
        <v>1821</v>
      </c>
      <c r="I17">
        <v>442</v>
      </c>
      <c r="J17">
        <v>679</v>
      </c>
      <c r="K17">
        <v>381</v>
      </c>
      <c r="L17">
        <v>1129</v>
      </c>
      <c r="M17">
        <v>390</v>
      </c>
      <c r="N17">
        <v>227</v>
      </c>
      <c r="O17">
        <v>86</v>
      </c>
      <c r="P17">
        <v>419</v>
      </c>
      <c r="Q17">
        <v>521</v>
      </c>
      <c r="R17">
        <v>16</v>
      </c>
    </row>
    <row r="18" spans="1:18">
      <c r="A18" s="1" t="s">
        <v>30</v>
      </c>
      <c r="B18">
        <v>30</v>
      </c>
      <c r="C18">
        <v>11</v>
      </c>
      <c r="D18">
        <v>19</v>
      </c>
      <c r="E18">
        <v>-7.59</v>
      </c>
      <c r="F18">
        <v>1741</v>
      </c>
      <c r="G18">
        <v>644</v>
      </c>
      <c r="H18">
        <v>1533</v>
      </c>
      <c r="I18">
        <v>309</v>
      </c>
      <c r="J18">
        <v>448</v>
      </c>
      <c r="K18">
        <v>237</v>
      </c>
      <c r="L18">
        <v>876</v>
      </c>
      <c r="M18">
        <v>396</v>
      </c>
      <c r="N18">
        <v>224</v>
      </c>
      <c r="O18">
        <v>75</v>
      </c>
      <c r="P18">
        <v>459</v>
      </c>
      <c r="Q18">
        <v>579</v>
      </c>
      <c r="R18">
        <v>17</v>
      </c>
    </row>
    <row r="19" spans="1:18">
      <c r="A19" s="1" t="s">
        <v>272</v>
      </c>
      <c r="B19">
        <v>36</v>
      </c>
      <c r="C19">
        <v>24</v>
      </c>
      <c r="D19">
        <v>12</v>
      </c>
      <c r="E19">
        <v>3.56</v>
      </c>
      <c r="F19">
        <v>2620</v>
      </c>
      <c r="G19">
        <v>928</v>
      </c>
      <c r="H19">
        <v>2116</v>
      </c>
      <c r="I19">
        <v>486</v>
      </c>
      <c r="J19">
        <v>802</v>
      </c>
      <c r="K19">
        <v>422</v>
      </c>
      <c r="L19">
        <v>1323</v>
      </c>
      <c r="M19">
        <v>507</v>
      </c>
      <c r="N19">
        <v>327</v>
      </c>
      <c r="O19">
        <v>123</v>
      </c>
      <c r="P19">
        <v>470</v>
      </c>
      <c r="Q19">
        <v>674</v>
      </c>
      <c r="R19">
        <v>18</v>
      </c>
    </row>
    <row r="20" spans="1:18">
      <c r="A20" s="1" t="s">
        <v>31</v>
      </c>
      <c r="B20">
        <v>33</v>
      </c>
      <c r="C20">
        <v>19</v>
      </c>
      <c r="D20">
        <v>14</v>
      </c>
      <c r="E20">
        <v>-3.69</v>
      </c>
      <c r="F20">
        <v>2485</v>
      </c>
      <c r="G20">
        <v>885</v>
      </c>
      <c r="H20">
        <v>1877</v>
      </c>
      <c r="I20">
        <v>490</v>
      </c>
      <c r="J20">
        <v>712</v>
      </c>
      <c r="K20">
        <v>359</v>
      </c>
      <c r="L20">
        <v>1121</v>
      </c>
      <c r="M20">
        <v>486</v>
      </c>
      <c r="N20">
        <v>224</v>
      </c>
      <c r="O20">
        <v>105</v>
      </c>
      <c r="P20">
        <v>446</v>
      </c>
      <c r="Q20">
        <v>610</v>
      </c>
      <c r="R20">
        <v>19</v>
      </c>
    </row>
    <row r="21" spans="1:18">
      <c r="A21" s="1" t="s">
        <v>273</v>
      </c>
      <c r="B21">
        <v>31</v>
      </c>
      <c r="C21">
        <v>14</v>
      </c>
      <c r="D21">
        <v>17</v>
      </c>
      <c r="E21">
        <v>-3.02</v>
      </c>
      <c r="F21">
        <v>1795</v>
      </c>
      <c r="G21">
        <v>646</v>
      </c>
      <c r="H21">
        <v>1572</v>
      </c>
      <c r="I21">
        <v>369</v>
      </c>
      <c r="J21">
        <v>604</v>
      </c>
      <c r="K21">
        <v>333</v>
      </c>
      <c r="L21">
        <v>1071</v>
      </c>
      <c r="M21">
        <v>333</v>
      </c>
      <c r="N21">
        <v>158</v>
      </c>
      <c r="O21">
        <v>63</v>
      </c>
      <c r="P21">
        <v>406</v>
      </c>
      <c r="Q21">
        <v>572</v>
      </c>
      <c r="R21">
        <v>20</v>
      </c>
    </row>
    <row r="22" spans="1:18">
      <c r="A22" s="1" t="s">
        <v>32</v>
      </c>
      <c r="B22">
        <v>39</v>
      </c>
      <c r="C22">
        <v>24</v>
      </c>
      <c r="D22">
        <v>15</v>
      </c>
      <c r="E22">
        <v>7.93</v>
      </c>
      <c r="F22">
        <v>2965</v>
      </c>
      <c r="G22">
        <v>1024</v>
      </c>
      <c r="H22">
        <v>2191</v>
      </c>
      <c r="I22">
        <v>597</v>
      </c>
      <c r="J22">
        <v>838</v>
      </c>
      <c r="K22">
        <v>411</v>
      </c>
      <c r="L22">
        <v>1332</v>
      </c>
      <c r="M22">
        <v>484</v>
      </c>
      <c r="N22">
        <v>282</v>
      </c>
      <c r="O22">
        <v>146</v>
      </c>
      <c r="P22">
        <v>501</v>
      </c>
      <c r="Q22">
        <v>717</v>
      </c>
      <c r="R22">
        <v>21</v>
      </c>
    </row>
    <row r="23" spans="1:18">
      <c r="A23" s="1" t="s">
        <v>33</v>
      </c>
      <c r="B23">
        <v>33</v>
      </c>
      <c r="C23">
        <v>20</v>
      </c>
      <c r="D23">
        <v>13</v>
      </c>
      <c r="E23">
        <v>-1.37</v>
      </c>
      <c r="F23">
        <v>2528</v>
      </c>
      <c r="G23">
        <v>869</v>
      </c>
      <c r="H23">
        <v>1961</v>
      </c>
      <c r="I23">
        <v>454</v>
      </c>
      <c r="J23">
        <v>664</v>
      </c>
      <c r="K23">
        <v>390</v>
      </c>
      <c r="L23">
        <v>1186</v>
      </c>
      <c r="M23">
        <v>549</v>
      </c>
      <c r="N23">
        <v>261</v>
      </c>
      <c r="O23">
        <v>84</v>
      </c>
      <c r="P23">
        <v>479</v>
      </c>
      <c r="Q23">
        <v>638</v>
      </c>
      <c r="R23">
        <v>22</v>
      </c>
    </row>
    <row r="24" spans="1:18">
      <c r="A24" s="1" t="s">
        <v>34</v>
      </c>
      <c r="B24">
        <v>33</v>
      </c>
      <c r="C24">
        <v>17</v>
      </c>
      <c r="D24">
        <v>16</v>
      </c>
      <c r="E24">
        <v>-9.76</v>
      </c>
      <c r="F24">
        <v>1926</v>
      </c>
      <c r="G24">
        <v>685</v>
      </c>
      <c r="H24">
        <v>1725</v>
      </c>
      <c r="I24">
        <v>420</v>
      </c>
      <c r="J24">
        <v>665</v>
      </c>
      <c r="K24">
        <v>418</v>
      </c>
      <c r="L24">
        <v>1163</v>
      </c>
      <c r="M24">
        <v>307</v>
      </c>
      <c r="N24">
        <v>222</v>
      </c>
      <c r="O24">
        <v>92</v>
      </c>
      <c r="P24">
        <v>474</v>
      </c>
      <c r="Q24">
        <v>643</v>
      </c>
      <c r="R24">
        <v>23</v>
      </c>
    </row>
    <row r="25" spans="1:18">
      <c r="A25" s="1" t="s">
        <v>303</v>
      </c>
      <c r="B25">
        <v>32</v>
      </c>
      <c r="C25">
        <v>23</v>
      </c>
      <c r="D25">
        <v>9</v>
      </c>
      <c r="E25">
        <v>-5.62</v>
      </c>
      <c r="F25">
        <v>2239</v>
      </c>
      <c r="G25">
        <v>778</v>
      </c>
      <c r="H25">
        <v>1764</v>
      </c>
      <c r="I25">
        <v>491</v>
      </c>
      <c r="J25">
        <v>733</v>
      </c>
      <c r="K25">
        <v>357</v>
      </c>
      <c r="L25">
        <v>1101</v>
      </c>
      <c r="M25">
        <v>383</v>
      </c>
      <c r="N25">
        <v>227</v>
      </c>
      <c r="O25">
        <v>134</v>
      </c>
      <c r="P25">
        <v>431</v>
      </c>
      <c r="Q25">
        <v>652</v>
      </c>
      <c r="R25">
        <v>24</v>
      </c>
    </row>
    <row r="26" spans="1:18">
      <c r="A26" s="1" t="s">
        <v>35</v>
      </c>
      <c r="B26">
        <v>32</v>
      </c>
      <c r="C26">
        <v>19</v>
      </c>
      <c r="D26">
        <v>13</v>
      </c>
      <c r="E26">
        <v>0.54</v>
      </c>
      <c r="F26">
        <v>2329</v>
      </c>
      <c r="G26">
        <v>875</v>
      </c>
      <c r="H26">
        <v>1849</v>
      </c>
      <c r="I26">
        <v>379</v>
      </c>
      <c r="J26">
        <v>544</v>
      </c>
      <c r="K26">
        <v>314</v>
      </c>
      <c r="L26">
        <v>1097</v>
      </c>
      <c r="M26">
        <v>510</v>
      </c>
      <c r="N26">
        <v>200</v>
      </c>
      <c r="O26">
        <v>117</v>
      </c>
      <c r="P26">
        <v>476</v>
      </c>
      <c r="Q26">
        <v>576</v>
      </c>
      <c r="R26">
        <v>25</v>
      </c>
    </row>
    <row r="27" spans="1:18">
      <c r="A27" s="1" t="s">
        <v>36</v>
      </c>
      <c r="B27">
        <v>34</v>
      </c>
      <c r="C27">
        <v>22</v>
      </c>
      <c r="D27">
        <v>12</v>
      </c>
      <c r="E27">
        <v>7.23</v>
      </c>
      <c r="F27">
        <v>2528</v>
      </c>
      <c r="G27">
        <v>885</v>
      </c>
      <c r="H27">
        <v>2000</v>
      </c>
      <c r="I27">
        <v>541</v>
      </c>
      <c r="J27">
        <v>733</v>
      </c>
      <c r="K27">
        <v>485</v>
      </c>
      <c r="L27">
        <v>1259</v>
      </c>
      <c r="M27">
        <v>503</v>
      </c>
      <c r="N27">
        <v>208</v>
      </c>
      <c r="O27">
        <v>147</v>
      </c>
      <c r="P27">
        <v>457</v>
      </c>
      <c r="Q27">
        <v>614</v>
      </c>
      <c r="R27">
        <v>26</v>
      </c>
    </row>
    <row r="28" spans="1:18">
      <c r="A28" s="1" t="s">
        <v>37</v>
      </c>
      <c r="B28">
        <v>30</v>
      </c>
      <c r="C28">
        <v>17</v>
      </c>
      <c r="D28">
        <v>13</v>
      </c>
      <c r="E28">
        <v>-4.91</v>
      </c>
      <c r="F28">
        <v>2058</v>
      </c>
      <c r="G28">
        <v>698</v>
      </c>
      <c r="H28">
        <v>1646</v>
      </c>
      <c r="I28">
        <v>395</v>
      </c>
      <c r="J28">
        <v>578</v>
      </c>
      <c r="K28">
        <v>345</v>
      </c>
      <c r="L28">
        <v>1039</v>
      </c>
      <c r="M28">
        <v>380</v>
      </c>
      <c r="N28">
        <v>202</v>
      </c>
      <c r="O28">
        <v>97</v>
      </c>
      <c r="P28">
        <v>408</v>
      </c>
      <c r="Q28">
        <v>513</v>
      </c>
      <c r="R28">
        <v>27</v>
      </c>
    </row>
    <row r="29" spans="1:18">
      <c r="A29" s="1" t="s">
        <v>38</v>
      </c>
      <c r="B29">
        <v>33</v>
      </c>
      <c r="C29">
        <v>19</v>
      </c>
      <c r="D29">
        <v>14</v>
      </c>
      <c r="E29">
        <v>-1.75</v>
      </c>
      <c r="F29">
        <v>2126</v>
      </c>
      <c r="G29">
        <v>775</v>
      </c>
      <c r="H29">
        <v>1796</v>
      </c>
      <c r="I29">
        <v>370</v>
      </c>
      <c r="J29">
        <v>548</v>
      </c>
      <c r="K29">
        <v>380</v>
      </c>
      <c r="L29">
        <v>1186</v>
      </c>
      <c r="M29">
        <v>415</v>
      </c>
      <c r="N29">
        <v>221</v>
      </c>
      <c r="O29">
        <v>120</v>
      </c>
      <c r="P29">
        <v>427</v>
      </c>
      <c r="Q29">
        <v>569</v>
      </c>
      <c r="R29">
        <v>28</v>
      </c>
    </row>
    <row r="30" spans="1:18">
      <c r="A30" s="1" t="s">
        <v>39</v>
      </c>
      <c r="B30">
        <v>36</v>
      </c>
      <c r="C30">
        <v>21</v>
      </c>
      <c r="D30">
        <v>15</v>
      </c>
      <c r="E30">
        <v>1.95</v>
      </c>
      <c r="F30">
        <v>2415</v>
      </c>
      <c r="G30">
        <v>806</v>
      </c>
      <c r="H30">
        <v>1833</v>
      </c>
      <c r="I30">
        <v>587</v>
      </c>
      <c r="J30">
        <v>816</v>
      </c>
      <c r="K30">
        <v>388</v>
      </c>
      <c r="L30">
        <v>1160</v>
      </c>
      <c r="M30">
        <v>453</v>
      </c>
      <c r="N30">
        <v>282</v>
      </c>
      <c r="O30">
        <v>125</v>
      </c>
      <c r="P30">
        <v>521</v>
      </c>
      <c r="Q30">
        <v>648</v>
      </c>
      <c r="R30">
        <v>29</v>
      </c>
    </row>
    <row r="31" spans="1:18">
      <c r="A31" s="1" t="s">
        <v>40</v>
      </c>
      <c r="B31">
        <v>33</v>
      </c>
      <c r="C31">
        <v>25</v>
      </c>
      <c r="D31">
        <v>8</v>
      </c>
      <c r="E31">
        <v>4.1500000000000004</v>
      </c>
      <c r="F31">
        <v>2544</v>
      </c>
      <c r="G31">
        <v>909</v>
      </c>
      <c r="H31">
        <v>1879</v>
      </c>
      <c r="I31">
        <v>488</v>
      </c>
      <c r="J31">
        <v>669</v>
      </c>
      <c r="K31">
        <v>302</v>
      </c>
      <c r="L31">
        <v>1196</v>
      </c>
      <c r="M31">
        <v>537</v>
      </c>
      <c r="N31">
        <v>241</v>
      </c>
      <c r="O31">
        <v>119</v>
      </c>
      <c r="P31">
        <v>375</v>
      </c>
      <c r="Q31">
        <v>607</v>
      </c>
      <c r="R31">
        <v>30</v>
      </c>
    </row>
    <row r="32" spans="1:18">
      <c r="A32" s="1" t="s">
        <v>41</v>
      </c>
      <c r="B32">
        <v>28</v>
      </c>
      <c r="C32">
        <v>9</v>
      </c>
      <c r="D32">
        <v>19</v>
      </c>
      <c r="E32">
        <v>-5.0199999999999996</v>
      </c>
      <c r="F32">
        <v>1712</v>
      </c>
      <c r="G32">
        <v>599</v>
      </c>
      <c r="H32">
        <v>1406</v>
      </c>
      <c r="I32">
        <v>351</v>
      </c>
      <c r="J32">
        <v>533</v>
      </c>
      <c r="K32">
        <v>235</v>
      </c>
      <c r="L32">
        <v>914</v>
      </c>
      <c r="M32">
        <v>373</v>
      </c>
      <c r="N32">
        <v>129</v>
      </c>
      <c r="O32">
        <v>84</v>
      </c>
      <c r="P32">
        <v>403</v>
      </c>
      <c r="Q32">
        <v>425</v>
      </c>
      <c r="R32">
        <v>31</v>
      </c>
    </row>
    <row r="33" spans="1:18">
      <c r="A33" s="1" t="s">
        <v>352</v>
      </c>
      <c r="B33">
        <v>29</v>
      </c>
      <c r="C33">
        <v>8</v>
      </c>
      <c r="D33">
        <v>21</v>
      </c>
      <c r="F33">
        <v>1670</v>
      </c>
      <c r="G33">
        <v>581</v>
      </c>
      <c r="H33">
        <v>1479</v>
      </c>
      <c r="I33">
        <v>301</v>
      </c>
      <c r="J33">
        <v>455</v>
      </c>
      <c r="K33">
        <v>266</v>
      </c>
      <c r="L33">
        <v>847</v>
      </c>
      <c r="M33">
        <v>351</v>
      </c>
      <c r="N33">
        <v>172</v>
      </c>
      <c r="O33">
        <v>71</v>
      </c>
      <c r="P33">
        <v>389</v>
      </c>
      <c r="Q33">
        <v>514</v>
      </c>
      <c r="R33">
        <v>32</v>
      </c>
    </row>
    <row r="34" spans="1:18">
      <c r="A34" s="1" t="s">
        <v>42</v>
      </c>
      <c r="B34">
        <v>30</v>
      </c>
      <c r="C34">
        <v>7</v>
      </c>
      <c r="D34">
        <v>23</v>
      </c>
      <c r="E34">
        <v>-4.12</v>
      </c>
      <c r="F34">
        <v>1928</v>
      </c>
      <c r="G34">
        <v>679</v>
      </c>
      <c r="H34">
        <v>1767</v>
      </c>
      <c r="I34">
        <v>358</v>
      </c>
      <c r="J34">
        <v>528</v>
      </c>
      <c r="K34">
        <v>321</v>
      </c>
      <c r="L34">
        <v>1124</v>
      </c>
      <c r="M34">
        <v>338</v>
      </c>
      <c r="N34">
        <v>145</v>
      </c>
      <c r="O34">
        <v>75</v>
      </c>
      <c r="P34">
        <v>425</v>
      </c>
      <c r="Q34">
        <v>601</v>
      </c>
      <c r="R34">
        <v>33</v>
      </c>
    </row>
    <row r="35" spans="1:18">
      <c r="A35" s="1" t="s">
        <v>43</v>
      </c>
      <c r="B35">
        <v>33</v>
      </c>
      <c r="C35">
        <v>21</v>
      </c>
      <c r="D35">
        <v>12</v>
      </c>
      <c r="E35">
        <v>-0.9</v>
      </c>
      <c r="F35">
        <v>2155</v>
      </c>
      <c r="G35">
        <v>778</v>
      </c>
      <c r="H35">
        <v>1864</v>
      </c>
      <c r="I35">
        <v>425</v>
      </c>
      <c r="J35">
        <v>659</v>
      </c>
      <c r="K35">
        <v>457</v>
      </c>
      <c r="L35">
        <v>1215</v>
      </c>
      <c r="M35">
        <v>406</v>
      </c>
      <c r="N35">
        <v>215</v>
      </c>
      <c r="O35">
        <v>91</v>
      </c>
      <c r="P35">
        <v>466</v>
      </c>
      <c r="Q35">
        <v>608</v>
      </c>
      <c r="R35">
        <v>34</v>
      </c>
    </row>
    <row r="36" spans="1:18">
      <c r="A36" s="1" t="s">
        <v>304</v>
      </c>
      <c r="B36">
        <v>32</v>
      </c>
      <c r="C36">
        <v>26</v>
      </c>
      <c r="D36">
        <v>6</v>
      </c>
      <c r="E36">
        <v>2.0699999999999998</v>
      </c>
      <c r="F36">
        <v>2168</v>
      </c>
      <c r="G36">
        <v>705</v>
      </c>
      <c r="H36">
        <v>1609</v>
      </c>
      <c r="I36">
        <v>501</v>
      </c>
      <c r="J36">
        <v>692</v>
      </c>
      <c r="K36">
        <v>328</v>
      </c>
      <c r="L36">
        <v>1094</v>
      </c>
      <c r="M36">
        <v>417</v>
      </c>
      <c r="N36">
        <v>193</v>
      </c>
      <c r="O36">
        <v>102</v>
      </c>
      <c r="P36">
        <v>400</v>
      </c>
      <c r="Q36">
        <v>568</v>
      </c>
      <c r="R36">
        <v>35</v>
      </c>
    </row>
    <row r="37" spans="1:18">
      <c r="A37" s="1" t="s">
        <v>44</v>
      </c>
      <c r="B37">
        <v>28</v>
      </c>
      <c r="C37">
        <v>7</v>
      </c>
      <c r="D37">
        <v>21</v>
      </c>
      <c r="E37">
        <v>-1.32</v>
      </c>
      <c r="F37">
        <v>1822</v>
      </c>
      <c r="G37">
        <v>645</v>
      </c>
      <c r="H37">
        <v>1591</v>
      </c>
      <c r="I37">
        <v>343</v>
      </c>
      <c r="J37">
        <v>487</v>
      </c>
      <c r="K37">
        <v>295</v>
      </c>
      <c r="L37">
        <v>929</v>
      </c>
      <c r="M37">
        <v>300</v>
      </c>
      <c r="N37">
        <v>165</v>
      </c>
      <c r="O37">
        <v>80</v>
      </c>
      <c r="P37">
        <v>327</v>
      </c>
      <c r="Q37">
        <v>429</v>
      </c>
      <c r="R37">
        <v>36</v>
      </c>
    </row>
    <row r="38" spans="1:18">
      <c r="A38" s="1" t="s">
        <v>343</v>
      </c>
      <c r="B38">
        <v>29</v>
      </c>
      <c r="C38">
        <v>8</v>
      </c>
      <c r="D38">
        <v>21</v>
      </c>
      <c r="F38">
        <v>1875</v>
      </c>
      <c r="G38">
        <v>646</v>
      </c>
      <c r="H38">
        <v>1644</v>
      </c>
      <c r="I38">
        <v>398</v>
      </c>
      <c r="J38">
        <v>587</v>
      </c>
      <c r="K38">
        <v>372</v>
      </c>
      <c r="L38">
        <v>950</v>
      </c>
      <c r="M38">
        <v>307</v>
      </c>
      <c r="N38">
        <v>158</v>
      </c>
      <c r="O38">
        <v>66</v>
      </c>
      <c r="P38">
        <v>382</v>
      </c>
      <c r="Q38">
        <v>532</v>
      </c>
      <c r="R38">
        <v>37</v>
      </c>
    </row>
    <row r="39" spans="1:18">
      <c r="A39" s="1" t="s">
        <v>45</v>
      </c>
      <c r="B39">
        <v>32</v>
      </c>
      <c r="C39">
        <v>15</v>
      </c>
      <c r="D39">
        <v>17</v>
      </c>
      <c r="E39">
        <v>-1.26</v>
      </c>
      <c r="F39">
        <v>2345</v>
      </c>
      <c r="G39">
        <v>824</v>
      </c>
      <c r="H39">
        <v>1890</v>
      </c>
      <c r="I39">
        <v>438</v>
      </c>
      <c r="J39">
        <v>614</v>
      </c>
      <c r="K39">
        <v>372</v>
      </c>
      <c r="L39">
        <v>1074</v>
      </c>
      <c r="M39">
        <v>421</v>
      </c>
      <c r="N39">
        <v>212</v>
      </c>
      <c r="O39">
        <v>115</v>
      </c>
      <c r="P39">
        <v>422</v>
      </c>
      <c r="Q39">
        <v>592</v>
      </c>
      <c r="R39">
        <v>38</v>
      </c>
    </row>
    <row r="40" spans="1:18">
      <c r="A40" s="1" t="s">
        <v>46</v>
      </c>
      <c r="B40">
        <v>31</v>
      </c>
      <c r="C40">
        <v>17</v>
      </c>
      <c r="D40">
        <v>14</v>
      </c>
      <c r="E40">
        <v>-0.14000000000000001</v>
      </c>
      <c r="F40">
        <v>2282</v>
      </c>
      <c r="G40">
        <v>821</v>
      </c>
      <c r="H40">
        <v>1808</v>
      </c>
      <c r="I40">
        <v>425</v>
      </c>
      <c r="J40">
        <v>611</v>
      </c>
      <c r="K40">
        <v>403</v>
      </c>
      <c r="L40">
        <v>1150</v>
      </c>
      <c r="M40">
        <v>430</v>
      </c>
      <c r="N40">
        <v>276</v>
      </c>
      <c r="O40">
        <v>83</v>
      </c>
      <c r="P40">
        <v>549</v>
      </c>
      <c r="Q40">
        <v>683</v>
      </c>
      <c r="R40">
        <v>39</v>
      </c>
    </row>
    <row r="41" spans="1:18">
      <c r="A41" s="1" t="s">
        <v>330</v>
      </c>
      <c r="B41">
        <v>32</v>
      </c>
      <c r="C41">
        <v>13</v>
      </c>
      <c r="D41">
        <v>19</v>
      </c>
      <c r="E41">
        <v>-3.4</v>
      </c>
      <c r="F41">
        <v>2338</v>
      </c>
      <c r="G41">
        <v>793</v>
      </c>
      <c r="H41">
        <v>1720</v>
      </c>
      <c r="I41">
        <v>508</v>
      </c>
      <c r="J41">
        <v>652</v>
      </c>
      <c r="K41">
        <v>259</v>
      </c>
      <c r="L41">
        <v>1009</v>
      </c>
      <c r="M41">
        <v>498</v>
      </c>
      <c r="N41">
        <v>196</v>
      </c>
      <c r="O41">
        <v>70</v>
      </c>
      <c r="P41">
        <v>456</v>
      </c>
      <c r="Q41">
        <v>618</v>
      </c>
      <c r="R41">
        <v>40</v>
      </c>
    </row>
    <row r="42" spans="1:18">
      <c r="A42" s="1" t="s">
        <v>47</v>
      </c>
      <c r="B42">
        <v>31</v>
      </c>
      <c r="C42">
        <v>12</v>
      </c>
      <c r="D42">
        <v>19</v>
      </c>
      <c r="E42">
        <v>-1.8</v>
      </c>
      <c r="F42">
        <v>2028</v>
      </c>
      <c r="G42">
        <v>708</v>
      </c>
      <c r="H42">
        <v>1658</v>
      </c>
      <c r="I42">
        <v>397</v>
      </c>
      <c r="J42">
        <v>524</v>
      </c>
      <c r="K42">
        <v>282</v>
      </c>
      <c r="L42">
        <v>937</v>
      </c>
      <c r="M42">
        <v>389</v>
      </c>
      <c r="N42">
        <v>153</v>
      </c>
      <c r="O42">
        <v>56</v>
      </c>
      <c r="P42">
        <v>358</v>
      </c>
      <c r="Q42">
        <v>567</v>
      </c>
      <c r="R42">
        <v>41</v>
      </c>
    </row>
    <row r="43" spans="1:18">
      <c r="A43" s="1" t="s">
        <v>305</v>
      </c>
      <c r="B43">
        <v>30</v>
      </c>
      <c r="C43">
        <v>17</v>
      </c>
      <c r="D43">
        <v>13</v>
      </c>
      <c r="E43">
        <v>-3.76</v>
      </c>
      <c r="F43">
        <v>1806</v>
      </c>
      <c r="G43">
        <v>653</v>
      </c>
      <c r="H43">
        <v>1540</v>
      </c>
      <c r="I43">
        <v>325</v>
      </c>
      <c r="J43">
        <v>476</v>
      </c>
      <c r="K43">
        <v>331</v>
      </c>
      <c r="L43">
        <v>991</v>
      </c>
      <c r="M43">
        <v>364</v>
      </c>
      <c r="N43">
        <v>202</v>
      </c>
      <c r="O43">
        <v>50</v>
      </c>
      <c r="P43">
        <v>407</v>
      </c>
      <c r="Q43">
        <v>517</v>
      </c>
      <c r="R43">
        <v>42</v>
      </c>
    </row>
    <row r="44" spans="1:18">
      <c r="A44" s="1" t="s">
        <v>48</v>
      </c>
      <c r="B44">
        <v>31</v>
      </c>
      <c r="C44">
        <v>16</v>
      </c>
      <c r="D44">
        <v>15</v>
      </c>
      <c r="E44">
        <v>-1.1000000000000001</v>
      </c>
      <c r="F44">
        <v>2030</v>
      </c>
      <c r="G44">
        <v>712</v>
      </c>
      <c r="H44">
        <v>1595</v>
      </c>
      <c r="I44">
        <v>443</v>
      </c>
      <c r="J44">
        <v>638</v>
      </c>
      <c r="K44">
        <v>323</v>
      </c>
      <c r="L44">
        <v>1015</v>
      </c>
      <c r="M44">
        <v>393</v>
      </c>
      <c r="N44">
        <v>216</v>
      </c>
      <c r="O44">
        <v>79</v>
      </c>
      <c r="P44">
        <v>485</v>
      </c>
      <c r="Q44">
        <v>589</v>
      </c>
      <c r="R44">
        <v>43</v>
      </c>
    </row>
    <row r="45" spans="1:18">
      <c r="A45" s="1" t="s">
        <v>49</v>
      </c>
      <c r="B45">
        <v>33</v>
      </c>
      <c r="C45">
        <v>22</v>
      </c>
      <c r="D45">
        <v>11</v>
      </c>
      <c r="E45">
        <v>7.21</v>
      </c>
      <c r="F45">
        <v>2472</v>
      </c>
      <c r="G45">
        <v>892</v>
      </c>
      <c r="H45">
        <v>1848</v>
      </c>
      <c r="I45">
        <v>478</v>
      </c>
      <c r="J45">
        <v>633</v>
      </c>
      <c r="K45">
        <v>333</v>
      </c>
      <c r="L45">
        <v>1113</v>
      </c>
      <c r="M45">
        <v>509</v>
      </c>
      <c r="N45">
        <v>159</v>
      </c>
      <c r="O45">
        <v>66</v>
      </c>
      <c r="P45">
        <v>399</v>
      </c>
      <c r="Q45">
        <v>560</v>
      </c>
      <c r="R45">
        <v>44</v>
      </c>
    </row>
    <row r="46" spans="1:18">
      <c r="A46" s="1" t="s">
        <v>50</v>
      </c>
      <c r="B46">
        <v>30</v>
      </c>
      <c r="C46">
        <v>14</v>
      </c>
      <c r="D46">
        <v>16</v>
      </c>
      <c r="E46">
        <v>-3.42</v>
      </c>
      <c r="F46">
        <v>2164</v>
      </c>
      <c r="G46">
        <v>744</v>
      </c>
      <c r="H46">
        <v>1722</v>
      </c>
      <c r="I46">
        <v>498</v>
      </c>
      <c r="J46">
        <v>701</v>
      </c>
      <c r="K46">
        <v>377</v>
      </c>
      <c r="L46">
        <v>1104</v>
      </c>
      <c r="M46">
        <v>472</v>
      </c>
      <c r="N46">
        <v>250</v>
      </c>
      <c r="O46">
        <v>76</v>
      </c>
      <c r="P46">
        <v>497</v>
      </c>
      <c r="Q46">
        <v>624</v>
      </c>
      <c r="R46">
        <v>45</v>
      </c>
    </row>
    <row r="47" spans="1:18">
      <c r="A47" s="1" t="s">
        <v>51</v>
      </c>
      <c r="B47">
        <v>31</v>
      </c>
      <c r="C47">
        <v>11</v>
      </c>
      <c r="D47">
        <v>20</v>
      </c>
      <c r="E47">
        <v>-1.68</v>
      </c>
      <c r="F47">
        <v>1949</v>
      </c>
      <c r="G47">
        <v>714</v>
      </c>
      <c r="H47">
        <v>1747</v>
      </c>
      <c r="I47">
        <v>365</v>
      </c>
      <c r="J47">
        <v>593</v>
      </c>
      <c r="K47">
        <v>390</v>
      </c>
      <c r="L47">
        <v>1170</v>
      </c>
      <c r="M47">
        <v>375</v>
      </c>
      <c r="N47">
        <v>160</v>
      </c>
      <c r="O47">
        <v>141</v>
      </c>
      <c r="P47">
        <v>509</v>
      </c>
      <c r="Q47">
        <v>638</v>
      </c>
      <c r="R47">
        <v>46</v>
      </c>
    </row>
    <row r="48" spans="1:18">
      <c r="A48" s="1" t="s">
        <v>52</v>
      </c>
      <c r="B48">
        <v>31</v>
      </c>
      <c r="C48">
        <v>8</v>
      </c>
      <c r="D48">
        <v>23</v>
      </c>
      <c r="E48">
        <v>-1.56</v>
      </c>
      <c r="F48">
        <v>1993</v>
      </c>
      <c r="G48">
        <v>694</v>
      </c>
      <c r="H48">
        <v>1722</v>
      </c>
      <c r="I48">
        <v>373</v>
      </c>
      <c r="J48">
        <v>549</v>
      </c>
      <c r="L48">
        <v>924</v>
      </c>
      <c r="M48">
        <v>372</v>
      </c>
      <c r="N48">
        <v>276</v>
      </c>
      <c r="O48">
        <v>82</v>
      </c>
      <c r="P48">
        <v>425</v>
      </c>
      <c r="Q48">
        <v>680</v>
      </c>
      <c r="R48">
        <v>47</v>
      </c>
    </row>
    <row r="49" spans="1:18">
      <c r="A49" s="1" t="s">
        <v>344</v>
      </c>
      <c r="B49">
        <v>29</v>
      </c>
      <c r="C49">
        <v>10</v>
      </c>
      <c r="D49">
        <v>19</v>
      </c>
      <c r="F49">
        <v>1841</v>
      </c>
      <c r="G49">
        <v>627</v>
      </c>
      <c r="H49">
        <v>1567</v>
      </c>
      <c r="I49">
        <v>427</v>
      </c>
      <c r="J49">
        <v>646</v>
      </c>
      <c r="K49">
        <v>333</v>
      </c>
      <c r="L49">
        <v>1007</v>
      </c>
      <c r="M49">
        <v>319</v>
      </c>
      <c r="N49">
        <v>161</v>
      </c>
      <c r="O49">
        <v>93</v>
      </c>
      <c r="P49">
        <v>395</v>
      </c>
      <c r="Q49">
        <v>535</v>
      </c>
      <c r="R49">
        <v>48</v>
      </c>
    </row>
    <row r="50" spans="1:18">
      <c r="A50" s="1" t="s">
        <v>274</v>
      </c>
      <c r="B50">
        <v>30</v>
      </c>
      <c r="C50">
        <v>13</v>
      </c>
      <c r="D50">
        <v>17</v>
      </c>
      <c r="E50">
        <v>-6.76</v>
      </c>
      <c r="F50">
        <v>1943</v>
      </c>
      <c r="G50">
        <v>719</v>
      </c>
      <c r="H50">
        <v>1606</v>
      </c>
      <c r="I50">
        <v>380</v>
      </c>
      <c r="J50">
        <v>528</v>
      </c>
      <c r="K50">
        <v>332</v>
      </c>
      <c r="L50">
        <v>970</v>
      </c>
      <c r="M50">
        <v>390</v>
      </c>
      <c r="N50">
        <v>184</v>
      </c>
      <c r="O50">
        <v>82</v>
      </c>
      <c r="P50">
        <v>429</v>
      </c>
      <c r="Q50">
        <v>440</v>
      </c>
      <c r="R50">
        <v>49</v>
      </c>
    </row>
    <row r="51" spans="1:18">
      <c r="A51" s="1" t="s">
        <v>53</v>
      </c>
      <c r="B51">
        <v>31</v>
      </c>
      <c r="C51">
        <v>17</v>
      </c>
      <c r="D51">
        <v>14</v>
      </c>
      <c r="E51">
        <v>1.26</v>
      </c>
      <c r="F51">
        <v>2222</v>
      </c>
      <c r="G51">
        <v>784</v>
      </c>
      <c r="H51">
        <v>1756</v>
      </c>
      <c r="I51">
        <v>432</v>
      </c>
      <c r="J51">
        <v>578</v>
      </c>
      <c r="K51">
        <v>363</v>
      </c>
      <c r="L51">
        <v>1072</v>
      </c>
      <c r="M51">
        <v>478</v>
      </c>
      <c r="N51">
        <v>213</v>
      </c>
      <c r="O51">
        <v>88</v>
      </c>
      <c r="P51">
        <v>445</v>
      </c>
      <c r="Q51">
        <v>612</v>
      </c>
      <c r="R51">
        <v>50</v>
      </c>
    </row>
    <row r="52" spans="1:18">
      <c r="A52" s="1" t="s">
        <v>54</v>
      </c>
      <c r="B52">
        <v>31</v>
      </c>
      <c r="C52">
        <v>12</v>
      </c>
      <c r="D52">
        <v>19</v>
      </c>
      <c r="E52">
        <v>-4.1500000000000004</v>
      </c>
      <c r="F52">
        <v>1928</v>
      </c>
      <c r="G52">
        <v>680</v>
      </c>
      <c r="H52">
        <v>1628</v>
      </c>
      <c r="I52">
        <v>388</v>
      </c>
      <c r="J52">
        <v>615</v>
      </c>
      <c r="K52">
        <v>362</v>
      </c>
      <c r="L52">
        <v>981</v>
      </c>
      <c r="M52">
        <v>306</v>
      </c>
      <c r="N52">
        <v>244</v>
      </c>
      <c r="O52">
        <v>79</v>
      </c>
      <c r="P52">
        <v>447</v>
      </c>
      <c r="Q52">
        <v>696</v>
      </c>
      <c r="R52">
        <v>51</v>
      </c>
    </row>
    <row r="53" spans="1:18">
      <c r="A53" s="1" t="s">
        <v>55</v>
      </c>
      <c r="B53">
        <v>29</v>
      </c>
      <c r="C53">
        <v>9</v>
      </c>
      <c r="D53">
        <v>20</v>
      </c>
      <c r="E53">
        <v>-5.46</v>
      </c>
      <c r="F53">
        <v>2000</v>
      </c>
      <c r="G53">
        <v>752</v>
      </c>
      <c r="H53">
        <v>1721</v>
      </c>
      <c r="I53">
        <v>301</v>
      </c>
      <c r="J53">
        <v>476</v>
      </c>
      <c r="K53">
        <v>368</v>
      </c>
      <c r="L53">
        <v>1100</v>
      </c>
      <c r="M53">
        <v>388</v>
      </c>
      <c r="N53">
        <v>177</v>
      </c>
      <c r="O53">
        <v>92</v>
      </c>
      <c r="P53">
        <v>396</v>
      </c>
      <c r="Q53">
        <v>516</v>
      </c>
      <c r="R53">
        <v>52</v>
      </c>
    </row>
    <row r="54" spans="1:18">
      <c r="A54" s="1" t="s">
        <v>56</v>
      </c>
      <c r="B54">
        <v>31</v>
      </c>
      <c r="C54">
        <v>11</v>
      </c>
      <c r="D54">
        <v>20</v>
      </c>
      <c r="E54">
        <v>2.4700000000000002</v>
      </c>
      <c r="F54">
        <v>2130</v>
      </c>
      <c r="G54">
        <v>752</v>
      </c>
      <c r="H54">
        <v>1832</v>
      </c>
      <c r="I54">
        <v>410</v>
      </c>
      <c r="J54">
        <v>601</v>
      </c>
      <c r="K54">
        <v>396</v>
      </c>
      <c r="L54">
        <v>1095</v>
      </c>
      <c r="M54">
        <v>422</v>
      </c>
      <c r="N54">
        <v>200</v>
      </c>
      <c r="O54">
        <v>103</v>
      </c>
      <c r="P54">
        <v>406</v>
      </c>
      <c r="Q54">
        <v>578</v>
      </c>
      <c r="R54">
        <v>53</v>
      </c>
    </row>
    <row r="55" spans="1:18">
      <c r="A55" s="1" t="s">
        <v>57</v>
      </c>
      <c r="B55">
        <v>35</v>
      </c>
      <c r="C55">
        <v>18</v>
      </c>
      <c r="D55">
        <v>17</v>
      </c>
      <c r="E55">
        <v>-3.13</v>
      </c>
      <c r="F55">
        <v>2657</v>
      </c>
      <c r="G55">
        <v>877</v>
      </c>
      <c r="H55">
        <v>2002</v>
      </c>
      <c r="I55">
        <v>614</v>
      </c>
      <c r="J55">
        <v>935</v>
      </c>
      <c r="K55">
        <v>438</v>
      </c>
      <c r="L55">
        <v>1374</v>
      </c>
      <c r="M55">
        <v>477</v>
      </c>
      <c r="N55">
        <v>218</v>
      </c>
      <c r="O55">
        <v>79</v>
      </c>
      <c r="P55">
        <v>551</v>
      </c>
      <c r="Q55">
        <v>648</v>
      </c>
      <c r="R55">
        <v>54</v>
      </c>
    </row>
    <row r="56" spans="1:18">
      <c r="A56" s="1" t="s">
        <v>58</v>
      </c>
      <c r="B56">
        <v>32</v>
      </c>
      <c r="C56">
        <v>19</v>
      </c>
      <c r="D56">
        <v>13</v>
      </c>
      <c r="E56">
        <v>-4.51</v>
      </c>
      <c r="F56">
        <v>2693</v>
      </c>
      <c r="G56">
        <v>956</v>
      </c>
      <c r="H56">
        <v>2077</v>
      </c>
      <c r="I56">
        <v>528</v>
      </c>
      <c r="J56">
        <v>773</v>
      </c>
      <c r="K56">
        <v>461</v>
      </c>
      <c r="L56">
        <v>1220</v>
      </c>
      <c r="M56">
        <v>507</v>
      </c>
      <c r="N56">
        <v>321</v>
      </c>
      <c r="O56">
        <v>123</v>
      </c>
      <c r="P56">
        <v>486</v>
      </c>
      <c r="Q56">
        <v>668</v>
      </c>
      <c r="R56">
        <v>55</v>
      </c>
    </row>
    <row r="57" spans="1:18">
      <c r="A57" s="1" t="s">
        <v>335</v>
      </c>
      <c r="B57">
        <v>32</v>
      </c>
      <c r="C57">
        <v>18</v>
      </c>
      <c r="D57">
        <v>14</v>
      </c>
      <c r="E57">
        <v>6.77</v>
      </c>
      <c r="F57">
        <v>2187</v>
      </c>
      <c r="G57">
        <v>792</v>
      </c>
      <c r="H57">
        <v>1869</v>
      </c>
      <c r="I57">
        <v>370</v>
      </c>
      <c r="J57">
        <v>563</v>
      </c>
      <c r="K57">
        <v>457</v>
      </c>
      <c r="L57">
        <v>1205</v>
      </c>
      <c r="M57">
        <v>466</v>
      </c>
      <c r="N57">
        <v>183</v>
      </c>
      <c r="O57">
        <v>103</v>
      </c>
      <c r="P57">
        <v>436</v>
      </c>
      <c r="Q57">
        <v>588</v>
      </c>
      <c r="R57">
        <v>56</v>
      </c>
    </row>
    <row r="58" spans="1:18">
      <c r="A58" s="1" t="s">
        <v>59</v>
      </c>
      <c r="B58">
        <v>33</v>
      </c>
      <c r="C58">
        <v>20</v>
      </c>
      <c r="D58">
        <v>13</v>
      </c>
      <c r="E58">
        <v>-5.98</v>
      </c>
      <c r="F58">
        <v>2206</v>
      </c>
      <c r="G58">
        <v>780</v>
      </c>
      <c r="H58">
        <v>1738</v>
      </c>
      <c r="I58">
        <v>433</v>
      </c>
      <c r="J58">
        <v>605</v>
      </c>
      <c r="K58">
        <v>331</v>
      </c>
      <c r="L58">
        <v>1099</v>
      </c>
      <c r="M58">
        <v>376</v>
      </c>
      <c r="N58">
        <v>172</v>
      </c>
      <c r="O58">
        <v>56</v>
      </c>
      <c r="P58">
        <v>419</v>
      </c>
      <c r="Q58">
        <v>564</v>
      </c>
      <c r="R58">
        <v>57</v>
      </c>
    </row>
    <row r="59" spans="1:18">
      <c r="A59" s="1" t="s">
        <v>60</v>
      </c>
      <c r="B59">
        <v>32</v>
      </c>
      <c r="C59">
        <v>23</v>
      </c>
      <c r="D59">
        <v>9</v>
      </c>
      <c r="E59">
        <v>6.59</v>
      </c>
      <c r="F59">
        <v>2507</v>
      </c>
      <c r="G59">
        <v>912</v>
      </c>
      <c r="H59">
        <v>1971</v>
      </c>
      <c r="I59">
        <v>427</v>
      </c>
      <c r="J59">
        <v>621</v>
      </c>
      <c r="K59">
        <v>462</v>
      </c>
      <c r="L59">
        <v>1189</v>
      </c>
      <c r="M59">
        <v>478</v>
      </c>
      <c r="N59">
        <v>298</v>
      </c>
      <c r="O59">
        <v>187</v>
      </c>
      <c r="P59">
        <v>456</v>
      </c>
      <c r="Q59">
        <v>575</v>
      </c>
      <c r="R59">
        <v>58</v>
      </c>
    </row>
    <row r="60" spans="1:18">
      <c r="A60" s="1" t="s">
        <v>61</v>
      </c>
      <c r="B60">
        <v>37</v>
      </c>
      <c r="C60">
        <v>26</v>
      </c>
      <c r="D60">
        <v>11</v>
      </c>
      <c r="E60">
        <v>2.12</v>
      </c>
      <c r="F60">
        <v>2455</v>
      </c>
      <c r="G60">
        <v>882</v>
      </c>
      <c r="H60">
        <v>2043</v>
      </c>
      <c r="I60">
        <v>511</v>
      </c>
      <c r="J60">
        <v>729</v>
      </c>
      <c r="K60">
        <v>441</v>
      </c>
      <c r="L60">
        <v>1267</v>
      </c>
      <c r="M60">
        <v>512</v>
      </c>
      <c r="N60">
        <v>320</v>
      </c>
      <c r="O60">
        <v>118</v>
      </c>
      <c r="P60">
        <v>454</v>
      </c>
      <c r="Q60">
        <v>680</v>
      </c>
      <c r="R60">
        <v>59</v>
      </c>
    </row>
    <row r="61" spans="1:18">
      <c r="A61" s="1" t="s">
        <v>62</v>
      </c>
      <c r="B61">
        <v>31</v>
      </c>
      <c r="C61">
        <v>11</v>
      </c>
      <c r="D61">
        <v>20</v>
      </c>
      <c r="E61">
        <v>-6.98</v>
      </c>
      <c r="F61">
        <v>2148</v>
      </c>
      <c r="G61">
        <v>786</v>
      </c>
      <c r="H61">
        <v>1770</v>
      </c>
      <c r="I61">
        <v>356</v>
      </c>
      <c r="J61">
        <v>578</v>
      </c>
      <c r="K61">
        <v>386</v>
      </c>
      <c r="L61">
        <v>1140</v>
      </c>
      <c r="M61">
        <v>455</v>
      </c>
      <c r="N61">
        <v>207</v>
      </c>
      <c r="O61">
        <v>95</v>
      </c>
      <c r="P61">
        <v>500</v>
      </c>
      <c r="Q61">
        <v>525</v>
      </c>
      <c r="R61">
        <v>60</v>
      </c>
    </row>
    <row r="62" spans="1:18">
      <c r="A62" s="1" t="s">
        <v>63</v>
      </c>
      <c r="B62">
        <v>30</v>
      </c>
      <c r="C62">
        <v>10</v>
      </c>
      <c r="D62">
        <v>20</v>
      </c>
      <c r="E62">
        <v>-6.12</v>
      </c>
      <c r="F62">
        <v>1701</v>
      </c>
      <c r="G62">
        <v>590</v>
      </c>
      <c r="H62">
        <v>1466</v>
      </c>
      <c r="I62">
        <v>373</v>
      </c>
      <c r="J62">
        <v>556</v>
      </c>
      <c r="K62">
        <v>273</v>
      </c>
      <c r="L62">
        <v>945</v>
      </c>
      <c r="M62">
        <v>310</v>
      </c>
      <c r="N62">
        <v>135</v>
      </c>
      <c r="O62">
        <v>99</v>
      </c>
      <c r="P62">
        <v>441</v>
      </c>
      <c r="Q62">
        <v>508</v>
      </c>
      <c r="R62">
        <v>61</v>
      </c>
    </row>
    <row r="63" spans="1:18">
      <c r="A63" s="1" t="s">
        <v>64</v>
      </c>
      <c r="B63">
        <v>36</v>
      </c>
      <c r="C63">
        <v>27</v>
      </c>
      <c r="D63">
        <v>9</v>
      </c>
      <c r="E63">
        <v>-5.87</v>
      </c>
      <c r="F63">
        <v>2781</v>
      </c>
      <c r="G63">
        <v>1014</v>
      </c>
      <c r="H63">
        <v>2150</v>
      </c>
      <c r="I63">
        <v>453</v>
      </c>
      <c r="J63">
        <v>687</v>
      </c>
      <c r="K63">
        <v>422</v>
      </c>
      <c r="L63">
        <v>1281</v>
      </c>
      <c r="M63">
        <v>486</v>
      </c>
      <c r="N63">
        <v>243</v>
      </c>
      <c r="O63">
        <v>149</v>
      </c>
      <c r="P63">
        <v>452</v>
      </c>
      <c r="Q63">
        <v>581</v>
      </c>
      <c r="R63">
        <v>62</v>
      </c>
    </row>
    <row r="64" spans="1:18">
      <c r="A64" s="1" t="s">
        <v>65</v>
      </c>
      <c r="B64">
        <v>31</v>
      </c>
      <c r="C64">
        <v>9</v>
      </c>
      <c r="D64">
        <v>22</v>
      </c>
      <c r="E64">
        <v>3.88</v>
      </c>
      <c r="F64">
        <v>2142</v>
      </c>
      <c r="G64">
        <v>737</v>
      </c>
      <c r="H64">
        <v>1722</v>
      </c>
      <c r="I64">
        <v>475</v>
      </c>
      <c r="J64">
        <v>663</v>
      </c>
      <c r="K64">
        <v>344</v>
      </c>
      <c r="L64">
        <v>1022</v>
      </c>
      <c r="M64">
        <v>339</v>
      </c>
      <c r="N64">
        <v>180</v>
      </c>
      <c r="O64">
        <v>74</v>
      </c>
      <c r="P64">
        <v>425</v>
      </c>
      <c r="Q64">
        <v>601</v>
      </c>
      <c r="R64">
        <v>63</v>
      </c>
    </row>
    <row r="65" spans="1:18">
      <c r="A65" s="1" t="s">
        <v>66</v>
      </c>
      <c r="B65">
        <v>31</v>
      </c>
      <c r="C65">
        <v>9</v>
      </c>
      <c r="D65">
        <v>22</v>
      </c>
      <c r="E65">
        <v>5.04</v>
      </c>
      <c r="F65">
        <v>1951</v>
      </c>
      <c r="G65">
        <v>675</v>
      </c>
      <c r="H65">
        <v>1486</v>
      </c>
      <c r="I65">
        <v>429</v>
      </c>
      <c r="J65">
        <v>587</v>
      </c>
      <c r="K65">
        <v>201</v>
      </c>
      <c r="L65">
        <v>855</v>
      </c>
      <c r="M65">
        <v>356</v>
      </c>
      <c r="N65">
        <v>185</v>
      </c>
      <c r="O65">
        <v>50</v>
      </c>
      <c r="P65">
        <v>436</v>
      </c>
      <c r="Q65">
        <v>574</v>
      </c>
      <c r="R65">
        <v>64</v>
      </c>
    </row>
    <row r="66" spans="1:18">
      <c r="A66" s="1" t="s">
        <v>67</v>
      </c>
      <c r="B66">
        <v>28</v>
      </c>
      <c r="C66">
        <v>12</v>
      </c>
      <c r="D66">
        <v>16</v>
      </c>
      <c r="E66">
        <v>-6.46</v>
      </c>
      <c r="F66">
        <v>1689</v>
      </c>
      <c r="G66">
        <v>602</v>
      </c>
      <c r="H66">
        <v>1490</v>
      </c>
      <c r="I66">
        <v>347</v>
      </c>
      <c r="J66">
        <v>519</v>
      </c>
      <c r="K66">
        <v>306</v>
      </c>
      <c r="L66">
        <v>955</v>
      </c>
      <c r="M66">
        <v>324</v>
      </c>
      <c r="N66">
        <v>184</v>
      </c>
      <c r="O66">
        <v>54</v>
      </c>
      <c r="P66">
        <v>395</v>
      </c>
      <c r="Q66">
        <v>525</v>
      </c>
      <c r="R66">
        <v>65</v>
      </c>
    </row>
    <row r="67" spans="1:18">
      <c r="A67" s="1" t="s">
        <v>275</v>
      </c>
      <c r="B67">
        <v>36</v>
      </c>
      <c r="C67">
        <v>31</v>
      </c>
      <c r="D67">
        <v>5</v>
      </c>
      <c r="E67">
        <v>8.57</v>
      </c>
      <c r="F67">
        <v>2819</v>
      </c>
      <c r="G67">
        <v>996</v>
      </c>
      <c r="H67">
        <v>2102</v>
      </c>
      <c r="I67">
        <v>662</v>
      </c>
      <c r="J67">
        <v>976</v>
      </c>
      <c r="K67">
        <v>511</v>
      </c>
      <c r="L67">
        <v>1559</v>
      </c>
      <c r="M67">
        <v>567</v>
      </c>
      <c r="N67">
        <v>209</v>
      </c>
      <c r="O67">
        <v>280</v>
      </c>
      <c r="P67">
        <v>458</v>
      </c>
      <c r="Q67">
        <v>471</v>
      </c>
      <c r="R67">
        <v>66</v>
      </c>
    </row>
    <row r="68" spans="1:18">
      <c r="A68" s="1" t="s">
        <v>68</v>
      </c>
      <c r="B68">
        <v>32</v>
      </c>
      <c r="C68">
        <v>13</v>
      </c>
      <c r="D68">
        <v>19</v>
      </c>
      <c r="E68">
        <v>-4.59</v>
      </c>
      <c r="F68">
        <v>2043</v>
      </c>
      <c r="G68">
        <v>729</v>
      </c>
      <c r="H68">
        <v>1767</v>
      </c>
      <c r="I68">
        <v>400</v>
      </c>
      <c r="J68">
        <v>555</v>
      </c>
      <c r="K68">
        <v>337</v>
      </c>
      <c r="L68">
        <v>993</v>
      </c>
      <c r="M68">
        <v>307</v>
      </c>
      <c r="N68">
        <v>252</v>
      </c>
      <c r="O68">
        <v>45</v>
      </c>
      <c r="P68">
        <v>404</v>
      </c>
      <c r="Q68">
        <v>529</v>
      </c>
      <c r="R68">
        <v>67</v>
      </c>
    </row>
    <row r="69" spans="1:18">
      <c r="A69" s="1" t="s">
        <v>69</v>
      </c>
      <c r="B69">
        <v>31</v>
      </c>
      <c r="C69">
        <v>21</v>
      </c>
      <c r="D69">
        <v>10</v>
      </c>
      <c r="E69">
        <v>-4.01</v>
      </c>
      <c r="F69">
        <v>2281</v>
      </c>
      <c r="G69">
        <v>821</v>
      </c>
      <c r="H69">
        <v>1736</v>
      </c>
      <c r="I69">
        <v>398</v>
      </c>
      <c r="J69">
        <v>545</v>
      </c>
      <c r="K69">
        <v>321</v>
      </c>
      <c r="L69">
        <v>1105</v>
      </c>
      <c r="M69">
        <v>482</v>
      </c>
      <c r="N69">
        <v>203</v>
      </c>
      <c r="O69">
        <v>121</v>
      </c>
      <c r="P69">
        <v>398</v>
      </c>
      <c r="Q69">
        <v>556</v>
      </c>
      <c r="R69">
        <v>68</v>
      </c>
    </row>
    <row r="70" spans="1:18">
      <c r="A70" s="1" t="s">
        <v>326</v>
      </c>
      <c r="B70">
        <v>35</v>
      </c>
      <c r="C70">
        <v>27</v>
      </c>
      <c r="D70">
        <v>8</v>
      </c>
      <c r="E70">
        <v>0.92</v>
      </c>
      <c r="F70">
        <v>2565</v>
      </c>
      <c r="G70">
        <v>857</v>
      </c>
      <c r="H70">
        <v>1929</v>
      </c>
      <c r="I70">
        <v>575</v>
      </c>
      <c r="J70">
        <v>768</v>
      </c>
      <c r="K70">
        <v>344</v>
      </c>
      <c r="L70">
        <v>1140</v>
      </c>
      <c r="M70">
        <v>493</v>
      </c>
      <c r="N70">
        <v>287</v>
      </c>
      <c r="O70">
        <v>138</v>
      </c>
      <c r="P70">
        <v>428</v>
      </c>
      <c r="Q70">
        <v>658</v>
      </c>
      <c r="R70">
        <v>69</v>
      </c>
    </row>
    <row r="71" spans="1:18">
      <c r="A71" s="1" t="s">
        <v>70</v>
      </c>
      <c r="B71">
        <v>28</v>
      </c>
      <c r="C71">
        <v>9</v>
      </c>
      <c r="D71">
        <v>19</v>
      </c>
      <c r="E71">
        <v>-6.03</v>
      </c>
      <c r="F71">
        <v>1750</v>
      </c>
      <c r="G71">
        <v>642</v>
      </c>
      <c r="H71">
        <v>1560</v>
      </c>
      <c r="I71">
        <v>320</v>
      </c>
      <c r="J71">
        <v>486</v>
      </c>
      <c r="K71">
        <v>309</v>
      </c>
      <c r="L71">
        <v>920</v>
      </c>
      <c r="M71">
        <v>272</v>
      </c>
      <c r="N71">
        <v>185</v>
      </c>
      <c r="O71">
        <v>122</v>
      </c>
      <c r="P71">
        <v>389</v>
      </c>
      <c r="Q71">
        <v>559</v>
      </c>
      <c r="R71">
        <v>70</v>
      </c>
    </row>
    <row r="72" spans="1:18">
      <c r="A72" s="1" t="s">
        <v>71</v>
      </c>
      <c r="B72">
        <v>35</v>
      </c>
      <c r="C72">
        <v>27</v>
      </c>
      <c r="D72">
        <v>8</v>
      </c>
      <c r="E72">
        <v>-3.33</v>
      </c>
      <c r="F72">
        <v>2724</v>
      </c>
      <c r="G72">
        <v>957</v>
      </c>
      <c r="H72">
        <v>2194</v>
      </c>
      <c r="I72">
        <v>505</v>
      </c>
      <c r="J72">
        <v>722</v>
      </c>
      <c r="K72">
        <v>457</v>
      </c>
      <c r="L72">
        <v>1357</v>
      </c>
      <c r="M72">
        <v>492</v>
      </c>
      <c r="N72">
        <v>285</v>
      </c>
      <c r="O72">
        <v>113</v>
      </c>
      <c r="P72">
        <v>439</v>
      </c>
      <c r="Q72">
        <v>715</v>
      </c>
      <c r="R72">
        <v>71</v>
      </c>
    </row>
    <row r="73" spans="1:18">
      <c r="A73" s="1" t="s">
        <v>276</v>
      </c>
      <c r="B73">
        <v>35</v>
      </c>
      <c r="C73">
        <v>27</v>
      </c>
      <c r="D73">
        <v>8</v>
      </c>
      <c r="E73">
        <v>1.76</v>
      </c>
      <c r="F73">
        <v>2339</v>
      </c>
      <c r="G73">
        <v>831</v>
      </c>
      <c r="H73">
        <v>1972</v>
      </c>
      <c r="I73">
        <v>487</v>
      </c>
      <c r="J73">
        <v>752</v>
      </c>
      <c r="K73">
        <v>484</v>
      </c>
      <c r="L73">
        <v>1328</v>
      </c>
      <c r="M73">
        <v>485</v>
      </c>
      <c r="N73">
        <v>227</v>
      </c>
      <c r="O73">
        <v>124</v>
      </c>
      <c r="P73">
        <v>476</v>
      </c>
      <c r="Q73">
        <v>672</v>
      </c>
      <c r="R73">
        <v>72</v>
      </c>
    </row>
    <row r="74" spans="1:18">
      <c r="A74" s="1" t="s">
        <v>72</v>
      </c>
      <c r="B74">
        <v>32</v>
      </c>
      <c r="C74">
        <v>8</v>
      </c>
      <c r="D74">
        <v>24</v>
      </c>
      <c r="E74">
        <v>-4.78</v>
      </c>
      <c r="F74">
        <v>1847</v>
      </c>
      <c r="G74">
        <v>683</v>
      </c>
      <c r="H74">
        <v>1615</v>
      </c>
      <c r="I74">
        <v>296</v>
      </c>
      <c r="J74">
        <v>454</v>
      </c>
      <c r="K74">
        <v>355</v>
      </c>
      <c r="L74">
        <v>979</v>
      </c>
      <c r="M74">
        <v>314</v>
      </c>
      <c r="N74">
        <v>165</v>
      </c>
      <c r="O74">
        <v>123</v>
      </c>
      <c r="P74">
        <v>489</v>
      </c>
      <c r="Q74">
        <v>516</v>
      </c>
      <c r="R74">
        <v>73</v>
      </c>
    </row>
    <row r="75" spans="1:18">
      <c r="A75" s="1" t="s">
        <v>73</v>
      </c>
      <c r="B75">
        <v>32</v>
      </c>
      <c r="C75">
        <v>13</v>
      </c>
      <c r="D75">
        <v>19</v>
      </c>
      <c r="E75">
        <v>-2.64</v>
      </c>
      <c r="F75">
        <v>2174</v>
      </c>
      <c r="G75">
        <v>735</v>
      </c>
      <c r="H75">
        <v>1778</v>
      </c>
      <c r="I75">
        <v>473</v>
      </c>
      <c r="J75">
        <v>673</v>
      </c>
      <c r="K75">
        <v>329</v>
      </c>
      <c r="L75">
        <v>1089</v>
      </c>
      <c r="M75">
        <v>419</v>
      </c>
      <c r="N75">
        <v>180</v>
      </c>
      <c r="O75">
        <v>92</v>
      </c>
      <c r="P75">
        <v>416</v>
      </c>
      <c r="Q75">
        <v>583</v>
      </c>
      <c r="R75">
        <v>74</v>
      </c>
    </row>
    <row r="76" spans="1:18">
      <c r="A76" s="1" t="s">
        <v>74</v>
      </c>
      <c r="B76">
        <v>31</v>
      </c>
      <c r="C76">
        <v>15</v>
      </c>
      <c r="D76">
        <v>16</v>
      </c>
      <c r="E76">
        <v>-4.97</v>
      </c>
      <c r="F76">
        <v>1884</v>
      </c>
      <c r="G76">
        <v>642</v>
      </c>
      <c r="H76">
        <v>1339</v>
      </c>
      <c r="I76">
        <v>357</v>
      </c>
      <c r="J76">
        <v>484</v>
      </c>
      <c r="K76">
        <v>145</v>
      </c>
      <c r="L76">
        <v>739</v>
      </c>
      <c r="M76">
        <v>422</v>
      </c>
      <c r="N76">
        <v>160</v>
      </c>
      <c r="O76">
        <v>63</v>
      </c>
      <c r="P76">
        <v>406</v>
      </c>
      <c r="Q76">
        <v>645</v>
      </c>
      <c r="R76">
        <v>75</v>
      </c>
    </row>
    <row r="77" spans="1:18">
      <c r="A77" s="1" t="s">
        <v>277</v>
      </c>
      <c r="B77">
        <v>33</v>
      </c>
      <c r="C77">
        <v>9</v>
      </c>
      <c r="D77">
        <v>24</v>
      </c>
      <c r="E77">
        <v>6.88</v>
      </c>
      <c r="F77">
        <v>2123</v>
      </c>
      <c r="G77">
        <v>780</v>
      </c>
      <c r="H77">
        <v>1920</v>
      </c>
      <c r="I77">
        <v>375</v>
      </c>
      <c r="J77">
        <v>609</v>
      </c>
      <c r="K77">
        <v>426</v>
      </c>
      <c r="L77">
        <v>1144</v>
      </c>
      <c r="M77">
        <v>373</v>
      </c>
      <c r="N77">
        <v>223</v>
      </c>
      <c r="O77">
        <v>102</v>
      </c>
      <c r="P77">
        <v>414</v>
      </c>
      <c r="Q77">
        <v>501</v>
      </c>
      <c r="R77">
        <v>76</v>
      </c>
    </row>
    <row r="78" spans="1:18">
      <c r="A78" s="1" t="s">
        <v>75</v>
      </c>
      <c r="B78">
        <v>30</v>
      </c>
      <c r="C78">
        <v>7</v>
      </c>
      <c r="D78">
        <v>23</v>
      </c>
      <c r="E78">
        <v>0.65</v>
      </c>
      <c r="F78">
        <v>1694</v>
      </c>
      <c r="G78">
        <v>610</v>
      </c>
      <c r="H78">
        <v>1464</v>
      </c>
      <c r="I78">
        <v>378</v>
      </c>
      <c r="J78">
        <v>585</v>
      </c>
      <c r="K78">
        <v>306</v>
      </c>
      <c r="L78">
        <v>931</v>
      </c>
      <c r="M78">
        <v>310</v>
      </c>
      <c r="N78">
        <v>196</v>
      </c>
      <c r="O78">
        <v>89</v>
      </c>
      <c r="P78">
        <v>504</v>
      </c>
      <c r="Q78">
        <v>622</v>
      </c>
      <c r="R78">
        <v>77</v>
      </c>
    </row>
    <row r="79" spans="1:18">
      <c r="A79" s="1" t="s">
        <v>76</v>
      </c>
      <c r="B79">
        <v>33</v>
      </c>
      <c r="C79">
        <v>17</v>
      </c>
      <c r="D79">
        <v>16</v>
      </c>
      <c r="E79">
        <v>1.41</v>
      </c>
      <c r="F79">
        <v>2128</v>
      </c>
      <c r="G79">
        <v>687</v>
      </c>
      <c r="H79">
        <v>1649</v>
      </c>
      <c r="I79">
        <v>488</v>
      </c>
      <c r="J79">
        <v>648</v>
      </c>
      <c r="K79">
        <v>304</v>
      </c>
      <c r="L79">
        <v>1079</v>
      </c>
      <c r="M79">
        <v>382</v>
      </c>
      <c r="N79">
        <v>208</v>
      </c>
      <c r="O79">
        <v>73</v>
      </c>
      <c r="P79">
        <v>421</v>
      </c>
      <c r="Q79">
        <v>515</v>
      </c>
      <c r="R79">
        <v>78</v>
      </c>
    </row>
    <row r="80" spans="1:18">
      <c r="A80" s="1" t="s">
        <v>77</v>
      </c>
      <c r="B80">
        <v>29</v>
      </c>
      <c r="C80">
        <v>15</v>
      </c>
      <c r="D80">
        <v>14</v>
      </c>
      <c r="E80">
        <v>-1.28</v>
      </c>
      <c r="F80">
        <v>1788</v>
      </c>
      <c r="G80">
        <v>609</v>
      </c>
      <c r="H80">
        <v>1635</v>
      </c>
      <c r="I80">
        <v>428</v>
      </c>
      <c r="J80">
        <v>637</v>
      </c>
      <c r="K80">
        <v>445</v>
      </c>
      <c r="L80">
        <v>1159</v>
      </c>
      <c r="M80">
        <v>323</v>
      </c>
      <c r="N80">
        <v>142</v>
      </c>
      <c r="O80">
        <v>111</v>
      </c>
      <c r="P80">
        <v>367</v>
      </c>
      <c r="Q80">
        <v>578</v>
      </c>
      <c r="R80">
        <v>79</v>
      </c>
    </row>
    <row r="81" spans="1:18">
      <c r="A81" s="1" t="s">
        <v>373</v>
      </c>
      <c r="B81">
        <v>37</v>
      </c>
      <c r="C81">
        <v>30</v>
      </c>
      <c r="D81">
        <v>7</v>
      </c>
      <c r="E81">
        <v>9.07</v>
      </c>
      <c r="F81">
        <v>2867</v>
      </c>
      <c r="G81">
        <v>971</v>
      </c>
      <c r="H81">
        <v>2186</v>
      </c>
      <c r="I81">
        <v>658</v>
      </c>
      <c r="J81">
        <v>904</v>
      </c>
      <c r="K81">
        <v>490</v>
      </c>
      <c r="L81">
        <v>1348</v>
      </c>
      <c r="M81">
        <v>492</v>
      </c>
      <c r="N81">
        <v>311</v>
      </c>
      <c r="O81">
        <v>146</v>
      </c>
      <c r="P81">
        <v>454</v>
      </c>
      <c r="Q81">
        <v>671</v>
      </c>
      <c r="R81">
        <v>80</v>
      </c>
    </row>
    <row r="82" spans="1:18">
      <c r="A82" s="1" t="s">
        <v>78</v>
      </c>
      <c r="B82">
        <v>34</v>
      </c>
      <c r="C82">
        <v>21</v>
      </c>
      <c r="D82">
        <v>13</v>
      </c>
      <c r="E82">
        <v>2.48</v>
      </c>
      <c r="F82">
        <v>2683</v>
      </c>
      <c r="G82">
        <v>935</v>
      </c>
      <c r="H82">
        <v>1987</v>
      </c>
      <c r="I82">
        <v>517</v>
      </c>
      <c r="J82">
        <v>743</v>
      </c>
      <c r="K82">
        <v>375</v>
      </c>
      <c r="L82">
        <v>1135</v>
      </c>
      <c r="M82">
        <v>564</v>
      </c>
      <c r="N82">
        <v>257</v>
      </c>
      <c r="O82">
        <v>116</v>
      </c>
      <c r="P82">
        <v>465</v>
      </c>
      <c r="Q82">
        <v>594</v>
      </c>
      <c r="R82">
        <v>81</v>
      </c>
    </row>
    <row r="83" spans="1:18">
      <c r="A83" s="1" t="s">
        <v>79</v>
      </c>
      <c r="B83">
        <v>30</v>
      </c>
      <c r="C83">
        <v>13</v>
      </c>
      <c r="D83">
        <v>17</v>
      </c>
      <c r="E83">
        <v>1.26</v>
      </c>
      <c r="F83">
        <v>2176</v>
      </c>
      <c r="G83">
        <v>736</v>
      </c>
      <c r="H83">
        <v>1666</v>
      </c>
      <c r="I83">
        <v>443</v>
      </c>
      <c r="J83">
        <v>605</v>
      </c>
      <c r="K83">
        <v>316</v>
      </c>
      <c r="L83">
        <v>1018</v>
      </c>
      <c r="M83">
        <v>441</v>
      </c>
      <c r="N83">
        <v>169</v>
      </c>
      <c r="O83">
        <v>88</v>
      </c>
      <c r="P83">
        <v>367</v>
      </c>
      <c r="Q83">
        <v>506</v>
      </c>
      <c r="R83">
        <v>82</v>
      </c>
    </row>
    <row r="84" spans="1:18">
      <c r="A84" s="1" t="s">
        <v>80</v>
      </c>
      <c r="B84">
        <v>34</v>
      </c>
      <c r="C84">
        <v>23</v>
      </c>
      <c r="D84">
        <v>11</v>
      </c>
      <c r="E84">
        <v>-1.87</v>
      </c>
      <c r="F84">
        <v>2657</v>
      </c>
      <c r="G84">
        <v>944</v>
      </c>
      <c r="H84">
        <v>2044</v>
      </c>
      <c r="I84">
        <v>574</v>
      </c>
      <c r="J84">
        <v>810</v>
      </c>
      <c r="K84">
        <v>395</v>
      </c>
      <c r="L84">
        <v>1290</v>
      </c>
      <c r="M84">
        <v>429</v>
      </c>
      <c r="N84">
        <v>287</v>
      </c>
      <c r="O84">
        <v>131</v>
      </c>
      <c r="P84">
        <v>477</v>
      </c>
      <c r="Q84">
        <v>622</v>
      </c>
      <c r="R84">
        <v>83</v>
      </c>
    </row>
    <row r="85" spans="1:18">
      <c r="A85" s="1" t="s">
        <v>81</v>
      </c>
      <c r="B85">
        <v>30</v>
      </c>
      <c r="C85">
        <v>12</v>
      </c>
      <c r="D85">
        <v>18</v>
      </c>
      <c r="E85">
        <v>-5.47</v>
      </c>
      <c r="F85">
        <v>1936</v>
      </c>
      <c r="G85">
        <v>706</v>
      </c>
      <c r="H85">
        <v>1599</v>
      </c>
      <c r="I85">
        <v>370</v>
      </c>
      <c r="J85">
        <v>515</v>
      </c>
      <c r="K85">
        <v>321</v>
      </c>
      <c r="L85">
        <v>1024</v>
      </c>
      <c r="M85">
        <v>386</v>
      </c>
      <c r="N85">
        <v>149</v>
      </c>
      <c r="O85">
        <v>57</v>
      </c>
      <c r="P85">
        <v>387</v>
      </c>
      <c r="Q85">
        <v>527</v>
      </c>
      <c r="R85">
        <v>84</v>
      </c>
    </row>
    <row r="86" spans="1:18">
      <c r="A86" s="1" t="s">
        <v>82</v>
      </c>
      <c r="B86">
        <v>31</v>
      </c>
      <c r="C86">
        <v>18</v>
      </c>
      <c r="D86">
        <v>13</v>
      </c>
      <c r="E86">
        <v>-5.45</v>
      </c>
      <c r="F86">
        <v>2247</v>
      </c>
      <c r="G86">
        <v>798</v>
      </c>
      <c r="H86">
        <v>1707</v>
      </c>
      <c r="I86">
        <v>331</v>
      </c>
      <c r="J86">
        <v>478</v>
      </c>
      <c r="K86">
        <v>327</v>
      </c>
      <c r="L86">
        <v>922</v>
      </c>
      <c r="M86">
        <v>490</v>
      </c>
      <c r="N86">
        <v>240</v>
      </c>
      <c r="O86">
        <v>58</v>
      </c>
      <c r="P86">
        <v>338</v>
      </c>
      <c r="Q86">
        <v>498</v>
      </c>
      <c r="R86">
        <v>85</v>
      </c>
    </row>
    <row r="87" spans="1:18">
      <c r="A87" s="1" t="s">
        <v>83</v>
      </c>
      <c r="B87">
        <v>32</v>
      </c>
      <c r="C87">
        <v>8</v>
      </c>
      <c r="D87">
        <v>24</v>
      </c>
      <c r="E87">
        <v>-1.79</v>
      </c>
      <c r="F87">
        <v>1834</v>
      </c>
      <c r="G87">
        <v>666</v>
      </c>
      <c r="H87">
        <v>1656</v>
      </c>
      <c r="I87">
        <v>348</v>
      </c>
      <c r="J87">
        <v>574</v>
      </c>
      <c r="K87">
        <v>369</v>
      </c>
      <c r="L87">
        <v>1102</v>
      </c>
      <c r="M87">
        <v>366</v>
      </c>
      <c r="N87">
        <v>194</v>
      </c>
      <c r="O87">
        <v>114</v>
      </c>
      <c r="P87">
        <v>503</v>
      </c>
      <c r="Q87">
        <v>539</v>
      </c>
      <c r="R87">
        <v>86</v>
      </c>
    </row>
    <row r="88" spans="1:18">
      <c r="A88" s="1" t="s">
        <v>84</v>
      </c>
      <c r="B88">
        <v>30</v>
      </c>
      <c r="C88">
        <v>12</v>
      </c>
      <c r="D88">
        <v>18</v>
      </c>
      <c r="E88">
        <v>-1.81</v>
      </c>
      <c r="F88">
        <v>1905</v>
      </c>
      <c r="G88">
        <v>689</v>
      </c>
      <c r="H88">
        <v>1647</v>
      </c>
      <c r="I88">
        <v>362</v>
      </c>
      <c r="J88">
        <v>524</v>
      </c>
      <c r="K88">
        <v>320</v>
      </c>
      <c r="L88">
        <v>964</v>
      </c>
      <c r="M88">
        <v>352</v>
      </c>
      <c r="N88">
        <v>174</v>
      </c>
      <c r="O88">
        <v>64</v>
      </c>
      <c r="P88">
        <v>380</v>
      </c>
      <c r="Q88">
        <v>575</v>
      </c>
      <c r="R88">
        <v>87</v>
      </c>
    </row>
    <row r="89" spans="1:18">
      <c r="A89" s="1" t="s">
        <v>85</v>
      </c>
      <c r="B89">
        <v>31</v>
      </c>
      <c r="C89">
        <v>11</v>
      </c>
      <c r="D89">
        <v>20</v>
      </c>
      <c r="E89">
        <v>-4.62</v>
      </c>
      <c r="F89">
        <v>2041</v>
      </c>
      <c r="G89">
        <v>747</v>
      </c>
      <c r="H89">
        <v>1712</v>
      </c>
      <c r="I89">
        <v>362</v>
      </c>
      <c r="J89">
        <v>561</v>
      </c>
      <c r="K89">
        <v>317</v>
      </c>
      <c r="L89">
        <v>1008</v>
      </c>
      <c r="M89">
        <v>424</v>
      </c>
      <c r="N89">
        <v>223</v>
      </c>
      <c r="O89">
        <v>104</v>
      </c>
      <c r="P89">
        <v>434</v>
      </c>
      <c r="Q89">
        <v>564</v>
      </c>
      <c r="R89">
        <v>88</v>
      </c>
    </row>
    <row r="90" spans="1:18">
      <c r="A90" s="1" t="s">
        <v>86</v>
      </c>
      <c r="B90">
        <v>31</v>
      </c>
      <c r="C90">
        <v>17</v>
      </c>
      <c r="D90">
        <v>14</v>
      </c>
      <c r="E90">
        <v>2.29</v>
      </c>
      <c r="F90">
        <v>2081</v>
      </c>
      <c r="G90">
        <v>733</v>
      </c>
      <c r="H90">
        <v>1642</v>
      </c>
      <c r="I90">
        <v>516</v>
      </c>
      <c r="J90">
        <v>744</v>
      </c>
      <c r="K90">
        <v>311</v>
      </c>
      <c r="L90">
        <v>1041</v>
      </c>
      <c r="M90">
        <v>456</v>
      </c>
      <c r="N90">
        <v>183</v>
      </c>
      <c r="O90">
        <v>41</v>
      </c>
      <c r="P90">
        <v>408</v>
      </c>
      <c r="Q90">
        <v>619</v>
      </c>
      <c r="R90">
        <v>89</v>
      </c>
    </row>
    <row r="91" spans="1:18">
      <c r="A91" s="1" t="s">
        <v>87</v>
      </c>
      <c r="B91">
        <v>32</v>
      </c>
      <c r="C91">
        <v>17</v>
      </c>
      <c r="D91">
        <v>15</v>
      </c>
      <c r="E91">
        <v>-0.44</v>
      </c>
      <c r="F91">
        <v>2093</v>
      </c>
      <c r="G91">
        <v>739</v>
      </c>
      <c r="H91">
        <v>1756</v>
      </c>
      <c r="I91">
        <v>415</v>
      </c>
      <c r="J91">
        <v>632</v>
      </c>
      <c r="K91">
        <v>372</v>
      </c>
      <c r="L91">
        <v>1104</v>
      </c>
      <c r="M91">
        <v>427</v>
      </c>
      <c r="N91">
        <v>205</v>
      </c>
      <c r="O91">
        <v>118</v>
      </c>
      <c r="P91">
        <v>429</v>
      </c>
      <c r="Q91">
        <v>569</v>
      </c>
      <c r="R91">
        <v>90</v>
      </c>
    </row>
    <row r="92" spans="1:18">
      <c r="A92" s="1" t="s">
        <v>88</v>
      </c>
      <c r="B92">
        <v>30</v>
      </c>
      <c r="C92">
        <v>7</v>
      </c>
      <c r="D92">
        <v>23</v>
      </c>
      <c r="E92">
        <v>-5.18</v>
      </c>
      <c r="F92">
        <v>1909</v>
      </c>
      <c r="G92">
        <v>675</v>
      </c>
      <c r="H92">
        <v>1614</v>
      </c>
      <c r="I92">
        <v>436</v>
      </c>
      <c r="J92">
        <v>685</v>
      </c>
      <c r="K92">
        <v>346</v>
      </c>
      <c r="L92">
        <v>963</v>
      </c>
      <c r="M92">
        <v>335</v>
      </c>
      <c r="N92">
        <v>175</v>
      </c>
      <c r="O92">
        <v>131</v>
      </c>
      <c r="P92">
        <v>511</v>
      </c>
      <c r="Q92">
        <v>517</v>
      </c>
      <c r="R92">
        <v>91</v>
      </c>
    </row>
    <row r="93" spans="1:18">
      <c r="A93" s="1" t="s">
        <v>89</v>
      </c>
      <c r="B93">
        <v>31</v>
      </c>
      <c r="C93">
        <v>10</v>
      </c>
      <c r="D93">
        <v>21</v>
      </c>
      <c r="E93">
        <v>-5.72</v>
      </c>
      <c r="F93">
        <v>1899</v>
      </c>
      <c r="G93">
        <v>669</v>
      </c>
      <c r="H93">
        <v>1724</v>
      </c>
      <c r="I93">
        <v>351</v>
      </c>
      <c r="J93">
        <v>564</v>
      </c>
      <c r="L93">
        <v>961</v>
      </c>
      <c r="M93">
        <v>333</v>
      </c>
      <c r="N93">
        <v>215</v>
      </c>
      <c r="O93">
        <v>66</v>
      </c>
      <c r="P93">
        <v>432</v>
      </c>
      <c r="Q93">
        <v>591</v>
      </c>
      <c r="R93">
        <v>92</v>
      </c>
    </row>
    <row r="94" spans="1:18">
      <c r="A94" s="1" t="s">
        <v>90</v>
      </c>
      <c r="B94">
        <v>32</v>
      </c>
      <c r="C94">
        <v>6</v>
      </c>
      <c r="D94">
        <v>26</v>
      </c>
      <c r="E94">
        <v>-2.1</v>
      </c>
      <c r="F94">
        <v>2079</v>
      </c>
      <c r="G94">
        <v>736</v>
      </c>
      <c r="H94">
        <v>1777</v>
      </c>
      <c r="I94">
        <v>434</v>
      </c>
      <c r="J94">
        <v>587</v>
      </c>
      <c r="K94">
        <v>357</v>
      </c>
      <c r="L94">
        <v>1069</v>
      </c>
      <c r="M94">
        <v>391</v>
      </c>
      <c r="N94">
        <v>143</v>
      </c>
      <c r="O94">
        <v>104</v>
      </c>
      <c r="P94">
        <v>392</v>
      </c>
      <c r="Q94">
        <v>594</v>
      </c>
      <c r="R94">
        <v>93</v>
      </c>
    </row>
    <row r="95" spans="1:18">
      <c r="A95" s="1" t="s">
        <v>346</v>
      </c>
      <c r="B95">
        <v>31</v>
      </c>
      <c r="C95">
        <v>11</v>
      </c>
      <c r="D95">
        <v>20</v>
      </c>
      <c r="F95">
        <v>2021</v>
      </c>
      <c r="G95">
        <v>671</v>
      </c>
      <c r="H95">
        <v>1666</v>
      </c>
      <c r="I95">
        <v>512</v>
      </c>
      <c r="J95">
        <v>732</v>
      </c>
      <c r="K95">
        <v>351</v>
      </c>
      <c r="L95">
        <v>1097</v>
      </c>
      <c r="M95">
        <v>422</v>
      </c>
      <c r="N95">
        <v>238</v>
      </c>
      <c r="O95">
        <v>91</v>
      </c>
      <c r="P95">
        <v>544</v>
      </c>
      <c r="Q95">
        <v>628</v>
      </c>
      <c r="R95">
        <v>94</v>
      </c>
    </row>
    <row r="96" spans="1:18">
      <c r="A96" s="1" t="s">
        <v>91</v>
      </c>
      <c r="B96">
        <v>33</v>
      </c>
      <c r="C96">
        <v>13</v>
      </c>
      <c r="D96">
        <v>20</v>
      </c>
      <c r="E96">
        <v>-1.52</v>
      </c>
      <c r="F96">
        <v>2071</v>
      </c>
      <c r="G96">
        <v>721</v>
      </c>
      <c r="H96">
        <v>1731</v>
      </c>
      <c r="I96">
        <v>436</v>
      </c>
      <c r="J96">
        <v>683</v>
      </c>
      <c r="K96">
        <v>375</v>
      </c>
      <c r="L96">
        <v>1134</v>
      </c>
      <c r="M96">
        <v>395</v>
      </c>
      <c r="N96">
        <v>177</v>
      </c>
      <c r="O96">
        <v>95</v>
      </c>
      <c r="P96">
        <v>498</v>
      </c>
      <c r="Q96">
        <v>628</v>
      </c>
      <c r="R96">
        <v>95</v>
      </c>
    </row>
    <row r="97" spans="1:18">
      <c r="A97" s="1" t="s">
        <v>92</v>
      </c>
      <c r="B97">
        <v>35</v>
      </c>
      <c r="C97">
        <v>25</v>
      </c>
      <c r="D97">
        <v>10</v>
      </c>
      <c r="E97">
        <v>7.91</v>
      </c>
      <c r="F97">
        <v>2392</v>
      </c>
      <c r="G97">
        <v>820</v>
      </c>
      <c r="H97">
        <v>1886</v>
      </c>
      <c r="I97">
        <v>536</v>
      </c>
      <c r="J97">
        <v>739</v>
      </c>
      <c r="K97">
        <v>399</v>
      </c>
      <c r="L97">
        <v>1253</v>
      </c>
      <c r="M97">
        <v>423</v>
      </c>
      <c r="N97">
        <v>284</v>
      </c>
      <c r="O97">
        <v>202</v>
      </c>
      <c r="P97">
        <v>548</v>
      </c>
      <c r="Q97">
        <v>657</v>
      </c>
      <c r="R97">
        <v>96</v>
      </c>
    </row>
    <row r="98" spans="1:18">
      <c r="A98" s="1" t="s">
        <v>347</v>
      </c>
      <c r="B98">
        <v>36</v>
      </c>
      <c r="C98">
        <v>25</v>
      </c>
      <c r="D98">
        <v>11</v>
      </c>
      <c r="E98">
        <v>3.88</v>
      </c>
      <c r="F98">
        <v>2774</v>
      </c>
      <c r="G98">
        <v>1018</v>
      </c>
      <c r="H98">
        <v>2134</v>
      </c>
      <c r="I98">
        <v>444</v>
      </c>
      <c r="J98">
        <v>641</v>
      </c>
      <c r="K98">
        <v>399</v>
      </c>
      <c r="L98">
        <v>1234</v>
      </c>
      <c r="M98">
        <v>605</v>
      </c>
      <c r="N98">
        <v>294</v>
      </c>
      <c r="O98">
        <v>97</v>
      </c>
      <c r="P98">
        <v>434</v>
      </c>
      <c r="Q98">
        <v>576</v>
      </c>
      <c r="R98">
        <v>97</v>
      </c>
    </row>
    <row r="99" spans="1:18">
      <c r="A99" s="1" t="s">
        <v>93</v>
      </c>
      <c r="B99">
        <v>28</v>
      </c>
      <c r="C99">
        <v>3</v>
      </c>
      <c r="D99">
        <v>25</v>
      </c>
      <c r="E99">
        <v>1.08</v>
      </c>
      <c r="F99">
        <v>1718</v>
      </c>
      <c r="G99">
        <v>617</v>
      </c>
      <c r="H99">
        <v>1626</v>
      </c>
      <c r="I99">
        <v>315</v>
      </c>
      <c r="J99">
        <v>503</v>
      </c>
      <c r="K99">
        <v>302</v>
      </c>
      <c r="L99">
        <v>851</v>
      </c>
      <c r="M99">
        <v>303</v>
      </c>
      <c r="N99">
        <v>174</v>
      </c>
      <c r="O99">
        <v>80</v>
      </c>
      <c r="P99">
        <v>350</v>
      </c>
      <c r="Q99">
        <v>546</v>
      </c>
      <c r="R99">
        <v>98</v>
      </c>
    </row>
    <row r="100" spans="1:18">
      <c r="A100" s="1" t="s">
        <v>306</v>
      </c>
      <c r="B100">
        <v>34</v>
      </c>
      <c r="C100">
        <v>13</v>
      </c>
      <c r="D100">
        <v>21</v>
      </c>
      <c r="E100">
        <v>0.96</v>
      </c>
      <c r="F100">
        <v>2299</v>
      </c>
      <c r="G100">
        <v>803</v>
      </c>
      <c r="H100">
        <v>1832</v>
      </c>
      <c r="I100">
        <v>449</v>
      </c>
      <c r="J100">
        <v>669</v>
      </c>
      <c r="K100">
        <v>350</v>
      </c>
      <c r="L100">
        <v>1137</v>
      </c>
      <c r="M100">
        <v>482</v>
      </c>
      <c r="N100">
        <v>223</v>
      </c>
      <c r="O100">
        <v>161</v>
      </c>
      <c r="P100">
        <v>491</v>
      </c>
      <c r="Q100">
        <v>569</v>
      </c>
      <c r="R100">
        <v>99</v>
      </c>
    </row>
    <row r="101" spans="1:18">
      <c r="A101" s="1" t="s">
        <v>94</v>
      </c>
      <c r="B101">
        <v>30</v>
      </c>
      <c r="C101">
        <v>6</v>
      </c>
      <c r="D101">
        <v>24</v>
      </c>
      <c r="E101">
        <v>-4.62</v>
      </c>
      <c r="F101">
        <v>1830</v>
      </c>
      <c r="G101">
        <v>638</v>
      </c>
      <c r="H101">
        <v>1581</v>
      </c>
      <c r="I101">
        <v>392</v>
      </c>
      <c r="J101">
        <v>565</v>
      </c>
      <c r="K101">
        <v>314</v>
      </c>
      <c r="L101">
        <v>928</v>
      </c>
      <c r="M101">
        <v>340</v>
      </c>
      <c r="N101">
        <v>161</v>
      </c>
      <c r="O101">
        <v>88</v>
      </c>
      <c r="P101">
        <v>428</v>
      </c>
      <c r="Q101">
        <v>600</v>
      </c>
      <c r="R101">
        <v>100</v>
      </c>
    </row>
    <row r="102" spans="1:18">
      <c r="A102" s="1" t="s">
        <v>318</v>
      </c>
      <c r="B102">
        <v>30</v>
      </c>
      <c r="C102">
        <v>13</v>
      </c>
      <c r="D102">
        <v>17</v>
      </c>
      <c r="E102">
        <v>-5.04</v>
      </c>
      <c r="F102">
        <v>2220</v>
      </c>
      <c r="G102">
        <v>789</v>
      </c>
      <c r="H102">
        <v>1830</v>
      </c>
      <c r="I102">
        <v>404</v>
      </c>
      <c r="J102">
        <v>588</v>
      </c>
      <c r="K102">
        <v>392</v>
      </c>
      <c r="L102">
        <v>1143</v>
      </c>
      <c r="M102">
        <v>491</v>
      </c>
      <c r="N102">
        <v>222</v>
      </c>
      <c r="O102">
        <v>78</v>
      </c>
      <c r="P102">
        <v>445</v>
      </c>
      <c r="Q102">
        <v>598</v>
      </c>
      <c r="R102">
        <v>101</v>
      </c>
    </row>
    <row r="103" spans="1:18">
      <c r="A103" s="1" t="s">
        <v>95</v>
      </c>
      <c r="B103">
        <v>33</v>
      </c>
      <c r="C103">
        <v>22</v>
      </c>
      <c r="D103">
        <v>11</v>
      </c>
      <c r="E103">
        <v>-1.98</v>
      </c>
      <c r="F103">
        <v>2189</v>
      </c>
      <c r="G103">
        <v>813</v>
      </c>
      <c r="H103">
        <v>1813</v>
      </c>
      <c r="I103">
        <v>385</v>
      </c>
      <c r="J103">
        <v>598</v>
      </c>
      <c r="K103">
        <v>382</v>
      </c>
      <c r="L103">
        <v>1191</v>
      </c>
      <c r="M103">
        <v>382</v>
      </c>
      <c r="N103">
        <v>201</v>
      </c>
      <c r="O103">
        <v>106</v>
      </c>
      <c r="P103">
        <v>393</v>
      </c>
      <c r="Q103">
        <v>519</v>
      </c>
      <c r="R103">
        <v>102</v>
      </c>
    </row>
    <row r="104" spans="1:18">
      <c r="A104" s="1" t="s">
        <v>96</v>
      </c>
      <c r="B104">
        <v>28</v>
      </c>
      <c r="C104">
        <v>10</v>
      </c>
      <c r="D104">
        <v>18</v>
      </c>
      <c r="E104">
        <v>0.31</v>
      </c>
      <c r="F104">
        <v>1853</v>
      </c>
      <c r="G104">
        <v>651</v>
      </c>
      <c r="H104">
        <v>1484</v>
      </c>
      <c r="I104">
        <v>388</v>
      </c>
      <c r="J104">
        <v>571</v>
      </c>
      <c r="K104">
        <v>318</v>
      </c>
      <c r="L104">
        <v>987</v>
      </c>
      <c r="M104">
        <v>354</v>
      </c>
      <c r="N104">
        <v>166</v>
      </c>
      <c r="O104">
        <v>128</v>
      </c>
      <c r="P104">
        <v>411</v>
      </c>
      <c r="Q104">
        <v>542</v>
      </c>
      <c r="R104">
        <v>103</v>
      </c>
    </row>
    <row r="105" spans="1:18">
      <c r="A105" s="1" t="s">
        <v>97</v>
      </c>
      <c r="B105">
        <v>31</v>
      </c>
      <c r="C105">
        <v>16</v>
      </c>
      <c r="D105">
        <v>15</v>
      </c>
      <c r="E105">
        <v>8.9700000000000006</v>
      </c>
      <c r="F105">
        <v>2148</v>
      </c>
      <c r="G105">
        <v>742</v>
      </c>
      <c r="H105">
        <v>1581</v>
      </c>
      <c r="I105">
        <v>473</v>
      </c>
      <c r="J105">
        <v>662</v>
      </c>
      <c r="K105">
        <v>311</v>
      </c>
      <c r="L105">
        <v>1015</v>
      </c>
      <c r="M105">
        <v>425</v>
      </c>
      <c r="N105">
        <v>245</v>
      </c>
      <c r="O105">
        <v>122</v>
      </c>
      <c r="P105">
        <v>450</v>
      </c>
      <c r="Q105">
        <v>550</v>
      </c>
      <c r="R105">
        <v>104</v>
      </c>
    </row>
    <row r="106" spans="1:18">
      <c r="A106" s="1" t="s">
        <v>98</v>
      </c>
      <c r="B106">
        <v>30</v>
      </c>
      <c r="C106">
        <v>8</v>
      </c>
      <c r="D106">
        <v>22</v>
      </c>
      <c r="E106">
        <v>-3.7</v>
      </c>
      <c r="F106">
        <v>2114</v>
      </c>
      <c r="G106">
        <v>772</v>
      </c>
      <c r="H106">
        <v>1776</v>
      </c>
      <c r="I106">
        <v>357</v>
      </c>
      <c r="J106">
        <v>539</v>
      </c>
      <c r="K106">
        <v>356</v>
      </c>
      <c r="L106">
        <v>1022</v>
      </c>
      <c r="M106">
        <v>348</v>
      </c>
      <c r="N106">
        <v>204</v>
      </c>
      <c r="O106">
        <v>73</v>
      </c>
      <c r="P106">
        <v>449</v>
      </c>
      <c r="Q106">
        <v>600</v>
      </c>
      <c r="R106">
        <v>105</v>
      </c>
    </row>
    <row r="107" spans="1:18">
      <c r="A107" s="1" t="s">
        <v>99</v>
      </c>
      <c r="B107">
        <v>32</v>
      </c>
      <c r="C107">
        <v>12</v>
      </c>
      <c r="D107">
        <v>20</v>
      </c>
      <c r="E107">
        <v>-1.83</v>
      </c>
      <c r="F107">
        <v>1929</v>
      </c>
      <c r="G107">
        <v>715</v>
      </c>
      <c r="H107">
        <v>1717</v>
      </c>
      <c r="I107">
        <v>321</v>
      </c>
      <c r="J107">
        <v>521</v>
      </c>
      <c r="K107">
        <v>354</v>
      </c>
      <c r="L107">
        <v>1048</v>
      </c>
      <c r="M107">
        <v>368</v>
      </c>
      <c r="N107">
        <v>220</v>
      </c>
      <c r="O107">
        <v>77</v>
      </c>
      <c r="P107">
        <v>401</v>
      </c>
      <c r="Q107">
        <v>564</v>
      </c>
      <c r="R107">
        <v>106</v>
      </c>
    </row>
    <row r="108" spans="1:18">
      <c r="A108" s="1" t="s">
        <v>100</v>
      </c>
      <c r="B108">
        <v>31</v>
      </c>
      <c r="C108">
        <v>12</v>
      </c>
      <c r="D108">
        <v>19</v>
      </c>
      <c r="E108">
        <v>7.32</v>
      </c>
      <c r="F108">
        <v>2208</v>
      </c>
      <c r="G108">
        <v>815</v>
      </c>
      <c r="H108">
        <v>1868</v>
      </c>
      <c r="I108">
        <v>419</v>
      </c>
      <c r="J108">
        <v>665</v>
      </c>
      <c r="K108">
        <v>404</v>
      </c>
      <c r="L108">
        <v>1211</v>
      </c>
      <c r="M108">
        <v>462</v>
      </c>
      <c r="N108">
        <v>256</v>
      </c>
      <c r="O108">
        <v>154</v>
      </c>
      <c r="P108">
        <v>522</v>
      </c>
      <c r="Q108">
        <v>608</v>
      </c>
      <c r="R108">
        <v>107</v>
      </c>
    </row>
    <row r="109" spans="1:18">
      <c r="A109" s="1" t="s">
        <v>101</v>
      </c>
      <c r="B109">
        <v>32</v>
      </c>
      <c r="C109">
        <v>12</v>
      </c>
      <c r="D109">
        <v>20</v>
      </c>
      <c r="E109">
        <v>5.5</v>
      </c>
      <c r="F109">
        <v>2077</v>
      </c>
      <c r="G109">
        <v>759</v>
      </c>
      <c r="H109">
        <v>1842</v>
      </c>
      <c r="I109">
        <v>355</v>
      </c>
      <c r="J109">
        <v>556</v>
      </c>
      <c r="K109">
        <v>405</v>
      </c>
      <c r="L109">
        <v>1203</v>
      </c>
      <c r="M109">
        <v>417</v>
      </c>
      <c r="N109">
        <v>233</v>
      </c>
      <c r="O109">
        <v>122</v>
      </c>
      <c r="P109">
        <v>556</v>
      </c>
      <c r="Q109">
        <v>535</v>
      </c>
      <c r="R109">
        <v>108</v>
      </c>
    </row>
    <row r="110" spans="1:18">
      <c r="A110" s="1" t="s">
        <v>374</v>
      </c>
      <c r="B110">
        <v>34</v>
      </c>
      <c r="C110">
        <v>28</v>
      </c>
      <c r="D110">
        <v>6</v>
      </c>
      <c r="E110">
        <v>3.55</v>
      </c>
      <c r="F110">
        <v>2684</v>
      </c>
      <c r="G110">
        <v>967</v>
      </c>
      <c r="H110">
        <v>1982</v>
      </c>
      <c r="I110">
        <v>499</v>
      </c>
      <c r="J110">
        <v>696</v>
      </c>
      <c r="K110">
        <v>345</v>
      </c>
      <c r="L110">
        <v>1276</v>
      </c>
      <c r="M110">
        <v>512</v>
      </c>
      <c r="N110">
        <v>246</v>
      </c>
      <c r="O110">
        <v>174</v>
      </c>
      <c r="P110">
        <v>386</v>
      </c>
      <c r="Q110">
        <v>551</v>
      </c>
      <c r="R110">
        <v>109</v>
      </c>
    </row>
    <row r="111" spans="1:18">
      <c r="A111" s="1" t="s">
        <v>102</v>
      </c>
      <c r="B111">
        <v>29</v>
      </c>
      <c r="C111">
        <v>6</v>
      </c>
      <c r="D111">
        <v>23</v>
      </c>
      <c r="E111">
        <v>-10.1</v>
      </c>
      <c r="F111">
        <v>1766</v>
      </c>
      <c r="G111">
        <v>644</v>
      </c>
      <c r="H111">
        <v>1559</v>
      </c>
      <c r="I111">
        <v>310</v>
      </c>
      <c r="J111">
        <v>509</v>
      </c>
      <c r="K111">
        <v>308</v>
      </c>
      <c r="L111">
        <v>949</v>
      </c>
      <c r="M111">
        <v>345</v>
      </c>
      <c r="N111">
        <v>147</v>
      </c>
      <c r="O111">
        <v>79</v>
      </c>
      <c r="P111">
        <v>448</v>
      </c>
      <c r="Q111">
        <v>523</v>
      </c>
      <c r="R111">
        <v>110</v>
      </c>
    </row>
    <row r="112" spans="1:18">
      <c r="A112" s="1" t="s">
        <v>103</v>
      </c>
      <c r="B112">
        <v>33</v>
      </c>
      <c r="C112">
        <v>22</v>
      </c>
      <c r="D112">
        <v>11</v>
      </c>
      <c r="E112">
        <v>0.73</v>
      </c>
      <c r="F112">
        <v>2399</v>
      </c>
      <c r="G112">
        <v>796</v>
      </c>
      <c r="H112">
        <v>1788</v>
      </c>
      <c r="I112">
        <v>539</v>
      </c>
      <c r="J112">
        <v>685</v>
      </c>
      <c r="K112">
        <v>362</v>
      </c>
      <c r="L112">
        <v>1068</v>
      </c>
      <c r="M112">
        <v>462</v>
      </c>
      <c r="N112">
        <v>231</v>
      </c>
      <c r="O112">
        <v>83</v>
      </c>
      <c r="P112">
        <v>417</v>
      </c>
      <c r="Q112">
        <v>626</v>
      </c>
      <c r="R112">
        <v>111</v>
      </c>
    </row>
    <row r="113" spans="1:18">
      <c r="A113" s="1" t="s">
        <v>104</v>
      </c>
      <c r="B113">
        <v>32</v>
      </c>
      <c r="C113">
        <v>16</v>
      </c>
      <c r="D113">
        <v>16</v>
      </c>
      <c r="E113">
        <v>-7.58</v>
      </c>
      <c r="F113">
        <v>1851</v>
      </c>
      <c r="G113">
        <v>632</v>
      </c>
      <c r="H113">
        <v>1683</v>
      </c>
      <c r="I113">
        <v>423</v>
      </c>
      <c r="J113">
        <v>639</v>
      </c>
      <c r="K113">
        <v>421</v>
      </c>
      <c r="L113">
        <v>1125</v>
      </c>
      <c r="M113">
        <v>349</v>
      </c>
      <c r="N113">
        <v>269</v>
      </c>
      <c r="O113">
        <v>124</v>
      </c>
      <c r="P113">
        <v>530</v>
      </c>
      <c r="Q113">
        <v>553</v>
      </c>
      <c r="R113">
        <v>112</v>
      </c>
    </row>
    <row r="114" spans="1:18">
      <c r="A114" s="1" t="s">
        <v>105</v>
      </c>
      <c r="B114">
        <v>33</v>
      </c>
      <c r="C114">
        <v>7</v>
      </c>
      <c r="D114">
        <v>26</v>
      </c>
      <c r="E114">
        <v>-2.93</v>
      </c>
      <c r="F114">
        <v>1998</v>
      </c>
      <c r="G114">
        <v>695</v>
      </c>
      <c r="H114">
        <v>1754</v>
      </c>
      <c r="I114">
        <v>350</v>
      </c>
      <c r="J114">
        <v>494</v>
      </c>
      <c r="K114">
        <v>273</v>
      </c>
      <c r="L114">
        <v>1001</v>
      </c>
      <c r="M114">
        <v>425</v>
      </c>
      <c r="N114">
        <v>216</v>
      </c>
      <c r="O114">
        <v>54</v>
      </c>
      <c r="P114">
        <v>460</v>
      </c>
      <c r="Q114">
        <v>683</v>
      </c>
      <c r="R114">
        <v>113</v>
      </c>
    </row>
    <row r="115" spans="1:18">
      <c r="A115" s="1" t="s">
        <v>106</v>
      </c>
      <c r="B115">
        <v>28</v>
      </c>
      <c r="C115">
        <v>14</v>
      </c>
      <c r="D115">
        <v>14</v>
      </c>
      <c r="E115">
        <v>-6.05</v>
      </c>
      <c r="F115">
        <v>1890</v>
      </c>
      <c r="G115">
        <v>645</v>
      </c>
      <c r="H115">
        <v>1387</v>
      </c>
      <c r="I115">
        <v>427</v>
      </c>
      <c r="J115">
        <v>586</v>
      </c>
      <c r="K115">
        <v>227</v>
      </c>
      <c r="L115">
        <v>826</v>
      </c>
      <c r="M115">
        <v>352</v>
      </c>
      <c r="N115">
        <v>206</v>
      </c>
      <c r="O115">
        <v>94</v>
      </c>
      <c r="P115">
        <v>396</v>
      </c>
      <c r="Q115">
        <v>486</v>
      </c>
      <c r="R115">
        <v>114</v>
      </c>
    </row>
    <row r="116" spans="1:18">
      <c r="A116" s="1" t="s">
        <v>107</v>
      </c>
      <c r="B116">
        <v>30</v>
      </c>
      <c r="C116">
        <v>13</v>
      </c>
      <c r="D116">
        <v>17</v>
      </c>
      <c r="E116">
        <v>-1.34</v>
      </c>
      <c r="F116">
        <v>1921</v>
      </c>
      <c r="G116">
        <v>659</v>
      </c>
      <c r="H116">
        <v>1554</v>
      </c>
      <c r="I116">
        <v>497</v>
      </c>
      <c r="J116">
        <v>696</v>
      </c>
      <c r="K116">
        <v>393</v>
      </c>
      <c r="L116">
        <v>1040</v>
      </c>
      <c r="M116">
        <v>388</v>
      </c>
      <c r="N116">
        <v>172</v>
      </c>
      <c r="O116">
        <v>114</v>
      </c>
      <c r="P116">
        <v>477</v>
      </c>
      <c r="Q116">
        <v>564</v>
      </c>
      <c r="R116">
        <v>115</v>
      </c>
    </row>
    <row r="117" spans="1:18">
      <c r="A117" s="1" t="s">
        <v>108</v>
      </c>
      <c r="B117">
        <v>30</v>
      </c>
      <c r="C117">
        <v>9</v>
      </c>
      <c r="D117">
        <v>21</v>
      </c>
      <c r="E117">
        <v>-5.89</v>
      </c>
      <c r="F117">
        <v>1931</v>
      </c>
      <c r="G117">
        <v>730</v>
      </c>
      <c r="H117">
        <v>1720</v>
      </c>
      <c r="I117">
        <v>293</v>
      </c>
      <c r="J117">
        <v>469</v>
      </c>
      <c r="K117">
        <v>401</v>
      </c>
      <c r="L117">
        <v>1134</v>
      </c>
      <c r="M117">
        <v>383</v>
      </c>
      <c r="N117">
        <v>211</v>
      </c>
      <c r="O117">
        <v>133</v>
      </c>
      <c r="P117">
        <v>482</v>
      </c>
      <c r="Q117">
        <v>517</v>
      </c>
      <c r="R117">
        <v>116</v>
      </c>
    </row>
    <row r="118" spans="1:18">
      <c r="A118" s="1" t="s">
        <v>307</v>
      </c>
      <c r="B118">
        <v>32</v>
      </c>
      <c r="C118">
        <v>21</v>
      </c>
      <c r="D118">
        <v>11</v>
      </c>
      <c r="E118">
        <v>-2.9</v>
      </c>
      <c r="F118">
        <v>2128</v>
      </c>
      <c r="G118">
        <v>729</v>
      </c>
      <c r="H118">
        <v>1851</v>
      </c>
      <c r="I118">
        <v>490</v>
      </c>
      <c r="J118">
        <v>707</v>
      </c>
      <c r="K118">
        <v>487</v>
      </c>
      <c r="L118">
        <v>1306</v>
      </c>
      <c r="M118">
        <v>363</v>
      </c>
      <c r="N118">
        <v>210</v>
      </c>
      <c r="O118">
        <v>168</v>
      </c>
      <c r="P118">
        <v>487</v>
      </c>
      <c r="Q118">
        <v>677</v>
      </c>
      <c r="R118">
        <v>117</v>
      </c>
    </row>
    <row r="119" spans="1:18">
      <c r="A119" s="1" t="s">
        <v>109</v>
      </c>
      <c r="B119">
        <v>32</v>
      </c>
      <c r="C119">
        <v>18</v>
      </c>
      <c r="D119">
        <v>14</v>
      </c>
      <c r="E119">
        <v>-5.91</v>
      </c>
      <c r="F119">
        <v>2067</v>
      </c>
      <c r="G119">
        <v>742</v>
      </c>
      <c r="H119">
        <v>1727</v>
      </c>
      <c r="I119">
        <v>436</v>
      </c>
      <c r="J119">
        <v>643</v>
      </c>
      <c r="K119">
        <v>436</v>
      </c>
      <c r="L119">
        <v>1151</v>
      </c>
      <c r="M119">
        <v>450</v>
      </c>
      <c r="N119">
        <v>271</v>
      </c>
      <c r="O119">
        <v>102</v>
      </c>
      <c r="P119">
        <v>509</v>
      </c>
      <c r="Q119">
        <v>632</v>
      </c>
      <c r="R119">
        <v>118</v>
      </c>
    </row>
    <row r="120" spans="1:18">
      <c r="A120" s="1" t="s">
        <v>353</v>
      </c>
      <c r="B120">
        <v>30</v>
      </c>
      <c r="C120">
        <v>5</v>
      </c>
      <c r="D120">
        <v>25</v>
      </c>
      <c r="F120">
        <v>2050</v>
      </c>
      <c r="G120">
        <v>723</v>
      </c>
      <c r="H120">
        <v>1781</v>
      </c>
      <c r="I120">
        <v>372</v>
      </c>
      <c r="J120">
        <v>566</v>
      </c>
      <c r="K120">
        <v>339</v>
      </c>
      <c r="L120">
        <v>995</v>
      </c>
      <c r="M120">
        <v>353</v>
      </c>
      <c r="N120">
        <v>220</v>
      </c>
      <c r="O120">
        <v>79</v>
      </c>
      <c r="P120">
        <v>476</v>
      </c>
      <c r="Q120">
        <v>627</v>
      </c>
      <c r="R120">
        <v>119</v>
      </c>
    </row>
    <row r="121" spans="1:18">
      <c r="A121" s="1" t="s">
        <v>110</v>
      </c>
      <c r="B121">
        <v>33</v>
      </c>
      <c r="C121">
        <v>21</v>
      </c>
      <c r="D121">
        <v>12</v>
      </c>
      <c r="E121">
        <v>1.29</v>
      </c>
      <c r="F121">
        <v>2501</v>
      </c>
      <c r="G121">
        <v>873</v>
      </c>
      <c r="H121">
        <v>2064</v>
      </c>
      <c r="I121">
        <v>562</v>
      </c>
      <c r="J121">
        <v>753</v>
      </c>
      <c r="K121">
        <v>419</v>
      </c>
      <c r="L121">
        <v>1222</v>
      </c>
      <c r="M121">
        <v>399</v>
      </c>
      <c r="N121">
        <v>267</v>
      </c>
      <c r="O121">
        <v>137</v>
      </c>
      <c r="P121">
        <v>323</v>
      </c>
      <c r="Q121">
        <v>577</v>
      </c>
      <c r="R121">
        <v>120</v>
      </c>
    </row>
    <row r="122" spans="1:18">
      <c r="A122" s="1" t="s">
        <v>111</v>
      </c>
      <c r="B122">
        <v>31</v>
      </c>
      <c r="C122">
        <v>8</v>
      </c>
      <c r="D122">
        <v>23</v>
      </c>
      <c r="E122">
        <v>-6.58</v>
      </c>
      <c r="F122">
        <v>1900</v>
      </c>
      <c r="G122">
        <v>660</v>
      </c>
      <c r="H122">
        <v>1576</v>
      </c>
      <c r="I122">
        <v>411</v>
      </c>
      <c r="J122">
        <v>643</v>
      </c>
      <c r="K122">
        <v>283</v>
      </c>
      <c r="L122">
        <v>964</v>
      </c>
      <c r="M122">
        <v>314</v>
      </c>
      <c r="N122">
        <v>148</v>
      </c>
      <c r="O122">
        <v>100</v>
      </c>
      <c r="P122">
        <v>497</v>
      </c>
      <c r="Q122">
        <v>551</v>
      </c>
      <c r="R122">
        <v>121</v>
      </c>
    </row>
    <row r="123" spans="1:18">
      <c r="A123" s="1" t="s">
        <v>112</v>
      </c>
      <c r="B123">
        <v>32</v>
      </c>
      <c r="C123">
        <v>13</v>
      </c>
      <c r="D123">
        <v>19</v>
      </c>
      <c r="E123">
        <v>0.17</v>
      </c>
      <c r="F123">
        <v>2089</v>
      </c>
      <c r="G123">
        <v>763</v>
      </c>
      <c r="H123">
        <v>1654</v>
      </c>
      <c r="I123">
        <v>434</v>
      </c>
      <c r="J123">
        <v>631</v>
      </c>
      <c r="K123">
        <v>308</v>
      </c>
      <c r="L123">
        <v>1016</v>
      </c>
      <c r="M123">
        <v>403</v>
      </c>
      <c r="N123">
        <v>182</v>
      </c>
      <c r="O123">
        <v>120</v>
      </c>
      <c r="P123">
        <v>418</v>
      </c>
      <c r="Q123">
        <v>632</v>
      </c>
      <c r="R123">
        <v>122</v>
      </c>
    </row>
    <row r="124" spans="1:18">
      <c r="A124" s="1" t="s">
        <v>113</v>
      </c>
      <c r="B124">
        <v>33</v>
      </c>
      <c r="C124">
        <v>17</v>
      </c>
      <c r="D124">
        <v>16</v>
      </c>
      <c r="E124">
        <v>-0.15</v>
      </c>
      <c r="F124">
        <v>2176</v>
      </c>
      <c r="G124">
        <v>767</v>
      </c>
      <c r="H124">
        <v>1673</v>
      </c>
      <c r="I124">
        <v>449</v>
      </c>
      <c r="J124">
        <v>685</v>
      </c>
      <c r="K124">
        <v>308</v>
      </c>
      <c r="L124">
        <v>1002</v>
      </c>
      <c r="M124">
        <v>443</v>
      </c>
      <c r="N124">
        <v>213</v>
      </c>
      <c r="O124">
        <v>113</v>
      </c>
      <c r="P124">
        <v>406</v>
      </c>
      <c r="Q124">
        <v>602</v>
      </c>
      <c r="R124">
        <v>123</v>
      </c>
    </row>
    <row r="125" spans="1:18">
      <c r="A125" s="1" t="s">
        <v>114</v>
      </c>
      <c r="B125">
        <v>31</v>
      </c>
      <c r="C125">
        <v>16</v>
      </c>
      <c r="D125">
        <v>15</v>
      </c>
      <c r="E125">
        <v>0.02</v>
      </c>
      <c r="F125">
        <v>2087</v>
      </c>
      <c r="G125">
        <v>724</v>
      </c>
      <c r="H125">
        <v>1767</v>
      </c>
      <c r="I125">
        <v>440</v>
      </c>
      <c r="J125">
        <v>574</v>
      </c>
      <c r="K125">
        <v>398</v>
      </c>
      <c r="L125">
        <v>1156</v>
      </c>
      <c r="M125">
        <v>390</v>
      </c>
      <c r="N125">
        <v>191</v>
      </c>
      <c r="O125">
        <v>103</v>
      </c>
      <c r="P125">
        <v>403</v>
      </c>
      <c r="Q125">
        <v>515</v>
      </c>
      <c r="R125">
        <v>124</v>
      </c>
    </row>
    <row r="126" spans="1:18">
      <c r="A126" s="1" t="s">
        <v>115</v>
      </c>
      <c r="B126">
        <v>34</v>
      </c>
      <c r="C126">
        <v>24</v>
      </c>
      <c r="D126">
        <v>10</v>
      </c>
      <c r="E126">
        <v>1.52</v>
      </c>
      <c r="F126">
        <v>2414</v>
      </c>
      <c r="G126">
        <v>835</v>
      </c>
      <c r="H126">
        <v>1887</v>
      </c>
      <c r="I126">
        <v>447</v>
      </c>
      <c r="J126">
        <v>646</v>
      </c>
      <c r="K126">
        <v>385</v>
      </c>
      <c r="L126">
        <v>1257</v>
      </c>
      <c r="M126">
        <v>457</v>
      </c>
      <c r="N126">
        <v>238</v>
      </c>
      <c r="O126">
        <v>95</v>
      </c>
      <c r="P126">
        <v>431</v>
      </c>
      <c r="Q126">
        <v>604</v>
      </c>
      <c r="R126">
        <v>125</v>
      </c>
    </row>
    <row r="127" spans="1:18">
      <c r="A127" s="1" t="s">
        <v>348</v>
      </c>
      <c r="B127">
        <v>34</v>
      </c>
      <c r="C127">
        <v>24</v>
      </c>
      <c r="D127">
        <v>10</v>
      </c>
      <c r="E127">
        <v>6.73</v>
      </c>
      <c r="F127">
        <v>2204</v>
      </c>
      <c r="G127">
        <v>859</v>
      </c>
      <c r="H127">
        <v>1865</v>
      </c>
      <c r="I127">
        <v>298</v>
      </c>
      <c r="J127">
        <v>419</v>
      </c>
      <c r="K127">
        <v>320</v>
      </c>
      <c r="L127">
        <v>1127</v>
      </c>
      <c r="M127">
        <v>595</v>
      </c>
      <c r="N127">
        <v>199</v>
      </c>
      <c r="O127">
        <v>122</v>
      </c>
      <c r="P127">
        <v>420</v>
      </c>
      <c r="Q127">
        <v>521</v>
      </c>
      <c r="R127">
        <v>126</v>
      </c>
    </row>
    <row r="128" spans="1:18">
      <c r="A128" s="1" t="s">
        <v>308</v>
      </c>
      <c r="B128">
        <v>32</v>
      </c>
      <c r="C128">
        <v>11</v>
      </c>
      <c r="D128">
        <v>21</v>
      </c>
      <c r="E128">
        <v>2.04</v>
      </c>
      <c r="F128">
        <v>2019</v>
      </c>
      <c r="G128">
        <v>674</v>
      </c>
      <c r="H128">
        <v>1640</v>
      </c>
      <c r="I128">
        <v>430</v>
      </c>
      <c r="J128">
        <v>590</v>
      </c>
      <c r="K128">
        <v>311</v>
      </c>
      <c r="L128">
        <v>1016</v>
      </c>
      <c r="M128">
        <v>378</v>
      </c>
      <c r="N128">
        <v>166</v>
      </c>
      <c r="O128">
        <v>91</v>
      </c>
      <c r="P128">
        <v>454</v>
      </c>
      <c r="Q128">
        <v>592</v>
      </c>
      <c r="R128">
        <v>127</v>
      </c>
    </row>
    <row r="129" spans="1:18">
      <c r="A129" s="1" t="s">
        <v>327</v>
      </c>
      <c r="B129">
        <v>31</v>
      </c>
      <c r="C129">
        <v>6</v>
      </c>
      <c r="D129">
        <v>25</v>
      </c>
      <c r="E129">
        <v>8.98</v>
      </c>
      <c r="F129">
        <v>1862</v>
      </c>
      <c r="G129">
        <v>659</v>
      </c>
      <c r="H129">
        <v>1532</v>
      </c>
      <c r="I129">
        <v>377</v>
      </c>
      <c r="J129">
        <v>581</v>
      </c>
      <c r="K129">
        <v>314</v>
      </c>
      <c r="L129">
        <v>952</v>
      </c>
      <c r="M129">
        <v>364</v>
      </c>
      <c r="N129">
        <v>191</v>
      </c>
      <c r="O129">
        <v>64</v>
      </c>
      <c r="P129">
        <v>542</v>
      </c>
      <c r="Q129">
        <v>601</v>
      </c>
      <c r="R129">
        <v>128</v>
      </c>
    </row>
    <row r="130" spans="1:18">
      <c r="A130" s="1" t="s">
        <v>309</v>
      </c>
      <c r="B130">
        <v>31</v>
      </c>
      <c r="C130">
        <v>12</v>
      </c>
      <c r="D130">
        <v>19</v>
      </c>
      <c r="E130">
        <v>-2.37</v>
      </c>
      <c r="F130">
        <v>1930</v>
      </c>
      <c r="G130">
        <v>637</v>
      </c>
      <c r="H130">
        <v>1541</v>
      </c>
      <c r="I130">
        <v>482</v>
      </c>
      <c r="J130">
        <v>732</v>
      </c>
      <c r="K130">
        <v>332</v>
      </c>
      <c r="L130">
        <v>1026</v>
      </c>
      <c r="M130">
        <v>378</v>
      </c>
      <c r="N130">
        <v>205</v>
      </c>
      <c r="O130">
        <v>91</v>
      </c>
      <c r="P130">
        <v>486</v>
      </c>
      <c r="Q130">
        <v>616</v>
      </c>
      <c r="R130">
        <v>129</v>
      </c>
    </row>
    <row r="131" spans="1:18">
      <c r="A131" s="1" t="s">
        <v>310</v>
      </c>
      <c r="B131">
        <v>32</v>
      </c>
      <c r="C131">
        <v>15</v>
      </c>
      <c r="D131">
        <v>17</v>
      </c>
      <c r="E131">
        <v>5.68</v>
      </c>
      <c r="F131">
        <v>2078</v>
      </c>
      <c r="G131">
        <v>748</v>
      </c>
      <c r="H131">
        <v>1732</v>
      </c>
      <c r="I131">
        <v>346</v>
      </c>
      <c r="J131">
        <v>491</v>
      </c>
      <c r="K131">
        <v>249</v>
      </c>
      <c r="L131">
        <v>1078</v>
      </c>
      <c r="M131">
        <v>454</v>
      </c>
      <c r="N131">
        <v>127</v>
      </c>
      <c r="O131">
        <v>110</v>
      </c>
      <c r="P131">
        <v>388</v>
      </c>
      <c r="Q131">
        <v>505</v>
      </c>
      <c r="R131">
        <v>130</v>
      </c>
    </row>
    <row r="132" spans="1:18">
      <c r="A132" s="1" t="s">
        <v>116</v>
      </c>
      <c r="B132">
        <v>32</v>
      </c>
      <c r="C132">
        <v>15</v>
      </c>
      <c r="D132">
        <v>17</v>
      </c>
      <c r="E132">
        <v>6.84</v>
      </c>
      <c r="F132">
        <v>1927</v>
      </c>
      <c r="G132">
        <v>650</v>
      </c>
      <c r="H132">
        <v>1469</v>
      </c>
      <c r="I132">
        <v>369</v>
      </c>
      <c r="J132">
        <v>496</v>
      </c>
      <c r="K132">
        <v>250</v>
      </c>
      <c r="L132">
        <v>928</v>
      </c>
      <c r="M132">
        <v>375</v>
      </c>
      <c r="N132">
        <v>152</v>
      </c>
      <c r="O132">
        <v>68</v>
      </c>
      <c r="P132">
        <v>401</v>
      </c>
      <c r="Q132">
        <v>537</v>
      </c>
      <c r="R132">
        <v>131</v>
      </c>
    </row>
    <row r="133" spans="1:18">
      <c r="A133" s="1" t="s">
        <v>319</v>
      </c>
      <c r="B133">
        <v>30</v>
      </c>
      <c r="C133">
        <v>13</v>
      </c>
      <c r="D133">
        <v>17</v>
      </c>
      <c r="E133">
        <v>-0.64</v>
      </c>
      <c r="F133">
        <v>1970</v>
      </c>
      <c r="G133">
        <v>681</v>
      </c>
      <c r="H133">
        <v>1566</v>
      </c>
      <c r="I133">
        <v>413</v>
      </c>
      <c r="J133">
        <v>563</v>
      </c>
      <c r="K133">
        <v>259</v>
      </c>
      <c r="L133">
        <v>909</v>
      </c>
      <c r="M133">
        <v>326</v>
      </c>
      <c r="N133">
        <v>146</v>
      </c>
      <c r="O133">
        <v>96</v>
      </c>
      <c r="P133">
        <v>386</v>
      </c>
      <c r="Q133">
        <v>554</v>
      </c>
      <c r="R133">
        <v>132</v>
      </c>
    </row>
    <row r="134" spans="1:18">
      <c r="A134" s="1" t="s">
        <v>117</v>
      </c>
      <c r="B134">
        <v>30</v>
      </c>
      <c r="C134">
        <v>16</v>
      </c>
      <c r="D134">
        <v>14</v>
      </c>
      <c r="E134">
        <v>-2.5099999999999998</v>
      </c>
      <c r="F134">
        <v>1964</v>
      </c>
      <c r="G134">
        <v>733</v>
      </c>
      <c r="H134">
        <v>1533</v>
      </c>
      <c r="I134">
        <v>351</v>
      </c>
      <c r="J134">
        <v>537</v>
      </c>
      <c r="K134">
        <v>286</v>
      </c>
      <c r="L134">
        <v>930</v>
      </c>
      <c r="M134">
        <v>399</v>
      </c>
      <c r="N134">
        <v>216</v>
      </c>
      <c r="O134">
        <v>109</v>
      </c>
      <c r="P134">
        <v>384</v>
      </c>
      <c r="Q134">
        <v>464</v>
      </c>
      <c r="R134">
        <v>133</v>
      </c>
    </row>
    <row r="135" spans="1:18">
      <c r="A135" s="1" t="s">
        <v>278</v>
      </c>
      <c r="B135">
        <v>33</v>
      </c>
      <c r="C135">
        <v>18</v>
      </c>
      <c r="D135">
        <v>15</v>
      </c>
      <c r="E135">
        <v>-8.2200000000000006</v>
      </c>
      <c r="F135">
        <v>2307</v>
      </c>
      <c r="G135">
        <v>806</v>
      </c>
      <c r="H135">
        <v>1851</v>
      </c>
      <c r="I135">
        <v>560</v>
      </c>
      <c r="J135">
        <v>795</v>
      </c>
      <c r="K135">
        <v>420</v>
      </c>
      <c r="L135">
        <v>1203</v>
      </c>
      <c r="M135">
        <v>452</v>
      </c>
      <c r="N135">
        <v>240</v>
      </c>
      <c r="O135">
        <v>91</v>
      </c>
      <c r="P135">
        <v>520</v>
      </c>
      <c r="Q135">
        <v>640</v>
      </c>
      <c r="R135">
        <v>134</v>
      </c>
    </row>
    <row r="136" spans="1:18">
      <c r="A136" s="1" t="s">
        <v>118</v>
      </c>
      <c r="B136">
        <v>28</v>
      </c>
      <c r="C136">
        <v>11</v>
      </c>
      <c r="D136">
        <v>17</v>
      </c>
      <c r="E136">
        <v>-4.78</v>
      </c>
      <c r="F136">
        <v>1962</v>
      </c>
      <c r="G136">
        <v>682</v>
      </c>
      <c r="H136">
        <v>1575</v>
      </c>
      <c r="I136">
        <v>425</v>
      </c>
      <c r="J136">
        <v>651</v>
      </c>
      <c r="K136">
        <v>365</v>
      </c>
      <c r="L136">
        <v>977</v>
      </c>
      <c r="M136">
        <v>423</v>
      </c>
      <c r="N136">
        <v>184</v>
      </c>
      <c r="O136">
        <v>64</v>
      </c>
      <c r="P136">
        <v>389</v>
      </c>
      <c r="Q136">
        <v>516</v>
      </c>
      <c r="R136">
        <v>135</v>
      </c>
    </row>
    <row r="137" spans="1:18">
      <c r="A137" s="1" t="s">
        <v>119</v>
      </c>
      <c r="B137">
        <v>32</v>
      </c>
      <c r="C137">
        <v>18</v>
      </c>
      <c r="D137">
        <v>14</v>
      </c>
      <c r="E137">
        <v>-0.05</v>
      </c>
      <c r="F137">
        <v>2363</v>
      </c>
      <c r="G137">
        <v>822</v>
      </c>
      <c r="H137">
        <v>1841</v>
      </c>
      <c r="I137">
        <v>518</v>
      </c>
      <c r="J137">
        <v>749</v>
      </c>
      <c r="K137">
        <v>456</v>
      </c>
      <c r="L137">
        <v>1195</v>
      </c>
      <c r="M137">
        <v>419</v>
      </c>
      <c r="N137">
        <v>261</v>
      </c>
      <c r="O137">
        <v>117</v>
      </c>
      <c r="P137">
        <v>460</v>
      </c>
      <c r="Q137">
        <v>645</v>
      </c>
      <c r="R137">
        <v>136</v>
      </c>
    </row>
    <row r="138" spans="1:18">
      <c r="A138" s="1" t="s">
        <v>120</v>
      </c>
      <c r="B138">
        <v>36</v>
      </c>
      <c r="C138">
        <v>21</v>
      </c>
      <c r="D138">
        <v>15</v>
      </c>
      <c r="E138">
        <v>-2.91</v>
      </c>
      <c r="F138">
        <v>2540</v>
      </c>
      <c r="G138">
        <v>870</v>
      </c>
      <c r="H138">
        <v>1948</v>
      </c>
      <c r="I138">
        <v>549</v>
      </c>
      <c r="J138">
        <v>725</v>
      </c>
      <c r="K138">
        <v>351</v>
      </c>
      <c r="L138">
        <v>1220</v>
      </c>
      <c r="M138">
        <v>427</v>
      </c>
      <c r="N138">
        <v>225</v>
      </c>
      <c r="O138">
        <v>79</v>
      </c>
      <c r="P138">
        <v>503</v>
      </c>
      <c r="Q138">
        <v>621</v>
      </c>
      <c r="R138">
        <v>137</v>
      </c>
    </row>
    <row r="139" spans="1:18">
      <c r="A139" s="1" t="s">
        <v>121</v>
      </c>
      <c r="B139">
        <v>34</v>
      </c>
      <c r="C139">
        <v>22</v>
      </c>
      <c r="D139">
        <v>12</v>
      </c>
      <c r="E139">
        <v>5.24</v>
      </c>
      <c r="F139">
        <v>2556</v>
      </c>
      <c r="G139">
        <v>887</v>
      </c>
      <c r="H139">
        <v>2057</v>
      </c>
      <c r="I139">
        <v>559</v>
      </c>
      <c r="J139">
        <v>862</v>
      </c>
      <c r="K139">
        <v>555</v>
      </c>
      <c r="L139">
        <v>1333</v>
      </c>
      <c r="M139">
        <v>481</v>
      </c>
      <c r="N139">
        <v>242</v>
      </c>
      <c r="O139">
        <v>103</v>
      </c>
      <c r="P139">
        <v>472</v>
      </c>
      <c r="Q139">
        <v>711</v>
      </c>
      <c r="R139">
        <v>138</v>
      </c>
    </row>
    <row r="140" spans="1:18">
      <c r="A140" s="1" t="s">
        <v>375</v>
      </c>
      <c r="B140">
        <v>35</v>
      </c>
      <c r="C140">
        <v>27</v>
      </c>
      <c r="D140">
        <v>8</v>
      </c>
      <c r="E140">
        <v>7.9</v>
      </c>
      <c r="F140">
        <v>2674</v>
      </c>
      <c r="G140">
        <v>945</v>
      </c>
      <c r="H140">
        <v>1979</v>
      </c>
      <c r="I140">
        <v>567</v>
      </c>
      <c r="J140">
        <v>782</v>
      </c>
      <c r="K140">
        <v>421</v>
      </c>
      <c r="L140">
        <v>1371</v>
      </c>
      <c r="M140">
        <v>555</v>
      </c>
      <c r="N140">
        <v>239</v>
      </c>
      <c r="O140">
        <v>155</v>
      </c>
      <c r="P140">
        <v>508</v>
      </c>
      <c r="Q140">
        <v>664</v>
      </c>
      <c r="R140">
        <v>139</v>
      </c>
    </row>
    <row r="141" spans="1:18">
      <c r="A141" s="1" t="s">
        <v>336</v>
      </c>
      <c r="B141">
        <v>29</v>
      </c>
      <c r="C141">
        <v>7</v>
      </c>
      <c r="D141">
        <v>22</v>
      </c>
      <c r="F141">
        <v>1690</v>
      </c>
      <c r="G141">
        <v>620</v>
      </c>
      <c r="H141">
        <v>1626</v>
      </c>
      <c r="I141">
        <v>252</v>
      </c>
      <c r="J141">
        <v>381</v>
      </c>
      <c r="K141">
        <v>356</v>
      </c>
      <c r="L141">
        <v>886</v>
      </c>
      <c r="M141">
        <v>320</v>
      </c>
      <c r="N141">
        <v>217</v>
      </c>
      <c r="O141">
        <v>102</v>
      </c>
      <c r="P141">
        <v>415</v>
      </c>
      <c r="Q141">
        <v>502</v>
      </c>
      <c r="R141">
        <v>140</v>
      </c>
    </row>
    <row r="142" spans="1:18">
      <c r="A142" s="1" t="s">
        <v>122</v>
      </c>
      <c r="B142">
        <v>34</v>
      </c>
      <c r="C142">
        <v>19</v>
      </c>
      <c r="D142">
        <v>15</v>
      </c>
      <c r="E142">
        <v>-0.97</v>
      </c>
      <c r="F142">
        <v>2343</v>
      </c>
      <c r="G142">
        <v>857</v>
      </c>
      <c r="H142">
        <v>1953</v>
      </c>
      <c r="I142">
        <v>432</v>
      </c>
      <c r="J142">
        <v>665</v>
      </c>
      <c r="K142">
        <v>409</v>
      </c>
      <c r="L142">
        <v>1204</v>
      </c>
      <c r="M142">
        <v>434</v>
      </c>
      <c r="N142">
        <v>274</v>
      </c>
      <c r="O142">
        <v>91</v>
      </c>
      <c r="P142">
        <v>441</v>
      </c>
      <c r="Q142">
        <v>682</v>
      </c>
      <c r="R142">
        <v>141</v>
      </c>
    </row>
    <row r="143" spans="1:18">
      <c r="A143" s="1" t="s">
        <v>354</v>
      </c>
      <c r="B143">
        <v>36</v>
      </c>
      <c r="C143">
        <v>22</v>
      </c>
      <c r="D143">
        <v>14</v>
      </c>
      <c r="E143">
        <v>4.82</v>
      </c>
      <c r="F143">
        <v>2669</v>
      </c>
      <c r="G143">
        <v>933</v>
      </c>
      <c r="H143">
        <v>1940</v>
      </c>
      <c r="I143">
        <v>601</v>
      </c>
      <c r="J143">
        <v>777</v>
      </c>
      <c r="K143">
        <v>382</v>
      </c>
      <c r="L143">
        <v>1330</v>
      </c>
      <c r="M143">
        <v>567</v>
      </c>
      <c r="N143">
        <v>238</v>
      </c>
      <c r="O143">
        <v>238</v>
      </c>
      <c r="P143">
        <v>608</v>
      </c>
      <c r="Q143">
        <v>634</v>
      </c>
      <c r="R143">
        <v>142</v>
      </c>
    </row>
    <row r="144" spans="1:18">
      <c r="A144" s="1" t="s">
        <v>123</v>
      </c>
      <c r="B144">
        <v>31</v>
      </c>
      <c r="C144">
        <v>18</v>
      </c>
      <c r="D144">
        <v>13</v>
      </c>
      <c r="E144">
        <v>1.1200000000000001</v>
      </c>
      <c r="F144">
        <v>2207</v>
      </c>
      <c r="G144">
        <v>779</v>
      </c>
      <c r="H144">
        <v>1766</v>
      </c>
      <c r="I144">
        <v>481</v>
      </c>
      <c r="J144">
        <v>702</v>
      </c>
      <c r="K144">
        <v>404</v>
      </c>
      <c r="L144">
        <v>1186</v>
      </c>
      <c r="M144">
        <v>403</v>
      </c>
      <c r="N144">
        <v>210</v>
      </c>
      <c r="O144">
        <v>114</v>
      </c>
      <c r="P144">
        <v>444</v>
      </c>
      <c r="Q144">
        <v>528</v>
      </c>
      <c r="R144">
        <v>143</v>
      </c>
    </row>
    <row r="145" spans="1:18">
      <c r="A145" s="1" t="s">
        <v>279</v>
      </c>
      <c r="B145">
        <v>30</v>
      </c>
      <c r="C145">
        <v>8</v>
      </c>
      <c r="D145">
        <v>22</v>
      </c>
      <c r="E145">
        <v>-6.14</v>
      </c>
      <c r="F145">
        <v>1959</v>
      </c>
      <c r="G145">
        <v>655</v>
      </c>
      <c r="H145">
        <v>1628</v>
      </c>
      <c r="I145">
        <v>417</v>
      </c>
      <c r="J145">
        <v>557</v>
      </c>
      <c r="K145">
        <v>311</v>
      </c>
      <c r="L145">
        <v>980</v>
      </c>
      <c r="M145">
        <v>396</v>
      </c>
      <c r="N145">
        <v>189</v>
      </c>
      <c r="O145">
        <v>72</v>
      </c>
      <c r="P145">
        <v>505</v>
      </c>
      <c r="Q145">
        <v>587</v>
      </c>
      <c r="R145">
        <v>144</v>
      </c>
    </row>
    <row r="146" spans="1:18">
      <c r="A146" s="1" t="s">
        <v>280</v>
      </c>
      <c r="B146">
        <v>30</v>
      </c>
      <c r="C146">
        <v>15</v>
      </c>
      <c r="D146">
        <v>15</v>
      </c>
      <c r="E146">
        <v>-1.04</v>
      </c>
      <c r="F146">
        <v>2198</v>
      </c>
      <c r="G146">
        <v>760</v>
      </c>
      <c r="H146">
        <v>1741</v>
      </c>
      <c r="I146">
        <v>517</v>
      </c>
      <c r="J146">
        <v>708</v>
      </c>
      <c r="K146">
        <v>360</v>
      </c>
      <c r="L146">
        <v>1105</v>
      </c>
      <c r="M146">
        <v>428</v>
      </c>
      <c r="N146">
        <v>215</v>
      </c>
      <c r="O146">
        <v>124</v>
      </c>
      <c r="P146">
        <v>410</v>
      </c>
      <c r="Q146">
        <v>581</v>
      </c>
      <c r="R146">
        <v>145</v>
      </c>
    </row>
    <row r="147" spans="1:18">
      <c r="A147" s="1" t="s">
        <v>124</v>
      </c>
      <c r="B147">
        <v>29</v>
      </c>
      <c r="C147">
        <v>15</v>
      </c>
      <c r="D147">
        <v>14</v>
      </c>
      <c r="E147">
        <v>-8.2799999999999994</v>
      </c>
      <c r="F147">
        <v>1854</v>
      </c>
      <c r="G147">
        <v>629</v>
      </c>
      <c r="H147">
        <v>1632</v>
      </c>
      <c r="I147">
        <v>437</v>
      </c>
      <c r="J147">
        <v>635</v>
      </c>
      <c r="K147">
        <v>353</v>
      </c>
      <c r="L147">
        <v>1147</v>
      </c>
      <c r="M147">
        <v>342</v>
      </c>
      <c r="N147">
        <v>175</v>
      </c>
      <c r="O147">
        <v>70</v>
      </c>
      <c r="P147">
        <v>390</v>
      </c>
      <c r="Q147">
        <v>529</v>
      </c>
      <c r="R147">
        <v>146</v>
      </c>
    </row>
    <row r="148" spans="1:18">
      <c r="A148" s="1" t="s">
        <v>125</v>
      </c>
      <c r="B148">
        <v>35</v>
      </c>
      <c r="C148">
        <v>23</v>
      </c>
      <c r="D148">
        <v>12</v>
      </c>
      <c r="E148">
        <v>-5.49</v>
      </c>
      <c r="F148">
        <v>2644</v>
      </c>
      <c r="G148">
        <v>911</v>
      </c>
      <c r="H148">
        <v>2003</v>
      </c>
      <c r="I148">
        <v>501</v>
      </c>
      <c r="J148">
        <v>706</v>
      </c>
      <c r="K148">
        <v>370</v>
      </c>
      <c r="L148">
        <v>1247</v>
      </c>
      <c r="M148">
        <v>531</v>
      </c>
      <c r="N148">
        <v>243</v>
      </c>
      <c r="O148">
        <v>57</v>
      </c>
      <c r="P148">
        <v>460</v>
      </c>
      <c r="Q148">
        <v>589</v>
      </c>
      <c r="R148">
        <v>147</v>
      </c>
    </row>
    <row r="149" spans="1:18">
      <c r="A149" s="1" t="s">
        <v>320</v>
      </c>
      <c r="B149">
        <v>31</v>
      </c>
      <c r="C149">
        <v>17</v>
      </c>
      <c r="D149">
        <v>14</v>
      </c>
      <c r="E149">
        <v>-3.49</v>
      </c>
      <c r="F149">
        <v>2368</v>
      </c>
      <c r="G149">
        <v>819</v>
      </c>
      <c r="H149">
        <v>1734</v>
      </c>
      <c r="I149">
        <v>522</v>
      </c>
      <c r="J149">
        <v>777</v>
      </c>
      <c r="K149">
        <v>389</v>
      </c>
      <c r="L149">
        <v>1222</v>
      </c>
      <c r="M149">
        <v>498</v>
      </c>
      <c r="N149">
        <v>243</v>
      </c>
      <c r="O149">
        <v>70</v>
      </c>
      <c r="P149">
        <v>502</v>
      </c>
      <c r="Q149">
        <v>585</v>
      </c>
      <c r="R149">
        <v>148</v>
      </c>
    </row>
    <row r="150" spans="1:18">
      <c r="A150" s="1" t="s">
        <v>126</v>
      </c>
      <c r="B150">
        <v>30</v>
      </c>
      <c r="C150">
        <v>15</v>
      </c>
      <c r="D150">
        <v>15</v>
      </c>
      <c r="E150">
        <v>-0.27</v>
      </c>
      <c r="F150">
        <v>2138</v>
      </c>
      <c r="G150">
        <v>755</v>
      </c>
      <c r="H150">
        <v>1671</v>
      </c>
      <c r="I150">
        <v>425</v>
      </c>
      <c r="J150">
        <v>629</v>
      </c>
      <c r="K150">
        <v>317</v>
      </c>
      <c r="L150">
        <v>1009</v>
      </c>
      <c r="M150">
        <v>431</v>
      </c>
      <c r="N150">
        <v>213</v>
      </c>
      <c r="O150">
        <v>78</v>
      </c>
      <c r="P150">
        <v>429</v>
      </c>
      <c r="Q150">
        <v>562</v>
      </c>
      <c r="R150">
        <v>149</v>
      </c>
    </row>
    <row r="151" spans="1:18">
      <c r="A151" s="1" t="s">
        <v>127</v>
      </c>
      <c r="B151">
        <v>30</v>
      </c>
      <c r="C151">
        <v>16</v>
      </c>
      <c r="D151">
        <v>14</v>
      </c>
      <c r="E151">
        <v>-8.6300000000000008</v>
      </c>
      <c r="F151">
        <v>2119</v>
      </c>
      <c r="G151">
        <v>701</v>
      </c>
      <c r="H151">
        <v>1718</v>
      </c>
      <c r="I151">
        <v>525</v>
      </c>
      <c r="J151">
        <v>731</v>
      </c>
      <c r="K151">
        <v>399</v>
      </c>
      <c r="L151">
        <v>1174</v>
      </c>
      <c r="M151">
        <v>339</v>
      </c>
      <c r="N151">
        <v>185</v>
      </c>
      <c r="O151">
        <v>62</v>
      </c>
      <c r="P151">
        <v>396</v>
      </c>
      <c r="Q151">
        <v>545</v>
      </c>
      <c r="R151">
        <v>150</v>
      </c>
    </row>
    <row r="152" spans="1:18">
      <c r="A152" s="1" t="s">
        <v>331</v>
      </c>
      <c r="B152">
        <v>31</v>
      </c>
      <c r="C152">
        <v>17</v>
      </c>
      <c r="D152">
        <v>14</v>
      </c>
      <c r="E152">
        <v>-6.51</v>
      </c>
      <c r="F152">
        <v>2400</v>
      </c>
      <c r="G152">
        <v>864</v>
      </c>
      <c r="H152">
        <v>2015</v>
      </c>
      <c r="I152">
        <v>426</v>
      </c>
      <c r="J152">
        <v>626</v>
      </c>
      <c r="K152">
        <v>393</v>
      </c>
      <c r="L152">
        <v>1077</v>
      </c>
      <c r="M152">
        <v>502</v>
      </c>
      <c r="N152">
        <v>310</v>
      </c>
      <c r="O152">
        <v>84</v>
      </c>
      <c r="P152">
        <v>452</v>
      </c>
      <c r="Q152">
        <v>679</v>
      </c>
      <c r="R152">
        <v>151</v>
      </c>
    </row>
    <row r="153" spans="1:18">
      <c r="A153" s="1" t="s">
        <v>281</v>
      </c>
      <c r="B153">
        <v>30</v>
      </c>
      <c r="C153">
        <v>10</v>
      </c>
      <c r="D153">
        <v>20</v>
      </c>
      <c r="E153">
        <v>-2.23</v>
      </c>
      <c r="F153">
        <v>1999</v>
      </c>
      <c r="G153">
        <v>707</v>
      </c>
      <c r="H153">
        <v>1701</v>
      </c>
      <c r="I153">
        <v>380</v>
      </c>
      <c r="J153">
        <v>562</v>
      </c>
      <c r="K153">
        <v>347</v>
      </c>
      <c r="L153">
        <v>986</v>
      </c>
      <c r="M153">
        <v>292</v>
      </c>
      <c r="N153">
        <v>180</v>
      </c>
      <c r="O153">
        <v>131</v>
      </c>
      <c r="P153">
        <v>419</v>
      </c>
      <c r="Q153">
        <v>599</v>
      </c>
      <c r="R153">
        <v>152</v>
      </c>
    </row>
    <row r="154" spans="1:18">
      <c r="A154" s="1" t="s">
        <v>128</v>
      </c>
      <c r="B154">
        <v>30</v>
      </c>
      <c r="C154">
        <v>10</v>
      </c>
      <c r="D154">
        <v>20</v>
      </c>
      <c r="E154">
        <v>-3.2</v>
      </c>
      <c r="F154">
        <v>1961</v>
      </c>
      <c r="G154">
        <v>658</v>
      </c>
      <c r="H154">
        <v>1630</v>
      </c>
      <c r="I154">
        <v>466</v>
      </c>
      <c r="J154">
        <v>653</v>
      </c>
      <c r="K154">
        <v>350</v>
      </c>
      <c r="L154">
        <v>1023</v>
      </c>
      <c r="M154">
        <v>305</v>
      </c>
      <c r="N154">
        <v>181</v>
      </c>
      <c r="O154">
        <v>86</v>
      </c>
      <c r="P154">
        <v>459</v>
      </c>
      <c r="Q154">
        <v>586</v>
      </c>
      <c r="R154">
        <v>153</v>
      </c>
    </row>
    <row r="155" spans="1:18">
      <c r="A155" s="1" t="s">
        <v>282</v>
      </c>
      <c r="B155">
        <v>35</v>
      </c>
      <c r="C155">
        <v>27</v>
      </c>
      <c r="D155">
        <v>8</v>
      </c>
      <c r="E155">
        <v>3.27</v>
      </c>
      <c r="F155">
        <v>2617</v>
      </c>
      <c r="G155">
        <v>937</v>
      </c>
      <c r="H155">
        <v>2093</v>
      </c>
      <c r="I155">
        <v>530</v>
      </c>
      <c r="J155">
        <v>740</v>
      </c>
      <c r="K155">
        <v>475</v>
      </c>
      <c r="L155">
        <v>1365</v>
      </c>
      <c r="M155">
        <v>529</v>
      </c>
      <c r="N155">
        <v>267</v>
      </c>
      <c r="O155">
        <v>212</v>
      </c>
      <c r="P155">
        <v>425</v>
      </c>
      <c r="Q155">
        <v>609</v>
      </c>
      <c r="R155">
        <v>154</v>
      </c>
    </row>
    <row r="156" spans="1:18">
      <c r="A156" s="1" t="s">
        <v>129</v>
      </c>
      <c r="B156">
        <v>33</v>
      </c>
      <c r="C156">
        <v>15</v>
      </c>
      <c r="D156">
        <v>18</v>
      </c>
      <c r="E156">
        <v>-1.98</v>
      </c>
      <c r="F156">
        <v>2088</v>
      </c>
      <c r="G156">
        <v>720</v>
      </c>
      <c r="H156">
        <v>1653</v>
      </c>
      <c r="I156">
        <v>466</v>
      </c>
      <c r="J156">
        <v>704</v>
      </c>
      <c r="K156">
        <v>375</v>
      </c>
      <c r="L156">
        <v>1105</v>
      </c>
      <c r="M156">
        <v>346</v>
      </c>
      <c r="N156">
        <v>181</v>
      </c>
      <c r="O156">
        <v>108</v>
      </c>
      <c r="P156">
        <v>504</v>
      </c>
      <c r="Q156">
        <v>583</v>
      </c>
      <c r="R156">
        <v>155</v>
      </c>
    </row>
    <row r="157" spans="1:18">
      <c r="A157" s="1" t="s">
        <v>283</v>
      </c>
      <c r="B157">
        <v>37</v>
      </c>
      <c r="C157">
        <v>31</v>
      </c>
      <c r="D157">
        <v>6</v>
      </c>
      <c r="E157">
        <v>8.41</v>
      </c>
      <c r="F157">
        <v>2748</v>
      </c>
      <c r="G157">
        <v>1001</v>
      </c>
      <c r="H157">
        <v>2189</v>
      </c>
      <c r="I157">
        <v>441</v>
      </c>
      <c r="J157">
        <v>687</v>
      </c>
      <c r="K157">
        <v>464</v>
      </c>
      <c r="L157">
        <v>1395</v>
      </c>
      <c r="M157">
        <v>625</v>
      </c>
      <c r="N157">
        <v>335</v>
      </c>
      <c r="O157">
        <v>223</v>
      </c>
      <c r="P157">
        <v>508</v>
      </c>
      <c r="Q157">
        <v>625</v>
      </c>
      <c r="R157">
        <v>156</v>
      </c>
    </row>
    <row r="158" spans="1:18">
      <c r="A158" s="1" t="s">
        <v>130</v>
      </c>
      <c r="B158">
        <v>32</v>
      </c>
      <c r="C158">
        <v>14</v>
      </c>
      <c r="D158">
        <v>18</v>
      </c>
      <c r="E158">
        <v>-0.67</v>
      </c>
      <c r="F158">
        <v>2026</v>
      </c>
      <c r="G158">
        <v>731</v>
      </c>
      <c r="H158">
        <v>1795</v>
      </c>
      <c r="I158">
        <v>406</v>
      </c>
      <c r="J158">
        <v>598</v>
      </c>
      <c r="K158">
        <v>418</v>
      </c>
      <c r="L158">
        <v>1095</v>
      </c>
      <c r="M158">
        <v>382</v>
      </c>
      <c r="N158">
        <v>218</v>
      </c>
      <c r="O158">
        <v>113</v>
      </c>
      <c r="P158">
        <v>416</v>
      </c>
      <c r="Q158">
        <v>569</v>
      </c>
      <c r="R158">
        <v>157</v>
      </c>
    </row>
    <row r="159" spans="1:18">
      <c r="A159" s="1" t="s">
        <v>131</v>
      </c>
      <c r="B159">
        <v>31</v>
      </c>
      <c r="C159">
        <v>3</v>
      </c>
      <c r="D159">
        <v>28</v>
      </c>
      <c r="E159">
        <v>1.8</v>
      </c>
      <c r="F159">
        <v>1726</v>
      </c>
      <c r="G159">
        <v>588</v>
      </c>
      <c r="H159">
        <v>1673</v>
      </c>
      <c r="I159">
        <v>400</v>
      </c>
      <c r="J159">
        <v>581</v>
      </c>
      <c r="K159">
        <v>372</v>
      </c>
      <c r="L159">
        <v>994</v>
      </c>
      <c r="M159">
        <v>306</v>
      </c>
      <c r="N159">
        <v>197</v>
      </c>
      <c r="O159">
        <v>55</v>
      </c>
      <c r="P159">
        <v>456</v>
      </c>
      <c r="Q159">
        <v>539</v>
      </c>
      <c r="R159">
        <v>158</v>
      </c>
    </row>
    <row r="160" spans="1:18">
      <c r="A160" s="1" t="s">
        <v>132</v>
      </c>
      <c r="B160">
        <v>32</v>
      </c>
      <c r="C160">
        <v>12</v>
      </c>
      <c r="D160">
        <v>20</v>
      </c>
      <c r="E160">
        <v>-0.65</v>
      </c>
      <c r="F160">
        <v>2147</v>
      </c>
      <c r="G160">
        <v>719</v>
      </c>
      <c r="H160">
        <v>1843</v>
      </c>
      <c r="I160">
        <v>522</v>
      </c>
      <c r="J160">
        <v>673</v>
      </c>
      <c r="K160">
        <v>420</v>
      </c>
      <c r="L160">
        <v>1116</v>
      </c>
      <c r="M160">
        <v>369</v>
      </c>
      <c r="N160">
        <v>214</v>
      </c>
      <c r="O160">
        <v>107</v>
      </c>
      <c r="P160">
        <v>432</v>
      </c>
      <c r="Q160">
        <v>678</v>
      </c>
      <c r="R160">
        <v>159</v>
      </c>
    </row>
    <row r="161" spans="1:18">
      <c r="A161" s="1" t="s">
        <v>133</v>
      </c>
      <c r="B161">
        <v>30</v>
      </c>
      <c r="C161">
        <v>9</v>
      </c>
      <c r="D161">
        <v>21</v>
      </c>
      <c r="E161">
        <v>-4.4000000000000004</v>
      </c>
      <c r="F161">
        <v>1980</v>
      </c>
      <c r="G161">
        <v>689</v>
      </c>
      <c r="H161">
        <v>1625</v>
      </c>
      <c r="I161">
        <v>416</v>
      </c>
      <c r="J161">
        <v>617</v>
      </c>
      <c r="K161">
        <v>344</v>
      </c>
      <c r="L161">
        <v>1039</v>
      </c>
      <c r="M161">
        <v>384</v>
      </c>
      <c r="N161">
        <v>216</v>
      </c>
      <c r="O161">
        <v>95</v>
      </c>
      <c r="P161">
        <v>439</v>
      </c>
      <c r="Q161">
        <v>516</v>
      </c>
      <c r="R161">
        <v>160</v>
      </c>
    </row>
    <row r="162" spans="1:18">
      <c r="A162" s="1" t="s">
        <v>134</v>
      </c>
      <c r="B162">
        <v>30</v>
      </c>
      <c r="C162">
        <v>16</v>
      </c>
      <c r="D162">
        <v>14</v>
      </c>
      <c r="E162">
        <v>-3.4</v>
      </c>
      <c r="F162">
        <v>1931</v>
      </c>
      <c r="G162">
        <v>653</v>
      </c>
      <c r="H162">
        <v>1635</v>
      </c>
      <c r="I162">
        <v>471</v>
      </c>
      <c r="J162">
        <v>728</v>
      </c>
      <c r="K162">
        <v>382</v>
      </c>
      <c r="L162">
        <v>1099</v>
      </c>
      <c r="M162">
        <v>298</v>
      </c>
      <c r="N162">
        <v>224</v>
      </c>
      <c r="O162">
        <v>108</v>
      </c>
      <c r="P162">
        <v>414</v>
      </c>
      <c r="Q162">
        <v>569</v>
      </c>
      <c r="R162">
        <v>161</v>
      </c>
    </row>
    <row r="163" spans="1:18">
      <c r="A163" s="1" t="s">
        <v>135</v>
      </c>
      <c r="B163">
        <v>33</v>
      </c>
      <c r="C163">
        <v>10</v>
      </c>
      <c r="D163">
        <v>23</v>
      </c>
      <c r="E163">
        <v>-1.85</v>
      </c>
      <c r="F163">
        <v>2111</v>
      </c>
      <c r="G163">
        <v>739</v>
      </c>
      <c r="H163">
        <v>1826</v>
      </c>
      <c r="I163">
        <v>392</v>
      </c>
      <c r="J163">
        <v>619</v>
      </c>
      <c r="K163">
        <v>318</v>
      </c>
      <c r="L163">
        <v>1166</v>
      </c>
      <c r="M163">
        <v>355</v>
      </c>
      <c r="N163">
        <v>188</v>
      </c>
      <c r="O163">
        <v>88</v>
      </c>
      <c r="P163">
        <v>513</v>
      </c>
      <c r="Q163">
        <v>673</v>
      </c>
      <c r="R163">
        <v>162</v>
      </c>
    </row>
    <row r="164" spans="1:18">
      <c r="A164" s="1" t="s">
        <v>136</v>
      </c>
      <c r="B164">
        <v>35</v>
      </c>
      <c r="C164">
        <v>25</v>
      </c>
      <c r="D164">
        <v>10</v>
      </c>
      <c r="E164">
        <v>7.87</v>
      </c>
      <c r="F164">
        <v>2739</v>
      </c>
      <c r="G164">
        <v>914</v>
      </c>
      <c r="H164">
        <v>2023</v>
      </c>
      <c r="I164">
        <v>668</v>
      </c>
      <c r="J164">
        <v>918</v>
      </c>
      <c r="K164">
        <v>425</v>
      </c>
      <c r="L164">
        <v>1247</v>
      </c>
      <c r="M164">
        <v>526</v>
      </c>
      <c r="N164">
        <v>275</v>
      </c>
      <c r="O164">
        <v>100</v>
      </c>
      <c r="P164">
        <v>408</v>
      </c>
      <c r="Q164">
        <v>623</v>
      </c>
      <c r="R164">
        <v>163</v>
      </c>
    </row>
    <row r="165" spans="1:18">
      <c r="A165" s="1" t="s">
        <v>137</v>
      </c>
      <c r="B165">
        <v>32</v>
      </c>
      <c r="C165">
        <v>15</v>
      </c>
      <c r="D165">
        <v>17</v>
      </c>
      <c r="E165">
        <v>2.73</v>
      </c>
      <c r="F165">
        <v>2276</v>
      </c>
      <c r="G165">
        <v>775</v>
      </c>
      <c r="H165">
        <v>1755</v>
      </c>
      <c r="I165">
        <v>531</v>
      </c>
      <c r="J165">
        <v>743</v>
      </c>
      <c r="K165">
        <v>374</v>
      </c>
      <c r="L165">
        <v>1043</v>
      </c>
      <c r="M165">
        <v>419</v>
      </c>
      <c r="N165">
        <v>199</v>
      </c>
      <c r="O165">
        <v>68</v>
      </c>
      <c r="P165">
        <v>418</v>
      </c>
      <c r="Q165">
        <v>615</v>
      </c>
      <c r="R165">
        <v>164</v>
      </c>
    </row>
    <row r="166" spans="1:18">
      <c r="A166" s="1" t="s">
        <v>138</v>
      </c>
      <c r="B166">
        <v>32</v>
      </c>
      <c r="C166">
        <v>15</v>
      </c>
      <c r="D166">
        <v>17</v>
      </c>
      <c r="E166">
        <v>-4.16</v>
      </c>
      <c r="F166">
        <v>2102</v>
      </c>
      <c r="G166">
        <v>783</v>
      </c>
      <c r="H166">
        <v>1796</v>
      </c>
      <c r="I166">
        <v>420</v>
      </c>
      <c r="J166">
        <v>595</v>
      </c>
      <c r="K166">
        <v>318</v>
      </c>
      <c r="L166">
        <v>1045</v>
      </c>
      <c r="M166">
        <v>418</v>
      </c>
      <c r="N166">
        <v>164</v>
      </c>
      <c r="O166">
        <v>79</v>
      </c>
      <c r="P166">
        <v>314</v>
      </c>
      <c r="Q166">
        <v>530</v>
      </c>
      <c r="R166">
        <v>165</v>
      </c>
    </row>
    <row r="167" spans="1:18">
      <c r="A167" s="1" t="s">
        <v>139</v>
      </c>
      <c r="B167">
        <v>30</v>
      </c>
      <c r="C167">
        <v>7</v>
      </c>
      <c r="D167">
        <v>23</v>
      </c>
      <c r="E167">
        <v>-8.8000000000000007</v>
      </c>
      <c r="F167">
        <v>1757</v>
      </c>
      <c r="G167">
        <v>588</v>
      </c>
      <c r="H167">
        <v>1579</v>
      </c>
      <c r="I167">
        <v>429</v>
      </c>
      <c r="J167">
        <v>694</v>
      </c>
      <c r="K167">
        <v>446</v>
      </c>
      <c r="L167">
        <v>1077</v>
      </c>
      <c r="M167">
        <v>290</v>
      </c>
      <c r="N167">
        <v>150</v>
      </c>
      <c r="O167">
        <v>48</v>
      </c>
      <c r="P167">
        <v>492</v>
      </c>
      <c r="Q167">
        <v>591</v>
      </c>
      <c r="R167">
        <v>166</v>
      </c>
    </row>
    <row r="168" spans="1:18">
      <c r="A168" s="1" t="s">
        <v>332</v>
      </c>
      <c r="B168">
        <v>35</v>
      </c>
      <c r="C168">
        <v>21</v>
      </c>
      <c r="D168">
        <v>14</v>
      </c>
      <c r="E168">
        <v>8.99</v>
      </c>
      <c r="F168">
        <v>2512</v>
      </c>
      <c r="G168">
        <v>924</v>
      </c>
      <c r="H168">
        <v>2179</v>
      </c>
      <c r="I168">
        <v>463</v>
      </c>
      <c r="J168">
        <v>611</v>
      </c>
      <c r="K168">
        <v>464</v>
      </c>
      <c r="L168">
        <v>1274</v>
      </c>
      <c r="M168">
        <v>511</v>
      </c>
      <c r="N168">
        <v>268</v>
      </c>
      <c r="O168">
        <v>145</v>
      </c>
      <c r="P168">
        <v>428</v>
      </c>
      <c r="Q168">
        <v>582</v>
      </c>
      <c r="R168">
        <v>167</v>
      </c>
    </row>
    <row r="169" spans="1:18">
      <c r="A169" s="1" t="s">
        <v>140</v>
      </c>
      <c r="B169">
        <v>30</v>
      </c>
      <c r="C169">
        <v>12</v>
      </c>
      <c r="D169">
        <v>18</v>
      </c>
      <c r="E169">
        <v>3.54</v>
      </c>
      <c r="F169">
        <v>2146</v>
      </c>
      <c r="G169">
        <v>764</v>
      </c>
      <c r="H169">
        <v>1767</v>
      </c>
      <c r="I169">
        <v>356</v>
      </c>
      <c r="J169">
        <v>511</v>
      </c>
      <c r="K169">
        <v>317</v>
      </c>
      <c r="L169">
        <v>1037</v>
      </c>
      <c r="M169">
        <v>430</v>
      </c>
      <c r="N169">
        <v>200</v>
      </c>
      <c r="O169">
        <v>166</v>
      </c>
      <c r="P169">
        <v>422</v>
      </c>
      <c r="Q169">
        <v>511</v>
      </c>
      <c r="R169">
        <v>168</v>
      </c>
    </row>
    <row r="170" spans="1:18">
      <c r="A170" s="1" t="s">
        <v>141</v>
      </c>
      <c r="B170">
        <v>29</v>
      </c>
      <c r="C170">
        <v>11</v>
      </c>
      <c r="D170">
        <v>18</v>
      </c>
      <c r="E170">
        <v>-3.99</v>
      </c>
      <c r="F170">
        <v>1853</v>
      </c>
      <c r="G170">
        <v>692</v>
      </c>
      <c r="H170">
        <v>1610</v>
      </c>
      <c r="I170">
        <v>327</v>
      </c>
      <c r="J170">
        <v>506</v>
      </c>
      <c r="K170">
        <v>363</v>
      </c>
      <c r="L170">
        <v>1131</v>
      </c>
      <c r="M170">
        <v>356</v>
      </c>
      <c r="N170">
        <v>162</v>
      </c>
      <c r="O170">
        <v>170</v>
      </c>
      <c r="P170">
        <v>457</v>
      </c>
      <c r="Q170">
        <v>480</v>
      </c>
      <c r="R170">
        <v>169</v>
      </c>
    </row>
    <row r="171" spans="1:18">
      <c r="A171" s="1" t="s">
        <v>142</v>
      </c>
      <c r="B171">
        <v>37</v>
      </c>
      <c r="C171">
        <v>33</v>
      </c>
      <c r="D171">
        <v>4</v>
      </c>
      <c r="E171">
        <v>4.63</v>
      </c>
      <c r="F171">
        <v>2779</v>
      </c>
      <c r="G171">
        <v>979</v>
      </c>
      <c r="H171">
        <v>2176</v>
      </c>
      <c r="I171">
        <v>599</v>
      </c>
      <c r="J171">
        <v>868</v>
      </c>
      <c r="K171">
        <v>498</v>
      </c>
      <c r="L171">
        <v>1452</v>
      </c>
      <c r="M171">
        <v>526</v>
      </c>
      <c r="N171">
        <v>328</v>
      </c>
      <c r="O171">
        <v>222</v>
      </c>
      <c r="P171">
        <v>464</v>
      </c>
      <c r="Q171">
        <v>654</v>
      </c>
      <c r="R171">
        <v>170</v>
      </c>
    </row>
    <row r="172" spans="1:18">
      <c r="A172" s="1" t="s">
        <v>143</v>
      </c>
      <c r="B172">
        <v>32</v>
      </c>
      <c r="C172">
        <v>17</v>
      </c>
      <c r="D172">
        <v>15</v>
      </c>
      <c r="E172">
        <v>0.12</v>
      </c>
      <c r="F172">
        <v>2392</v>
      </c>
      <c r="G172">
        <v>816</v>
      </c>
      <c r="H172">
        <v>1894</v>
      </c>
      <c r="I172">
        <v>528</v>
      </c>
      <c r="J172">
        <v>734</v>
      </c>
      <c r="K172">
        <v>442</v>
      </c>
      <c r="L172">
        <v>1258</v>
      </c>
      <c r="M172">
        <v>390</v>
      </c>
      <c r="N172">
        <v>186</v>
      </c>
      <c r="O172">
        <v>105</v>
      </c>
      <c r="P172">
        <v>504</v>
      </c>
      <c r="Q172">
        <v>616</v>
      </c>
      <c r="R172">
        <v>171</v>
      </c>
    </row>
    <row r="173" spans="1:18">
      <c r="A173" s="1" t="s">
        <v>284</v>
      </c>
      <c r="B173">
        <v>32</v>
      </c>
      <c r="C173">
        <v>19</v>
      </c>
      <c r="D173">
        <v>13</v>
      </c>
      <c r="E173">
        <v>9.0399999999999991</v>
      </c>
      <c r="F173">
        <v>2325</v>
      </c>
      <c r="G173">
        <v>796</v>
      </c>
      <c r="H173">
        <v>1865</v>
      </c>
      <c r="I173">
        <v>482</v>
      </c>
      <c r="J173">
        <v>706</v>
      </c>
      <c r="K173">
        <v>463</v>
      </c>
      <c r="L173">
        <v>1272</v>
      </c>
      <c r="M173">
        <v>406</v>
      </c>
      <c r="N173">
        <v>194</v>
      </c>
      <c r="O173">
        <v>122</v>
      </c>
      <c r="P173">
        <v>427</v>
      </c>
      <c r="Q173">
        <v>539</v>
      </c>
      <c r="R173">
        <v>172</v>
      </c>
    </row>
    <row r="174" spans="1:18">
      <c r="A174" s="1" t="s">
        <v>144</v>
      </c>
      <c r="B174">
        <v>30</v>
      </c>
      <c r="C174">
        <v>17</v>
      </c>
      <c r="D174">
        <v>13</v>
      </c>
      <c r="E174">
        <v>0.46</v>
      </c>
      <c r="F174">
        <v>1847</v>
      </c>
      <c r="G174">
        <v>658</v>
      </c>
      <c r="H174">
        <v>1512</v>
      </c>
      <c r="I174">
        <v>371</v>
      </c>
      <c r="J174">
        <v>523</v>
      </c>
      <c r="K174">
        <v>291</v>
      </c>
      <c r="L174">
        <v>956</v>
      </c>
      <c r="M174">
        <v>370</v>
      </c>
      <c r="N174">
        <v>178</v>
      </c>
      <c r="O174">
        <v>90</v>
      </c>
      <c r="P174">
        <v>404</v>
      </c>
      <c r="Q174">
        <v>513</v>
      </c>
      <c r="R174">
        <v>173</v>
      </c>
    </row>
    <row r="175" spans="1:18">
      <c r="A175" s="1" t="s">
        <v>377</v>
      </c>
      <c r="B175">
        <v>38</v>
      </c>
      <c r="C175">
        <v>31</v>
      </c>
      <c r="D175">
        <v>7</v>
      </c>
      <c r="E175">
        <v>9.3699999999999992</v>
      </c>
      <c r="F175">
        <v>2737</v>
      </c>
      <c r="G175">
        <v>962</v>
      </c>
      <c r="H175">
        <v>2135</v>
      </c>
      <c r="I175">
        <v>612</v>
      </c>
      <c r="J175">
        <v>877</v>
      </c>
      <c r="K175">
        <v>533</v>
      </c>
      <c r="L175">
        <v>1482</v>
      </c>
      <c r="M175">
        <v>611</v>
      </c>
      <c r="N175">
        <v>248</v>
      </c>
      <c r="O175">
        <v>107</v>
      </c>
      <c r="P175">
        <v>532</v>
      </c>
      <c r="Q175">
        <v>734</v>
      </c>
      <c r="R175">
        <v>174</v>
      </c>
    </row>
    <row r="176" spans="1:18">
      <c r="A176" s="1" t="s">
        <v>145</v>
      </c>
      <c r="B176">
        <v>35</v>
      </c>
      <c r="C176">
        <v>21</v>
      </c>
      <c r="D176">
        <v>14</v>
      </c>
      <c r="E176">
        <v>9.74</v>
      </c>
      <c r="F176">
        <v>2341</v>
      </c>
      <c r="G176">
        <v>812</v>
      </c>
      <c r="H176">
        <v>1910</v>
      </c>
      <c r="I176">
        <v>412</v>
      </c>
      <c r="J176">
        <v>544</v>
      </c>
      <c r="K176">
        <v>336</v>
      </c>
      <c r="L176">
        <v>1087</v>
      </c>
      <c r="M176">
        <v>542</v>
      </c>
      <c r="N176">
        <v>223</v>
      </c>
      <c r="O176">
        <v>92</v>
      </c>
      <c r="P176">
        <v>402</v>
      </c>
      <c r="Q176">
        <v>535</v>
      </c>
      <c r="R176">
        <v>175</v>
      </c>
    </row>
    <row r="177" spans="1:18">
      <c r="A177" s="1" t="s">
        <v>146</v>
      </c>
      <c r="B177">
        <v>32</v>
      </c>
      <c r="C177">
        <v>18</v>
      </c>
      <c r="D177">
        <v>14</v>
      </c>
      <c r="E177">
        <v>-2.78</v>
      </c>
      <c r="F177">
        <v>2254</v>
      </c>
      <c r="G177">
        <v>811</v>
      </c>
      <c r="H177">
        <v>1799</v>
      </c>
      <c r="I177">
        <v>478</v>
      </c>
      <c r="J177">
        <v>689</v>
      </c>
      <c r="K177">
        <v>385</v>
      </c>
      <c r="L177">
        <v>1090</v>
      </c>
      <c r="M177">
        <v>394</v>
      </c>
      <c r="N177">
        <v>192</v>
      </c>
      <c r="O177">
        <v>47</v>
      </c>
      <c r="P177">
        <v>379</v>
      </c>
      <c r="Q177">
        <v>653</v>
      </c>
      <c r="R177">
        <v>176</v>
      </c>
    </row>
    <row r="178" spans="1:18">
      <c r="A178" s="1" t="s">
        <v>147</v>
      </c>
      <c r="B178">
        <v>31</v>
      </c>
      <c r="C178">
        <v>17</v>
      </c>
      <c r="D178">
        <v>14</v>
      </c>
      <c r="E178">
        <v>0.8</v>
      </c>
      <c r="F178">
        <v>2108</v>
      </c>
      <c r="G178">
        <v>706</v>
      </c>
      <c r="H178">
        <v>1777</v>
      </c>
      <c r="I178">
        <v>450</v>
      </c>
      <c r="J178">
        <v>626</v>
      </c>
      <c r="K178">
        <v>381</v>
      </c>
      <c r="L178">
        <v>1182</v>
      </c>
      <c r="M178">
        <v>358</v>
      </c>
      <c r="N178">
        <v>159</v>
      </c>
      <c r="O178">
        <v>98</v>
      </c>
      <c r="P178">
        <v>400</v>
      </c>
      <c r="Q178">
        <v>579</v>
      </c>
      <c r="R178">
        <v>177</v>
      </c>
    </row>
    <row r="179" spans="1:18">
      <c r="A179" s="1" t="s">
        <v>148</v>
      </c>
      <c r="B179">
        <v>33</v>
      </c>
      <c r="C179">
        <v>22</v>
      </c>
      <c r="D179">
        <v>11</v>
      </c>
      <c r="E179">
        <v>7.19</v>
      </c>
      <c r="F179">
        <v>2189</v>
      </c>
      <c r="G179">
        <v>782</v>
      </c>
      <c r="H179">
        <v>1772</v>
      </c>
      <c r="I179">
        <v>437</v>
      </c>
      <c r="J179">
        <v>611</v>
      </c>
      <c r="K179">
        <v>397</v>
      </c>
      <c r="L179">
        <v>1136</v>
      </c>
      <c r="M179">
        <v>466</v>
      </c>
      <c r="N179">
        <v>274</v>
      </c>
      <c r="O179">
        <v>201</v>
      </c>
      <c r="P179">
        <v>477</v>
      </c>
      <c r="Q179">
        <v>588</v>
      </c>
      <c r="R179">
        <v>178</v>
      </c>
    </row>
    <row r="180" spans="1:18">
      <c r="A180" s="1" t="s">
        <v>149</v>
      </c>
      <c r="B180">
        <v>36</v>
      </c>
      <c r="C180">
        <v>23</v>
      </c>
      <c r="D180">
        <v>13</v>
      </c>
      <c r="E180">
        <v>4.62</v>
      </c>
      <c r="F180">
        <v>2677</v>
      </c>
      <c r="G180">
        <v>890</v>
      </c>
      <c r="H180">
        <v>2058</v>
      </c>
      <c r="I180">
        <v>601</v>
      </c>
      <c r="J180">
        <v>847</v>
      </c>
      <c r="K180">
        <v>407</v>
      </c>
      <c r="L180">
        <v>1384</v>
      </c>
      <c r="M180">
        <v>447</v>
      </c>
      <c r="N180">
        <v>250</v>
      </c>
      <c r="O180">
        <v>271</v>
      </c>
      <c r="P180">
        <v>518</v>
      </c>
      <c r="Q180">
        <v>604</v>
      </c>
      <c r="R180">
        <v>179</v>
      </c>
    </row>
    <row r="181" spans="1:18">
      <c r="A181" s="1" t="s">
        <v>150</v>
      </c>
      <c r="B181">
        <v>32</v>
      </c>
      <c r="C181">
        <v>7</v>
      </c>
      <c r="D181">
        <v>25</v>
      </c>
      <c r="E181">
        <v>-7.22</v>
      </c>
      <c r="F181">
        <v>2029</v>
      </c>
      <c r="G181">
        <v>710</v>
      </c>
      <c r="H181">
        <v>1850</v>
      </c>
      <c r="I181">
        <v>412</v>
      </c>
      <c r="J181">
        <v>607</v>
      </c>
      <c r="K181">
        <v>408</v>
      </c>
      <c r="L181">
        <v>1076</v>
      </c>
      <c r="M181">
        <v>359</v>
      </c>
      <c r="N181">
        <v>239</v>
      </c>
      <c r="O181">
        <v>52</v>
      </c>
      <c r="P181">
        <v>492</v>
      </c>
      <c r="Q181">
        <v>716</v>
      </c>
      <c r="R181">
        <v>180</v>
      </c>
    </row>
    <row r="182" spans="1:18">
      <c r="A182" s="1" t="s">
        <v>151</v>
      </c>
      <c r="B182">
        <v>31</v>
      </c>
      <c r="C182">
        <v>16</v>
      </c>
      <c r="D182">
        <v>15</v>
      </c>
      <c r="E182">
        <v>5.41</v>
      </c>
      <c r="F182">
        <v>2254</v>
      </c>
      <c r="G182">
        <v>792</v>
      </c>
      <c r="H182">
        <v>1830</v>
      </c>
      <c r="I182">
        <v>455</v>
      </c>
      <c r="J182">
        <v>625</v>
      </c>
      <c r="K182">
        <v>399</v>
      </c>
      <c r="L182">
        <v>1151</v>
      </c>
      <c r="M182">
        <v>362</v>
      </c>
      <c r="N182">
        <v>173</v>
      </c>
      <c r="O182">
        <v>103</v>
      </c>
      <c r="P182">
        <v>409</v>
      </c>
      <c r="Q182">
        <v>580</v>
      </c>
      <c r="R182">
        <v>181</v>
      </c>
    </row>
    <row r="183" spans="1:18">
      <c r="A183" s="1" t="s">
        <v>152</v>
      </c>
      <c r="B183">
        <v>31</v>
      </c>
      <c r="C183">
        <v>7</v>
      </c>
      <c r="D183">
        <v>24</v>
      </c>
      <c r="E183">
        <v>-1.25</v>
      </c>
      <c r="F183">
        <v>2008</v>
      </c>
      <c r="G183">
        <v>702</v>
      </c>
      <c r="H183">
        <v>1742</v>
      </c>
      <c r="I183">
        <v>429</v>
      </c>
      <c r="J183">
        <v>605</v>
      </c>
      <c r="K183">
        <v>353</v>
      </c>
      <c r="L183">
        <v>1007</v>
      </c>
      <c r="M183">
        <v>340</v>
      </c>
      <c r="N183">
        <v>208</v>
      </c>
      <c r="O183">
        <v>55</v>
      </c>
      <c r="P183">
        <v>406</v>
      </c>
      <c r="Q183">
        <v>631</v>
      </c>
      <c r="R183">
        <v>182</v>
      </c>
    </row>
    <row r="184" spans="1:18">
      <c r="A184" s="1" t="s">
        <v>153</v>
      </c>
      <c r="B184">
        <v>31</v>
      </c>
      <c r="C184">
        <v>11</v>
      </c>
      <c r="D184">
        <v>20</v>
      </c>
      <c r="E184">
        <v>1.9</v>
      </c>
      <c r="F184">
        <v>1887</v>
      </c>
      <c r="G184">
        <v>641</v>
      </c>
      <c r="H184">
        <v>1597</v>
      </c>
      <c r="I184">
        <v>412</v>
      </c>
      <c r="J184">
        <v>607</v>
      </c>
      <c r="K184">
        <v>340</v>
      </c>
      <c r="L184">
        <v>1006</v>
      </c>
      <c r="M184">
        <v>352</v>
      </c>
      <c r="N184">
        <v>162</v>
      </c>
      <c r="O184">
        <v>69</v>
      </c>
      <c r="P184">
        <v>407</v>
      </c>
      <c r="Q184">
        <v>617</v>
      </c>
      <c r="R184">
        <v>183</v>
      </c>
    </row>
    <row r="185" spans="1:18">
      <c r="A185" s="1" t="s">
        <v>328</v>
      </c>
      <c r="B185">
        <v>38</v>
      </c>
      <c r="C185">
        <v>31</v>
      </c>
      <c r="D185">
        <v>7</v>
      </c>
      <c r="E185">
        <v>6.72</v>
      </c>
      <c r="F185">
        <v>3096</v>
      </c>
      <c r="G185">
        <v>1124</v>
      </c>
      <c r="H185">
        <v>2381</v>
      </c>
      <c r="I185">
        <v>585</v>
      </c>
      <c r="J185">
        <v>871</v>
      </c>
      <c r="K185">
        <v>486</v>
      </c>
      <c r="L185">
        <v>1393</v>
      </c>
      <c r="M185">
        <v>699</v>
      </c>
      <c r="N185">
        <v>388</v>
      </c>
      <c r="O185">
        <v>140</v>
      </c>
      <c r="P185">
        <v>449</v>
      </c>
      <c r="Q185">
        <v>758</v>
      </c>
      <c r="R185">
        <v>184</v>
      </c>
    </row>
    <row r="186" spans="1:18">
      <c r="A186" s="1" t="s">
        <v>154</v>
      </c>
      <c r="B186">
        <v>31</v>
      </c>
      <c r="C186">
        <v>8</v>
      </c>
      <c r="D186">
        <v>23</v>
      </c>
      <c r="E186">
        <v>-5.91</v>
      </c>
      <c r="F186">
        <v>1925</v>
      </c>
      <c r="G186">
        <v>673</v>
      </c>
      <c r="H186">
        <v>1642</v>
      </c>
      <c r="I186">
        <v>383</v>
      </c>
      <c r="J186">
        <v>547</v>
      </c>
      <c r="K186">
        <v>324</v>
      </c>
      <c r="L186">
        <v>1003</v>
      </c>
      <c r="M186">
        <v>434</v>
      </c>
      <c r="N186">
        <v>173</v>
      </c>
      <c r="O186">
        <v>84</v>
      </c>
      <c r="P186">
        <v>465</v>
      </c>
      <c r="Q186">
        <v>573</v>
      </c>
      <c r="R186">
        <v>185</v>
      </c>
    </row>
    <row r="187" spans="1:18">
      <c r="A187" s="1" t="s">
        <v>155</v>
      </c>
      <c r="B187">
        <v>31</v>
      </c>
      <c r="C187">
        <v>14</v>
      </c>
      <c r="D187">
        <v>17</v>
      </c>
      <c r="E187">
        <v>-2.4500000000000002</v>
      </c>
      <c r="F187">
        <v>2053</v>
      </c>
      <c r="G187">
        <v>707</v>
      </c>
      <c r="H187">
        <v>1703</v>
      </c>
      <c r="I187">
        <v>450</v>
      </c>
      <c r="J187">
        <v>670</v>
      </c>
      <c r="K187">
        <v>388</v>
      </c>
      <c r="L187">
        <v>1082</v>
      </c>
      <c r="M187">
        <v>351</v>
      </c>
      <c r="N187">
        <v>165</v>
      </c>
      <c r="O187">
        <v>102</v>
      </c>
      <c r="P187">
        <v>429</v>
      </c>
      <c r="Q187">
        <v>559</v>
      </c>
      <c r="R187">
        <v>186</v>
      </c>
    </row>
    <row r="188" spans="1:18">
      <c r="A188" s="1" t="s">
        <v>156</v>
      </c>
      <c r="B188">
        <v>29</v>
      </c>
      <c r="C188">
        <v>17</v>
      </c>
      <c r="D188">
        <v>12</v>
      </c>
      <c r="E188">
        <v>-3.53</v>
      </c>
      <c r="F188">
        <v>1905</v>
      </c>
      <c r="G188">
        <v>664</v>
      </c>
      <c r="H188">
        <v>1457</v>
      </c>
      <c r="I188">
        <v>403</v>
      </c>
      <c r="J188">
        <v>553</v>
      </c>
      <c r="K188">
        <v>248</v>
      </c>
      <c r="L188">
        <v>913</v>
      </c>
      <c r="M188">
        <v>357</v>
      </c>
      <c r="N188">
        <v>124</v>
      </c>
      <c r="O188">
        <v>115</v>
      </c>
      <c r="P188">
        <v>337</v>
      </c>
      <c r="Q188">
        <v>524</v>
      </c>
      <c r="R188">
        <v>187</v>
      </c>
    </row>
    <row r="189" spans="1:18">
      <c r="A189" s="1" t="s">
        <v>157</v>
      </c>
      <c r="B189">
        <v>36</v>
      </c>
      <c r="C189">
        <v>20</v>
      </c>
      <c r="D189">
        <v>16</v>
      </c>
      <c r="E189">
        <v>-3.61</v>
      </c>
      <c r="F189">
        <v>2511</v>
      </c>
      <c r="G189">
        <v>865</v>
      </c>
      <c r="H189">
        <v>1978</v>
      </c>
      <c r="I189">
        <v>593</v>
      </c>
      <c r="J189">
        <v>823</v>
      </c>
      <c r="K189">
        <v>498</v>
      </c>
      <c r="L189">
        <v>1400</v>
      </c>
      <c r="M189">
        <v>464</v>
      </c>
      <c r="N189">
        <v>239</v>
      </c>
      <c r="O189">
        <v>139</v>
      </c>
      <c r="P189">
        <v>557</v>
      </c>
      <c r="Q189">
        <v>657</v>
      </c>
      <c r="R189">
        <v>188</v>
      </c>
    </row>
    <row r="190" spans="1:18">
      <c r="A190" s="1" t="s">
        <v>158</v>
      </c>
      <c r="B190">
        <v>35</v>
      </c>
      <c r="C190">
        <v>23</v>
      </c>
      <c r="D190">
        <v>12</v>
      </c>
      <c r="E190">
        <v>-6.53</v>
      </c>
      <c r="F190">
        <v>2333</v>
      </c>
      <c r="G190">
        <v>857</v>
      </c>
      <c r="H190">
        <v>2047</v>
      </c>
      <c r="I190">
        <v>438</v>
      </c>
      <c r="J190">
        <v>675</v>
      </c>
      <c r="K190">
        <v>508</v>
      </c>
      <c r="L190">
        <v>1330</v>
      </c>
      <c r="M190">
        <v>393</v>
      </c>
      <c r="N190">
        <v>232</v>
      </c>
      <c r="O190">
        <v>110</v>
      </c>
      <c r="P190">
        <v>456</v>
      </c>
      <c r="Q190">
        <v>673</v>
      </c>
      <c r="R190">
        <v>189</v>
      </c>
    </row>
    <row r="191" spans="1:18">
      <c r="A191" s="1" t="s">
        <v>159</v>
      </c>
      <c r="B191">
        <v>33</v>
      </c>
      <c r="C191">
        <v>19</v>
      </c>
      <c r="D191">
        <v>14</v>
      </c>
      <c r="E191">
        <v>-5.78</v>
      </c>
      <c r="F191">
        <v>2241</v>
      </c>
      <c r="G191">
        <v>829</v>
      </c>
      <c r="H191">
        <v>1839</v>
      </c>
      <c r="I191">
        <v>425</v>
      </c>
      <c r="J191">
        <v>631</v>
      </c>
      <c r="K191">
        <v>397</v>
      </c>
      <c r="L191">
        <v>1146</v>
      </c>
      <c r="M191">
        <v>414</v>
      </c>
      <c r="N191">
        <v>223</v>
      </c>
      <c r="O191">
        <v>120</v>
      </c>
      <c r="P191">
        <v>431</v>
      </c>
      <c r="Q191">
        <v>572</v>
      </c>
      <c r="R191">
        <v>190</v>
      </c>
    </row>
    <row r="192" spans="1:18">
      <c r="A192" s="1" t="s">
        <v>160</v>
      </c>
      <c r="B192">
        <v>31</v>
      </c>
      <c r="C192">
        <v>19</v>
      </c>
      <c r="D192">
        <v>12</v>
      </c>
      <c r="E192">
        <v>-3.95</v>
      </c>
      <c r="F192">
        <v>2119</v>
      </c>
      <c r="G192">
        <v>739</v>
      </c>
      <c r="H192">
        <v>1671</v>
      </c>
      <c r="I192">
        <v>486</v>
      </c>
      <c r="J192">
        <v>680</v>
      </c>
      <c r="K192">
        <v>384</v>
      </c>
      <c r="L192">
        <v>1062</v>
      </c>
      <c r="M192">
        <v>397</v>
      </c>
      <c r="N192">
        <v>223</v>
      </c>
      <c r="O192">
        <v>65</v>
      </c>
      <c r="P192">
        <v>406</v>
      </c>
      <c r="Q192">
        <v>564</v>
      </c>
      <c r="R192">
        <v>191</v>
      </c>
    </row>
    <row r="193" spans="1:18">
      <c r="A193" s="1" t="s">
        <v>161</v>
      </c>
      <c r="B193">
        <v>30</v>
      </c>
      <c r="C193">
        <v>19</v>
      </c>
      <c r="D193">
        <v>11</v>
      </c>
      <c r="E193">
        <v>-7.68</v>
      </c>
      <c r="F193">
        <v>2129</v>
      </c>
      <c r="G193">
        <v>717</v>
      </c>
      <c r="H193">
        <v>1740</v>
      </c>
      <c r="I193">
        <v>479</v>
      </c>
      <c r="J193">
        <v>662</v>
      </c>
      <c r="K193">
        <v>309</v>
      </c>
      <c r="L193">
        <v>1114</v>
      </c>
      <c r="M193">
        <v>378</v>
      </c>
      <c r="N193">
        <v>199</v>
      </c>
      <c r="O193">
        <v>75</v>
      </c>
      <c r="P193">
        <v>419</v>
      </c>
      <c r="Q193">
        <v>620</v>
      </c>
      <c r="R193">
        <v>192</v>
      </c>
    </row>
    <row r="194" spans="1:18">
      <c r="A194" s="1" t="s">
        <v>162</v>
      </c>
      <c r="B194">
        <v>31</v>
      </c>
      <c r="C194">
        <v>18</v>
      </c>
      <c r="D194">
        <v>13</v>
      </c>
      <c r="E194">
        <v>4.82</v>
      </c>
      <c r="F194">
        <v>1999</v>
      </c>
      <c r="G194">
        <v>686</v>
      </c>
      <c r="H194">
        <v>1571</v>
      </c>
      <c r="I194">
        <v>421</v>
      </c>
      <c r="J194">
        <v>600</v>
      </c>
      <c r="K194">
        <v>225</v>
      </c>
      <c r="L194">
        <v>861</v>
      </c>
      <c r="M194">
        <v>410</v>
      </c>
      <c r="N194">
        <v>265</v>
      </c>
      <c r="O194">
        <v>52</v>
      </c>
      <c r="P194">
        <v>357</v>
      </c>
      <c r="Q194">
        <v>553</v>
      </c>
      <c r="R194">
        <v>193</v>
      </c>
    </row>
    <row r="195" spans="1:18">
      <c r="A195" s="1" t="s">
        <v>285</v>
      </c>
      <c r="B195">
        <v>32</v>
      </c>
      <c r="C195">
        <v>21</v>
      </c>
      <c r="D195">
        <v>11</v>
      </c>
      <c r="E195">
        <v>4.34</v>
      </c>
      <c r="F195">
        <v>2200</v>
      </c>
      <c r="G195">
        <v>749</v>
      </c>
      <c r="H195">
        <v>1770</v>
      </c>
      <c r="I195">
        <v>458</v>
      </c>
      <c r="J195">
        <v>671</v>
      </c>
      <c r="K195">
        <v>325</v>
      </c>
      <c r="L195">
        <v>1056</v>
      </c>
      <c r="M195">
        <v>437</v>
      </c>
      <c r="N195">
        <v>229</v>
      </c>
      <c r="O195">
        <v>123</v>
      </c>
      <c r="P195">
        <v>378</v>
      </c>
      <c r="Q195">
        <v>548</v>
      </c>
      <c r="R195">
        <v>194</v>
      </c>
    </row>
    <row r="196" spans="1:18">
      <c r="A196" s="1" t="s">
        <v>163</v>
      </c>
      <c r="B196">
        <v>34</v>
      </c>
      <c r="C196">
        <v>21</v>
      </c>
      <c r="D196">
        <v>13</v>
      </c>
      <c r="E196">
        <v>1.4</v>
      </c>
      <c r="F196">
        <v>2400</v>
      </c>
      <c r="G196">
        <v>826</v>
      </c>
      <c r="H196">
        <v>1934</v>
      </c>
      <c r="I196">
        <v>583</v>
      </c>
      <c r="J196">
        <v>781</v>
      </c>
      <c r="K196">
        <v>409</v>
      </c>
      <c r="L196">
        <v>1241</v>
      </c>
      <c r="M196">
        <v>407</v>
      </c>
      <c r="N196">
        <v>227</v>
      </c>
      <c r="O196">
        <v>163</v>
      </c>
      <c r="P196">
        <v>406</v>
      </c>
      <c r="Q196">
        <v>655</v>
      </c>
      <c r="R196">
        <v>195</v>
      </c>
    </row>
    <row r="197" spans="1:18">
      <c r="A197" s="1" t="s">
        <v>164</v>
      </c>
      <c r="B197">
        <v>30</v>
      </c>
      <c r="C197">
        <v>14</v>
      </c>
      <c r="D197">
        <v>16</v>
      </c>
      <c r="E197">
        <v>-5.57</v>
      </c>
      <c r="F197">
        <v>1876</v>
      </c>
      <c r="G197">
        <v>647</v>
      </c>
      <c r="H197">
        <v>1676</v>
      </c>
      <c r="I197">
        <v>342</v>
      </c>
      <c r="J197">
        <v>534</v>
      </c>
      <c r="K197">
        <v>375</v>
      </c>
      <c r="L197">
        <v>1081</v>
      </c>
      <c r="M197">
        <v>323</v>
      </c>
      <c r="N197">
        <v>164</v>
      </c>
      <c r="O197">
        <v>84</v>
      </c>
      <c r="P197">
        <v>398</v>
      </c>
      <c r="Q197">
        <v>619</v>
      </c>
      <c r="R197">
        <v>196</v>
      </c>
    </row>
    <row r="198" spans="1:18">
      <c r="A198" s="1" t="s">
        <v>165</v>
      </c>
      <c r="B198">
        <v>32</v>
      </c>
      <c r="C198">
        <v>17</v>
      </c>
      <c r="D198">
        <v>15</v>
      </c>
      <c r="E198">
        <v>0.28000000000000003</v>
      </c>
      <c r="F198">
        <v>2443</v>
      </c>
      <c r="G198">
        <v>865</v>
      </c>
      <c r="H198">
        <v>1859</v>
      </c>
      <c r="I198">
        <v>491</v>
      </c>
      <c r="J198">
        <v>700</v>
      </c>
      <c r="K198">
        <v>352</v>
      </c>
      <c r="L198">
        <v>1106</v>
      </c>
      <c r="M198">
        <v>457</v>
      </c>
      <c r="N198">
        <v>231</v>
      </c>
      <c r="O198">
        <v>122</v>
      </c>
      <c r="P198">
        <v>428</v>
      </c>
      <c r="Q198">
        <v>593</v>
      </c>
      <c r="R198">
        <v>197</v>
      </c>
    </row>
    <row r="199" spans="1:18">
      <c r="A199" s="1" t="s">
        <v>166</v>
      </c>
      <c r="B199">
        <v>34</v>
      </c>
      <c r="C199">
        <v>22</v>
      </c>
      <c r="D199">
        <v>12</v>
      </c>
      <c r="E199">
        <v>3.6</v>
      </c>
      <c r="F199">
        <v>2510</v>
      </c>
      <c r="G199">
        <v>841</v>
      </c>
      <c r="H199">
        <v>1824</v>
      </c>
      <c r="I199">
        <v>589</v>
      </c>
      <c r="J199">
        <v>839</v>
      </c>
      <c r="K199">
        <v>340</v>
      </c>
      <c r="L199">
        <v>1174</v>
      </c>
      <c r="M199">
        <v>522</v>
      </c>
      <c r="N199">
        <v>218</v>
      </c>
      <c r="O199">
        <v>110</v>
      </c>
      <c r="P199">
        <v>424</v>
      </c>
      <c r="Q199">
        <v>708</v>
      </c>
      <c r="R199">
        <v>198</v>
      </c>
    </row>
    <row r="200" spans="1:18">
      <c r="A200" s="1" t="s">
        <v>167</v>
      </c>
      <c r="B200">
        <v>30</v>
      </c>
      <c r="C200">
        <v>11</v>
      </c>
      <c r="D200">
        <v>19</v>
      </c>
      <c r="E200">
        <v>-4.08</v>
      </c>
      <c r="F200">
        <v>1863</v>
      </c>
      <c r="G200">
        <v>672</v>
      </c>
      <c r="H200">
        <v>1540</v>
      </c>
      <c r="I200">
        <v>414</v>
      </c>
      <c r="J200">
        <v>628</v>
      </c>
      <c r="K200">
        <v>288</v>
      </c>
      <c r="L200">
        <v>952</v>
      </c>
      <c r="M200">
        <v>292</v>
      </c>
      <c r="N200">
        <v>187</v>
      </c>
      <c r="O200">
        <v>53</v>
      </c>
      <c r="P200">
        <v>449</v>
      </c>
      <c r="Q200">
        <v>540</v>
      </c>
      <c r="R200">
        <v>199</v>
      </c>
    </row>
    <row r="201" spans="1:18">
      <c r="A201" s="1" t="s">
        <v>168</v>
      </c>
      <c r="B201">
        <v>35</v>
      </c>
      <c r="C201">
        <v>26</v>
      </c>
      <c r="D201">
        <v>9</v>
      </c>
      <c r="E201">
        <v>-2.25</v>
      </c>
      <c r="F201">
        <v>2665</v>
      </c>
      <c r="G201">
        <v>889</v>
      </c>
      <c r="H201">
        <v>2142</v>
      </c>
      <c r="I201">
        <v>627</v>
      </c>
      <c r="J201">
        <v>883</v>
      </c>
      <c r="K201">
        <v>536</v>
      </c>
      <c r="L201">
        <v>1363</v>
      </c>
      <c r="M201">
        <v>492</v>
      </c>
      <c r="N201">
        <v>346</v>
      </c>
      <c r="O201">
        <v>165</v>
      </c>
      <c r="P201">
        <v>461</v>
      </c>
      <c r="Q201">
        <v>640</v>
      </c>
      <c r="R201">
        <v>200</v>
      </c>
    </row>
    <row r="202" spans="1:18">
      <c r="A202" s="1" t="s">
        <v>169</v>
      </c>
      <c r="B202">
        <v>31</v>
      </c>
      <c r="C202">
        <v>20</v>
      </c>
      <c r="D202">
        <v>11</v>
      </c>
      <c r="E202">
        <v>-4.08</v>
      </c>
      <c r="F202">
        <v>2029</v>
      </c>
      <c r="G202">
        <v>709</v>
      </c>
      <c r="H202">
        <v>1488</v>
      </c>
      <c r="I202">
        <v>400</v>
      </c>
      <c r="J202">
        <v>590</v>
      </c>
      <c r="K202">
        <v>258</v>
      </c>
      <c r="L202">
        <v>895</v>
      </c>
      <c r="M202">
        <v>460</v>
      </c>
      <c r="N202">
        <v>271</v>
      </c>
      <c r="O202">
        <v>43</v>
      </c>
      <c r="P202">
        <v>442</v>
      </c>
      <c r="Q202">
        <v>631</v>
      </c>
      <c r="R202">
        <v>201</v>
      </c>
    </row>
    <row r="203" spans="1:18">
      <c r="A203" s="1" t="s">
        <v>337</v>
      </c>
      <c r="B203">
        <v>31</v>
      </c>
      <c r="C203">
        <v>1</v>
      </c>
      <c r="D203">
        <v>30</v>
      </c>
      <c r="F203">
        <v>1545</v>
      </c>
      <c r="G203">
        <v>548</v>
      </c>
      <c r="H203">
        <v>1602</v>
      </c>
      <c r="I203">
        <v>310</v>
      </c>
      <c r="J203">
        <v>491</v>
      </c>
      <c r="K203">
        <v>337</v>
      </c>
      <c r="L203">
        <v>1037</v>
      </c>
      <c r="M203">
        <v>275</v>
      </c>
      <c r="N203">
        <v>225</v>
      </c>
      <c r="O203">
        <v>93</v>
      </c>
      <c r="P203">
        <v>567</v>
      </c>
      <c r="Q203">
        <v>635</v>
      </c>
      <c r="R203">
        <v>202</v>
      </c>
    </row>
    <row r="204" spans="1:18">
      <c r="A204" s="1" t="s">
        <v>170</v>
      </c>
      <c r="B204">
        <v>31</v>
      </c>
      <c r="C204">
        <v>13</v>
      </c>
      <c r="D204">
        <v>18</v>
      </c>
      <c r="E204">
        <v>-9.49</v>
      </c>
      <c r="F204">
        <v>2119</v>
      </c>
      <c r="G204">
        <v>764</v>
      </c>
      <c r="H204">
        <v>1768</v>
      </c>
      <c r="I204">
        <v>431</v>
      </c>
      <c r="J204">
        <v>663</v>
      </c>
      <c r="K204">
        <v>398</v>
      </c>
      <c r="L204">
        <v>1068</v>
      </c>
      <c r="M204">
        <v>318</v>
      </c>
      <c r="N204">
        <v>269</v>
      </c>
      <c r="O204">
        <v>111</v>
      </c>
      <c r="P204">
        <v>500</v>
      </c>
      <c r="Q204">
        <v>628</v>
      </c>
      <c r="R204">
        <v>203</v>
      </c>
    </row>
    <row r="205" spans="1:18">
      <c r="A205" s="1" t="s">
        <v>171</v>
      </c>
      <c r="B205">
        <v>31</v>
      </c>
      <c r="C205">
        <v>15</v>
      </c>
      <c r="D205">
        <v>16</v>
      </c>
      <c r="E205">
        <v>-4.1900000000000004</v>
      </c>
      <c r="F205">
        <v>2261</v>
      </c>
      <c r="G205">
        <v>800</v>
      </c>
      <c r="H205">
        <v>1799</v>
      </c>
      <c r="I205">
        <v>449</v>
      </c>
      <c r="J205">
        <v>655</v>
      </c>
      <c r="K205">
        <v>362</v>
      </c>
      <c r="L205">
        <v>1085</v>
      </c>
      <c r="M205">
        <v>497</v>
      </c>
      <c r="N205">
        <v>252</v>
      </c>
      <c r="O205">
        <v>131</v>
      </c>
      <c r="P205">
        <v>509</v>
      </c>
      <c r="Q205">
        <v>556</v>
      </c>
      <c r="R205">
        <v>204</v>
      </c>
    </row>
    <row r="206" spans="1:18">
      <c r="A206" s="1" t="s">
        <v>172</v>
      </c>
      <c r="B206">
        <v>32</v>
      </c>
      <c r="C206">
        <v>16</v>
      </c>
      <c r="D206">
        <v>16</v>
      </c>
      <c r="E206">
        <v>-8.3699999999999992</v>
      </c>
      <c r="F206">
        <v>2145</v>
      </c>
      <c r="G206">
        <v>782</v>
      </c>
      <c r="H206">
        <v>1842</v>
      </c>
      <c r="I206">
        <v>372</v>
      </c>
      <c r="J206">
        <v>587</v>
      </c>
      <c r="K206">
        <v>414</v>
      </c>
      <c r="L206">
        <v>1204</v>
      </c>
      <c r="M206">
        <v>387</v>
      </c>
      <c r="N206">
        <v>256</v>
      </c>
      <c r="O206">
        <v>156</v>
      </c>
      <c r="P206">
        <v>579</v>
      </c>
      <c r="Q206">
        <v>586</v>
      </c>
      <c r="R206">
        <v>205</v>
      </c>
    </row>
    <row r="207" spans="1:18">
      <c r="A207" s="1" t="s">
        <v>349</v>
      </c>
      <c r="B207">
        <v>31</v>
      </c>
      <c r="C207">
        <v>4</v>
      </c>
      <c r="D207">
        <v>27</v>
      </c>
      <c r="F207">
        <v>1888</v>
      </c>
      <c r="G207">
        <v>664</v>
      </c>
      <c r="H207">
        <v>1780</v>
      </c>
      <c r="I207">
        <v>389</v>
      </c>
      <c r="J207">
        <v>567</v>
      </c>
      <c r="K207">
        <v>344</v>
      </c>
      <c r="L207">
        <v>954</v>
      </c>
      <c r="M207">
        <v>364</v>
      </c>
      <c r="N207">
        <v>274</v>
      </c>
      <c r="O207">
        <v>93</v>
      </c>
      <c r="P207">
        <v>543</v>
      </c>
      <c r="Q207">
        <v>626</v>
      </c>
      <c r="R207">
        <v>206</v>
      </c>
    </row>
    <row r="208" spans="1:18">
      <c r="A208" s="1" t="s">
        <v>173</v>
      </c>
      <c r="B208">
        <v>30</v>
      </c>
      <c r="C208">
        <v>5</v>
      </c>
      <c r="D208">
        <v>25</v>
      </c>
      <c r="E208">
        <v>-4.33</v>
      </c>
      <c r="F208">
        <v>1888</v>
      </c>
      <c r="G208">
        <v>659</v>
      </c>
      <c r="H208">
        <v>1657</v>
      </c>
      <c r="I208">
        <v>396</v>
      </c>
      <c r="J208">
        <v>611</v>
      </c>
      <c r="K208">
        <v>394</v>
      </c>
      <c r="L208">
        <v>1070</v>
      </c>
      <c r="M208">
        <v>316</v>
      </c>
      <c r="N208">
        <v>162</v>
      </c>
      <c r="O208">
        <v>112</v>
      </c>
      <c r="P208">
        <v>456</v>
      </c>
      <c r="Q208">
        <v>572</v>
      </c>
      <c r="R208">
        <v>207</v>
      </c>
    </row>
    <row r="209" spans="1:18">
      <c r="A209" s="1" t="s">
        <v>174</v>
      </c>
      <c r="B209">
        <v>30</v>
      </c>
      <c r="C209">
        <v>16</v>
      </c>
      <c r="D209">
        <v>14</v>
      </c>
      <c r="E209">
        <v>6.74</v>
      </c>
      <c r="F209">
        <v>2189</v>
      </c>
      <c r="G209">
        <v>773</v>
      </c>
      <c r="H209">
        <v>1626</v>
      </c>
      <c r="I209">
        <v>441</v>
      </c>
      <c r="J209">
        <v>615</v>
      </c>
      <c r="K209">
        <v>340</v>
      </c>
      <c r="L209">
        <v>1075</v>
      </c>
      <c r="M209">
        <v>458</v>
      </c>
      <c r="N209">
        <v>168</v>
      </c>
      <c r="O209">
        <v>114</v>
      </c>
      <c r="P209">
        <v>435</v>
      </c>
      <c r="Q209">
        <v>480</v>
      </c>
      <c r="R209">
        <v>208</v>
      </c>
    </row>
    <row r="210" spans="1:18">
      <c r="A210" s="1" t="s">
        <v>286</v>
      </c>
      <c r="B210">
        <v>32</v>
      </c>
      <c r="C210">
        <v>7</v>
      </c>
      <c r="D210">
        <v>25</v>
      </c>
      <c r="E210">
        <v>-0.66</v>
      </c>
      <c r="F210">
        <v>2280</v>
      </c>
      <c r="G210">
        <v>809</v>
      </c>
      <c r="H210">
        <v>1953</v>
      </c>
      <c r="I210">
        <v>392</v>
      </c>
      <c r="J210">
        <v>576</v>
      </c>
      <c r="K210">
        <v>327</v>
      </c>
      <c r="L210">
        <v>1051</v>
      </c>
      <c r="M210">
        <v>446</v>
      </c>
      <c r="N210">
        <v>208</v>
      </c>
      <c r="O210">
        <v>37</v>
      </c>
      <c r="P210">
        <v>451</v>
      </c>
      <c r="Q210">
        <v>575</v>
      </c>
      <c r="R210">
        <v>209</v>
      </c>
    </row>
    <row r="211" spans="1:18">
      <c r="A211" s="1" t="s">
        <v>312</v>
      </c>
      <c r="B211">
        <v>38</v>
      </c>
      <c r="C211">
        <v>34</v>
      </c>
      <c r="D211">
        <v>4</v>
      </c>
      <c r="E211">
        <v>8.35</v>
      </c>
      <c r="F211">
        <v>3413</v>
      </c>
      <c r="G211">
        <v>1205</v>
      </c>
      <c r="H211">
        <v>2509</v>
      </c>
      <c r="I211">
        <v>739</v>
      </c>
      <c r="J211">
        <v>983</v>
      </c>
      <c r="K211">
        <v>556</v>
      </c>
      <c r="L211">
        <v>1594</v>
      </c>
      <c r="M211">
        <v>685</v>
      </c>
      <c r="N211">
        <v>325</v>
      </c>
      <c r="O211">
        <v>196</v>
      </c>
      <c r="P211">
        <v>472</v>
      </c>
      <c r="Q211">
        <v>608</v>
      </c>
      <c r="R211">
        <v>210</v>
      </c>
    </row>
    <row r="212" spans="1:18">
      <c r="A212" s="1" t="s">
        <v>338</v>
      </c>
      <c r="B212">
        <v>33</v>
      </c>
      <c r="C212">
        <v>26</v>
      </c>
      <c r="D212">
        <v>7</v>
      </c>
      <c r="E212">
        <v>-2.72</v>
      </c>
      <c r="F212">
        <v>2659</v>
      </c>
      <c r="G212">
        <v>943</v>
      </c>
      <c r="H212">
        <v>1936</v>
      </c>
      <c r="I212">
        <v>535</v>
      </c>
      <c r="J212">
        <v>724</v>
      </c>
      <c r="K212">
        <v>363</v>
      </c>
      <c r="L212">
        <v>1171</v>
      </c>
      <c r="M212">
        <v>486</v>
      </c>
      <c r="N212">
        <v>230</v>
      </c>
      <c r="O212">
        <v>108</v>
      </c>
      <c r="P212">
        <v>370</v>
      </c>
      <c r="Q212">
        <v>539</v>
      </c>
      <c r="R212">
        <v>211</v>
      </c>
    </row>
    <row r="213" spans="1:18">
      <c r="A213" s="1" t="s">
        <v>339</v>
      </c>
      <c r="B213">
        <v>30</v>
      </c>
      <c r="C213">
        <v>8</v>
      </c>
      <c r="D213">
        <v>22</v>
      </c>
      <c r="F213">
        <v>1697</v>
      </c>
      <c r="G213">
        <v>629</v>
      </c>
      <c r="H213">
        <v>1558</v>
      </c>
      <c r="I213">
        <v>305</v>
      </c>
      <c r="J213">
        <v>515</v>
      </c>
      <c r="K213">
        <v>297</v>
      </c>
      <c r="L213">
        <v>933</v>
      </c>
      <c r="M213">
        <v>327</v>
      </c>
      <c r="N213">
        <v>192</v>
      </c>
      <c r="O213">
        <v>75</v>
      </c>
      <c r="P213">
        <v>459</v>
      </c>
      <c r="Q213">
        <v>593</v>
      </c>
      <c r="R213">
        <v>212</v>
      </c>
    </row>
    <row r="214" spans="1:18">
      <c r="A214" s="1" t="s">
        <v>175</v>
      </c>
      <c r="B214">
        <v>32</v>
      </c>
      <c r="C214">
        <v>20</v>
      </c>
      <c r="D214">
        <v>12</v>
      </c>
      <c r="E214">
        <v>-2.77</v>
      </c>
      <c r="F214">
        <v>2472</v>
      </c>
      <c r="G214">
        <v>806</v>
      </c>
      <c r="H214">
        <v>1850</v>
      </c>
      <c r="I214">
        <v>648</v>
      </c>
      <c r="J214">
        <v>885</v>
      </c>
      <c r="K214">
        <v>406</v>
      </c>
      <c r="L214">
        <v>1195</v>
      </c>
      <c r="M214">
        <v>391</v>
      </c>
      <c r="N214">
        <v>166</v>
      </c>
      <c r="O214">
        <v>89</v>
      </c>
      <c r="P214">
        <v>413</v>
      </c>
      <c r="Q214">
        <v>676</v>
      </c>
      <c r="R214">
        <v>213</v>
      </c>
    </row>
    <row r="215" spans="1:18">
      <c r="A215" s="1" t="s">
        <v>176</v>
      </c>
      <c r="B215">
        <v>32</v>
      </c>
      <c r="C215">
        <v>19</v>
      </c>
      <c r="D215">
        <v>13</v>
      </c>
      <c r="E215">
        <v>-0.24</v>
      </c>
      <c r="F215">
        <v>2001</v>
      </c>
      <c r="G215">
        <v>685</v>
      </c>
      <c r="H215">
        <v>1580</v>
      </c>
      <c r="I215">
        <v>446</v>
      </c>
      <c r="J215">
        <v>609</v>
      </c>
      <c r="K215">
        <v>322</v>
      </c>
      <c r="L215">
        <v>989</v>
      </c>
      <c r="M215">
        <v>371</v>
      </c>
      <c r="N215">
        <v>236</v>
      </c>
      <c r="O215">
        <v>87</v>
      </c>
      <c r="P215">
        <v>402</v>
      </c>
      <c r="Q215">
        <v>554</v>
      </c>
      <c r="R215">
        <v>214</v>
      </c>
    </row>
    <row r="216" spans="1:18">
      <c r="A216" s="1" t="s">
        <v>287</v>
      </c>
      <c r="B216">
        <v>27</v>
      </c>
      <c r="C216">
        <v>8</v>
      </c>
      <c r="D216">
        <v>19</v>
      </c>
      <c r="E216">
        <v>-1.7</v>
      </c>
      <c r="F216">
        <v>1795</v>
      </c>
      <c r="G216">
        <v>678</v>
      </c>
      <c r="H216">
        <v>1410</v>
      </c>
      <c r="I216">
        <v>274</v>
      </c>
      <c r="J216">
        <v>444</v>
      </c>
      <c r="K216">
        <v>260</v>
      </c>
      <c r="L216">
        <v>844</v>
      </c>
      <c r="M216">
        <v>413</v>
      </c>
      <c r="N216">
        <v>199</v>
      </c>
      <c r="O216">
        <v>65</v>
      </c>
      <c r="P216">
        <v>399</v>
      </c>
      <c r="Q216">
        <v>468</v>
      </c>
      <c r="R216">
        <v>215</v>
      </c>
    </row>
    <row r="217" spans="1:18">
      <c r="A217" s="1" t="s">
        <v>333</v>
      </c>
      <c r="B217">
        <v>32</v>
      </c>
      <c r="C217">
        <v>14</v>
      </c>
      <c r="D217">
        <v>18</v>
      </c>
      <c r="E217">
        <v>-3.64</v>
      </c>
      <c r="F217">
        <v>2259</v>
      </c>
      <c r="G217">
        <v>751</v>
      </c>
      <c r="H217">
        <v>1638</v>
      </c>
      <c r="I217">
        <v>531</v>
      </c>
      <c r="J217">
        <v>734</v>
      </c>
      <c r="K217">
        <v>309</v>
      </c>
      <c r="L217">
        <v>1032</v>
      </c>
      <c r="M217">
        <v>397</v>
      </c>
      <c r="N217">
        <v>219</v>
      </c>
      <c r="O217">
        <v>53</v>
      </c>
      <c r="P217">
        <v>494</v>
      </c>
      <c r="Q217">
        <v>627</v>
      </c>
      <c r="R217">
        <v>216</v>
      </c>
    </row>
    <row r="218" spans="1:18">
      <c r="A218" s="1" t="s">
        <v>177</v>
      </c>
      <c r="B218">
        <v>30</v>
      </c>
      <c r="C218">
        <v>10</v>
      </c>
      <c r="D218">
        <v>20</v>
      </c>
      <c r="E218">
        <v>-5.13</v>
      </c>
      <c r="F218">
        <v>1985</v>
      </c>
      <c r="G218">
        <v>704</v>
      </c>
      <c r="H218">
        <v>1668</v>
      </c>
      <c r="I218">
        <v>392</v>
      </c>
      <c r="J218">
        <v>662</v>
      </c>
      <c r="K218">
        <v>383</v>
      </c>
      <c r="L218">
        <v>1060</v>
      </c>
      <c r="M218">
        <v>373</v>
      </c>
      <c r="N218">
        <v>239</v>
      </c>
      <c r="O218">
        <v>94</v>
      </c>
      <c r="P218">
        <v>481</v>
      </c>
      <c r="Q218">
        <v>610</v>
      </c>
      <c r="R218">
        <v>217</v>
      </c>
    </row>
    <row r="219" spans="1:18">
      <c r="A219" s="1" t="s">
        <v>178</v>
      </c>
      <c r="B219">
        <v>34</v>
      </c>
      <c r="C219">
        <v>23</v>
      </c>
      <c r="D219">
        <v>11</v>
      </c>
      <c r="E219">
        <v>2.2400000000000002</v>
      </c>
      <c r="F219">
        <v>2290</v>
      </c>
      <c r="G219">
        <v>766</v>
      </c>
      <c r="H219">
        <v>1692</v>
      </c>
      <c r="I219">
        <v>541</v>
      </c>
      <c r="J219">
        <v>718</v>
      </c>
      <c r="K219">
        <v>297</v>
      </c>
      <c r="L219">
        <v>1140</v>
      </c>
      <c r="M219">
        <v>418</v>
      </c>
      <c r="N219">
        <v>146</v>
      </c>
      <c r="O219">
        <v>83</v>
      </c>
      <c r="P219">
        <v>397</v>
      </c>
      <c r="Q219">
        <v>619</v>
      </c>
      <c r="R219">
        <v>218</v>
      </c>
    </row>
    <row r="220" spans="1:18">
      <c r="A220" s="1" t="s">
        <v>179</v>
      </c>
      <c r="B220">
        <v>31</v>
      </c>
      <c r="C220">
        <v>11</v>
      </c>
      <c r="D220">
        <v>20</v>
      </c>
      <c r="E220">
        <v>-3.34</v>
      </c>
      <c r="F220">
        <v>2188</v>
      </c>
      <c r="G220">
        <v>780</v>
      </c>
      <c r="H220">
        <v>1934</v>
      </c>
      <c r="I220">
        <v>464</v>
      </c>
      <c r="J220">
        <v>713</v>
      </c>
      <c r="K220">
        <v>489</v>
      </c>
      <c r="L220">
        <v>1272</v>
      </c>
      <c r="M220">
        <v>421</v>
      </c>
      <c r="N220">
        <v>269</v>
      </c>
      <c r="O220">
        <v>168</v>
      </c>
      <c r="P220">
        <v>599</v>
      </c>
      <c r="Q220">
        <v>701</v>
      </c>
      <c r="R220">
        <v>219</v>
      </c>
    </row>
    <row r="221" spans="1:18">
      <c r="A221" s="1" t="s">
        <v>180</v>
      </c>
      <c r="B221">
        <v>31</v>
      </c>
      <c r="C221">
        <v>17</v>
      </c>
      <c r="D221">
        <v>14</v>
      </c>
      <c r="E221">
        <v>6.93</v>
      </c>
      <c r="F221">
        <v>1967</v>
      </c>
      <c r="G221">
        <v>697</v>
      </c>
      <c r="H221">
        <v>1568</v>
      </c>
      <c r="I221">
        <v>318</v>
      </c>
      <c r="J221">
        <v>461</v>
      </c>
      <c r="K221">
        <v>266</v>
      </c>
      <c r="L221">
        <v>877</v>
      </c>
      <c r="M221">
        <v>472</v>
      </c>
      <c r="N221">
        <v>225</v>
      </c>
      <c r="O221">
        <v>89</v>
      </c>
      <c r="P221">
        <v>346</v>
      </c>
      <c r="Q221">
        <v>554</v>
      </c>
      <c r="R221">
        <v>220</v>
      </c>
    </row>
    <row r="222" spans="1:18">
      <c r="A222" s="1" t="s">
        <v>181</v>
      </c>
      <c r="B222">
        <v>36</v>
      </c>
      <c r="C222">
        <v>21</v>
      </c>
      <c r="D222">
        <v>15</v>
      </c>
      <c r="E222">
        <v>8.6999999999999993</v>
      </c>
      <c r="F222">
        <v>2727</v>
      </c>
      <c r="G222">
        <v>988</v>
      </c>
      <c r="H222">
        <v>2283</v>
      </c>
      <c r="I222">
        <v>432</v>
      </c>
      <c r="J222">
        <v>609</v>
      </c>
      <c r="K222">
        <v>440</v>
      </c>
      <c r="L222">
        <v>1404</v>
      </c>
      <c r="M222">
        <v>601</v>
      </c>
      <c r="N222">
        <v>192</v>
      </c>
      <c r="O222">
        <v>95</v>
      </c>
      <c r="P222">
        <v>343</v>
      </c>
      <c r="Q222">
        <v>544</v>
      </c>
      <c r="R222">
        <v>221</v>
      </c>
    </row>
    <row r="223" spans="1:18">
      <c r="A223" s="1" t="s">
        <v>182</v>
      </c>
      <c r="B223">
        <v>36</v>
      </c>
      <c r="C223">
        <v>23</v>
      </c>
      <c r="D223">
        <v>13</v>
      </c>
      <c r="E223">
        <v>-1.6</v>
      </c>
      <c r="F223">
        <v>2699</v>
      </c>
      <c r="G223">
        <v>962</v>
      </c>
      <c r="H223">
        <v>2008</v>
      </c>
      <c r="I223">
        <v>508</v>
      </c>
      <c r="J223">
        <v>728</v>
      </c>
      <c r="K223">
        <v>408</v>
      </c>
      <c r="L223">
        <v>1224</v>
      </c>
      <c r="M223">
        <v>545</v>
      </c>
      <c r="N223">
        <v>217</v>
      </c>
      <c r="O223">
        <v>167</v>
      </c>
      <c r="P223">
        <v>456</v>
      </c>
      <c r="Q223">
        <v>602</v>
      </c>
      <c r="R223">
        <v>222</v>
      </c>
    </row>
    <row r="224" spans="1:18">
      <c r="A224" s="1" t="s">
        <v>321</v>
      </c>
      <c r="B224">
        <v>33</v>
      </c>
      <c r="C224">
        <v>22</v>
      </c>
      <c r="D224">
        <v>11</v>
      </c>
      <c r="E224">
        <v>8.23</v>
      </c>
      <c r="F224">
        <v>2206</v>
      </c>
      <c r="G224">
        <v>778</v>
      </c>
      <c r="H224">
        <v>1618</v>
      </c>
      <c r="I224">
        <v>434</v>
      </c>
      <c r="J224">
        <v>619</v>
      </c>
      <c r="K224">
        <v>266</v>
      </c>
      <c r="L224">
        <v>1024</v>
      </c>
      <c r="M224">
        <v>440</v>
      </c>
      <c r="N224">
        <v>194</v>
      </c>
      <c r="O224">
        <v>175</v>
      </c>
      <c r="P224">
        <v>439</v>
      </c>
      <c r="Q224">
        <v>501</v>
      </c>
      <c r="R224">
        <v>223</v>
      </c>
    </row>
    <row r="225" spans="1:18">
      <c r="A225" s="1" t="s">
        <v>183</v>
      </c>
      <c r="B225">
        <v>32</v>
      </c>
      <c r="C225">
        <v>15</v>
      </c>
      <c r="D225">
        <v>17</v>
      </c>
      <c r="E225">
        <v>-1.4</v>
      </c>
      <c r="F225">
        <v>2075</v>
      </c>
      <c r="G225">
        <v>709</v>
      </c>
      <c r="H225">
        <v>1634</v>
      </c>
      <c r="I225">
        <v>449</v>
      </c>
      <c r="J225">
        <v>639</v>
      </c>
      <c r="K225">
        <v>297</v>
      </c>
      <c r="L225">
        <v>990</v>
      </c>
      <c r="M225">
        <v>436</v>
      </c>
      <c r="N225">
        <v>222</v>
      </c>
      <c r="O225">
        <v>59</v>
      </c>
      <c r="P225">
        <v>459</v>
      </c>
      <c r="Q225">
        <v>645</v>
      </c>
      <c r="R225">
        <v>224</v>
      </c>
    </row>
    <row r="226" spans="1:18">
      <c r="A226" s="1" t="s">
        <v>340</v>
      </c>
      <c r="B226">
        <v>35</v>
      </c>
      <c r="C226">
        <v>23</v>
      </c>
      <c r="D226">
        <v>12</v>
      </c>
      <c r="E226">
        <v>7.44</v>
      </c>
      <c r="F226">
        <v>2830</v>
      </c>
      <c r="G226">
        <v>948</v>
      </c>
      <c r="H226">
        <v>2059</v>
      </c>
      <c r="I226">
        <v>607</v>
      </c>
      <c r="J226">
        <v>812</v>
      </c>
      <c r="K226">
        <v>346</v>
      </c>
      <c r="L226">
        <v>1223</v>
      </c>
      <c r="M226">
        <v>446</v>
      </c>
      <c r="N226">
        <v>266</v>
      </c>
      <c r="O226">
        <v>82</v>
      </c>
      <c r="P226">
        <v>431</v>
      </c>
      <c r="Q226">
        <v>745</v>
      </c>
      <c r="R226">
        <v>225</v>
      </c>
    </row>
    <row r="227" spans="1:18">
      <c r="A227" s="1" t="s">
        <v>329</v>
      </c>
      <c r="B227">
        <v>36</v>
      </c>
      <c r="C227">
        <v>30</v>
      </c>
      <c r="D227">
        <v>6</v>
      </c>
      <c r="E227">
        <v>6.88</v>
      </c>
      <c r="F227">
        <v>2833</v>
      </c>
      <c r="G227">
        <v>982</v>
      </c>
      <c r="H227">
        <v>1997</v>
      </c>
      <c r="I227">
        <v>627</v>
      </c>
      <c r="J227">
        <v>929</v>
      </c>
      <c r="K227">
        <v>435</v>
      </c>
      <c r="L227">
        <v>1402</v>
      </c>
      <c r="M227">
        <v>521</v>
      </c>
      <c r="N227">
        <v>249</v>
      </c>
      <c r="O227">
        <v>156</v>
      </c>
      <c r="P227">
        <v>500</v>
      </c>
      <c r="Q227">
        <v>616</v>
      </c>
      <c r="R227">
        <v>226</v>
      </c>
    </row>
    <row r="228" spans="1:18">
      <c r="A228" s="1" t="s">
        <v>184</v>
      </c>
      <c r="B228">
        <v>35</v>
      </c>
      <c r="C228">
        <v>25</v>
      </c>
      <c r="D228">
        <v>10</v>
      </c>
      <c r="E228">
        <v>-2.23</v>
      </c>
      <c r="F228">
        <v>2333</v>
      </c>
      <c r="G228">
        <v>877</v>
      </c>
      <c r="H228">
        <v>1978</v>
      </c>
      <c r="I228">
        <v>411</v>
      </c>
      <c r="J228">
        <v>643</v>
      </c>
      <c r="K228">
        <v>496</v>
      </c>
      <c r="L228">
        <v>1332</v>
      </c>
      <c r="M228">
        <v>542</v>
      </c>
      <c r="N228">
        <v>252</v>
      </c>
      <c r="O228">
        <v>122</v>
      </c>
      <c r="P228">
        <v>430</v>
      </c>
      <c r="Q228">
        <v>516</v>
      </c>
      <c r="R228">
        <v>227</v>
      </c>
    </row>
    <row r="229" spans="1:18">
      <c r="A229" s="1" t="s">
        <v>185</v>
      </c>
      <c r="B229">
        <v>31</v>
      </c>
      <c r="C229">
        <v>16</v>
      </c>
      <c r="D229">
        <v>15</v>
      </c>
      <c r="E229">
        <v>-0.05</v>
      </c>
      <c r="F229">
        <v>2194</v>
      </c>
      <c r="G229">
        <v>776</v>
      </c>
      <c r="H229">
        <v>1752</v>
      </c>
      <c r="I229">
        <v>475</v>
      </c>
      <c r="J229">
        <v>712</v>
      </c>
      <c r="K229">
        <v>388</v>
      </c>
      <c r="L229">
        <v>1121</v>
      </c>
      <c r="M229">
        <v>397</v>
      </c>
      <c r="N229">
        <v>220</v>
      </c>
      <c r="O229">
        <v>94</v>
      </c>
      <c r="P229">
        <v>439</v>
      </c>
      <c r="Q229">
        <v>599</v>
      </c>
      <c r="R229">
        <v>228</v>
      </c>
    </row>
    <row r="230" spans="1:18">
      <c r="A230" s="1" t="s">
        <v>186</v>
      </c>
      <c r="B230">
        <v>36</v>
      </c>
      <c r="C230">
        <v>18</v>
      </c>
      <c r="D230">
        <v>18</v>
      </c>
      <c r="E230">
        <v>7.55</v>
      </c>
      <c r="F230">
        <v>2189</v>
      </c>
      <c r="G230">
        <v>805</v>
      </c>
      <c r="H230">
        <v>1725</v>
      </c>
      <c r="I230">
        <v>357</v>
      </c>
      <c r="J230">
        <v>553</v>
      </c>
      <c r="K230">
        <v>293</v>
      </c>
      <c r="L230">
        <v>1038</v>
      </c>
      <c r="M230">
        <v>465</v>
      </c>
      <c r="N230">
        <v>242</v>
      </c>
      <c r="O230">
        <v>68</v>
      </c>
      <c r="P230">
        <v>477</v>
      </c>
      <c r="Q230">
        <v>557</v>
      </c>
      <c r="R230">
        <v>229</v>
      </c>
    </row>
    <row r="231" spans="1:18">
      <c r="A231" s="1" t="s">
        <v>288</v>
      </c>
      <c r="B231">
        <v>31</v>
      </c>
      <c r="C231">
        <v>8</v>
      </c>
      <c r="D231">
        <v>23</v>
      </c>
      <c r="E231">
        <v>10.28</v>
      </c>
      <c r="F231">
        <v>2088</v>
      </c>
      <c r="G231">
        <v>702</v>
      </c>
      <c r="H231">
        <v>1751</v>
      </c>
      <c r="I231">
        <v>447</v>
      </c>
      <c r="J231">
        <v>664</v>
      </c>
      <c r="K231">
        <v>376</v>
      </c>
      <c r="L231">
        <v>973</v>
      </c>
      <c r="M231">
        <v>372</v>
      </c>
      <c r="N231">
        <v>243</v>
      </c>
      <c r="O231">
        <v>96</v>
      </c>
      <c r="P231">
        <v>459</v>
      </c>
      <c r="Q231">
        <v>642</v>
      </c>
      <c r="R231">
        <v>230</v>
      </c>
    </row>
    <row r="232" spans="1:18">
      <c r="A232" s="1" t="s">
        <v>187</v>
      </c>
      <c r="B232">
        <v>34</v>
      </c>
      <c r="C232">
        <v>21</v>
      </c>
      <c r="D232">
        <v>13</v>
      </c>
      <c r="E232">
        <v>-1.59</v>
      </c>
      <c r="F232">
        <v>2254</v>
      </c>
      <c r="G232">
        <v>794</v>
      </c>
      <c r="H232">
        <v>1712</v>
      </c>
      <c r="I232">
        <v>423</v>
      </c>
      <c r="J232">
        <v>623</v>
      </c>
      <c r="K232">
        <v>345</v>
      </c>
      <c r="L232">
        <v>1092</v>
      </c>
      <c r="M232">
        <v>465</v>
      </c>
      <c r="N232">
        <v>211</v>
      </c>
      <c r="O232">
        <v>68</v>
      </c>
      <c r="P232">
        <v>413</v>
      </c>
      <c r="Q232">
        <v>587</v>
      </c>
      <c r="R232">
        <v>231</v>
      </c>
    </row>
    <row r="233" spans="1:18">
      <c r="A233" s="1" t="s">
        <v>188</v>
      </c>
      <c r="B233">
        <v>38</v>
      </c>
      <c r="C233">
        <v>27</v>
      </c>
      <c r="D233">
        <v>11</v>
      </c>
      <c r="E233">
        <v>5.71</v>
      </c>
      <c r="F233">
        <v>2545</v>
      </c>
      <c r="G233">
        <v>904</v>
      </c>
      <c r="H233">
        <v>2040</v>
      </c>
      <c r="I233">
        <v>455</v>
      </c>
      <c r="J233">
        <v>691</v>
      </c>
      <c r="K233">
        <v>405</v>
      </c>
      <c r="L233">
        <v>1290</v>
      </c>
      <c r="M233">
        <v>493</v>
      </c>
      <c r="N233">
        <v>192</v>
      </c>
      <c r="O233">
        <v>64</v>
      </c>
      <c r="P233">
        <v>412</v>
      </c>
      <c r="Q233">
        <v>551</v>
      </c>
      <c r="R233">
        <v>232</v>
      </c>
    </row>
    <row r="234" spans="1:18">
      <c r="A234" s="1" t="s">
        <v>289</v>
      </c>
      <c r="B234">
        <v>28</v>
      </c>
      <c r="C234">
        <v>10</v>
      </c>
      <c r="D234">
        <v>18</v>
      </c>
      <c r="E234">
        <v>-3.33</v>
      </c>
      <c r="F234">
        <v>1835</v>
      </c>
      <c r="G234">
        <v>633</v>
      </c>
      <c r="H234">
        <v>1521</v>
      </c>
      <c r="I234">
        <v>403</v>
      </c>
      <c r="J234">
        <v>591</v>
      </c>
      <c r="K234">
        <v>282</v>
      </c>
      <c r="L234">
        <v>931</v>
      </c>
      <c r="M234">
        <v>402</v>
      </c>
      <c r="N234">
        <v>192</v>
      </c>
      <c r="O234">
        <v>85</v>
      </c>
      <c r="P234">
        <v>398</v>
      </c>
      <c r="Q234">
        <v>602</v>
      </c>
      <c r="R234">
        <v>233</v>
      </c>
    </row>
    <row r="235" spans="1:18">
      <c r="A235" s="1" t="s">
        <v>290</v>
      </c>
      <c r="B235">
        <v>32</v>
      </c>
      <c r="C235">
        <v>9</v>
      </c>
      <c r="D235">
        <v>23</v>
      </c>
      <c r="E235">
        <v>1.88</v>
      </c>
      <c r="F235">
        <v>1974</v>
      </c>
      <c r="G235">
        <v>717</v>
      </c>
      <c r="H235">
        <v>1857</v>
      </c>
      <c r="I235">
        <v>369</v>
      </c>
      <c r="J235">
        <v>524</v>
      </c>
      <c r="K235">
        <v>404</v>
      </c>
      <c r="L235">
        <v>1143</v>
      </c>
      <c r="M235">
        <v>341</v>
      </c>
      <c r="N235">
        <v>215</v>
      </c>
      <c r="O235">
        <v>101</v>
      </c>
      <c r="P235">
        <v>508</v>
      </c>
      <c r="Q235">
        <v>574</v>
      </c>
      <c r="R235">
        <v>234</v>
      </c>
    </row>
    <row r="236" spans="1:18">
      <c r="A236" s="1" t="s">
        <v>189</v>
      </c>
      <c r="B236">
        <v>36</v>
      </c>
      <c r="C236">
        <v>31</v>
      </c>
      <c r="D236">
        <v>5</v>
      </c>
      <c r="E236">
        <v>8.61</v>
      </c>
      <c r="F236">
        <v>2787</v>
      </c>
      <c r="G236">
        <v>1040</v>
      </c>
      <c r="H236">
        <v>2174</v>
      </c>
      <c r="I236">
        <v>482</v>
      </c>
      <c r="J236">
        <v>713</v>
      </c>
      <c r="K236">
        <v>533</v>
      </c>
      <c r="L236">
        <v>1433</v>
      </c>
      <c r="M236">
        <v>633</v>
      </c>
      <c r="N236">
        <v>246</v>
      </c>
      <c r="O236">
        <v>139</v>
      </c>
      <c r="P236">
        <v>436</v>
      </c>
      <c r="Q236">
        <v>585</v>
      </c>
      <c r="R236">
        <v>235</v>
      </c>
    </row>
    <row r="237" spans="1:18">
      <c r="A237" s="1" t="s">
        <v>190</v>
      </c>
      <c r="B237">
        <v>33</v>
      </c>
      <c r="C237">
        <v>23</v>
      </c>
      <c r="D237">
        <v>10</v>
      </c>
      <c r="E237">
        <v>-3.16</v>
      </c>
      <c r="F237">
        <v>2417</v>
      </c>
      <c r="G237">
        <v>861</v>
      </c>
      <c r="H237">
        <v>1899</v>
      </c>
      <c r="I237">
        <v>378</v>
      </c>
      <c r="J237">
        <v>557</v>
      </c>
      <c r="K237">
        <v>388</v>
      </c>
      <c r="L237">
        <v>1116</v>
      </c>
      <c r="M237">
        <v>503</v>
      </c>
      <c r="N237">
        <v>245</v>
      </c>
      <c r="O237">
        <v>93</v>
      </c>
      <c r="P237">
        <v>453</v>
      </c>
      <c r="Q237">
        <v>553</v>
      </c>
      <c r="R237">
        <v>236</v>
      </c>
    </row>
    <row r="238" spans="1:18">
      <c r="A238" s="1" t="s">
        <v>191</v>
      </c>
      <c r="B238">
        <v>32</v>
      </c>
      <c r="C238">
        <v>19</v>
      </c>
      <c r="D238">
        <v>13</v>
      </c>
      <c r="E238">
        <v>-0.05</v>
      </c>
      <c r="F238">
        <v>2249</v>
      </c>
      <c r="G238">
        <v>803</v>
      </c>
      <c r="H238">
        <v>1727</v>
      </c>
      <c r="I238">
        <v>387</v>
      </c>
      <c r="J238">
        <v>579</v>
      </c>
      <c r="K238">
        <v>342</v>
      </c>
      <c r="L238">
        <v>1071</v>
      </c>
      <c r="M238">
        <v>492</v>
      </c>
      <c r="N238">
        <v>179</v>
      </c>
      <c r="O238">
        <v>71</v>
      </c>
      <c r="P238">
        <v>454</v>
      </c>
      <c r="Q238">
        <v>652</v>
      </c>
      <c r="R238">
        <v>237</v>
      </c>
    </row>
    <row r="239" spans="1:18">
      <c r="A239" s="1" t="s">
        <v>192</v>
      </c>
      <c r="B239">
        <v>33</v>
      </c>
      <c r="C239">
        <v>17</v>
      </c>
      <c r="D239">
        <v>16</v>
      </c>
      <c r="E239">
        <v>-9.81</v>
      </c>
      <c r="F239">
        <v>2318</v>
      </c>
      <c r="G239">
        <v>832</v>
      </c>
      <c r="H239">
        <v>1932</v>
      </c>
      <c r="I239">
        <v>462</v>
      </c>
      <c r="J239">
        <v>731</v>
      </c>
      <c r="K239">
        <v>488</v>
      </c>
      <c r="L239">
        <v>1237</v>
      </c>
      <c r="M239">
        <v>422</v>
      </c>
      <c r="N239">
        <v>249</v>
      </c>
      <c r="O239">
        <v>80</v>
      </c>
      <c r="P239">
        <v>480</v>
      </c>
      <c r="Q239">
        <v>616</v>
      </c>
      <c r="R239">
        <v>238</v>
      </c>
    </row>
    <row r="240" spans="1:18">
      <c r="A240" s="1" t="s">
        <v>350</v>
      </c>
      <c r="B240">
        <v>29</v>
      </c>
      <c r="C240">
        <v>12</v>
      </c>
      <c r="D240">
        <v>17</v>
      </c>
      <c r="F240">
        <v>1729</v>
      </c>
      <c r="G240">
        <v>608</v>
      </c>
      <c r="H240">
        <v>1435</v>
      </c>
      <c r="I240">
        <v>348</v>
      </c>
      <c r="J240">
        <v>517</v>
      </c>
      <c r="K240">
        <v>274</v>
      </c>
      <c r="L240">
        <v>948</v>
      </c>
      <c r="M240">
        <v>305</v>
      </c>
      <c r="N240">
        <v>203</v>
      </c>
      <c r="O240">
        <v>87</v>
      </c>
      <c r="P240">
        <v>483</v>
      </c>
      <c r="Q240">
        <v>514</v>
      </c>
      <c r="R240">
        <v>239</v>
      </c>
    </row>
    <row r="241" spans="1:18">
      <c r="A241" s="1" t="s">
        <v>193</v>
      </c>
      <c r="B241">
        <v>27</v>
      </c>
      <c r="C241">
        <v>13</v>
      </c>
      <c r="D241">
        <v>14</v>
      </c>
      <c r="E241">
        <v>-7.66</v>
      </c>
      <c r="F241">
        <v>1561</v>
      </c>
      <c r="G241">
        <v>548</v>
      </c>
      <c r="H241">
        <v>1276</v>
      </c>
      <c r="I241">
        <v>280</v>
      </c>
      <c r="J241">
        <v>372</v>
      </c>
      <c r="K241">
        <v>206</v>
      </c>
      <c r="L241">
        <v>822</v>
      </c>
      <c r="M241">
        <v>302</v>
      </c>
      <c r="N241">
        <v>156</v>
      </c>
      <c r="O241">
        <v>79</v>
      </c>
      <c r="P241">
        <v>354</v>
      </c>
      <c r="Q241">
        <v>521</v>
      </c>
      <c r="R241">
        <v>240</v>
      </c>
    </row>
    <row r="242" spans="1:18">
      <c r="A242" s="1" t="s">
        <v>194</v>
      </c>
      <c r="B242">
        <v>33</v>
      </c>
      <c r="C242">
        <v>19</v>
      </c>
      <c r="D242">
        <v>14</v>
      </c>
      <c r="E242">
        <v>7.23</v>
      </c>
      <c r="F242">
        <v>2577</v>
      </c>
      <c r="G242">
        <v>905</v>
      </c>
      <c r="H242">
        <v>2014</v>
      </c>
      <c r="I242">
        <v>540</v>
      </c>
      <c r="J242">
        <v>795</v>
      </c>
      <c r="K242">
        <v>451</v>
      </c>
      <c r="L242">
        <v>1238</v>
      </c>
      <c r="M242">
        <v>490</v>
      </c>
      <c r="N242">
        <v>261</v>
      </c>
      <c r="O242">
        <v>119</v>
      </c>
      <c r="P242">
        <v>479</v>
      </c>
      <c r="Q242">
        <v>545</v>
      </c>
      <c r="R242">
        <v>241</v>
      </c>
    </row>
    <row r="243" spans="1:18">
      <c r="A243" s="1" t="s">
        <v>291</v>
      </c>
      <c r="B243">
        <v>37</v>
      </c>
      <c r="C243">
        <v>27</v>
      </c>
      <c r="D243">
        <v>10</v>
      </c>
      <c r="E243">
        <v>7.17</v>
      </c>
      <c r="F243">
        <v>2555</v>
      </c>
      <c r="G243">
        <v>914</v>
      </c>
      <c r="H243">
        <v>2071</v>
      </c>
      <c r="I243">
        <v>483</v>
      </c>
      <c r="J243">
        <v>687</v>
      </c>
      <c r="K243">
        <v>363</v>
      </c>
      <c r="L243">
        <v>1271</v>
      </c>
      <c r="M243">
        <v>552</v>
      </c>
      <c r="N243">
        <v>265</v>
      </c>
      <c r="O243">
        <v>176</v>
      </c>
      <c r="P243">
        <v>426</v>
      </c>
      <c r="Q243">
        <v>650</v>
      </c>
      <c r="R243">
        <v>242</v>
      </c>
    </row>
    <row r="244" spans="1:18">
      <c r="A244" s="1" t="s">
        <v>195</v>
      </c>
      <c r="B244">
        <v>31</v>
      </c>
      <c r="C244">
        <v>15</v>
      </c>
      <c r="D244">
        <v>16</v>
      </c>
      <c r="E244">
        <v>-8.57</v>
      </c>
      <c r="F244">
        <v>2058</v>
      </c>
      <c r="G244">
        <v>758</v>
      </c>
      <c r="H244">
        <v>1757</v>
      </c>
      <c r="I244">
        <v>403</v>
      </c>
      <c r="J244">
        <v>649</v>
      </c>
      <c r="K244">
        <v>467</v>
      </c>
      <c r="L244">
        <v>1180</v>
      </c>
      <c r="M244">
        <v>379</v>
      </c>
      <c r="N244">
        <v>205</v>
      </c>
      <c r="O244">
        <v>77</v>
      </c>
      <c r="P244">
        <v>448</v>
      </c>
      <c r="Q244">
        <v>571</v>
      </c>
      <c r="R244">
        <v>243</v>
      </c>
    </row>
    <row r="245" spans="1:18">
      <c r="A245" s="1" t="s">
        <v>196</v>
      </c>
      <c r="B245">
        <v>33</v>
      </c>
      <c r="C245">
        <v>21</v>
      </c>
      <c r="D245">
        <v>12</v>
      </c>
      <c r="E245">
        <v>-4.37</v>
      </c>
      <c r="F245">
        <v>2491</v>
      </c>
      <c r="G245">
        <v>884</v>
      </c>
      <c r="H245">
        <v>1917</v>
      </c>
      <c r="I245">
        <v>560</v>
      </c>
      <c r="J245">
        <v>825</v>
      </c>
      <c r="K245">
        <v>418</v>
      </c>
      <c r="L245">
        <v>1372</v>
      </c>
      <c r="M245">
        <v>466</v>
      </c>
      <c r="N245">
        <v>225</v>
      </c>
      <c r="O245">
        <v>154</v>
      </c>
      <c r="P245">
        <v>539</v>
      </c>
      <c r="Q245">
        <v>607</v>
      </c>
      <c r="R245">
        <v>244</v>
      </c>
    </row>
    <row r="246" spans="1:18">
      <c r="A246" s="1" t="s">
        <v>197</v>
      </c>
      <c r="B246">
        <v>34</v>
      </c>
      <c r="C246">
        <v>23</v>
      </c>
      <c r="D246">
        <v>11</v>
      </c>
      <c r="E246">
        <v>1.21</v>
      </c>
      <c r="F246">
        <v>2696</v>
      </c>
      <c r="G246">
        <v>994</v>
      </c>
      <c r="H246">
        <v>2072</v>
      </c>
      <c r="I246">
        <v>493</v>
      </c>
      <c r="J246">
        <v>707</v>
      </c>
      <c r="K246">
        <v>441</v>
      </c>
      <c r="L246">
        <v>1235</v>
      </c>
      <c r="M246">
        <v>543</v>
      </c>
      <c r="N246">
        <v>257</v>
      </c>
      <c r="O246">
        <v>120</v>
      </c>
      <c r="P246">
        <v>454</v>
      </c>
      <c r="Q246">
        <v>597</v>
      </c>
      <c r="R246">
        <v>245</v>
      </c>
    </row>
    <row r="247" spans="1:18">
      <c r="A247" s="1" t="s">
        <v>198</v>
      </c>
      <c r="B247">
        <v>32</v>
      </c>
      <c r="C247">
        <v>10</v>
      </c>
      <c r="D247">
        <v>22</v>
      </c>
      <c r="E247">
        <v>3.18</v>
      </c>
      <c r="F247">
        <v>2040</v>
      </c>
      <c r="G247">
        <v>717</v>
      </c>
      <c r="H247">
        <v>1690</v>
      </c>
      <c r="I247">
        <v>388</v>
      </c>
      <c r="J247">
        <v>563</v>
      </c>
      <c r="K247">
        <v>292</v>
      </c>
      <c r="L247">
        <v>1021</v>
      </c>
      <c r="M247">
        <v>443</v>
      </c>
      <c r="N247">
        <v>153</v>
      </c>
      <c r="O247">
        <v>70</v>
      </c>
      <c r="P247">
        <v>425</v>
      </c>
      <c r="Q247">
        <v>590</v>
      </c>
      <c r="R247">
        <v>246</v>
      </c>
    </row>
    <row r="248" spans="1:18">
      <c r="A248" s="1" t="s">
        <v>199</v>
      </c>
      <c r="B248">
        <v>36</v>
      </c>
      <c r="C248">
        <v>20</v>
      </c>
      <c r="D248">
        <v>16</v>
      </c>
      <c r="E248">
        <v>1.08</v>
      </c>
      <c r="F248">
        <v>2518</v>
      </c>
      <c r="G248">
        <v>912</v>
      </c>
      <c r="H248">
        <v>1998</v>
      </c>
      <c r="I248">
        <v>448</v>
      </c>
      <c r="J248">
        <v>662</v>
      </c>
      <c r="K248">
        <v>346</v>
      </c>
      <c r="L248">
        <v>1119</v>
      </c>
      <c r="M248">
        <v>434</v>
      </c>
      <c r="N248">
        <v>262</v>
      </c>
      <c r="O248">
        <v>124</v>
      </c>
      <c r="P248">
        <v>432</v>
      </c>
      <c r="Q248">
        <v>707</v>
      </c>
      <c r="R248">
        <v>247</v>
      </c>
    </row>
    <row r="249" spans="1:18">
      <c r="A249" s="1" t="s">
        <v>200</v>
      </c>
      <c r="B249">
        <v>32</v>
      </c>
      <c r="C249">
        <v>19</v>
      </c>
      <c r="D249">
        <v>13</v>
      </c>
      <c r="E249">
        <v>-2.98</v>
      </c>
      <c r="F249">
        <v>2303</v>
      </c>
      <c r="G249">
        <v>830</v>
      </c>
      <c r="H249">
        <v>1874</v>
      </c>
      <c r="I249">
        <v>418</v>
      </c>
      <c r="J249">
        <v>620</v>
      </c>
      <c r="K249">
        <v>373</v>
      </c>
      <c r="L249">
        <v>1157</v>
      </c>
      <c r="M249">
        <v>417</v>
      </c>
      <c r="N249">
        <v>230</v>
      </c>
      <c r="O249">
        <v>116</v>
      </c>
      <c r="P249">
        <v>446</v>
      </c>
      <c r="Q249">
        <v>605</v>
      </c>
      <c r="R249">
        <v>248</v>
      </c>
    </row>
    <row r="250" spans="1:18">
      <c r="A250" s="1" t="s">
        <v>201</v>
      </c>
      <c r="B250">
        <v>35</v>
      </c>
      <c r="C250">
        <v>24</v>
      </c>
      <c r="D250">
        <v>11</v>
      </c>
      <c r="E250">
        <v>-5.23</v>
      </c>
      <c r="F250">
        <v>2467</v>
      </c>
      <c r="G250">
        <v>880</v>
      </c>
      <c r="H250">
        <v>1859</v>
      </c>
      <c r="I250">
        <v>481</v>
      </c>
      <c r="J250">
        <v>683</v>
      </c>
      <c r="K250">
        <v>353</v>
      </c>
      <c r="L250">
        <v>1161</v>
      </c>
      <c r="M250">
        <v>536</v>
      </c>
      <c r="N250">
        <v>301</v>
      </c>
      <c r="O250">
        <v>121</v>
      </c>
      <c r="P250">
        <v>530</v>
      </c>
      <c r="Q250">
        <v>693</v>
      </c>
      <c r="R250">
        <v>249</v>
      </c>
    </row>
    <row r="251" spans="1:18">
      <c r="A251" s="1" t="s">
        <v>202</v>
      </c>
      <c r="B251">
        <v>32</v>
      </c>
      <c r="C251">
        <v>11</v>
      </c>
      <c r="D251">
        <v>21</v>
      </c>
      <c r="E251">
        <v>6.6</v>
      </c>
      <c r="F251">
        <v>2021</v>
      </c>
      <c r="G251">
        <v>725</v>
      </c>
      <c r="H251">
        <v>1748</v>
      </c>
      <c r="I251">
        <v>404</v>
      </c>
      <c r="J251">
        <v>562</v>
      </c>
      <c r="K251">
        <v>382</v>
      </c>
      <c r="L251">
        <v>1176</v>
      </c>
      <c r="M251">
        <v>355</v>
      </c>
      <c r="N251">
        <v>191</v>
      </c>
      <c r="O251">
        <v>189</v>
      </c>
      <c r="P251">
        <v>495</v>
      </c>
      <c r="Q251">
        <v>563</v>
      </c>
      <c r="R251">
        <v>250</v>
      </c>
    </row>
    <row r="252" spans="1:18">
      <c r="A252" s="1" t="s">
        <v>203</v>
      </c>
      <c r="B252">
        <v>29</v>
      </c>
      <c r="C252">
        <v>2</v>
      </c>
      <c r="D252">
        <v>27</v>
      </c>
      <c r="E252">
        <v>-2.29</v>
      </c>
      <c r="F252">
        <v>1652</v>
      </c>
      <c r="G252">
        <v>574</v>
      </c>
      <c r="H252">
        <v>1433</v>
      </c>
      <c r="I252">
        <v>351</v>
      </c>
      <c r="J252">
        <v>507</v>
      </c>
      <c r="K252">
        <v>248</v>
      </c>
      <c r="L252">
        <v>830</v>
      </c>
      <c r="M252">
        <v>298</v>
      </c>
      <c r="N252">
        <v>129</v>
      </c>
      <c r="O252">
        <v>46</v>
      </c>
      <c r="P252">
        <v>420</v>
      </c>
      <c r="Q252">
        <v>522</v>
      </c>
      <c r="R252">
        <v>251</v>
      </c>
    </row>
    <row r="253" spans="1:18">
      <c r="A253" s="1" t="s">
        <v>204</v>
      </c>
      <c r="B253">
        <v>31</v>
      </c>
      <c r="C253">
        <v>17</v>
      </c>
      <c r="D253">
        <v>14</v>
      </c>
      <c r="E253">
        <v>-6.85</v>
      </c>
      <c r="F253">
        <v>2277</v>
      </c>
      <c r="G253">
        <v>857</v>
      </c>
      <c r="H253">
        <v>1772</v>
      </c>
      <c r="I253">
        <v>322</v>
      </c>
      <c r="J253">
        <v>460</v>
      </c>
      <c r="K253">
        <v>324</v>
      </c>
      <c r="L253">
        <v>1040</v>
      </c>
      <c r="M253">
        <v>520</v>
      </c>
      <c r="N253">
        <v>240</v>
      </c>
      <c r="O253">
        <v>118</v>
      </c>
      <c r="P253">
        <v>493</v>
      </c>
      <c r="Q253">
        <v>546</v>
      </c>
      <c r="R253">
        <v>252</v>
      </c>
    </row>
    <row r="254" spans="1:18">
      <c r="A254" s="1" t="s">
        <v>205</v>
      </c>
      <c r="B254">
        <v>29</v>
      </c>
      <c r="C254">
        <v>6</v>
      </c>
      <c r="D254">
        <v>23</v>
      </c>
      <c r="E254">
        <v>-6.24</v>
      </c>
      <c r="F254">
        <v>1771</v>
      </c>
      <c r="G254">
        <v>618</v>
      </c>
      <c r="H254">
        <v>1450</v>
      </c>
      <c r="I254">
        <v>368</v>
      </c>
      <c r="J254">
        <v>503</v>
      </c>
      <c r="K254">
        <v>279</v>
      </c>
      <c r="L254">
        <v>900</v>
      </c>
      <c r="M254">
        <v>391</v>
      </c>
      <c r="N254">
        <v>177</v>
      </c>
      <c r="O254">
        <v>56</v>
      </c>
      <c r="P254">
        <v>463</v>
      </c>
      <c r="Q254">
        <v>566</v>
      </c>
      <c r="R254">
        <v>253</v>
      </c>
    </row>
    <row r="255" spans="1:18">
      <c r="A255" s="1" t="s">
        <v>206</v>
      </c>
      <c r="B255">
        <v>32</v>
      </c>
      <c r="C255">
        <v>17</v>
      </c>
      <c r="D255">
        <v>15</v>
      </c>
      <c r="E255">
        <v>2.21</v>
      </c>
      <c r="F255">
        <v>2184</v>
      </c>
      <c r="G255">
        <v>757</v>
      </c>
      <c r="H255">
        <v>1722</v>
      </c>
      <c r="I255">
        <v>508</v>
      </c>
      <c r="J255">
        <v>692</v>
      </c>
      <c r="K255">
        <v>329</v>
      </c>
      <c r="L255">
        <v>1104</v>
      </c>
      <c r="M255">
        <v>472</v>
      </c>
      <c r="N255">
        <v>207</v>
      </c>
      <c r="O255">
        <v>119</v>
      </c>
      <c r="P255">
        <v>429</v>
      </c>
      <c r="Q255">
        <v>538</v>
      </c>
      <c r="R255">
        <v>254</v>
      </c>
    </row>
    <row r="256" spans="1:18">
      <c r="A256" s="1" t="s">
        <v>292</v>
      </c>
      <c r="B256">
        <v>32</v>
      </c>
      <c r="C256">
        <v>18</v>
      </c>
      <c r="D256">
        <v>14</v>
      </c>
      <c r="E256">
        <v>0.99</v>
      </c>
      <c r="F256">
        <v>1977</v>
      </c>
      <c r="G256">
        <v>689</v>
      </c>
      <c r="H256">
        <v>1605</v>
      </c>
      <c r="I256">
        <v>428</v>
      </c>
      <c r="J256">
        <v>617</v>
      </c>
      <c r="K256">
        <v>313</v>
      </c>
      <c r="L256">
        <v>1038</v>
      </c>
      <c r="M256">
        <v>377</v>
      </c>
      <c r="N256">
        <v>154</v>
      </c>
      <c r="O256">
        <v>80</v>
      </c>
      <c r="P256">
        <v>403</v>
      </c>
      <c r="Q256">
        <v>526</v>
      </c>
      <c r="R256">
        <v>255</v>
      </c>
    </row>
    <row r="257" spans="1:18">
      <c r="A257" s="1" t="s">
        <v>207</v>
      </c>
      <c r="B257">
        <v>35</v>
      </c>
      <c r="C257">
        <v>28</v>
      </c>
      <c r="D257">
        <v>7</v>
      </c>
      <c r="E257">
        <v>1.49</v>
      </c>
      <c r="F257">
        <v>2569</v>
      </c>
      <c r="G257">
        <v>898</v>
      </c>
      <c r="H257">
        <v>2027</v>
      </c>
      <c r="I257">
        <v>542</v>
      </c>
      <c r="J257">
        <v>781</v>
      </c>
      <c r="K257">
        <v>493</v>
      </c>
      <c r="L257">
        <v>1389</v>
      </c>
      <c r="M257">
        <v>471</v>
      </c>
      <c r="N257">
        <v>255</v>
      </c>
      <c r="O257">
        <v>172</v>
      </c>
      <c r="P257">
        <v>437</v>
      </c>
      <c r="Q257">
        <v>563</v>
      </c>
      <c r="R257">
        <v>256</v>
      </c>
    </row>
    <row r="258" spans="1:18">
      <c r="A258" s="1" t="s">
        <v>208</v>
      </c>
      <c r="B258">
        <v>30</v>
      </c>
      <c r="C258">
        <v>11</v>
      </c>
      <c r="D258">
        <v>19</v>
      </c>
      <c r="E258">
        <v>-3.43</v>
      </c>
      <c r="F258">
        <v>1780</v>
      </c>
      <c r="G258">
        <v>618</v>
      </c>
      <c r="H258">
        <v>1559</v>
      </c>
      <c r="I258">
        <v>397</v>
      </c>
      <c r="J258">
        <v>599</v>
      </c>
      <c r="K258">
        <v>363</v>
      </c>
      <c r="L258">
        <v>986</v>
      </c>
      <c r="M258">
        <v>297</v>
      </c>
      <c r="N258">
        <v>242</v>
      </c>
      <c r="O258">
        <v>124</v>
      </c>
      <c r="P258">
        <v>459</v>
      </c>
      <c r="Q258">
        <v>595</v>
      </c>
      <c r="R258">
        <v>257</v>
      </c>
    </row>
    <row r="259" spans="1:18">
      <c r="A259" s="1" t="s">
        <v>209</v>
      </c>
      <c r="B259">
        <v>30</v>
      </c>
      <c r="C259">
        <v>18</v>
      </c>
      <c r="D259">
        <v>12</v>
      </c>
      <c r="E259">
        <v>-2.59</v>
      </c>
      <c r="F259">
        <v>2279</v>
      </c>
      <c r="G259">
        <v>768</v>
      </c>
      <c r="H259">
        <v>1726</v>
      </c>
      <c r="I259">
        <v>500</v>
      </c>
      <c r="J259">
        <v>713</v>
      </c>
      <c r="K259">
        <v>402</v>
      </c>
      <c r="L259">
        <v>1136</v>
      </c>
      <c r="M259">
        <v>546</v>
      </c>
      <c r="N259">
        <v>243</v>
      </c>
      <c r="O259">
        <v>74</v>
      </c>
      <c r="P259">
        <v>451</v>
      </c>
      <c r="Q259">
        <v>650</v>
      </c>
      <c r="R259">
        <v>258</v>
      </c>
    </row>
    <row r="260" spans="1:18">
      <c r="A260" s="1" t="s">
        <v>293</v>
      </c>
      <c r="B260">
        <v>32</v>
      </c>
      <c r="C260">
        <v>16</v>
      </c>
      <c r="D260">
        <v>16</v>
      </c>
      <c r="E260">
        <v>-6.38</v>
      </c>
      <c r="F260">
        <v>1972</v>
      </c>
      <c r="G260">
        <v>680</v>
      </c>
      <c r="H260">
        <v>1458</v>
      </c>
      <c r="I260">
        <v>348</v>
      </c>
      <c r="J260">
        <v>511</v>
      </c>
      <c r="K260">
        <v>197</v>
      </c>
      <c r="L260">
        <v>845</v>
      </c>
      <c r="M260">
        <v>439</v>
      </c>
      <c r="N260">
        <v>209</v>
      </c>
      <c r="O260">
        <v>40</v>
      </c>
      <c r="P260">
        <v>416</v>
      </c>
      <c r="Q260">
        <v>475</v>
      </c>
      <c r="R260">
        <v>259</v>
      </c>
    </row>
    <row r="261" spans="1:18">
      <c r="A261" s="1" t="s">
        <v>210</v>
      </c>
      <c r="B261">
        <v>36</v>
      </c>
      <c r="C261">
        <v>26</v>
      </c>
      <c r="D261">
        <v>10</v>
      </c>
      <c r="E261">
        <v>4.74</v>
      </c>
      <c r="F261">
        <v>2416</v>
      </c>
      <c r="G261">
        <v>868</v>
      </c>
      <c r="H261">
        <v>1953</v>
      </c>
      <c r="I261">
        <v>468</v>
      </c>
      <c r="J261">
        <v>664</v>
      </c>
      <c r="K261">
        <v>435</v>
      </c>
      <c r="L261">
        <v>1220</v>
      </c>
      <c r="M261">
        <v>467</v>
      </c>
      <c r="N261">
        <v>287</v>
      </c>
      <c r="O261">
        <v>90</v>
      </c>
      <c r="P261">
        <v>459</v>
      </c>
      <c r="Q261">
        <v>600</v>
      </c>
      <c r="R261">
        <v>260</v>
      </c>
    </row>
    <row r="262" spans="1:18">
      <c r="A262" s="1" t="s">
        <v>211</v>
      </c>
      <c r="B262">
        <v>32</v>
      </c>
      <c r="C262">
        <v>16</v>
      </c>
      <c r="D262">
        <v>16</v>
      </c>
      <c r="E262">
        <v>1.57</v>
      </c>
      <c r="F262">
        <v>1973</v>
      </c>
      <c r="G262">
        <v>719</v>
      </c>
      <c r="H262">
        <v>1647</v>
      </c>
      <c r="I262">
        <v>378</v>
      </c>
      <c r="J262">
        <v>537</v>
      </c>
      <c r="K262">
        <v>290</v>
      </c>
      <c r="L262">
        <v>972</v>
      </c>
      <c r="M262">
        <v>369</v>
      </c>
      <c r="N262">
        <v>186</v>
      </c>
      <c r="O262">
        <v>113</v>
      </c>
      <c r="P262">
        <v>425</v>
      </c>
      <c r="Q262">
        <v>586</v>
      </c>
      <c r="R262">
        <v>261</v>
      </c>
    </row>
    <row r="263" spans="1:18">
      <c r="A263" s="1" t="s">
        <v>212</v>
      </c>
      <c r="B263">
        <v>30</v>
      </c>
      <c r="C263">
        <v>11</v>
      </c>
      <c r="D263">
        <v>19</v>
      </c>
      <c r="E263">
        <v>0.3</v>
      </c>
      <c r="F263">
        <v>2030</v>
      </c>
      <c r="G263">
        <v>692</v>
      </c>
      <c r="H263">
        <v>1599</v>
      </c>
      <c r="I263">
        <v>439</v>
      </c>
      <c r="J263">
        <v>633</v>
      </c>
      <c r="K263">
        <v>300</v>
      </c>
      <c r="L263">
        <v>960</v>
      </c>
      <c r="M263">
        <v>375</v>
      </c>
      <c r="N263">
        <v>160</v>
      </c>
      <c r="O263">
        <v>64</v>
      </c>
      <c r="P263">
        <v>395</v>
      </c>
      <c r="Q263">
        <v>568</v>
      </c>
      <c r="R263">
        <v>262</v>
      </c>
    </row>
    <row r="264" spans="1:18">
      <c r="A264" s="1" t="s">
        <v>213</v>
      </c>
      <c r="B264">
        <v>30</v>
      </c>
      <c r="C264">
        <v>13</v>
      </c>
      <c r="D264">
        <v>17</v>
      </c>
      <c r="E264">
        <v>0.44</v>
      </c>
      <c r="F264">
        <v>2024</v>
      </c>
      <c r="G264">
        <v>749</v>
      </c>
      <c r="H264">
        <v>1676</v>
      </c>
      <c r="I264">
        <v>404</v>
      </c>
      <c r="J264">
        <v>597</v>
      </c>
      <c r="K264">
        <v>378</v>
      </c>
      <c r="L264">
        <v>1083</v>
      </c>
      <c r="M264">
        <v>380</v>
      </c>
      <c r="N264">
        <v>173</v>
      </c>
      <c r="O264">
        <v>90</v>
      </c>
      <c r="P264">
        <v>441</v>
      </c>
      <c r="Q264">
        <v>484</v>
      </c>
      <c r="R264">
        <v>263</v>
      </c>
    </row>
    <row r="265" spans="1:18">
      <c r="A265" s="1" t="s">
        <v>214</v>
      </c>
      <c r="B265">
        <v>33</v>
      </c>
      <c r="C265">
        <v>16</v>
      </c>
      <c r="D265">
        <v>17</v>
      </c>
      <c r="E265">
        <v>0.41</v>
      </c>
      <c r="F265">
        <v>2164</v>
      </c>
      <c r="G265">
        <v>771</v>
      </c>
      <c r="H265">
        <v>1667</v>
      </c>
      <c r="I265">
        <v>434</v>
      </c>
      <c r="J265">
        <v>613</v>
      </c>
      <c r="K265">
        <v>324</v>
      </c>
      <c r="L265">
        <v>1163</v>
      </c>
      <c r="M265">
        <v>421</v>
      </c>
      <c r="N265">
        <v>187</v>
      </c>
      <c r="O265">
        <v>156</v>
      </c>
      <c r="P265">
        <v>549</v>
      </c>
      <c r="Q265">
        <v>584</v>
      </c>
      <c r="R265">
        <v>264</v>
      </c>
    </row>
    <row r="266" spans="1:18">
      <c r="A266" s="1" t="s">
        <v>322</v>
      </c>
      <c r="B266">
        <v>29</v>
      </c>
      <c r="C266">
        <v>15</v>
      </c>
      <c r="D266">
        <v>14</v>
      </c>
      <c r="E266">
        <v>-1.1599999999999999</v>
      </c>
      <c r="F266">
        <v>1733</v>
      </c>
      <c r="G266">
        <v>626</v>
      </c>
      <c r="H266">
        <v>1518</v>
      </c>
      <c r="I266">
        <v>360</v>
      </c>
      <c r="J266">
        <v>522</v>
      </c>
      <c r="K266">
        <v>324</v>
      </c>
      <c r="L266">
        <v>968</v>
      </c>
      <c r="M266">
        <v>349</v>
      </c>
      <c r="N266">
        <v>253</v>
      </c>
      <c r="O266">
        <v>65</v>
      </c>
      <c r="P266">
        <v>495</v>
      </c>
      <c r="Q266">
        <v>556</v>
      </c>
      <c r="R266">
        <v>265</v>
      </c>
    </row>
    <row r="267" spans="1:18">
      <c r="A267" s="1" t="s">
        <v>294</v>
      </c>
      <c r="B267">
        <v>32</v>
      </c>
      <c r="C267">
        <v>17</v>
      </c>
      <c r="D267">
        <v>15</v>
      </c>
      <c r="E267">
        <v>6.47</v>
      </c>
      <c r="F267">
        <v>2376</v>
      </c>
      <c r="G267">
        <v>853</v>
      </c>
      <c r="H267">
        <v>1942</v>
      </c>
      <c r="I267">
        <v>469</v>
      </c>
      <c r="J267">
        <v>653</v>
      </c>
      <c r="K267">
        <v>378</v>
      </c>
      <c r="L267">
        <v>1082</v>
      </c>
      <c r="M267">
        <v>415</v>
      </c>
      <c r="N267">
        <v>276</v>
      </c>
      <c r="O267">
        <v>110</v>
      </c>
      <c r="P267">
        <v>394</v>
      </c>
      <c r="Q267">
        <v>639</v>
      </c>
      <c r="R267">
        <v>266</v>
      </c>
    </row>
    <row r="268" spans="1:18">
      <c r="A268" s="1" t="s">
        <v>215</v>
      </c>
      <c r="B268">
        <v>35</v>
      </c>
      <c r="C268">
        <v>27</v>
      </c>
      <c r="D268">
        <v>8</v>
      </c>
      <c r="E268">
        <v>0.99</v>
      </c>
      <c r="F268">
        <v>2709</v>
      </c>
      <c r="G268">
        <v>1007</v>
      </c>
      <c r="H268">
        <v>2157</v>
      </c>
      <c r="I268">
        <v>511</v>
      </c>
      <c r="J268">
        <v>769</v>
      </c>
      <c r="K268">
        <v>438</v>
      </c>
      <c r="L268">
        <v>1273</v>
      </c>
      <c r="M268">
        <v>534</v>
      </c>
      <c r="N268">
        <v>309</v>
      </c>
      <c r="O268">
        <v>159</v>
      </c>
      <c r="P268">
        <v>462</v>
      </c>
      <c r="Q268">
        <v>521</v>
      </c>
      <c r="R268">
        <v>267</v>
      </c>
    </row>
    <row r="269" spans="1:18">
      <c r="A269" s="1" t="s">
        <v>216</v>
      </c>
      <c r="B269">
        <v>33</v>
      </c>
      <c r="C269">
        <v>20</v>
      </c>
      <c r="D269">
        <v>13</v>
      </c>
      <c r="E269">
        <v>-3.75</v>
      </c>
      <c r="F269">
        <v>2301</v>
      </c>
      <c r="G269">
        <v>831</v>
      </c>
      <c r="H269">
        <v>1768</v>
      </c>
      <c r="I269">
        <v>490</v>
      </c>
      <c r="J269">
        <v>737</v>
      </c>
      <c r="K269">
        <v>401</v>
      </c>
      <c r="L269">
        <v>1246</v>
      </c>
      <c r="M269">
        <v>444</v>
      </c>
      <c r="N269">
        <v>151</v>
      </c>
      <c r="O269">
        <v>173</v>
      </c>
      <c r="P269">
        <v>449</v>
      </c>
      <c r="Q269">
        <v>566</v>
      </c>
      <c r="R269">
        <v>268</v>
      </c>
    </row>
    <row r="270" spans="1:18">
      <c r="A270" s="1" t="s">
        <v>295</v>
      </c>
      <c r="B270">
        <v>31</v>
      </c>
      <c r="C270">
        <v>17</v>
      </c>
      <c r="D270">
        <v>14</v>
      </c>
      <c r="E270">
        <v>-9.4700000000000006</v>
      </c>
      <c r="F270">
        <v>2166</v>
      </c>
      <c r="G270">
        <v>792</v>
      </c>
      <c r="H270">
        <v>1729</v>
      </c>
      <c r="I270">
        <v>440</v>
      </c>
      <c r="J270">
        <v>655</v>
      </c>
      <c r="K270">
        <v>404</v>
      </c>
      <c r="L270">
        <v>1232</v>
      </c>
      <c r="M270">
        <v>431</v>
      </c>
      <c r="N270">
        <v>198</v>
      </c>
      <c r="O270">
        <v>106</v>
      </c>
      <c r="P270">
        <v>556</v>
      </c>
      <c r="Q270">
        <v>522</v>
      </c>
      <c r="R270">
        <v>269</v>
      </c>
    </row>
    <row r="271" spans="1:18">
      <c r="A271" s="1" t="s">
        <v>351</v>
      </c>
      <c r="B271">
        <v>30</v>
      </c>
      <c r="C271">
        <v>9</v>
      </c>
      <c r="D271">
        <v>21</v>
      </c>
      <c r="F271">
        <v>1812</v>
      </c>
      <c r="G271">
        <v>650</v>
      </c>
      <c r="H271">
        <v>1606</v>
      </c>
      <c r="I271">
        <v>349</v>
      </c>
      <c r="J271">
        <v>528</v>
      </c>
      <c r="K271">
        <v>337</v>
      </c>
      <c r="L271">
        <v>1028</v>
      </c>
      <c r="M271">
        <v>377</v>
      </c>
      <c r="N271">
        <v>183</v>
      </c>
      <c r="O271">
        <v>126</v>
      </c>
      <c r="P271">
        <v>472</v>
      </c>
      <c r="Q271">
        <v>501</v>
      </c>
      <c r="R271">
        <v>270</v>
      </c>
    </row>
    <row r="272" spans="1:18">
      <c r="A272" s="1" t="s">
        <v>217</v>
      </c>
      <c r="B272">
        <v>31</v>
      </c>
      <c r="C272">
        <v>21</v>
      </c>
      <c r="D272">
        <v>10</v>
      </c>
      <c r="E272">
        <v>4.2</v>
      </c>
      <c r="F272">
        <v>2425</v>
      </c>
      <c r="G272">
        <v>891</v>
      </c>
      <c r="H272">
        <v>1986</v>
      </c>
      <c r="I272">
        <v>428</v>
      </c>
      <c r="J272">
        <v>670</v>
      </c>
      <c r="K272">
        <v>408</v>
      </c>
      <c r="L272">
        <v>1114</v>
      </c>
      <c r="M272">
        <v>341</v>
      </c>
      <c r="N272">
        <v>284</v>
      </c>
      <c r="O272">
        <v>155</v>
      </c>
      <c r="P272">
        <v>421</v>
      </c>
      <c r="Q272">
        <v>584</v>
      </c>
      <c r="R272">
        <v>271</v>
      </c>
    </row>
    <row r="273" spans="1:18">
      <c r="A273" s="1" t="s">
        <v>341</v>
      </c>
      <c r="B273">
        <v>33</v>
      </c>
      <c r="C273">
        <v>13</v>
      </c>
      <c r="D273">
        <v>20</v>
      </c>
      <c r="E273">
        <v>-1.45</v>
      </c>
      <c r="F273">
        <v>2280</v>
      </c>
      <c r="G273">
        <v>810</v>
      </c>
      <c r="H273">
        <v>1837</v>
      </c>
      <c r="I273">
        <v>442</v>
      </c>
      <c r="J273">
        <v>631</v>
      </c>
      <c r="K273">
        <v>387</v>
      </c>
      <c r="L273">
        <v>1130</v>
      </c>
      <c r="M273">
        <v>390</v>
      </c>
      <c r="N273">
        <v>151</v>
      </c>
      <c r="O273">
        <v>50</v>
      </c>
      <c r="P273">
        <v>426</v>
      </c>
      <c r="Q273">
        <v>601</v>
      </c>
      <c r="R273">
        <v>272</v>
      </c>
    </row>
    <row r="274" spans="1:18">
      <c r="A274" s="1" t="s">
        <v>218</v>
      </c>
      <c r="B274">
        <v>31</v>
      </c>
      <c r="C274">
        <v>9</v>
      </c>
      <c r="D274">
        <v>22</v>
      </c>
      <c r="E274">
        <v>8.18</v>
      </c>
      <c r="F274">
        <v>1830</v>
      </c>
      <c r="G274">
        <v>663</v>
      </c>
      <c r="H274">
        <v>1660</v>
      </c>
      <c r="I274">
        <v>347</v>
      </c>
      <c r="J274">
        <v>580</v>
      </c>
      <c r="K274">
        <v>385</v>
      </c>
      <c r="L274">
        <v>1098</v>
      </c>
      <c r="M274">
        <v>385</v>
      </c>
      <c r="N274">
        <v>162</v>
      </c>
      <c r="O274">
        <v>84</v>
      </c>
      <c r="P274">
        <v>389</v>
      </c>
      <c r="Q274">
        <v>551</v>
      </c>
      <c r="R274">
        <v>273</v>
      </c>
    </row>
    <row r="275" spans="1:18">
      <c r="A275" s="1" t="s">
        <v>296</v>
      </c>
      <c r="B275">
        <v>30</v>
      </c>
      <c r="C275">
        <v>3</v>
      </c>
      <c r="D275">
        <v>27</v>
      </c>
      <c r="E275">
        <v>-3.75</v>
      </c>
      <c r="F275">
        <v>2035</v>
      </c>
      <c r="G275">
        <v>726</v>
      </c>
      <c r="H275">
        <v>1689</v>
      </c>
      <c r="I275">
        <v>433</v>
      </c>
      <c r="J275">
        <v>621</v>
      </c>
      <c r="K275">
        <v>309</v>
      </c>
      <c r="L275">
        <v>1010</v>
      </c>
      <c r="M275">
        <v>338</v>
      </c>
      <c r="N275">
        <v>166</v>
      </c>
      <c r="O275">
        <v>101</v>
      </c>
      <c r="P275">
        <v>459</v>
      </c>
      <c r="Q275">
        <v>509</v>
      </c>
      <c r="R275">
        <v>274</v>
      </c>
    </row>
    <row r="276" spans="1:18">
      <c r="A276" s="1" t="s">
        <v>219</v>
      </c>
      <c r="B276">
        <v>30</v>
      </c>
      <c r="C276">
        <v>13</v>
      </c>
      <c r="D276">
        <v>17</v>
      </c>
      <c r="E276">
        <v>-2.89</v>
      </c>
      <c r="F276">
        <v>2127</v>
      </c>
      <c r="G276">
        <v>797</v>
      </c>
      <c r="H276">
        <v>1707</v>
      </c>
      <c r="I276">
        <v>353</v>
      </c>
      <c r="J276">
        <v>551</v>
      </c>
      <c r="K276">
        <v>338</v>
      </c>
      <c r="L276">
        <v>1087</v>
      </c>
      <c r="M276">
        <v>448</v>
      </c>
      <c r="N276">
        <v>200</v>
      </c>
      <c r="O276">
        <v>130</v>
      </c>
      <c r="P276">
        <v>429</v>
      </c>
      <c r="Q276">
        <v>586</v>
      </c>
      <c r="R276">
        <v>275</v>
      </c>
    </row>
    <row r="277" spans="1:18">
      <c r="A277" s="1" t="s">
        <v>220</v>
      </c>
      <c r="B277">
        <v>35</v>
      </c>
      <c r="C277">
        <v>22</v>
      </c>
      <c r="D277">
        <v>13</v>
      </c>
      <c r="E277">
        <v>9.15</v>
      </c>
      <c r="F277">
        <v>2397</v>
      </c>
      <c r="G277">
        <v>872</v>
      </c>
      <c r="H277">
        <v>1843</v>
      </c>
      <c r="I277">
        <v>524</v>
      </c>
      <c r="J277">
        <v>778</v>
      </c>
      <c r="K277">
        <v>409</v>
      </c>
      <c r="L277">
        <v>1247</v>
      </c>
      <c r="M277">
        <v>438</v>
      </c>
      <c r="N277">
        <v>224</v>
      </c>
      <c r="O277">
        <v>165</v>
      </c>
      <c r="P277">
        <v>487</v>
      </c>
      <c r="Q277">
        <v>584</v>
      </c>
      <c r="R277">
        <v>276</v>
      </c>
    </row>
    <row r="278" spans="1:18">
      <c r="A278" s="1" t="s">
        <v>355</v>
      </c>
      <c r="B278">
        <v>30</v>
      </c>
      <c r="C278">
        <v>10</v>
      </c>
      <c r="D278">
        <v>20</v>
      </c>
      <c r="F278">
        <v>2116</v>
      </c>
      <c r="G278">
        <v>771</v>
      </c>
      <c r="H278">
        <v>1746</v>
      </c>
      <c r="I278">
        <v>366</v>
      </c>
      <c r="J278">
        <v>535</v>
      </c>
      <c r="K278">
        <v>109</v>
      </c>
      <c r="L278">
        <v>976</v>
      </c>
      <c r="M278">
        <v>404</v>
      </c>
      <c r="N278">
        <v>220</v>
      </c>
      <c r="O278">
        <v>101</v>
      </c>
      <c r="P278">
        <v>258</v>
      </c>
      <c r="Q278">
        <v>586</v>
      </c>
      <c r="R278">
        <v>277</v>
      </c>
    </row>
    <row r="279" spans="1:18">
      <c r="A279" s="1" t="s">
        <v>221</v>
      </c>
      <c r="B279">
        <v>31</v>
      </c>
      <c r="C279">
        <v>13</v>
      </c>
      <c r="D279">
        <v>18</v>
      </c>
      <c r="E279">
        <v>3.19</v>
      </c>
      <c r="F279">
        <v>1966</v>
      </c>
      <c r="G279">
        <v>668</v>
      </c>
      <c r="H279">
        <v>1596</v>
      </c>
      <c r="I279">
        <v>438</v>
      </c>
      <c r="J279">
        <v>607</v>
      </c>
      <c r="K279">
        <v>325</v>
      </c>
      <c r="L279">
        <v>992</v>
      </c>
      <c r="M279">
        <v>400</v>
      </c>
      <c r="N279">
        <v>194</v>
      </c>
      <c r="O279">
        <v>73</v>
      </c>
      <c r="P279">
        <v>463</v>
      </c>
      <c r="Q279">
        <v>661</v>
      </c>
      <c r="R279">
        <v>278</v>
      </c>
    </row>
    <row r="280" spans="1:18">
      <c r="A280" s="1" t="s">
        <v>222</v>
      </c>
      <c r="B280">
        <v>30</v>
      </c>
      <c r="C280">
        <v>9</v>
      </c>
      <c r="D280">
        <v>21</v>
      </c>
      <c r="E280">
        <v>3.62</v>
      </c>
      <c r="F280">
        <v>1937</v>
      </c>
      <c r="G280">
        <v>710</v>
      </c>
      <c r="H280">
        <v>1629</v>
      </c>
      <c r="I280">
        <v>335</v>
      </c>
      <c r="J280">
        <v>521</v>
      </c>
      <c r="K280">
        <v>356</v>
      </c>
      <c r="L280">
        <v>1056</v>
      </c>
      <c r="M280">
        <v>334</v>
      </c>
      <c r="N280">
        <v>180</v>
      </c>
      <c r="O280">
        <v>108</v>
      </c>
      <c r="P280">
        <v>447</v>
      </c>
      <c r="Q280">
        <v>533</v>
      </c>
      <c r="R280">
        <v>279</v>
      </c>
    </row>
    <row r="281" spans="1:18">
      <c r="A281" s="1" t="s">
        <v>223</v>
      </c>
      <c r="B281">
        <v>32</v>
      </c>
      <c r="C281">
        <v>15</v>
      </c>
      <c r="D281">
        <v>17</v>
      </c>
      <c r="E281">
        <v>3.81</v>
      </c>
      <c r="F281">
        <v>2136</v>
      </c>
      <c r="G281">
        <v>763</v>
      </c>
      <c r="H281">
        <v>1761</v>
      </c>
      <c r="I281">
        <v>501</v>
      </c>
      <c r="J281">
        <v>689</v>
      </c>
      <c r="K281">
        <v>340</v>
      </c>
      <c r="L281">
        <v>1088</v>
      </c>
      <c r="M281">
        <v>337</v>
      </c>
      <c r="N281">
        <v>148</v>
      </c>
      <c r="O281">
        <v>60</v>
      </c>
      <c r="P281">
        <v>320</v>
      </c>
      <c r="Q281">
        <v>595</v>
      </c>
      <c r="R281">
        <v>280</v>
      </c>
    </row>
    <row r="282" spans="1:18">
      <c r="A282" s="1" t="s">
        <v>224</v>
      </c>
      <c r="B282">
        <v>31</v>
      </c>
      <c r="C282">
        <v>11</v>
      </c>
      <c r="D282">
        <v>20</v>
      </c>
      <c r="E282">
        <v>-2.12</v>
      </c>
      <c r="F282">
        <v>2017</v>
      </c>
      <c r="G282">
        <v>697</v>
      </c>
      <c r="H282">
        <v>1510</v>
      </c>
      <c r="I282">
        <v>484</v>
      </c>
      <c r="J282">
        <v>608</v>
      </c>
      <c r="K282">
        <v>285</v>
      </c>
      <c r="L282">
        <v>936</v>
      </c>
      <c r="M282">
        <v>422</v>
      </c>
      <c r="N282">
        <v>184</v>
      </c>
      <c r="O282">
        <v>32</v>
      </c>
      <c r="P282">
        <v>464</v>
      </c>
      <c r="Q282">
        <v>582</v>
      </c>
      <c r="R282">
        <v>281</v>
      </c>
    </row>
    <row r="283" spans="1:18">
      <c r="A283" s="1" t="s">
        <v>225</v>
      </c>
      <c r="B283">
        <v>31</v>
      </c>
      <c r="C283">
        <v>8</v>
      </c>
      <c r="D283">
        <v>23</v>
      </c>
      <c r="E283">
        <v>-11.5</v>
      </c>
      <c r="F283">
        <v>1957</v>
      </c>
      <c r="G283">
        <v>688</v>
      </c>
      <c r="H283">
        <v>1694</v>
      </c>
      <c r="I283">
        <v>419</v>
      </c>
      <c r="J283">
        <v>640</v>
      </c>
      <c r="K283">
        <v>405</v>
      </c>
      <c r="L283">
        <v>1151</v>
      </c>
      <c r="M283">
        <v>329</v>
      </c>
      <c r="N283">
        <v>175</v>
      </c>
      <c r="O283">
        <v>76</v>
      </c>
      <c r="P283">
        <v>526</v>
      </c>
      <c r="Q283">
        <v>516</v>
      </c>
      <c r="R283">
        <v>282</v>
      </c>
    </row>
    <row r="284" spans="1:18">
      <c r="A284" s="1" t="s">
        <v>297</v>
      </c>
      <c r="B284">
        <v>30</v>
      </c>
      <c r="C284">
        <v>15</v>
      </c>
      <c r="D284">
        <v>15</v>
      </c>
      <c r="E284">
        <v>-1.1200000000000001</v>
      </c>
      <c r="F284">
        <v>2103</v>
      </c>
      <c r="G284">
        <v>773</v>
      </c>
      <c r="H284">
        <v>1709</v>
      </c>
      <c r="I284">
        <v>422</v>
      </c>
      <c r="J284">
        <v>632</v>
      </c>
      <c r="K284">
        <v>363</v>
      </c>
      <c r="L284">
        <v>1162</v>
      </c>
      <c r="M284">
        <v>442</v>
      </c>
      <c r="N284">
        <v>191</v>
      </c>
      <c r="O284">
        <v>144</v>
      </c>
      <c r="P284">
        <v>511</v>
      </c>
      <c r="Q284">
        <v>632</v>
      </c>
      <c r="R284">
        <v>283</v>
      </c>
    </row>
    <row r="285" spans="1:18">
      <c r="A285" s="1" t="s">
        <v>226</v>
      </c>
      <c r="B285">
        <v>30</v>
      </c>
      <c r="C285">
        <v>10</v>
      </c>
      <c r="D285">
        <v>20</v>
      </c>
      <c r="E285">
        <v>-6.66</v>
      </c>
      <c r="F285">
        <v>1970</v>
      </c>
      <c r="G285">
        <v>677</v>
      </c>
      <c r="H285">
        <v>1630</v>
      </c>
      <c r="I285">
        <v>353</v>
      </c>
      <c r="J285">
        <v>548</v>
      </c>
      <c r="K285">
        <v>307</v>
      </c>
      <c r="L285">
        <v>979</v>
      </c>
      <c r="M285">
        <v>376</v>
      </c>
      <c r="N285">
        <v>176</v>
      </c>
      <c r="O285">
        <v>128</v>
      </c>
      <c r="P285">
        <v>475</v>
      </c>
      <c r="Q285">
        <v>627</v>
      </c>
      <c r="R285">
        <v>284</v>
      </c>
    </row>
    <row r="286" spans="1:18">
      <c r="A286" s="1" t="s">
        <v>298</v>
      </c>
      <c r="B286">
        <v>34</v>
      </c>
      <c r="C286">
        <v>16</v>
      </c>
      <c r="D286">
        <v>18</v>
      </c>
      <c r="E286">
        <v>6.83</v>
      </c>
      <c r="F286">
        <v>2242</v>
      </c>
      <c r="G286">
        <v>819</v>
      </c>
      <c r="H286">
        <v>1923</v>
      </c>
      <c r="I286">
        <v>464</v>
      </c>
      <c r="J286">
        <v>715</v>
      </c>
      <c r="K286">
        <v>474</v>
      </c>
      <c r="L286">
        <v>1258</v>
      </c>
      <c r="M286">
        <v>408</v>
      </c>
      <c r="N286">
        <v>246</v>
      </c>
      <c r="O286">
        <v>123</v>
      </c>
      <c r="P286">
        <v>503</v>
      </c>
      <c r="Q286">
        <v>621</v>
      </c>
      <c r="R286">
        <v>285</v>
      </c>
    </row>
    <row r="287" spans="1:18">
      <c r="A287" s="1" t="s">
        <v>342</v>
      </c>
      <c r="B287">
        <v>34</v>
      </c>
      <c r="C287">
        <v>20</v>
      </c>
      <c r="D287">
        <v>14</v>
      </c>
      <c r="E287">
        <v>6.91</v>
      </c>
      <c r="F287">
        <v>2488</v>
      </c>
      <c r="G287">
        <v>891</v>
      </c>
      <c r="H287">
        <v>1936</v>
      </c>
      <c r="I287">
        <v>457</v>
      </c>
      <c r="J287">
        <v>648</v>
      </c>
      <c r="K287">
        <v>366</v>
      </c>
      <c r="L287">
        <v>1093</v>
      </c>
      <c r="M287">
        <v>510</v>
      </c>
      <c r="N287">
        <v>227</v>
      </c>
      <c r="O287">
        <v>79</v>
      </c>
      <c r="P287">
        <v>428</v>
      </c>
      <c r="Q287">
        <v>564</v>
      </c>
      <c r="R287">
        <v>286</v>
      </c>
    </row>
    <row r="288" spans="1:18">
      <c r="A288" s="1" t="s">
        <v>227</v>
      </c>
      <c r="B288">
        <v>32</v>
      </c>
      <c r="C288">
        <v>24</v>
      </c>
      <c r="D288">
        <v>8</v>
      </c>
      <c r="E288">
        <v>-3.21</v>
      </c>
      <c r="F288">
        <v>2099</v>
      </c>
      <c r="G288">
        <v>786</v>
      </c>
      <c r="H288">
        <v>1795</v>
      </c>
      <c r="I288">
        <v>350</v>
      </c>
      <c r="J288">
        <v>539</v>
      </c>
      <c r="K288">
        <v>311</v>
      </c>
      <c r="L288">
        <v>1126</v>
      </c>
      <c r="M288">
        <v>421</v>
      </c>
      <c r="N288">
        <v>200</v>
      </c>
      <c r="O288">
        <v>100</v>
      </c>
      <c r="P288">
        <v>384</v>
      </c>
      <c r="Q288">
        <v>582</v>
      </c>
      <c r="R288">
        <v>287</v>
      </c>
    </row>
    <row r="289" spans="1:18">
      <c r="A289" s="1" t="s">
        <v>228</v>
      </c>
      <c r="B289">
        <v>30</v>
      </c>
      <c r="C289">
        <v>13</v>
      </c>
      <c r="D289">
        <v>17</v>
      </c>
      <c r="E289">
        <v>1.17</v>
      </c>
      <c r="F289">
        <v>1989</v>
      </c>
      <c r="G289">
        <v>701</v>
      </c>
      <c r="H289">
        <v>1827</v>
      </c>
      <c r="I289">
        <v>350</v>
      </c>
      <c r="J289">
        <v>549</v>
      </c>
      <c r="K289">
        <v>408</v>
      </c>
      <c r="L289">
        <v>1124</v>
      </c>
      <c r="M289">
        <v>310</v>
      </c>
      <c r="N289">
        <v>215</v>
      </c>
      <c r="O289">
        <v>104</v>
      </c>
      <c r="P289">
        <v>431</v>
      </c>
      <c r="Q289">
        <v>566</v>
      </c>
      <c r="R289">
        <v>288</v>
      </c>
    </row>
    <row r="290" spans="1:18">
      <c r="A290" s="1" t="s">
        <v>229</v>
      </c>
      <c r="B290">
        <v>30</v>
      </c>
      <c r="C290">
        <v>16</v>
      </c>
      <c r="D290">
        <v>14</v>
      </c>
      <c r="E290">
        <v>-6.49</v>
      </c>
      <c r="F290">
        <v>1951</v>
      </c>
      <c r="G290">
        <v>684</v>
      </c>
      <c r="H290">
        <v>1658</v>
      </c>
      <c r="I290">
        <v>408</v>
      </c>
      <c r="J290">
        <v>601</v>
      </c>
      <c r="K290">
        <v>354</v>
      </c>
      <c r="L290">
        <v>1054</v>
      </c>
      <c r="M290">
        <v>295</v>
      </c>
      <c r="N290">
        <v>258</v>
      </c>
      <c r="O290">
        <v>78</v>
      </c>
      <c r="P290">
        <v>391</v>
      </c>
      <c r="Q290">
        <v>575</v>
      </c>
      <c r="R290">
        <v>289</v>
      </c>
    </row>
    <row r="291" spans="1:18">
      <c r="A291" s="1" t="s">
        <v>313</v>
      </c>
      <c r="B291">
        <v>38</v>
      </c>
      <c r="C291">
        <v>28</v>
      </c>
      <c r="D291">
        <v>10</v>
      </c>
      <c r="E291">
        <v>9.48</v>
      </c>
      <c r="F291">
        <v>3046</v>
      </c>
      <c r="G291">
        <v>1110</v>
      </c>
      <c r="H291">
        <v>2277</v>
      </c>
      <c r="I291">
        <v>570</v>
      </c>
      <c r="J291">
        <v>884</v>
      </c>
      <c r="K291">
        <v>482</v>
      </c>
      <c r="L291">
        <v>1505</v>
      </c>
      <c r="M291">
        <v>687</v>
      </c>
      <c r="N291">
        <v>296</v>
      </c>
      <c r="O291">
        <v>194</v>
      </c>
      <c r="P291">
        <v>583</v>
      </c>
      <c r="Q291">
        <v>580</v>
      </c>
      <c r="R291">
        <v>290</v>
      </c>
    </row>
    <row r="292" spans="1:18">
      <c r="A292" s="1" t="s">
        <v>314</v>
      </c>
      <c r="B292">
        <v>34</v>
      </c>
      <c r="C292">
        <v>22</v>
      </c>
      <c r="D292">
        <v>12</v>
      </c>
      <c r="E292">
        <v>3.9</v>
      </c>
      <c r="F292">
        <v>2333</v>
      </c>
      <c r="G292">
        <v>846</v>
      </c>
      <c r="H292">
        <v>1908</v>
      </c>
      <c r="I292">
        <v>383</v>
      </c>
      <c r="J292">
        <v>547</v>
      </c>
      <c r="K292">
        <v>376</v>
      </c>
      <c r="L292">
        <v>1248</v>
      </c>
      <c r="M292">
        <v>527</v>
      </c>
      <c r="N292">
        <v>189</v>
      </c>
      <c r="O292">
        <v>141</v>
      </c>
      <c r="P292">
        <v>426</v>
      </c>
      <c r="Q292">
        <v>581</v>
      </c>
      <c r="R292">
        <v>291</v>
      </c>
    </row>
    <row r="293" spans="1:18">
      <c r="A293" s="1" t="s">
        <v>230</v>
      </c>
      <c r="B293">
        <v>32</v>
      </c>
      <c r="C293">
        <v>22</v>
      </c>
      <c r="D293">
        <v>10</v>
      </c>
      <c r="E293">
        <v>-4.9000000000000004</v>
      </c>
      <c r="F293">
        <v>2523</v>
      </c>
      <c r="G293">
        <v>900</v>
      </c>
      <c r="H293">
        <v>1997</v>
      </c>
      <c r="I293">
        <v>474</v>
      </c>
      <c r="J293">
        <v>643</v>
      </c>
      <c r="K293">
        <v>432</v>
      </c>
      <c r="L293">
        <v>1178</v>
      </c>
      <c r="M293">
        <v>467</v>
      </c>
      <c r="N293">
        <v>267</v>
      </c>
      <c r="O293">
        <v>89</v>
      </c>
      <c r="P293">
        <v>409</v>
      </c>
      <c r="Q293">
        <v>599</v>
      </c>
      <c r="R293">
        <v>292</v>
      </c>
    </row>
    <row r="294" spans="1:18">
      <c r="A294" s="1" t="s">
        <v>231</v>
      </c>
      <c r="B294">
        <v>30</v>
      </c>
      <c r="C294">
        <v>12</v>
      </c>
      <c r="D294">
        <v>18</v>
      </c>
      <c r="E294">
        <v>-4.47</v>
      </c>
      <c r="F294">
        <v>2185</v>
      </c>
      <c r="G294">
        <v>785</v>
      </c>
      <c r="H294">
        <v>1709</v>
      </c>
      <c r="I294">
        <v>469</v>
      </c>
      <c r="J294">
        <v>683</v>
      </c>
      <c r="K294">
        <v>362</v>
      </c>
      <c r="L294">
        <v>1064</v>
      </c>
      <c r="M294">
        <v>424</v>
      </c>
      <c r="N294">
        <v>191</v>
      </c>
      <c r="O294">
        <v>109</v>
      </c>
      <c r="P294">
        <v>470</v>
      </c>
      <c r="Q294">
        <v>610</v>
      </c>
      <c r="R294">
        <v>293</v>
      </c>
    </row>
    <row r="295" spans="1:18">
      <c r="A295" s="1" t="s">
        <v>232</v>
      </c>
      <c r="B295">
        <v>30</v>
      </c>
      <c r="C295">
        <v>12</v>
      </c>
      <c r="D295">
        <v>18</v>
      </c>
      <c r="E295">
        <v>-4.68</v>
      </c>
      <c r="F295">
        <v>2209</v>
      </c>
      <c r="G295">
        <v>801</v>
      </c>
      <c r="H295">
        <v>1823</v>
      </c>
      <c r="I295">
        <v>399</v>
      </c>
      <c r="J295">
        <v>589</v>
      </c>
      <c r="K295">
        <v>388</v>
      </c>
      <c r="L295">
        <v>1105</v>
      </c>
      <c r="M295">
        <v>405</v>
      </c>
      <c r="N295">
        <v>263</v>
      </c>
      <c r="O295">
        <v>160</v>
      </c>
      <c r="P295">
        <v>475</v>
      </c>
      <c r="Q295">
        <v>625</v>
      </c>
      <c r="R295">
        <v>294</v>
      </c>
    </row>
    <row r="296" spans="1:18">
      <c r="A296" s="1" t="s">
        <v>315</v>
      </c>
      <c r="B296">
        <v>34</v>
      </c>
      <c r="C296">
        <v>21</v>
      </c>
      <c r="D296">
        <v>13</v>
      </c>
      <c r="E296">
        <v>7.71</v>
      </c>
      <c r="F296">
        <v>2665</v>
      </c>
      <c r="G296">
        <v>957</v>
      </c>
      <c r="H296">
        <v>2105</v>
      </c>
      <c r="I296">
        <v>522</v>
      </c>
      <c r="J296">
        <v>772</v>
      </c>
      <c r="K296">
        <v>485</v>
      </c>
      <c r="L296">
        <v>1316</v>
      </c>
      <c r="M296">
        <v>554</v>
      </c>
      <c r="N296">
        <v>225</v>
      </c>
      <c r="O296">
        <v>124</v>
      </c>
      <c r="P296">
        <v>452</v>
      </c>
      <c r="Q296">
        <v>647</v>
      </c>
      <c r="R296">
        <v>295</v>
      </c>
    </row>
    <row r="297" spans="1:18">
      <c r="A297" s="1" t="s">
        <v>323</v>
      </c>
      <c r="B297">
        <v>33</v>
      </c>
      <c r="C297">
        <v>18</v>
      </c>
      <c r="D297">
        <v>15</v>
      </c>
      <c r="E297">
        <v>-1.46</v>
      </c>
      <c r="F297">
        <v>2255</v>
      </c>
      <c r="G297">
        <v>769</v>
      </c>
      <c r="H297">
        <v>1826</v>
      </c>
      <c r="I297">
        <v>541</v>
      </c>
      <c r="J297">
        <v>792</v>
      </c>
      <c r="K297">
        <v>458</v>
      </c>
      <c r="L297">
        <v>1242</v>
      </c>
      <c r="M297">
        <v>418</v>
      </c>
      <c r="N297">
        <v>281</v>
      </c>
      <c r="O297">
        <v>132</v>
      </c>
      <c r="P297">
        <v>564</v>
      </c>
      <c r="Q297">
        <v>638</v>
      </c>
      <c r="R297">
        <v>296</v>
      </c>
    </row>
    <row r="298" spans="1:18">
      <c r="A298" s="1" t="s">
        <v>233</v>
      </c>
      <c r="B298">
        <v>34</v>
      </c>
      <c r="C298">
        <v>24</v>
      </c>
      <c r="D298">
        <v>10</v>
      </c>
      <c r="E298">
        <v>6.13</v>
      </c>
      <c r="F298">
        <v>2440</v>
      </c>
      <c r="G298">
        <v>822</v>
      </c>
      <c r="H298">
        <v>1831</v>
      </c>
      <c r="I298">
        <v>594</v>
      </c>
      <c r="J298">
        <v>856</v>
      </c>
      <c r="K298">
        <v>422</v>
      </c>
      <c r="L298">
        <v>1249</v>
      </c>
      <c r="M298">
        <v>427</v>
      </c>
      <c r="N298">
        <v>164</v>
      </c>
      <c r="O298">
        <v>133</v>
      </c>
      <c r="P298">
        <v>432</v>
      </c>
      <c r="Q298">
        <v>585</v>
      </c>
      <c r="R298">
        <v>297</v>
      </c>
    </row>
    <row r="299" spans="1:18">
      <c r="A299" s="1" t="s">
        <v>234</v>
      </c>
      <c r="B299">
        <v>30</v>
      </c>
      <c r="C299">
        <v>16</v>
      </c>
      <c r="D299">
        <v>14</v>
      </c>
      <c r="E299">
        <v>-3.37</v>
      </c>
      <c r="F299">
        <v>2341</v>
      </c>
      <c r="G299">
        <v>830</v>
      </c>
      <c r="H299">
        <v>1761</v>
      </c>
      <c r="I299">
        <v>478</v>
      </c>
      <c r="J299">
        <v>637</v>
      </c>
      <c r="K299">
        <v>326</v>
      </c>
      <c r="L299">
        <v>1076</v>
      </c>
      <c r="M299">
        <v>455</v>
      </c>
      <c r="N299">
        <v>206</v>
      </c>
      <c r="O299">
        <v>68</v>
      </c>
      <c r="P299">
        <v>412</v>
      </c>
      <c r="Q299">
        <v>594</v>
      </c>
      <c r="R299">
        <v>298</v>
      </c>
    </row>
    <row r="300" spans="1:18">
      <c r="A300" s="1" t="s">
        <v>235</v>
      </c>
      <c r="B300">
        <v>31</v>
      </c>
      <c r="C300">
        <v>14</v>
      </c>
      <c r="D300">
        <v>17</v>
      </c>
      <c r="E300">
        <v>3.96</v>
      </c>
      <c r="F300">
        <v>1978</v>
      </c>
      <c r="G300">
        <v>681</v>
      </c>
      <c r="H300">
        <v>1592</v>
      </c>
      <c r="I300">
        <v>436</v>
      </c>
      <c r="J300">
        <v>595</v>
      </c>
      <c r="K300">
        <v>287</v>
      </c>
      <c r="L300">
        <v>962</v>
      </c>
      <c r="M300">
        <v>388</v>
      </c>
      <c r="N300">
        <v>178</v>
      </c>
      <c r="O300">
        <v>33</v>
      </c>
      <c r="P300">
        <v>420</v>
      </c>
      <c r="Q300">
        <v>567</v>
      </c>
      <c r="R300">
        <v>299</v>
      </c>
    </row>
    <row r="301" spans="1:18">
      <c r="A301" s="1" t="s">
        <v>236</v>
      </c>
      <c r="B301">
        <v>37</v>
      </c>
      <c r="C301">
        <v>23</v>
      </c>
      <c r="D301">
        <v>14</v>
      </c>
      <c r="E301">
        <v>3.21</v>
      </c>
      <c r="F301">
        <v>2788</v>
      </c>
      <c r="G301">
        <v>931</v>
      </c>
      <c r="H301">
        <v>2200</v>
      </c>
      <c r="I301">
        <v>731</v>
      </c>
      <c r="J301">
        <v>1021</v>
      </c>
      <c r="K301">
        <v>474</v>
      </c>
      <c r="L301">
        <v>1396</v>
      </c>
      <c r="M301">
        <v>504</v>
      </c>
      <c r="N301">
        <v>250</v>
      </c>
      <c r="O301">
        <v>148</v>
      </c>
      <c r="P301">
        <v>458</v>
      </c>
      <c r="Q301">
        <v>812</v>
      </c>
      <c r="R301">
        <v>300</v>
      </c>
    </row>
    <row r="302" spans="1:18">
      <c r="A302" s="1" t="s">
        <v>237</v>
      </c>
      <c r="B302">
        <v>27</v>
      </c>
      <c r="C302">
        <v>10</v>
      </c>
      <c r="D302">
        <v>17</v>
      </c>
      <c r="E302">
        <v>-3.01</v>
      </c>
      <c r="F302">
        <v>1763</v>
      </c>
      <c r="G302">
        <v>642</v>
      </c>
      <c r="H302">
        <v>1404</v>
      </c>
      <c r="I302">
        <v>360</v>
      </c>
      <c r="J302">
        <v>578</v>
      </c>
      <c r="K302">
        <v>257</v>
      </c>
      <c r="L302">
        <v>856</v>
      </c>
      <c r="M302">
        <v>424</v>
      </c>
      <c r="N302">
        <v>154</v>
      </c>
      <c r="O302">
        <v>48</v>
      </c>
      <c r="P302">
        <v>423</v>
      </c>
      <c r="Q302">
        <v>507</v>
      </c>
      <c r="R302">
        <v>301</v>
      </c>
    </row>
    <row r="303" spans="1:18">
      <c r="A303" s="1" t="s">
        <v>238</v>
      </c>
      <c r="B303">
        <v>32</v>
      </c>
      <c r="C303">
        <v>19</v>
      </c>
      <c r="D303">
        <v>13</v>
      </c>
      <c r="E303">
        <v>-4.17</v>
      </c>
      <c r="F303">
        <v>2404</v>
      </c>
      <c r="G303">
        <v>805</v>
      </c>
      <c r="H303">
        <v>1906</v>
      </c>
      <c r="I303">
        <v>526</v>
      </c>
      <c r="J303">
        <v>743</v>
      </c>
      <c r="K303">
        <v>378</v>
      </c>
      <c r="L303">
        <v>1131</v>
      </c>
      <c r="M303">
        <v>376</v>
      </c>
      <c r="N303">
        <v>296</v>
      </c>
      <c r="O303">
        <v>72</v>
      </c>
      <c r="P303">
        <v>448</v>
      </c>
      <c r="Q303">
        <v>601</v>
      </c>
      <c r="R303">
        <v>302</v>
      </c>
    </row>
    <row r="304" spans="1:18">
      <c r="A304" s="1" t="s">
        <v>239</v>
      </c>
      <c r="B304">
        <v>32</v>
      </c>
      <c r="C304">
        <v>7</v>
      </c>
      <c r="D304">
        <v>25</v>
      </c>
      <c r="E304">
        <v>-7.46</v>
      </c>
      <c r="F304">
        <v>2063</v>
      </c>
      <c r="G304">
        <v>764</v>
      </c>
      <c r="H304">
        <v>1673</v>
      </c>
      <c r="I304">
        <v>412</v>
      </c>
      <c r="J304">
        <v>670</v>
      </c>
      <c r="K304">
        <v>332</v>
      </c>
      <c r="L304">
        <v>989</v>
      </c>
      <c r="M304">
        <v>378</v>
      </c>
      <c r="N304">
        <v>240</v>
      </c>
      <c r="O304">
        <v>74</v>
      </c>
      <c r="P304">
        <v>566</v>
      </c>
      <c r="Q304">
        <v>702</v>
      </c>
      <c r="R304">
        <v>303</v>
      </c>
    </row>
    <row r="305" spans="1:18">
      <c r="A305" s="1" t="s">
        <v>240</v>
      </c>
      <c r="B305">
        <v>30</v>
      </c>
      <c r="C305">
        <v>14</v>
      </c>
      <c r="D305">
        <v>16</v>
      </c>
      <c r="E305">
        <v>-3.93</v>
      </c>
      <c r="F305">
        <v>2445</v>
      </c>
      <c r="G305">
        <v>865</v>
      </c>
      <c r="H305">
        <v>1919</v>
      </c>
      <c r="I305">
        <v>480</v>
      </c>
      <c r="J305">
        <v>723</v>
      </c>
      <c r="K305">
        <v>434</v>
      </c>
      <c r="L305">
        <v>1169</v>
      </c>
      <c r="M305">
        <v>464</v>
      </c>
      <c r="N305">
        <v>234</v>
      </c>
      <c r="O305">
        <v>81</v>
      </c>
      <c r="P305">
        <v>497</v>
      </c>
      <c r="Q305">
        <v>780</v>
      </c>
      <c r="R305">
        <v>304</v>
      </c>
    </row>
    <row r="306" spans="1:18">
      <c r="A306" s="1" t="s">
        <v>241</v>
      </c>
      <c r="B306">
        <v>33</v>
      </c>
      <c r="C306">
        <v>14</v>
      </c>
      <c r="D306">
        <v>19</v>
      </c>
      <c r="E306">
        <v>8.0399999999999991</v>
      </c>
      <c r="F306">
        <v>2563</v>
      </c>
      <c r="G306">
        <v>896</v>
      </c>
      <c r="H306">
        <v>1984</v>
      </c>
      <c r="I306">
        <v>535</v>
      </c>
      <c r="J306">
        <v>732</v>
      </c>
      <c r="K306">
        <v>348</v>
      </c>
      <c r="L306">
        <v>1185</v>
      </c>
      <c r="M306">
        <v>504</v>
      </c>
      <c r="N306">
        <v>185</v>
      </c>
      <c r="O306">
        <v>94</v>
      </c>
      <c r="P306">
        <v>478</v>
      </c>
      <c r="Q306">
        <v>719</v>
      </c>
      <c r="R306">
        <v>305</v>
      </c>
    </row>
    <row r="307" spans="1:18">
      <c r="A307" s="1" t="s">
        <v>362</v>
      </c>
      <c r="B307">
        <v>35</v>
      </c>
      <c r="C307">
        <v>23</v>
      </c>
      <c r="D307">
        <v>12</v>
      </c>
      <c r="E307">
        <v>8.09</v>
      </c>
      <c r="F307">
        <v>2532</v>
      </c>
      <c r="G307">
        <v>917</v>
      </c>
      <c r="H307">
        <v>2063</v>
      </c>
      <c r="I307">
        <v>532</v>
      </c>
      <c r="J307">
        <v>797</v>
      </c>
      <c r="K307">
        <v>496</v>
      </c>
      <c r="L307">
        <v>1359</v>
      </c>
      <c r="M307">
        <v>448</v>
      </c>
      <c r="N307">
        <v>217</v>
      </c>
      <c r="O307">
        <v>187</v>
      </c>
      <c r="P307">
        <v>442</v>
      </c>
      <c r="Q307">
        <v>674</v>
      </c>
      <c r="R307">
        <v>306</v>
      </c>
    </row>
    <row r="308" spans="1:18">
      <c r="A308" s="1" t="s">
        <v>242</v>
      </c>
      <c r="B308">
        <v>32</v>
      </c>
      <c r="C308">
        <v>7</v>
      </c>
      <c r="D308">
        <v>25</v>
      </c>
      <c r="E308">
        <v>-0.96</v>
      </c>
      <c r="F308">
        <v>1893</v>
      </c>
      <c r="G308">
        <v>692</v>
      </c>
      <c r="H308">
        <v>1641</v>
      </c>
      <c r="I308">
        <v>360</v>
      </c>
      <c r="J308">
        <v>551</v>
      </c>
      <c r="K308">
        <v>349</v>
      </c>
      <c r="L308">
        <v>1058</v>
      </c>
      <c r="M308">
        <v>347</v>
      </c>
      <c r="N308">
        <v>208</v>
      </c>
      <c r="O308">
        <v>102</v>
      </c>
      <c r="P308">
        <v>548</v>
      </c>
      <c r="Q308">
        <v>586</v>
      </c>
      <c r="R308">
        <v>307</v>
      </c>
    </row>
    <row r="309" spans="1:18">
      <c r="A309" s="1" t="s">
        <v>243</v>
      </c>
      <c r="B309">
        <v>34</v>
      </c>
      <c r="C309">
        <v>12</v>
      </c>
      <c r="D309">
        <v>22</v>
      </c>
      <c r="E309">
        <v>-1.27</v>
      </c>
      <c r="F309">
        <v>2213</v>
      </c>
      <c r="G309">
        <v>776</v>
      </c>
      <c r="H309">
        <v>1930</v>
      </c>
      <c r="I309">
        <v>448</v>
      </c>
      <c r="J309">
        <v>671</v>
      </c>
      <c r="K309">
        <v>418</v>
      </c>
      <c r="L309">
        <v>1186</v>
      </c>
      <c r="M309">
        <v>442</v>
      </c>
      <c r="N309">
        <v>246</v>
      </c>
      <c r="O309">
        <v>156</v>
      </c>
      <c r="P309">
        <v>441</v>
      </c>
      <c r="Q309">
        <v>614</v>
      </c>
      <c r="R309">
        <v>308</v>
      </c>
    </row>
    <row r="310" spans="1:18">
      <c r="A310" s="1" t="s">
        <v>244</v>
      </c>
      <c r="B310">
        <v>32</v>
      </c>
      <c r="C310">
        <v>19</v>
      </c>
      <c r="D310">
        <v>13</v>
      </c>
      <c r="E310">
        <v>-4.22</v>
      </c>
      <c r="F310">
        <v>2500</v>
      </c>
      <c r="G310">
        <v>904</v>
      </c>
      <c r="H310">
        <v>1962</v>
      </c>
      <c r="I310">
        <v>418</v>
      </c>
      <c r="J310">
        <v>599</v>
      </c>
      <c r="K310">
        <v>361</v>
      </c>
      <c r="L310">
        <v>1145</v>
      </c>
      <c r="M310">
        <v>451</v>
      </c>
      <c r="N310">
        <v>241</v>
      </c>
      <c r="O310">
        <v>122</v>
      </c>
      <c r="P310">
        <v>396</v>
      </c>
      <c r="Q310">
        <v>523</v>
      </c>
      <c r="R310">
        <v>309</v>
      </c>
    </row>
    <row r="311" spans="1:18">
      <c r="A311" s="1" t="s">
        <v>245</v>
      </c>
      <c r="B311">
        <v>31</v>
      </c>
      <c r="C311">
        <v>14</v>
      </c>
      <c r="D311">
        <v>17</v>
      </c>
      <c r="E311">
        <v>0.9</v>
      </c>
      <c r="F311">
        <v>2017</v>
      </c>
      <c r="G311">
        <v>719</v>
      </c>
      <c r="H311">
        <v>1700</v>
      </c>
      <c r="I311">
        <v>428</v>
      </c>
      <c r="J311">
        <v>632</v>
      </c>
      <c r="K311">
        <v>351</v>
      </c>
      <c r="L311">
        <v>1028</v>
      </c>
      <c r="M311">
        <v>413</v>
      </c>
      <c r="N311">
        <v>235</v>
      </c>
      <c r="O311">
        <v>98</v>
      </c>
      <c r="P311">
        <v>425</v>
      </c>
      <c r="Q311">
        <v>597</v>
      </c>
      <c r="R311">
        <v>310</v>
      </c>
    </row>
    <row r="312" spans="1:18">
      <c r="A312" s="1" t="s">
        <v>299</v>
      </c>
      <c r="B312">
        <v>36</v>
      </c>
      <c r="C312">
        <v>25</v>
      </c>
      <c r="D312">
        <v>11</v>
      </c>
      <c r="E312">
        <v>4.84</v>
      </c>
      <c r="F312">
        <v>2405</v>
      </c>
      <c r="G312">
        <v>840</v>
      </c>
      <c r="H312">
        <v>1880</v>
      </c>
      <c r="I312">
        <v>530</v>
      </c>
      <c r="J312">
        <v>762</v>
      </c>
      <c r="K312">
        <v>395</v>
      </c>
      <c r="L312">
        <v>1355</v>
      </c>
      <c r="M312">
        <v>394</v>
      </c>
      <c r="N312">
        <v>194</v>
      </c>
      <c r="O312">
        <v>171</v>
      </c>
      <c r="P312">
        <v>510</v>
      </c>
      <c r="Q312">
        <v>664</v>
      </c>
      <c r="R312">
        <v>311</v>
      </c>
    </row>
    <row r="313" spans="1:18">
      <c r="A313" s="1" t="s">
        <v>324</v>
      </c>
      <c r="B313">
        <v>35</v>
      </c>
      <c r="C313">
        <v>26</v>
      </c>
      <c r="D313">
        <v>9</v>
      </c>
      <c r="E313">
        <v>7.19</v>
      </c>
      <c r="F313">
        <v>2642</v>
      </c>
      <c r="G313">
        <v>967</v>
      </c>
      <c r="H313">
        <v>1973</v>
      </c>
      <c r="I313">
        <v>446</v>
      </c>
      <c r="J313">
        <v>616</v>
      </c>
      <c r="K313">
        <v>395</v>
      </c>
      <c r="L313">
        <v>1151</v>
      </c>
      <c r="M313">
        <v>541</v>
      </c>
      <c r="N313">
        <v>292</v>
      </c>
      <c r="O313">
        <v>110</v>
      </c>
      <c r="P313">
        <v>440</v>
      </c>
      <c r="Q313">
        <v>598</v>
      </c>
      <c r="R313">
        <v>312</v>
      </c>
    </row>
    <row r="314" spans="1:18">
      <c r="A314" s="1" t="s">
        <v>316</v>
      </c>
      <c r="B314">
        <v>35</v>
      </c>
      <c r="C314">
        <v>30</v>
      </c>
      <c r="D314">
        <v>5</v>
      </c>
      <c r="E314">
        <v>7.0000000000000007E-2</v>
      </c>
      <c r="F314">
        <v>2534</v>
      </c>
      <c r="G314">
        <v>899</v>
      </c>
      <c r="H314">
        <v>1813</v>
      </c>
      <c r="I314">
        <v>514</v>
      </c>
      <c r="J314">
        <v>695</v>
      </c>
      <c r="K314">
        <v>365</v>
      </c>
      <c r="L314">
        <v>1202</v>
      </c>
      <c r="M314">
        <v>566</v>
      </c>
      <c r="N314">
        <v>168</v>
      </c>
      <c r="O314">
        <v>88</v>
      </c>
      <c r="P314">
        <v>393</v>
      </c>
      <c r="Q314">
        <v>539</v>
      </c>
      <c r="R314">
        <v>313</v>
      </c>
    </row>
    <row r="315" spans="1:18">
      <c r="A315" s="1" t="s">
        <v>334</v>
      </c>
      <c r="B315">
        <v>28</v>
      </c>
      <c r="C315">
        <v>17</v>
      </c>
      <c r="D315">
        <v>11</v>
      </c>
      <c r="F315">
        <v>1981</v>
      </c>
      <c r="G315">
        <v>673</v>
      </c>
      <c r="H315">
        <v>1442</v>
      </c>
      <c r="I315">
        <v>436</v>
      </c>
      <c r="J315">
        <v>567</v>
      </c>
      <c r="K315">
        <v>271</v>
      </c>
      <c r="L315">
        <v>971</v>
      </c>
      <c r="M315">
        <v>370</v>
      </c>
      <c r="N315">
        <v>118</v>
      </c>
      <c r="O315">
        <v>74</v>
      </c>
      <c r="P315">
        <v>355</v>
      </c>
      <c r="Q315">
        <v>509</v>
      </c>
      <c r="R315">
        <v>314</v>
      </c>
    </row>
    <row r="316" spans="1:18">
      <c r="A316" s="1" t="s">
        <v>300</v>
      </c>
      <c r="B316">
        <v>34</v>
      </c>
      <c r="C316">
        <v>24</v>
      </c>
      <c r="D316">
        <v>10</v>
      </c>
      <c r="E316">
        <v>5.72</v>
      </c>
      <c r="F316">
        <v>2421</v>
      </c>
      <c r="G316">
        <v>819</v>
      </c>
      <c r="H316">
        <v>1727</v>
      </c>
      <c r="I316">
        <v>541</v>
      </c>
      <c r="J316">
        <v>693</v>
      </c>
      <c r="K316">
        <v>279</v>
      </c>
      <c r="L316">
        <v>1193</v>
      </c>
      <c r="M316">
        <v>458</v>
      </c>
      <c r="N316">
        <v>171</v>
      </c>
      <c r="O316">
        <v>166</v>
      </c>
      <c r="P316">
        <v>469</v>
      </c>
      <c r="Q316">
        <v>632</v>
      </c>
      <c r="R316">
        <v>315</v>
      </c>
    </row>
    <row r="317" spans="1:18">
      <c r="A317" s="1" t="s">
        <v>301</v>
      </c>
      <c r="B317">
        <v>31</v>
      </c>
      <c r="C317">
        <v>9</v>
      </c>
      <c r="D317">
        <v>22</v>
      </c>
      <c r="E317">
        <v>2.2200000000000002</v>
      </c>
      <c r="F317">
        <v>1900</v>
      </c>
      <c r="G317">
        <v>678</v>
      </c>
      <c r="H317">
        <v>1611</v>
      </c>
      <c r="I317">
        <v>339</v>
      </c>
      <c r="J317">
        <v>554</v>
      </c>
      <c r="K317">
        <v>329</v>
      </c>
      <c r="L317">
        <v>971</v>
      </c>
      <c r="M317">
        <v>403</v>
      </c>
      <c r="N317">
        <v>235</v>
      </c>
      <c r="O317">
        <v>52</v>
      </c>
      <c r="P317">
        <v>466</v>
      </c>
      <c r="Q317">
        <v>641</v>
      </c>
      <c r="R317">
        <v>316</v>
      </c>
    </row>
    <row r="318" spans="1:18">
      <c r="A318" s="1" t="s">
        <v>246</v>
      </c>
      <c r="B318">
        <v>31</v>
      </c>
      <c r="C318">
        <v>19</v>
      </c>
      <c r="D318">
        <v>12</v>
      </c>
      <c r="E318">
        <v>3.81</v>
      </c>
      <c r="F318">
        <v>2185</v>
      </c>
      <c r="G318">
        <v>740</v>
      </c>
      <c r="H318">
        <v>1642</v>
      </c>
      <c r="I318">
        <v>515</v>
      </c>
      <c r="J318">
        <v>719</v>
      </c>
      <c r="K318">
        <v>334</v>
      </c>
      <c r="L318">
        <v>1144</v>
      </c>
      <c r="M318">
        <v>389</v>
      </c>
      <c r="N318">
        <v>174</v>
      </c>
      <c r="O318">
        <v>137</v>
      </c>
      <c r="P318">
        <v>466</v>
      </c>
      <c r="Q318">
        <v>549</v>
      </c>
      <c r="R318">
        <v>317</v>
      </c>
    </row>
    <row r="319" spans="1:18">
      <c r="A319" s="1" t="s">
        <v>247</v>
      </c>
      <c r="B319">
        <v>33</v>
      </c>
      <c r="C319">
        <v>24</v>
      </c>
      <c r="D319">
        <v>9</v>
      </c>
      <c r="E319">
        <v>-4.2699999999999996</v>
      </c>
      <c r="F319">
        <v>2533</v>
      </c>
      <c r="G319">
        <v>883</v>
      </c>
      <c r="H319">
        <v>1834</v>
      </c>
      <c r="I319">
        <v>581</v>
      </c>
      <c r="J319">
        <v>831</v>
      </c>
      <c r="K319">
        <v>357</v>
      </c>
      <c r="L319">
        <v>1165</v>
      </c>
      <c r="M319">
        <v>518</v>
      </c>
      <c r="N319">
        <v>258</v>
      </c>
      <c r="O319">
        <v>165</v>
      </c>
      <c r="P319">
        <v>483</v>
      </c>
      <c r="Q319">
        <v>625</v>
      </c>
      <c r="R319">
        <v>318</v>
      </c>
    </row>
    <row r="320" spans="1:18">
      <c r="A320" s="1" t="s">
        <v>248</v>
      </c>
      <c r="B320">
        <v>38</v>
      </c>
      <c r="C320">
        <v>30</v>
      </c>
      <c r="D320">
        <v>8</v>
      </c>
      <c r="E320">
        <v>8.7200000000000006</v>
      </c>
      <c r="F320">
        <v>2919</v>
      </c>
      <c r="G320">
        <v>990</v>
      </c>
      <c r="H320">
        <v>2193</v>
      </c>
      <c r="I320">
        <v>692</v>
      </c>
      <c r="J320">
        <v>919</v>
      </c>
      <c r="K320">
        <v>477</v>
      </c>
      <c r="L320">
        <v>1449</v>
      </c>
      <c r="M320">
        <v>551</v>
      </c>
      <c r="N320">
        <v>300</v>
      </c>
      <c r="O320">
        <v>128</v>
      </c>
      <c r="P320">
        <v>505</v>
      </c>
      <c r="Q320">
        <v>735</v>
      </c>
      <c r="R320">
        <v>319</v>
      </c>
    </row>
    <row r="321" spans="1:18">
      <c r="A321" s="1" t="s">
        <v>249</v>
      </c>
      <c r="B321">
        <v>34</v>
      </c>
      <c r="C321">
        <v>24</v>
      </c>
      <c r="D321">
        <v>10</v>
      </c>
      <c r="E321">
        <v>-0.65</v>
      </c>
      <c r="F321">
        <v>2440</v>
      </c>
      <c r="G321">
        <v>866</v>
      </c>
      <c r="H321">
        <v>1878</v>
      </c>
      <c r="I321">
        <v>486</v>
      </c>
      <c r="J321">
        <v>689</v>
      </c>
      <c r="K321">
        <v>362</v>
      </c>
      <c r="L321">
        <v>1152</v>
      </c>
      <c r="M321">
        <v>469</v>
      </c>
      <c r="N321">
        <v>257</v>
      </c>
      <c r="O321">
        <v>155</v>
      </c>
      <c r="P321">
        <v>431</v>
      </c>
      <c r="Q321">
        <v>654</v>
      </c>
      <c r="R321">
        <v>320</v>
      </c>
    </row>
    <row r="322" spans="1:18">
      <c r="A322" s="1" t="s">
        <v>250</v>
      </c>
      <c r="B322">
        <v>32</v>
      </c>
      <c r="C322">
        <v>24</v>
      </c>
      <c r="D322">
        <v>8</v>
      </c>
      <c r="E322">
        <v>-7.49</v>
      </c>
      <c r="F322">
        <v>3002</v>
      </c>
      <c r="G322">
        <v>1009</v>
      </c>
      <c r="H322">
        <v>2279</v>
      </c>
      <c r="I322">
        <v>546</v>
      </c>
      <c r="J322">
        <v>742</v>
      </c>
      <c r="K322">
        <v>394</v>
      </c>
      <c r="L322">
        <v>1068</v>
      </c>
      <c r="M322">
        <v>581</v>
      </c>
      <c r="N322">
        <v>453</v>
      </c>
      <c r="O322">
        <v>105</v>
      </c>
      <c r="P322">
        <v>449</v>
      </c>
      <c r="Q322">
        <v>598</v>
      </c>
      <c r="R322">
        <v>321</v>
      </c>
    </row>
    <row r="323" spans="1:18">
      <c r="A323" s="1" t="s">
        <v>251</v>
      </c>
      <c r="B323">
        <v>34</v>
      </c>
      <c r="C323">
        <v>19</v>
      </c>
      <c r="D323">
        <v>15</v>
      </c>
      <c r="E323">
        <v>6.88</v>
      </c>
      <c r="F323">
        <v>2470</v>
      </c>
      <c r="G323">
        <v>845</v>
      </c>
      <c r="H323">
        <v>1934</v>
      </c>
      <c r="I323">
        <v>573</v>
      </c>
      <c r="J323">
        <v>791</v>
      </c>
      <c r="K323">
        <v>416</v>
      </c>
      <c r="L323">
        <v>1257</v>
      </c>
      <c r="M323">
        <v>454</v>
      </c>
      <c r="N323">
        <v>221</v>
      </c>
      <c r="O323">
        <v>155</v>
      </c>
      <c r="P323">
        <v>458</v>
      </c>
      <c r="Q323">
        <v>620</v>
      </c>
      <c r="R323">
        <v>322</v>
      </c>
    </row>
    <row r="324" spans="1:18">
      <c r="A324" s="1" t="s">
        <v>252</v>
      </c>
      <c r="B324">
        <v>28</v>
      </c>
      <c r="C324">
        <v>10</v>
      </c>
      <c r="D324">
        <v>18</v>
      </c>
      <c r="E324">
        <v>8.34</v>
      </c>
      <c r="F324">
        <v>1960</v>
      </c>
      <c r="G324">
        <v>701</v>
      </c>
      <c r="H324">
        <v>1682</v>
      </c>
      <c r="I324">
        <v>402</v>
      </c>
      <c r="J324">
        <v>543</v>
      </c>
      <c r="K324">
        <v>360</v>
      </c>
      <c r="L324">
        <v>1030</v>
      </c>
      <c r="M324">
        <v>348</v>
      </c>
      <c r="N324">
        <v>179</v>
      </c>
      <c r="O324">
        <v>112</v>
      </c>
      <c r="P324">
        <v>413</v>
      </c>
      <c r="Q324">
        <v>531</v>
      </c>
      <c r="R324">
        <v>323</v>
      </c>
    </row>
    <row r="325" spans="1:18">
      <c r="A325" s="1" t="s">
        <v>253</v>
      </c>
      <c r="B325">
        <v>30</v>
      </c>
      <c r="C325">
        <v>16</v>
      </c>
      <c r="D325">
        <v>14</v>
      </c>
      <c r="E325">
        <v>-8.6</v>
      </c>
      <c r="F325">
        <v>2021</v>
      </c>
      <c r="G325">
        <v>717</v>
      </c>
      <c r="H325">
        <v>1607</v>
      </c>
      <c r="I325">
        <v>366</v>
      </c>
      <c r="J325">
        <v>585</v>
      </c>
      <c r="K325">
        <v>304</v>
      </c>
      <c r="L325">
        <v>1000</v>
      </c>
      <c r="M325">
        <v>417</v>
      </c>
      <c r="N325">
        <v>211</v>
      </c>
      <c r="O325">
        <v>96</v>
      </c>
      <c r="P325">
        <v>451</v>
      </c>
      <c r="Q325">
        <v>531</v>
      </c>
      <c r="R325">
        <v>324</v>
      </c>
    </row>
    <row r="326" spans="1:18">
      <c r="A326" s="1" t="s">
        <v>254</v>
      </c>
      <c r="B326">
        <v>31</v>
      </c>
      <c r="C326">
        <v>24</v>
      </c>
      <c r="D326">
        <v>7</v>
      </c>
      <c r="E326">
        <v>7.36</v>
      </c>
      <c r="F326">
        <v>2510</v>
      </c>
      <c r="G326">
        <v>906</v>
      </c>
      <c r="H326">
        <v>1849</v>
      </c>
      <c r="I326">
        <v>572</v>
      </c>
      <c r="J326">
        <v>804</v>
      </c>
      <c r="K326">
        <v>390</v>
      </c>
      <c r="L326">
        <v>1262</v>
      </c>
      <c r="M326">
        <v>405</v>
      </c>
      <c r="N326">
        <v>258</v>
      </c>
      <c r="O326">
        <v>176</v>
      </c>
      <c r="P326">
        <v>492</v>
      </c>
      <c r="Q326">
        <v>584</v>
      </c>
      <c r="R326">
        <v>325</v>
      </c>
    </row>
    <row r="327" spans="1:18">
      <c r="A327" s="1" t="s">
        <v>255</v>
      </c>
      <c r="B327">
        <v>33</v>
      </c>
      <c r="C327">
        <v>17</v>
      </c>
      <c r="D327">
        <v>16</v>
      </c>
      <c r="E327">
        <v>7.5</v>
      </c>
      <c r="F327">
        <v>1954</v>
      </c>
      <c r="G327">
        <v>715</v>
      </c>
      <c r="H327">
        <v>1649</v>
      </c>
      <c r="I327">
        <v>343</v>
      </c>
      <c r="J327">
        <v>446</v>
      </c>
      <c r="K327">
        <v>268</v>
      </c>
      <c r="L327">
        <v>1076</v>
      </c>
      <c r="M327">
        <v>410</v>
      </c>
      <c r="N327">
        <v>124</v>
      </c>
      <c r="O327">
        <v>142</v>
      </c>
      <c r="P327">
        <v>376</v>
      </c>
      <c r="Q327">
        <v>496</v>
      </c>
      <c r="R327">
        <v>326</v>
      </c>
    </row>
    <row r="328" spans="1:18">
      <c r="A328" s="1" t="s">
        <v>256</v>
      </c>
      <c r="B328">
        <v>35</v>
      </c>
      <c r="C328">
        <v>26</v>
      </c>
      <c r="D328">
        <v>9</v>
      </c>
      <c r="E328">
        <v>8.19</v>
      </c>
      <c r="F328">
        <v>2750</v>
      </c>
      <c r="G328">
        <v>977</v>
      </c>
      <c r="H328">
        <v>2136</v>
      </c>
      <c r="I328">
        <v>650</v>
      </c>
      <c r="J328">
        <v>929</v>
      </c>
      <c r="K328">
        <v>532</v>
      </c>
      <c r="L328">
        <v>1437</v>
      </c>
      <c r="M328">
        <v>458</v>
      </c>
      <c r="N328">
        <v>259</v>
      </c>
      <c r="O328">
        <v>95</v>
      </c>
      <c r="P328">
        <v>515</v>
      </c>
      <c r="Q328">
        <v>683</v>
      </c>
      <c r="R328">
        <v>327</v>
      </c>
    </row>
    <row r="329" spans="1:18">
      <c r="A329" s="1" t="s">
        <v>257</v>
      </c>
      <c r="B329">
        <v>31</v>
      </c>
      <c r="C329">
        <v>21</v>
      </c>
      <c r="D329">
        <v>10</v>
      </c>
      <c r="E329">
        <v>-2.39</v>
      </c>
      <c r="F329">
        <v>2175</v>
      </c>
      <c r="G329">
        <v>739</v>
      </c>
      <c r="H329">
        <v>1566</v>
      </c>
      <c r="I329">
        <v>460</v>
      </c>
      <c r="J329">
        <v>630</v>
      </c>
      <c r="K329">
        <v>220</v>
      </c>
      <c r="L329">
        <v>997</v>
      </c>
      <c r="M329">
        <v>375</v>
      </c>
      <c r="N329">
        <v>183</v>
      </c>
      <c r="O329">
        <v>114</v>
      </c>
      <c r="P329">
        <v>445</v>
      </c>
      <c r="Q329">
        <v>596</v>
      </c>
      <c r="R329">
        <v>328</v>
      </c>
    </row>
    <row r="330" spans="1:18">
      <c r="A330" s="1" t="s">
        <v>258</v>
      </c>
      <c r="B330">
        <v>35</v>
      </c>
      <c r="C330">
        <v>23</v>
      </c>
      <c r="D330">
        <v>12</v>
      </c>
      <c r="E330">
        <v>8.34</v>
      </c>
      <c r="F330">
        <v>2521</v>
      </c>
      <c r="G330">
        <v>886</v>
      </c>
      <c r="H330">
        <v>2067</v>
      </c>
      <c r="I330">
        <v>518</v>
      </c>
      <c r="J330">
        <v>742</v>
      </c>
      <c r="K330">
        <v>532</v>
      </c>
      <c r="L330">
        <v>1340</v>
      </c>
      <c r="M330">
        <v>530</v>
      </c>
      <c r="N330">
        <v>233</v>
      </c>
      <c r="O330">
        <v>159</v>
      </c>
      <c r="P330">
        <v>420</v>
      </c>
      <c r="Q330">
        <v>661</v>
      </c>
      <c r="R330">
        <v>329</v>
      </c>
    </row>
    <row r="331" spans="1:18">
      <c r="A331" s="1" t="s">
        <v>259</v>
      </c>
      <c r="B331">
        <v>31</v>
      </c>
      <c r="C331">
        <v>16</v>
      </c>
      <c r="D331">
        <v>15</v>
      </c>
      <c r="E331">
        <v>-5.13</v>
      </c>
      <c r="F331">
        <v>2293</v>
      </c>
      <c r="G331">
        <v>840</v>
      </c>
      <c r="H331">
        <v>1905</v>
      </c>
      <c r="I331">
        <v>380</v>
      </c>
      <c r="J331">
        <v>599</v>
      </c>
      <c r="K331">
        <v>450</v>
      </c>
      <c r="L331">
        <v>1121</v>
      </c>
      <c r="M331">
        <v>385</v>
      </c>
      <c r="N331">
        <v>298</v>
      </c>
      <c r="O331">
        <v>85</v>
      </c>
      <c r="P331">
        <v>444</v>
      </c>
      <c r="Q331">
        <v>700</v>
      </c>
      <c r="R331">
        <v>330</v>
      </c>
    </row>
    <row r="332" spans="1:18">
      <c r="A332" s="1" t="s">
        <v>260</v>
      </c>
      <c r="B332">
        <v>29</v>
      </c>
      <c r="C332">
        <v>9</v>
      </c>
      <c r="D332">
        <v>20</v>
      </c>
      <c r="E332">
        <v>-4.04</v>
      </c>
      <c r="F332">
        <v>1701</v>
      </c>
      <c r="G332">
        <v>615</v>
      </c>
      <c r="H332">
        <v>1416</v>
      </c>
      <c r="I332">
        <v>308</v>
      </c>
      <c r="J332">
        <v>434</v>
      </c>
      <c r="K332">
        <v>254</v>
      </c>
      <c r="L332">
        <v>795</v>
      </c>
      <c r="M332">
        <v>357</v>
      </c>
      <c r="N332">
        <v>163</v>
      </c>
      <c r="O332">
        <v>51</v>
      </c>
      <c r="P332">
        <v>369</v>
      </c>
      <c r="Q332">
        <v>512</v>
      </c>
      <c r="R332">
        <v>331</v>
      </c>
    </row>
    <row r="333" spans="1:18">
      <c r="A333" s="1" t="s">
        <v>261</v>
      </c>
      <c r="B333">
        <v>34</v>
      </c>
      <c r="C333">
        <v>25</v>
      </c>
      <c r="D333">
        <v>9</v>
      </c>
      <c r="E333">
        <v>-1.23</v>
      </c>
      <c r="F333">
        <v>2454</v>
      </c>
      <c r="G333">
        <v>871</v>
      </c>
      <c r="H333">
        <v>1929</v>
      </c>
      <c r="I333">
        <v>446</v>
      </c>
      <c r="J333">
        <v>647</v>
      </c>
      <c r="K333">
        <v>432</v>
      </c>
      <c r="L333">
        <v>1251</v>
      </c>
      <c r="M333">
        <v>454</v>
      </c>
      <c r="N333">
        <v>193</v>
      </c>
      <c r="O333">
        <v>111</v>
      </c>
      <c r="P333">
        <v>452</v>
      </c>
      <c r="Q333">
        <v>587</v>
      </c>
      <c r="R333">
        <v>332</v>
      </c>
    </row>
    <row r="334" spans="1:18">
      <c r="A334" s="1" t="s">
        <v>262</v>
      </c>
      <c r="B334">
        <v>31</v>
      </c>
      <c r="C334">
        <v>10</v>
      </c>
      <c r="D334">
        <v>21</v>
      </c>
      <c r="E334">
        <v>-3.19</v>
      </c>
      <c r="F334">
        <v>1918</v>
      </c>
      <c r="G334">
        <v>634</v>
      </c>
      <c r="H334">
        <v>1612</v>
      </c>
      <c r="I334">
        <v>452</v>
      </c>
      <c r="J334">
        <v>645</v>
      </c>
      <c r="K334">
        <v>328</v>
      </c>
      <c r="L334">
        <v>1061</v>
      </c>
      <c r="M334">
        <v>338</v>
      </c>
      <c r="N334">
        <v>167</v>
      </c>
      <c r="O334">
        <v>97</v>
      </c>
      <c r="P334">
        <v>412</v>
      </c>
      <c r="Q334">
        <v>641</v>
      </c>
      <c r="R334">
        <v>333</v>
      </c>
    </row>
    <row r="335" spans="1:18">
      <c r="A335" s="1" t="s">
        <v>263</v>
      </c>
      <c r="B335">
        <v>34</v>
      </c>
      <c r="C335">
        <v>17</v>
      </c>
      <c r="D335">
        <v>17</v>
      </c>
      <c r="E335">
        <v>2.08</v>
      </c>
      <c r="F335">
        <v>2138</v>
      </c>
      <c r="G335">
        <v>771</v>
      </c>
      <c r="H335">
        <v>1762</v>
      </c>
      <c r="I335">
        <v>408</v>
      </c>
      <c r="J335">
        <v>595</v>
      </c>
      <c r="K335">
        <v>391</v>
      </c>
      <c r="L335">
        <v>1154</v>
      </c>
      <c r="M335">
        <v>453</v>
      </c>
      <c r="N335">
        <v>216</v>
      </c>
      <c r="O335">
        <v>113</v>
      </c>
      <c r="P335">
        <v>474</v>
      </c>
      <c r="Q335">
        <v>615</v>
      </c>
      <c r="R335">
        <v>334</v>
      </c>
    </row>
    <row r="336" spans="1:18">
      <c r="A336" s="1" t="s">
        <v>264</v>
      </c>
      <c r="B336">
        <v>30</v>
      </c>
      <c r="C336">
        <v>10</v>
      </c>
      <c r="D336">
        <v>20</v>
      </c>
      <c r="E336">
        <v>-2.79</v>
      </c>
      <c r="F336">
        <v>1844</v>
      </c>
      <c r="G336">
        <v>658</v>
      </c>
      <c r="H336">
        <v>1592</v>
      </c>
      <c r="I336">
        <v>326</v>
      </c>
      <c r="J336">
        <v>501</v>
      </c>
      <c r="K336">
        <v>331</v>
      </c>
      <c r="L336">
        <v>1023</v>
      </c>
      <c r="M336">
        <v>409</v>
      </c>
      <c r="N336">
        <v>180</v>
      </c>
      <c r="O336">
        <v>69</v>
      </c>
      <c r="P336">
        <v>425</v>
      </c>
      <c r="Q336">
        <v>503</v>
      </c>
      <c r="R336">
        <v>335</v>
      </c>
    </row>
    <row r="337" spans="1:18">
      <c r="A337" s="1" t="s">
        <v>345</v>
      </c>
      <c r="B337">
        <v>30</v>
      </c>
      <c r="C337">
        <v>8</v>
      </c>
      <c r="D337">
        <v>22</v>
      </c>
      <c r="F337">
        <v>1741</v>
      </c>
      <c r="G337">
        <v>639</v>
      </c>
      <c r="H337">
        <v>1646</v>
      </c>
      <c r="I337">
        <v>329</v>
      </c>
      <c r="J337">
        <v>578</v>
      </c>
      <c r="L337">
        <v>1010</v>
      </c>
      <c r="M337">
        <v>283</v>
      </c>
      <c r="N337">
        <v>247</v>
      </c>
      <c r="O337">
        <v>83</v>
      </c>
      <c r="P337">
        <v>527</v>
      </c>
      <c r="Q337">
        <v>599</v>
      </c>
      <c r="R337">
        <v>336</v>
      </c>
    </row>
    <row r="338" spans="1:18">
      <c r="A338" s="1" t="s">
        <v>325</v>
      </c>
      <c r="B338">
        <v>30</v>
      </c>
      <c r="C338">
        <v>11</v>
      </c>
      <c r="D338">
        <v>19</v>
      </c>
      <c r="E338">
        <v>-4.54</v>
      </c>
      <c r="F338">
        <v>1833</v>
      </c>
      <c r="G338">
        <v>695</v>
      </c>
      <c r="H338">
        <v>1712</v>
      </c>
      <c r="I338">
        <v>301</v>
      </c>
      <c r="J338">
        <v>448</v>
      </c>
      <c r="K338">
        <v>359</v>
      </c>
      <c r="L338">
        <v>1031</v>
      </c>
      <c r="M338">
        <v>332</v>
      </c>
      <c r="N338">
        <v>197</v>
      </c>
      <c r="O338">
        <v>118</v>
      </c>
      <c r="P338">
        <v>403</v>
      </c>
      <c r="Q338">
        <v>547</v>
      </c>
      <c r="R338">
        <v>337</v>
      </c>
    </row>
    <row r="339" spans="1:18">
      <c r="A339" s="1" t="s">
        <v>367</v>
      </c>
      <c r="B339">
        <v>33</v>
      </c>
      <c r="C339">
        <v>20</v>
      </c>
      <c r="D339">
        <v>13</v>
      </c>
      <c r="E339">
        <v>8.43</v>
      </c>
      <c r="F339">
        <v>2106</v>
      </c>
      <c r="G339">
        <v>735</v>
      </c>
      <c r="H339">
        <v>1686</v>
      </c>
      <c r="I339">
        <v>423</v>
      </c>
      <c r="J339">
        <v>583</v>
      </c>
      <c r="K339">
        <v>317</v>
      </c>
      <c r="L339">
        <v>1020</v>
      </c>
      <c r="M339">
        <v>393</v>
      </c>
      <c r="N339">
        <v>163</v>
      </c>
      <c r="O339">
        <v>86</v>
      </c>
      <c r="P339">
        <v>330</v>
      </c>
      <c r="Q339">
        <v>532</v>
      </c>
      <c r="R339">
        <v>338</v>
      </c>
    </row>
    <row r="340" spans="1:18">
      <c r="A340" s="1" t="s">
        <v>265</v>
      </c>
      <c r="B340">
        <v>30</v>
      </c>
      <c r="C340">
        <v>16</v>
      </c>
      <c r="D340">
        <v>14</v>
      </c>
      <c r="E340">
        <v>-5.45</v>
      </c>
      <c r="F340">
        <v>2065</v>
      </c>
      <c r="G340">
        <v>727</v>
      </c>
      <c r="H340">
        <v>1602</v>
      </c>
      <c r="I340">
        <v>423</v>
      </c>
      <c r="J340">
        <v>614</v>
      </c>
      <c r="K340">
        <v>377</v>
      </c>
      <c r="L340">
        <v>1022</v>
      </c>
      <c r="M340">
        <v>398</v>
      </c>
      <c r="N340">
        <v>187</v>
      </c>
      <c r="O340">
        <v>44</v>
      </c>
      <c r="P340">
        <v>404</v>
      </c>
      <c r="Q340">
        <v>468</v>
      </c>
      <c r="R340">
        <v>339</v>
      </c>
    </row>
    <row r="341" spans="1:18">
      <c r="A341" s="1" t="s">
        <v>266</v>
      </c>
      <c r="B341">
        <v>33</v>
      </c>
      <c r="C341">
        <v>20</v>
      </c>
      <c r="D341">
        <v>13</v>
      </c>
      <c r="E341">
        <v>0.23</v>
      </c>
      <c r="F341">
        <v>1995</v>
      </c>
      <c r="G341">
        <v>673</v>
      </c>
      <c r="H341">
        <v>1644</v>
      </c>
      <c r="I341">
        <v>461</v>
      </c>
      <c r="J341">
        <v>667</v>
      </c>
      <c r="K341">
        <v>318</v>
      </c>
      <c r="L341">
        <v>1043</v>
      </c>
      <c r="M341">
        <v>373</v>
      </c>
      <c r="N341">
        <v>200</v>
      </c>
      <c r="O341">
        <v>79</v>
      </c>
      <c r="P341">
        <v>408</v>
      </c>
      <c r="Q341">
        <v>611</v>
      </c>
      <c r="R341">
        <v>340</v>
      </c>
    </row>
    <row r="342" spans="1:18">
      <c r="A342" s="1" t="s">
        <v>267</v>
      </c>
      <c r="B342">
        <v>33</v>
      </c>
      <c r="C342">
        <v>19</v>
      </c>
      <c r="D342">
        <v>14</v>
      </c>
      <c r="E342">
        <v>3.53</v>
      </c>
      <c r="F342">
        <v>2471</v>
      </c>
      <c r="G342">
        <v>796</v>
      </c>
      <c r="H342">
        <v>1721</v>
      </c>
      <c r="I342">
        <v>668</v>
      </c>
      <c r="J342">
        <v>919</v>
      </c>
      <c r="K342">
        <v>285</v>
      </c>
      <c r="L342">
        <v>1188</v>
      </c>
      <c r="M342">
        <v>413</v>
      </c>
      <c r="N342">
        <v>157</v>
      </c>
      <c r="O342">
        <v>118</v>
      </c>
      <c r="P342">
        <v>470</v>
      </c>
      <c r="Q342">
        <v>571</v>
      </c>
      <c r="R342">
        <v>341</v>
      </c>
    </row>
    <row r="343" spans="1:18">
      <c r="A343" s="1" t="s">
        <v>268</v>
      </c>
      <c r="B343">
        <v>35</v>
      </c>
      <c r="C343">
        <v>27</v>
      </c>
      <c r="D343">
        <v>8</v>
      </c>
      <c r="E343">
        <v>4.6500000000000004</v>
      </c>
      <c r="F343">
        <v>2508</v>
      </c>
      <c r="G343">
        <v>847</v>
      </c>
      <c r="H343">
        <v>1846</v>
      </c>
      <c r="I343">
        <v>575</v>
      </c>
      <c r="J343">
        <v>851</v>
      </c>
      <c r="K343">
        <v>420</v>
      </c>
      <c r="L343">
        <v>1378</v>
      </c>
      <c r="M343">
        <v>464</v>
      </c>
      <c r="N343">
        <v>185</v>
      </c>
      <c r="O343">
        <v>178</v>
      </c>
      <c r="P343">
        <v>511</v>
      </c>
      <c r="Q343">
        <v>653</v>
      </c>
      <c r="R343">
        <v>342</v>
      </c>
    </row>
    <row r="344" spans="1:18">
      <c r="A344" s="1" t="s">
        <v>269</v>
      </c>
      <c r="B344">
        <v>28</v>
      </c>
      <c r="C344">
        <v>13</v>
      </c>
      <c r="D344">
        <v>15</v>
      </c>
      <c r="E344">
        <v>-5.17</v>
      </c>
      <c r="F344">
        <v>1772</v>
      </c>
      <c r="G344">
        <v>646</v>
      </c>
      <c r="H344">
        <v>1448</v>
      </c>
      <c r="I344">
        <v>380</v>
      </c>
      <c r="J344">
        <v>574</v>
      </c>
      <c r="K344">
        <v>291</v>
      </c>
      <c r="L344">
        <v>935</v>
      </c>
      <c r="M344">
        <v>374</v>
      </c>
      <c r="N344">
        <v>194</v>
      </c>
      <c r="O344">
        <v>88</v>
      </c>
      <c r="P344">
        <v>434</v>
      </c>
      <c r="Q344">
        <v>528</v>
      </c>
      <c r="R344">
        <v>343</v>
      </c>
    </row>
    <row r="345" spans="1:18">
      <c r="A345" s="1" t="s">
        <v>270</v>
      </c>
      <c r="B345">
        <v>30</v>
      </c>
      <c r="C345">
        <v>11</v>
      </c>
      <c r="D345">
        <v>19</v>
      </c>
      <c r="E345">
        <v>-0.11</v>
      </c>
      <c r="F345">
        <v>1981</v>
      </c>
      <c r="G345">
        <v>709</v>
      </c>
      <c r="H345">
        <v>1712</v>
      </c>
      <c r="I345">
        <v>398</v>
      </c>
      <c r="J345">
        <v>612</v>
      </c>
      <c r="K345">
        <v>386</v>
      </c>
      <c r="L345">
        <v>1066</v>
      </c>
      <c r="M345">
        <v>390</v>
      </c>
      <c r="N345">
        <v>168</v>
      </c>
      <c r="O345">
        <v>104</v>
      </c>
      <c r="P345">
        <v>401</v>
      </c>
      <c r="Q345">
        <v>585</v>
      </c>
      <c r="R345">
        <v>344</v>
      </c>
    </row>
    <row r="346" spans="1:18">
      <c r="R346">
        <v>345</v>
      </c>
    </row>
    <row r="347" spans="1:18">
      <c r="R347">
        <v>346</v>
      </c>
    </row>
    <row r="348" spans="1:18">
      <c r="R348">
        <v>347</v>
      </c>
    </row>
    <row r="349" spans="1:18">
      <c r="R349">
        <v>348</v>
      </c>
    </row>
    <row r="350" spans="1:18">
      <c r="R350">
        <v>349</v>
      </c>
    </row>
    <row r="351" spans="1:18">
      <c r="R351">
        <v>350</v>
      </c>
    </row>
    <row r="352" spans="1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82D1F-80FE-4044-BA36-012745B7C237}">
  <sheetPr codeName="Sheet11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27.425781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31</v>
      </c>
      <c r="C2">
        <v>10</v>
      </c>
      <c r="D2">
        <v>21</v>
      </c>
      <c r="E2">
        <v>3.13</v>
      </c>
      <c r="F2">
        <v>1773</v>
      </c>
      <c r="G2">
        <v>632</v>
      </c>
      <c r="H2">
        <v>1428</v>
      </c>
      <c r="I2">
        <v>333</v>
      </c>
      <c r="J2">
        <v>524</v>
      </c>
      <c r="K2">
        <v>220</v>
      </c>
      <c r="L2">
        <v>851</v>
      </c>
      <c r="M2">
        <v>389</v>
      </c>
      <c r="N2">
        <v>155</v>
      </c>
      <c r="O2">
        <v>51</v>
      </c>
      <c r="P2">
        <v>394</v>
      </c>
      <c r="Q2">
        <v>547</v>
      </c>
      <c r="R2">
        <v>1</v>
      </c>
    </row>
    <row r="3" spans="1:18">
      <c r="A3" s="1" t="s">
        <v>18</v>
      </c>
      <c r="B3">
        <v>35</v>
      </c>
      <c r="C3">
        <v>24</v>
      </c>
      <c r="D3">
        <v>11</v>
      </c>
      <c r="E3">
        <v>-1.5</v>
      </c>
      <c r="F3">
        <v>2472</v>
      </c>
      <c r="G3">
        <v>877</v>
      </c>
      <c r="H3">
        <v>2024</v>
      </c>
      <c r="I3">
        <v>483</v>
      </c>
      <c r="J3">
        <v>735</v>
      </c>
      <c r="K3">
        <v>467</v>
      </c>
      <c r="L3">
        <v>1269</v>
      </c>
      <c r="M3">
        <v>473</v>
      </c>
      <c r="N3">
        <v>213</v>
      </c>
      <c r="O3">
        <v>114</v>
      </c>
      <c r="P3">
        <v>464</v>
      </c>
      <c r="Q3">
        <v>682</v>
      </c>
      <c r="R3">
        <v>2</v>
      </c>
    </row>
    <row r="4" spans="1:18">
      <c r="A4" s="1" t="s">
        <v>19</v>
      </c>
      <c r="B4">
        <v>27</v>
      </c>
      <c r="C4">
        <v>11</v>
      </c>
      <c r="D4">
        <v>16</v>
      </c>
      <c r="E4">
        <v>-13.71</v>
      </c>
      <c r="F4">
        <v>1778</v>
      </c>
      <c r="G4">
        <v>599</v>
      </c>
      <c r="H4">
        <v>1568</v>
      </c>
      <c r="I4">
        <v>472</v>
      </c>
      <c r="J4">
        <v>743</v>
      </c>
      <c r="K4">
        <v>376</v>
      </c>
      <c r="L4">
        <v>1004</v>
      </c>
      <c r="M4">
        <v>288</v>
      </c>
      <c r="N4">
        <v>249</v>
      </c>
      <c r="O4">
        <v>143</v>
      </c>
      <c r="P4">
        <v>444</v>
      </c>
      <c r="Q4">
        <v>550</v>
      </c>
      <c r="R4">
        <v>3</v>
      </c>
    </row>
    <row r="5" spans="1:18">
      <c r="A5" s="1" t="s">
        <v>20</v>
      </c>
      <c r="B5">
        <v>34</v>
      </c>
      <c r="C5">
        <v>25</v>
      </c>
      <c r="D5">
        <v>9</v>
      </c>
      <c r="E5">
        <v>2.9</v>
      </c>
      <c r="F5">
        <v>2276</v>
      </c>
      <c r="G5">
        <v>763</v>
      </c>
      <c r="H5">
        <v>1806</v>
      </c>
      <c r="I5">
        <v>573</v>
      </c>
      <c r="J5">
        <v>826</v>
      </c>
      <c r="K5">
        <v>420</v>
      </c>
      <c r="L5">
        <v>1248</v>
      </c>
      <c r="M5">
        <v>390</v>
      </c>
      <c r="N5">
        <v>223</v>
      </c>
      <c r="O5">
        <v>91</v>
      </c>
      <c r="P5">
        <v>451</v>
      </c>
      <c r="Q5">
        <v>611</v>
      </c>
      <c r="R5">
        <v>4</v>
      </c>
    </row>
    <row r="6" spans="1:18">
      <c r="A6" s="1" t="s">
        <v>21</v>
      </c>
      <c r="B6">
        <v>31</v>
      </c>
      <c r="C6">
        <v>16</v>
      </c>
      <c r="D6">
        <v>15</v>
      </c>
      <c r="E6">
        <v>-12.02</v>
      </c>
      <c r="F6">
        <v>1998</v>
      </c>
      <c r="G6">
        <v>667</v>
      </c>
      <c r="H6">
        <v>1651</v>
      </c>
      <c r="I6">
        <v>474</v>
      </c>
      <c r="J6">
        <v>739</v>
      </c>
      <c r="K6">
        <v>400</v>
      </c>
      <c r="L6">
        <v>1101</v>
      </c>
      <c r="M6">
        <v>400</v>
      </c>
      <c r="N6">
        <v>228</v>
      </c>
      <c r="O6">
        <v>129</v>
      </c>
      <c r="P6">
        <v>501</v>
      </c>
      <c r="Q6">
        <v>634</v>
      </c>
      <c r="R6">
        <v>5</v>
      </c>
    </row>
    <row r="7" spans="1:18">
      <c r="A7" s="1" t="s">
        <v>22</v>
      </c>
      <c r="B7">
        <v>32</v>
      </c>
      <c r="C7">
        <v>17</v>
      </c>
      <c r="D7">
        <v>15</v>
      </c>
      <c r="E7">
        <v>6.62</v>
      </c>
      <c r="F7">
        <v>2192</v>
      </c>
      <c r="G7">
        <v>791</v>
      </c>
      <c r="H7">
        <v>1794</v>
      </c>
      <c r="I7">
        <v>435</v>
      </c>
      <c r="J7">
        <v>615</v>
      </c>
      <c r="K7">
        <v>386</v>
      </c>
      <c r="L7">
        <v>1126</v>
      </c>
      <c r="M7">
        <v>429</v>
      </c>
      <c r="N7">
        <v>249</v>
      </c>
      <c r="O7">
        <v>127</v>
      </c>
      <c r="P7">
        <v>410</v>
      </c>
      <c r="Q7">
        <v>583</v>
      </c>
      <c r="R7">
        <v>6</v>
      </c>
    </row>
    <row r="8" spans="1:18">
      <c r="A8" s="1" t="s">
        <v>23</v>
      </c>
      <c r="B8">
        <v>32</v>
      </c>
      <c r="C8">
        <v>7</v>
      </c>
      <c r="D8">
        <v>25</v>
      </c>
      <c r="E8">
        <v>-5.53</v>
      </c>
      <c r="F8">
        <v>2007</v>
      </c>
      <c r="G8">
        <v>710</v>
      </c>
      <c r="H8">
        <v>1736</v>
      </c>
      <c r="I8">
        <v>393</v>
      </c>
      <c r="J8">
        <v>545</v>
      </c>
      <c r="K8">
        <v>399</v>
      </c>
      <c r="L8">
        <v>1156</v>
      </c>
      <c r="M8">
        <v>380</v>
      </c>
      <c r="N8">
        <v>187</v>
      </c>
      <c r="O8">
        <v>97</v>
      </c>
      <c r="P8">
        <v>517</v>
      </c>
      <c r="Q8">
        <v>602</v>
      </c>
      <c r="R8">
        <v>7</v>
      </c>
    </row>
    <row r="9" spans="1:18">
      <c r="A9" s="1" t="s">
        <v>24</v>
      </c>
      <c r="B9">
        <v>31</v>
      </c>
      <c r="C9">
        <v>2</v>
      </c>
      <c r="D9">
        <v>29</v>
      </c>
      <c r="E9">
        <v>-9</v>
      </c>
      <c r="F9">
        <v>1880</v>
      </c>
      <c r="G9">
        <v>651</v>
      </c>
      <c r="H9">
        <v>1717</v>
      </c>
      <c r="I9">
        <v>443</v>
      </c>
      <c r="J9">
        <v>725</v>
      </c>
      <c r="K9">
        <v>356</v>
      </c>
      <c r="L9">
        <v>1065</v>
      </c>
      <c r="M9">
        <v>269</v>
      </c>
      <c r="N9">
        <v>214</v>
      </c>
      <c r="O9">
        <v>98</v>
      </c>
      <c r="P9">
        <v>642</v>
      </c>
      <c r="Q9">
        <v>670</v>
      </c>
      <c r="R9">
        <v>8</v>
      </c>
    </row>
    <row r="10" spans="1:18">
      <c r="A10" s="1" t="s">
        <v>25</v>
      </c>
      <c r="B10">
        <v>31</v>
      </c>
      <c r="C10">
        <v>11</v>
      </c>
      <c r="D10">
        <v>20</v>
      </c>
      <c r="E10">
        <v>-6.89</v>
      </c>
      <c r="F10">
        <v>1941</v>
      </c>
      <c r="G10">
        <v>681</v>
      </c>
      <c r="H10">
        <v>1603</v>
      </c>
      <c r="I10">
        <v>395</v>
      </c>
      <c r="J10">
        <v>571</v>
      </c>
      <c r="K10">
        <v>304</v>
      </c>
      <c r="L10">
        <v>1097</v>
      </c>
      <c r="M10">
        <v>447</v>
      </c>
      <c r="N10">
        <v>109</v>
      </c>
      <c r="O10">
        <v>81</v>
      </c>
      <c r="P10">
        <v>458</v>
      </c>
      <c r="Q10">
        <v>590</v>
      </c>
      <c r="R10">
        <v>9</v>
      </c>
    </row>
    <row r="11" spans="1:18">
      <c r="A11" s="1" t="s">
        <v>271</v>
      </c>
      <c r="B11">
        <v>37</v>
      </c>
      <c r="C11">
        <v>24</v>
      </c>
      <c r="D11">
        <v>13</v>
      </c>
      <c r="E11">
        <v>-2.76</v>
      </c>
      <c r="F11">
        <v>2766</v>
      </c>
      <c r="G11">
        <v>954</v>
      </c>
      <c r="H11">
        <v>2006</v>
      </c>
      <c r="I11">
        <v>579</v>
      </c>
      <c r="J11">
        <v>785</v>
      </c>
      <c r="K11">
        <v>411</v>
      </c>
      <c r="L11">
        <v>1424</v>
      </c>
      <c r="M11">
        <v>447</v>
      </c>
      <c r="N11">
        <v>201</v>
      </c>
      <c r="O11">
        <v>102</v>
      </c>
      <c r="P11">
        <v>544</v>
      </c>
      <c r="Q11">
        <v>652</v>
      </c>
      <c r="R11">
        <v>10</v>
      </c>
    </row>
    <row r="12" spans="1:18">
      <c r="A12" s="1" t="s">
        <v>26</v>
      </c>
      <c r="B12">
        <v>33</v>
      </c>
      <c r="C12">
        <v>22</v>
      </c>
      <c r="D12">
        <v>11</v>
      </c>
      <c r="E12">
        <v>5.83</v>
      </c>
      <c r="F12">
        <v>2202</v>
      </c>
      <c r="G12">
        <v>743</v>
      </c>
      <c r="H12">
        <v>1645</v>
      </c>
      <c r="I12">
        <v>445</v>
      </c>
      <c r="J12">
        <v>625</v>
      </c>
      <c r="K12">
        <v>281</v>
      </c>
      <c r="L12">
        <v>1050</v>
      </c>
      <c r="M12">
        <v>461</v>
      </c>
      <c r="N12">
        <v>216</v>
      </c>
      <c r="O12">
        <v>80</v>
      </c>
      <c r="P12">
        <v>392</v>
      </c>
      <c r="Q12">
        <v>542</v>
      </c>
      <c r="R12">
        <v>11</v>
      </c>
    </row>
    <row r="13" spans="1:18">
      <c r="A13" s="1" t="s">
        <v>356</v>
      </c>
      <c r="B13">
        <v>31</v>
      </c>
      <c r="C13">
        <v>16</v>
      </c>
      <c r="D13">
        <v>15</v>
      </c>
      <c r="E13">
        <v>8.1</v>
      </c>
      <c r="F13">
        <v>2229</v>
      </c>
      <c r="G13">
        <v>745</v>
      </c>
      <c r="H13">
        <v>1681</v>
      </c>
      <c r="I13">
        <v>545</v>
      </c>
      <c r="J13">
        <v>744</v>
      </c>
      <c r="K13">
        <v>302</v>
      </c>
      <c r="L13">
        <v>1062</v>
      </c>
      <c r="M13">
        <v>384</v>
      </c>
      <c r="N13">
        <v>186</v>
      </c>
      <c r="O13">
        <v>78</v>
      </c>
      <c r="P13">
        <v>436</v>
      </c>
      <c r="Q13">
        <v>595</v>
      </c>
      <c r="R13">
        <v>12</v>
      </c>
    </row>
    <row r="14" spans="1:18">
      <c r="A14" s="1" t="s">
        <v>27</v>
      </c>
      <c r="B14">
        <v>30</v>
      </c>
      <c r="C14">
        <v>8</v>
      </c>
      <c r="D14">
        <v>22</v>
      </c>
      <c r="E14">
        <v>-2.23</v>
      </c>
      <c r="F14">
        <v>2028</v>
      </c>
      <c r="G14">
        <v>670</v>
      </c>
      <c r="H14">
        <v>1576</v>
      </c>
      <c r="I14">
        <v>503</v>
      </c>
      <c r="J14">
        <v>720</v>
      </c>
      <c r="K14">
        <v>296</v>
      </c>
      <c r="L14">
        <v>1019</v>
      </c>
      <c r="M14">
        <v>363</v>
      </c>
      <c r="N14">
        <v>141</v>
      </c>
      <c r="O14">
        <v>81</v>
      </c>
      <c r="P14">
        <v>402</v>
      </c>
      <c r="Q14">
        <v>597</v>
      </c>
      <c r="R14">
        <v>13</v>
      </c>
    </row>
    <row r="15" spans="1:18">
      <c r="A15" s="1" t="s">
        <v>28</v>
      </c>
      <c r="B15">
        <v>34</v>
      </c>
      <c r="C15">
        <v>18</v>
      </c>
      <c r="D15">
        <v>16</v>
      </c>
      <c r="E15">
        <v>-7.68</v>
      </c>
      <c r="F15">
        <v>2166</v>
      </c>
      <c r="G15">
        <v>725</v>
      </c>
      <c r="H15">
        <v>1778</v>
      </c>
      <c r="I15">
        <v>575</v>
      </c>
      <c r="J15">
        <v>861</v>
      </c>
      <c r="K15">
        <v>422</v>
      </c>
      <c r="L15">
        <v>1286</v>
      </c>
      <c r="M15">
        <v>421</v>
      </c>
      <c r="N15">
        <v>229</v>
      </c>
      <c r="O15">
        <v>121</v>
      </c>
      <c r="P15">
        <v>569</v>
      </c>
      <c r="Q15">
        <v>764</v>
      </c>
      <c r="R15">
        <v>14</v>
      </c>
    </row>
    <row r="16" spans="1:18">
      <c r="A16" s="1" t="s">
        <v>29</v>
      </c>
      <c r="B16">
        <v>31</v>
      </c>
      <c r="C16">
        <v>17</v>
      </c>
      <c r="D16">
        <v>14</v>
      </c>
      <c r="E16">
        <v>-4.3899999999999997</v>
      </c>
      <c r="F16">
        <v>2160</v>
      </c>
      <c r="G16">
        <v>768</v>
      </c>
      <c r="H16">
        <v>1721</v>
      </c>
      <c r="I16">
        <v>452</v>
      </c>
      <c r="J16">
        <v>682</v>
      </c>
      <c r="K16">
        <v>367</v>
      </c>
      <c r="L16">
        <v>1188</v>
      </c>
      <c r="M16">
        <v>406</v>
      </c>
      <c r="N16">
        <v>159</v>
      </c>
      <c r="O16">
        <v>129</v>
      </c>
      <c r="P16">
        <v>430</v>
      </c>
      <c r="Q16">
        <v>562</v>
      </c>
      <c r="R16">
        <v>15</v>
      </c>
    </row>
    <row r="17" spans="1:18">
      <c r="A17" s="1" t="s">
        <v>302</v>
      </c>
      <c r="B17">
        <v>32</v>
      </c>
      <c r="C17">
        <v>14</v>
      </c>
      <c r="D17">
        <v>18</v>
      </c>
      <c r="E17">
        <v>5.09</v>
      </c>
      <c r="F17">
        <v>2391</v>
      </c>
      <c r="G17">
        <v>829</v>
      </c>
      <c r="H17">
        <v>1859</v>
      </c>
      <c r="I17">
        <v>532</v>
      </c>
      <c r="J17">
        <v>782</v>
      </c>
      <c r="K17">
        <v>351</v>
      </c>
      <c r="L17">
        <v>1103</v>
      </c>
      <c r="M17">
        <v>440</v>
      </c>
      <c r="N17">
        <v>232</v>
      </c>
      <c r="O17">
        <v>130</v>
      </c>
      <c r="P17">
        <v>439</v>
      </c>
      <c r="Q17">
        <v>598</v>
      </c>
      <c r="R17">
        <v>16</v>
      </c>
    </row>
    <row r="18" spans="1:18">
      <c r="A18" s="1" t="s">
        <v>30</v>
      </c>
      <c r="B18">
        <v>29</v>
      </c>
      <c r="C18">
        <v>14</v>
      </c>
      <c r="D18">
        <v>15</v>
      </c>
      <c r="E18">
        <v>-7.96</v>
      </c>
      <c r="F18">
        <v>1749</v>
      </c>
      <c r="G18">
        <v>637</v>
      </c>
      <c r="H18">
        <v>1538</v>
      </c>
      <c r="I18">
        <v>316</v>
      </c>
      <c r="J18">
        <v>483</v>
      </c>
      <c r="K18">
        <v>300</v>
      </c>
      <c r="L18">
        <v>928</v>
      </c>
      <c r="M18">
        <v>334</v>
      </c>
      <c r="N18">
        <v>239</v>
      </c>
      <c r="O18">
        <v>74</v>
      </c>
      <c r="P18">
        <v>430</v>
      </c>
      <c r="Q18">
        <v>580</v>
      </c>
      <c r="R18">
        <v>17</v>
      </c>
    </row>
    <row r="19" spans="1:18">
      <c r="A19" s="1" t="s">
        <v>272</v>
      </c>
      <c r="B19">
        <v>32</v>
      </c>
      <c r="C19">
        <v>15</v>
      </c>
      <c r="D19">
        <v>17</v>
      </c>
      <c r="E19">
        <v>4.68</v>
      </c>
      <c r="F19">
        <v>2422</v>
      </c>
      <c r="G19">
        <v>850</v>
      </c>
      <c r="H19">
        <v>1913</v>
      </c>
      <c r="I19">
        <v>451</v>
      </c>
      <c r="J19">
        <v>689</v>
      </c>
      <c r="K19">
        <v>382</v>
      </c>
      <c r="L19">
        <v>1121</v>
      </c>
      <c r="M19">
        <v>419</v>
      </c>
      <c r="N19">
        <v>252</v>
      </c>
      <c r="O19">
        <v>89</v>
      </c>
      <c r="P19">
        <v>437</v>
      </c>
      <c r="Q19">
        <v>635</v>
      </c>
      <c r="R19">
        <v>18</v>
      </c>
    </row>
    <row r="20" spans="1:18">
      <c r="A20" s="1" t="s">
        <v>31</v>
      </c>
      <c r="B20">
        <v>32</v>
      </c>
      <c r="C20">
        <v>17</v>
      </c>
      <c r="D20">
        <v>15</v>
      </c>
      <c r="E20">
        <v>-1.68</v>
      </c>
      <c r="F20">
        <v>2320</v>
      </c>
      <c r="G20">
        <v>786</v>
      </c>
      <c r="H20">
        <v>1727</v>
      </c>
      <c r="I20">
        <v>548</v>
      </c>
      <c r="J20">
        <v>790</v>
      </c>
      <c r="K20">
        <v>347</v>
      </c>
      <c r="L20">
        <v>1092</v>
      </c>
      <c r="M20">
        <v>429</v>
      </c>
      <c r="N20">
        <v>189</v>
      </c>
      <c r="O20">
        <v>107</v>
      </c>
      <c r="P20">
        <v>458</v>
      </c>
      <c r="Q20">
        <v>547</v>
      </c>
      <c r="R20">
        <v>19</v>
      </c>
    </row>
    <row r="21" spans="1:18">
      <c r="A21" s="1" t="s">
        <v>273</v>
      </c>
      <c r="B21">
        <v>30</v>
      </c>
      <c r="C21">
        <v>15</v>
      </c>
      <c r="D21">
        <v>15</v>
      </c>
      <c r="E21">
        <v>-1.48</v>
      </c>
      <c r="F21">
        <v>1818</v>
      </c>
      <c r="G21">
        <v>617</v>
      </c>
      <c r="H21">
        <v>1486</v>
      </c>
      <c r="I21">
        <v>471</v>
      </c>
      <c r="J21">
        <v>685</v>
      </c>
      <c r="K21">
        <v>314</v>
      </c>
      <c r="L21">
        <v>1053</v>
      </c>
      <c r="M21">
        <v>332</v>
      </c>
      <c r="N21">
        <v>152</v>
      </c>
      <c r="O21">
        <v>91</v>
      </c>
      <c r="P21">
        <v>436</v>
      </c>
      <c r="Q21">
        <v>531</v>
      </c>
      <c r="R21">
        <v>20</v>
      </c>
    </row>
    <row r="22" spans="1:18">
      <c r="A22" s="1" t="s">
        <v>32</v>
      </c>
      <c r="B22">
        <v>36</v>
      </c>
      <c r="C22">
        <v>28</v>
      </c>
      <c r="D22">
        <v>8</v>
      </c>
      <c r="E22">
        <v>8.0299999999999994</v>
      </c>
      <c r="F22">
        <v>2771</v>
      </c>
      <c r="G22">
        <v>993</v>
      </c>
      <c r="H22">
        <v>2040</v>
      </c>
      <c r="I22">
        <v>530</v>
      </c>
      <c r="J22">
        <v>731</v>
      </c>
      <c r="K22">
        <v>443</v>
      </c>
      <c r="L22">
        <v>1408</v>
      </c>
      <c r="M22">
        <v>508</v>
      </c>
      <c r="N22">
        <v>237</v>
      </c>
      <c r="O22">
        <v>242</v>
      </c>
      <c r="P22">
        <v>491</v>
      </c>
      <c r="Q22">
        <v>639</v>
      </c>
      <c r="R22">
        <v>21</v>
      </c>
    </row>
    <row r="23" spans="1:18">
      <c r="A23" s="1" t="s">
        <v>33</v>
      </c>
      <c r="B23">
        <v>31</v>
      </c>
      <c r="C23">
        <v>19</v>
      </c>
      <c r="D23">
        <v>12</v>
      </c>
      <c r="E23">
        <v>-3.41</v>
      </c>
      <c r="F23">
        <v>2266</v>
      </c>
      <c r="G23">
        <v>763</v>
      </c>
      <c r="H23">
        <v>1699</v>
      </c>
      <c r="I23">
        <v>496</v>
      </c>
      <c r="J23">
        <v>736</v>
      </c>
      <c r="K23">
        <v>371</v>
      </c>
      <c r="L23">
        <v>1150</v>
      </c>
      <c r="M23">
        <v>445</v>
      </c>
      <c r="N23">
        <v>222</v>
      </c>
      <c r="O23">
        <v>92</v>
      </c>
      <c r="P23">
        <v>513</v>
      </c>
      <c r="Q23">
        <v>595</v>
      </c>
      <c r="R23">
        <v>22</v>
      </c>
    </row>
    <row r="24" spans="1:18">
      <c r="A24" s="1" t="s">
        <v>34</v>
      </c>
      <c r="B24">
        <v>33</v>
      </c>
      <c r="C24">
        <v>17</v>
      </c>
      <c r="D24">
        <v>16</v>
      </c>
      <c r="E24">
        <v>-8.4</v>
      </c>
      <c r="F24">
        <v>2021</v>
      </c>
      <c r="G24">
        <v>743</v>
      </c>
      <c r="H24">
        <v>1727</v>
      </c>
      <c r="I24">
        <v>401</v>
      </c>
      <c r="J24">
        <v>624</v>
      </c>
      <c r="K24">
        <v>392</v>
      </c>
      <c r="L24">
        <v>1096</v>
      </c>
      <c r="M24">
        <v>344</v>
      </c>
      <c r="N24">
        <v>227</v>
      </c>
      <c r="O24">
        <v>114</v>
      </c>
      <c r="P24">
        <v>423</v>
      </c>
      <c r="Q24">
        <v>593</v>
      </c>
      <c r="R24">
        <v>23</v>
      </c>
    </row>
    <row r="25" spans="1:18">
      <c r="A25" s="1" t="s">
        <v>303</v>
      </c>
      <c r="B25">
        <v>31</v>
      </c>
      <c r="C25">
        <v>13</v>
      </c>
      <c r="D25">
        <v>18</v>
      </c>
      <c r="E25">
        <v>-4.3099999999999996</v>
      </c>
      <c r="F25">
        <v>1909</v>
      </c>
      <c r="G25">
        <v>690</v>
      </c>
      <c r="H25">
        <v>1632</v>
      </c>
      <c r="I25">
        <v>371</v>
      </c>
      <c r="J25">
        <v>558</v>
      </c>
      <c r="K25">
        <v>359</v>
      </c>
      <c r="L25">
        <v>1078</v>
      </c>
      <c r="M25">
        <v>299</v>
      </c>
      <c r="N25">
        <v>166</v>
      </c>
      <c r="O25">
        <v>122</v>
      </c>
      <c r="P25">
        <v>439</v>
      </c>
      <c r="Q25">
        <v>530</v>
      </c>
      <c r="R25">
        <v>24</v>
      </c>
    </row>
    <row r="26" spans="1:18">
      <c r="A26" s="1" t="s">
        <v>35</v>
      </c>
      <c r="B26">
        <v>32</v>
      </c>
      <c r="C26">
        <v>15</v>
      </c>
      <c r="D26">
        <v>17</v>
      </c>
      <c r="E26">
        <v>0.68</v>
      </c>
      <c r="F26">
        <v>2370</v>
      </c>
      <c r="G26">
        <v>894</v>
      </c>
      <c r="H26">
        <v>1942</v>
      </c>
      <c r="I26">
        <v>390</v>
      </c>
      <c r="J26">
        <v>578</v>
      </c>
      <c r="K26">
        <v>371</v>
      </c>
      <c r="L26">
        <v>1148</v>
      </c>
      <c r="M26">
        <v>515</v>
      </c>
      <c r="N26">
        <v>244</v>
      </c>
      <c r="O26">
        <v>119</v>
      </c>
      <c r="P26">
        <v>458</v>
      </c>
      <c r="Q26">
        <v>537</v>
      </c>
      <c r="R26">
        <v>25</v>
      </c>
    </row>
    <row r="27" spans="1:18">
      <c r="A27" s="1" t="s">
        <v>36</v>
      </c>
      <c r="B27">
        <v>31</v>
      </c>
      <c r="C27">
        <v>15</v>
      </c>
      <c r="D27">
        <v>16</v>
      </c>
      <c r="E27">
        <v>7.21</v>
      </c>
      <c r="F27">
        <v>2145</v>
      </c>
      <c r="G27">
        <v>798</v>
      </c>
      <c r="H27">
        <v>1786</v>
      </c>
      <c r="I27">
        <v>390</v>
      </c>
      <c r="J27">
        <v>545</v>
      </c>
      <c r="K27">
        <v>401</v>
      </c>
      <c r="L27">
        <v>1124</v>
      </c>
      <c r="M27">
        <v>465</v>
      </c>
      <c r="N27">
        <v>155</v>
      </c>
      <c r="O27">
        <v>108</v>
      </c>
      <c r="P27">
        <v>394</v>
      </c>
      <c r="Q27">
        <v>524</v>
      </c>
      <c r="R27">
        <v>26</v>
      </c>
    </row>
    <row r="28" spans="1:18">
      <c r="A28" s="1" t="s">
        <v>37</v>
      </c>
      <c r="B28">
        <v>35</v>
      </c>
      <c r="C28">
        <v>21</v>
      </c>
      <c r="D28">
        <v>14</v>
      </c>
      <c r="E28">
        <v>-3.23</v>
      </c>
      <c r="F28">
        <v>2528</v>
      </c>
      <c r="G28">
        <v>833</v>
      </c>
      <c r="H28">
        <v>2033</v>
      </c>
      <c r="I28">
        <v>562</v>
      </c>
      <c r="J28">
        <v>776</v>
      </c>
      <c r="K28">
        <v>397</v>
      </c>
      <c r="L28">
        <v>1296</v>
      </c>
      <c r="M28">
        <v>398</v>
      </c>
      <c r="N28">
        <v>257</v>
      </c>
      <c r="O28">
        <v>114</v>
      </c>
      <c r="P28">
        <v>475</v>
      </c>
      <c r="Q28">
        <v>744</v>
      </c>
      <c r="R28">
        <v>27</v>
      </c>
    </row>
    <row r="29" spans="1:18">
      <c r="A29" s="1" t="s">
        <v>38</v>
      </c>
      <c r="B29">
        <v>30</v>
      </c>
      <c r="C29">
        <v>14</v>
      </c>
      <c r="D29">
        <v>16</v>
      </c>
      <c r="E29">
        <v>-0.94</v>
      </c>
      <c r="F29">
        <v>1889</v>
      </c>
      <c r="G29">
        <v>695</v>
      </c>
      <c r="H29">
        <v>1564</v>
      </c>
      <c r="I29">
        <v>369</v>
      </c>
      <c r="J29">
        <v>551</v>
      </c>
      <c r="K29">
        <v>327</v>
      </c>
      <c r="L29">
        <v>1011</v>
      </c>
      <c r="M29">
        <v>393</v>
      </c>
      <c r="N29">
        <v>204</v>
      </c>
      <c r="O29">
        <v>99</v>
      </c>
      <c r="P29">
        <v>420</v>
      </c>
      <c r="Q29">
        <v>494</v>
      </c>
      <c r="R29">
        <v>28</v>
      </c>
    </row>
    <row r="30" spans="1:18">
      <c r="A30" s="1" t="s">
        <v>39</v>
      </c>
      <c r="B30">
        <v>31</v>
      </c>
      <c r="C30">
        <v>16</v>
      </c>
      <c r="D30">
        <v>15</v>
      </c>
      <c r="E30">
        <v>4.1100000000000003</v>
      </c>
      <c r="F30">
        <v>2091</v>
      </c>
      <c r="G30">
        <v>721</v>
      </c>
      <c r="H30">
        <v>1641</v>
      </c>
      <c r="I30">
        <v>462</v>
      </c>
      <c r="J30">
        <v>621</v>
      </c>
      <c r="K30">
        <v>283</v>
      </c>
      <c r="L30">
        <v>1021</v>
      </c>
      <c r="M30">
        <v>370</v>
      </c>
      <c r="N30">
        <v>195</v>
      </c>
      <c r="O30">
        <v>85</v>
      </c>
      <c r="P30">
        <v>373</v>
      </c>
      <c r="Q30">
        <v>518</v>
      </c>
      <c r="R30">
        <v>29</v>
      </c>
    </row>
    <row r="31" spans="1:18">
      <c r="A31" s="1" t="s">
        <v>40</v>
      </c>
      <c r="B31">
        <v>36</v>
      </c>
      <c r="C31">
        <v>30</v>
      </c>
      <c r="D31">
        <v>6</v>
      </c>
      <c r="E31">
        <v>3</v>
      </c>
      <c r="F31">
        <v>2992</v>
      </c>
      <c r="G31">
        <v>1025</v>
      </c>
      <c r="H31">
        <v>2120</v>
      </c>
      <c r="I31">
        <v>650</v>
      </c>
      <c r="J31">
        <v>823</v>
      </c>
      <c r="K31">
        <v>367</v>
      </c>
      <c r="L31">
        <v>1332</v>
      </c>
      <c r="M31">
        <v>567</v>
      </c>
      <c r="N31">
        <v>307</v>
      </c>
      <c r="O31">
        <v>126</v>
      </c>
      <c r="P31">
        <v>417</v>
      </c>
      <c r="Q31">
        <v>621</v>
      </c>
      <c r="R31">
        <v>30</v>
      </c>
    </row>
    <row r="32" spans="1:18">
      <c r="A32" s="1" t="s">
        <v>41</v>
      </c>
      <c r="B32">
        <v>31</v>
      </c>
      <c r="C32">
        <v>11</v>
      </c>
      <c r="D32">
        <v>20</v>
      </c>
      <c r="E32">
        <v>-3.82</v>
      </c>
      <c r="F32">
        <v>2073</v>
      </c>
      <c r="G32">
        <v>710</v>
      </c>
      <c r="H32">
        <v>1610</v>
      </c>
      <c r="I32">
        <v>441</v>
      </c>
      <c r="J32">
        <v>602</v>
      </c>
      <c r="K32">
        <v>225</v>
      </c>
      <c r="L32">
        <v>990</v>
      </c>
      <c r="M32">
        <v>417</v>
      </c>
      <c r="N32">
        <v>121</v>
      </c>
      <c r="O32">
        <v>118</v>
      </c>
      <c r="P32">
        <v>402</v>
      </c>
      <c r="Q32">
        <v>436</v>
      </c>
      <c r="R32">
        <v>31</v>
      </c>
    </row>
    <row r="33" spans="1:18">
      <c r="A33" s="1" t="s">
        <v>352</v>
      </c>
      <c r="B33">
        <v>30</v>
      </c>
      <c r="C33">
        <v>1</v>
      </c>
      <c r="D33">
        <v>29</v>
      </c>
      <c r="F33">
        <v>1503</v>
      </c>
      <c r="G33">
        <v>545</v>
      </c>
      <c r="H33">
        <v>1466</v>
      </c>
      <c r="I33">
        <v>259</v>
      </c>
      <c r="J33">
        <v>389</v>
      </c>
      <c r="K33">
        <v>243</v>
      </c>
      <c r="L33">
        <v>867</v>
      </c>
      <c r="M33">
        <v>317</v>
      </c>
      <c r="N33">
        <v>169</v>
      </c>
      <c r="O33">
        <v>107</v>
      </c>
      <c r="P33">
        <v>489</v>
      </c>
      <c r="Q33">
        <v>590</v>
      </c>
      <c r="R33">
        <v>32</v>
      </c>
    </row>
    <row r="34" spans="1:18">
      <c r="A34" s="1" t="s">
        <v>42</v>
      </c>
      <c r="B34">
        <v>31</v>
      </c>
      <c r="C34">
        <v>14</v>
      </c>
      <c r="D34">
        <v>17</v>
      </c>
      <c r="E34">
        <v>-6.84</v>
      </c>
      <c r="F34">
        <v>2077</v>
      </c>
      <c r="G34">
        <v>717</v>
      </c>
      <c r="H34">
        <v>1749</v>
      </c>
      <c r="I34">
        <v>443</v>
      </c>
      <c r="J34">
        <v>607</v>
      </c>
      <c r="K34">
        <v>335</v>
      </c>
      <c r="L34">
        <v>1048</v>
      </c>
      <c r="M34">
        <v>370</v>
      </c>
      <c r="N34">
        <v>152</v>
      </c>
      <c r="O34">
        <v>113</v>
      </c>
      <c r="P34">
        <v>359</v>
      </c>
      <c r="Q34">
        <v>553</v>
      </c>
      <c r="R34">
        <v>33</v>
      </c>
    </row>
    <row r="35" spans="1:18">
      <c r="A35" s="1" t="s">
        <v>43</v>
      </c>
      <c r="B35">
        <v>30</v>
      </c>
      <c r="C35">
        <v>18</v>
      </c>
      <c r="D35">
        <v>12</v>
      </c>
      <c r="E35">
        <v>-2.27</v>
      </c>
      <c r="F35">
        <v>2170</v>
      </c>
      <c r="G35">
        <v>755</v>
      </c>
      <c r="H35">
        <v>1742</v>
      </c>
      <c r="I35">
        <v>453</v>
      </c>
      <c r="J35">
        <v>632</v>
      </c>
      <c r="K35">
        <v>379</v>
      </c>
      <c r="L35">
        <v>1066</v>
      </c>
      <c r="M35">
        <v>454</v>
      </c>
      <c r="N35">
        <v>227</v>
      </c>
      <c r="O35">
        <v>100</v>
      </c>
      <c r="P35">
        <v>422</v>
      </c>
      <c r="Q35">
        <v>570</v>
      </c>
      <c r="R35">
        <v>34</v>
      </c>
    </row>
    <row r="36" spans="1:18">
      <c r="A36" s="1" t="s">
        <v>304</v>
      </c>
      <c r="B36">
        <v>38</v>
      </c>
      <c r="C36">
        <v>33</v>
      </c>
      <c r="D36">
        <v>5</v>
      </c>
      <c r="E36">
        <v>5.08</v>
      </c>
      <c r="F36">
        <v>2611</v>
      </c>
      <c r="G36">
        <v>845</v>
      </c>
      <c r="H36">
        <v>1911</v>
      </c>
      <c r="I36">
        <v>661</v>
      </c>
      <c r="J36">
        <v>896</v>
      </c>
      <c r="K36">
        <v>353</v>
      </c>
      <c r="L36">
        <v>1241</v>
      </c>
      <c r="M36">
        <v>464</v>
      </c>
      <c r="N36">
        <v>267</v>
      </c>
      <c r="O36">
        <v>86</v>
      </c>
      <c r="P36">
        <v>456</v>
      </c>
      <c r="Q36">
        <v>685</v>
      </c>
      <c r="R36">
        <v>35</v>
      </c>
    </row>
    <row r="37" spans="1:18">
      <c r="A37" s="1" t="s">
        <v>44</v>
      </c>
      <c r="B37">
        <v>31</v>
      </c>
      <c r="C37">
        <v>12</v>
      </c>
      <c r="D37">
        <v>19</v>
      </c>
      <c r="E37">
        <v>-2.31</v>
      </c>
      <c r="F37">
        <v>2176</v>
      </c>
      <c r="G37">
        <v>738</v>
      </c>
      <c r="H37">
        <v>1770</v>
      </c>
      <c r="I37">
        <v>494</v>
      </c>
      <c r="J37">
        <v>678</v>
      </c>
      <c r="K37">
        <v>384</v>
      </c>
      <c r="L37">
        <v>1100</v>
      </c>
      <c r="M37">
        <v>364</v>
      </c>
      <c r="N37">
        <v>171</v>
      </c>
      <c r="O37">
        <v>73</v>
      </c>
      <c r="P37">
        <v>417</v>
      </c>
      <c r="Q37">
        <v>683</v>
      </c>
      <c r="R37">
        <v>36</v>
      </c>
    </row>
    <row r="38" spans="1:18">
      <c r="A38" s="1" t="s">
        <v>343</v>
      </c>
      <c r="B38">
        <v>29</v>
      </c>
      <c r="C38">
        <v>7</v>
      </c>
      <c r="D38">
        <v>22</v>
      </c>
      <c r="F38">
        <v>1907</v>
      </c>
      <c r="G38">
        <v>636</v>
      </c>
      <c r="H38">
        <v>1638</v>
      </c>
      <c r="I38">
        <v>489</v>
      </c>
      <c r="J38">
        <v>712</v>
      </c>
      <c r="K38">
        <v>408</v>
      </c>
      <c r="L38">
        <v>1048</v>
      </c>
      <c r="M38">
        <v>263</v>
      </c>
      <c r="N38">
        <v>181</v>
      </c>
      <c r="O38">
        <v>83</v>
      </c>
      <c r="P38">
        <v>438</v>
      </c>
      <c r="Q38">
        <v>543</v>
      </c>
      <c r="R38">
        <v>37</v>
      </c>
    </row>
    <row r="39" spans="1:18">
      <c r="A39" s="1" t="s">
        <v>45</v>
      </c>
      <c r="B39">
        <v>31</v>
      </c>
      <c r="C39">
        <v>16</v>
      </c>
      <c r="D39">
        <v>15</v>
      </c>
      <c r="E39">
        <v>-1.55</v>
      </c>
      <c r="F39">
        <v>2303</v>
      </c>
      <c r="G39">
        <v>790</v>
      </c>
      <c r="H39">
        <v>1754</v>
      </c>
      <c r="I39">
        <v>514</v>
      </c>
      <c r="J39">
        <v>720</v>
      </c>
      <c r="K39">
        <v>323</v>
      </c>
      <c r="L39">
        <v>1141</v>
      </c>
      <c r="M39">
        <v>421</v>
      </c>
      <c r="N39">
        <v>175</v>
      </c>
      <c r="O39">
        <v>98</v>
      </c>
      <c r="P39">
        <v>453</v>
      </c>
      <c r="Q39">
        <v>613</v>
      </c>
      <c r="R39">
        <v>38</v>
      </c>
    </row>
    <row r="40" spans="1:18">
      <c r="A40" s="1" t="s">
        <v>46</v>
      </c>
      <c r="B40">
        <v>32</v>
      </c>
      <c r="C40">
        <v>11</v>
      </c>
      <c r="D40">
        <v>21</v>
      </c>
      <c r="E40">
        <v>-1.06</v>
      </c>
      <c r="F40">
        <v>2282</v>
      </c>
      <c r="G40">
        <v>751</v>
      </c>
      <c r="H40">
        <v>1789</v>
      </c>
      <c r="I40">
        <v>624</v>
      </c>
      <c r="J40">
        <v>933</v>
      </c>
      <c r="K40">
        <v>431</v>
      </c>
      <c r="L40">
        <v>1214</v>
      </c>
      <c r="M40">
        <v>358</v>
      </c>
      <c r="N40">
        <v>239</v>
      </c>
      <c r="O40">
        <v>99</v>
      </c>
      <c r="P40">
        <v>561</v>
      </c>
      <c r="Q40">
        <v>740</v>
      </c>
      <c r="R40">
        <v>39</v>
      </c>
    </row>
    <row r="41" spans="1:18">
      <c r="A41" s="1" t="s">
        <v>330</v>
      </c>
      <c r="B41">
        <v>32</v>
      </c>
      <c r="C41">
        <v>14</v>
      </c>
      <c r="D41">
        <v>18</v>
      </c>
      <c r="E41">
        <v>-3.01</v>
      </c>
      <c r="F41">
        <v>2225</v>
      </c>
      <c r="G41">
        <v>751</v>
      </c>
      <c r="H41">
        <v>1700</v>
      </c>
      <c r="I41">
        <v>513</v>
      </c>
      <c r="J41">
        <v>729</v>
      </c>
      <c r="K41">
        <v>296</v>
      </c>
      <c r="L41">
        <v>1015</v>
      </c>
      <c r="M41">
        <v>446</v>
      </c>
      <c r="N41">
        <v>247</v>
      </c>
      <c r="O41">
        <v>90</v>
      </c>
      <c r="P41">
        <v>482</v>
      </c>
      <c r="Q41">
        <v>641</v>
      </c>
      <c r="R41">
        <v>40</v>
      </c>
    </row>
    <row r="42" spans="1:18">
      <c r="A42" s="1" t="s">
        <v>47</v>
      </c>
      <c r="B42">
        <v>32</v>
      </c>
      <c r="C42">
        <v>14</v>
      </c>
      <c r="D42">
        <v>18</v>
      </c>
      <c r="E42">
        <v>-3.75</v>
      </c>
      <c r="F42">
        <v>2162</v>
      </c>
      <c r="G42">
        <v>749</v>
      </c>
      <c r="H42">
        <v>1772</v>
      </c>
      <c r="I42">
        <v>476</v>
      </c>
      <c r="J42">
        <v>658</v>
      </c>
      <c r="K42">
        <v>352</v>
      </c>
      <c r="L42">
        <v>1060</v>
      </c>
      <c r="M42">
        <v>419</v>
      </c>
      <c r="N42">
        <v>181</v>
      </c>
      <c r="O42">
        <v>89</v>
      </c>
      <c r="P42">
        <v>367</v>
      </c>
      <c r="Q42">
        <v>603</v>
      </c>
      <c r="R42">
        <v>41</v>
      </c>
    </row>
    <row r="43" spans="1:18">
      <c r="A43" s="1" t="s">
        <v>305</v>
      </c>
      <c r="B43">
        <v>29</v>
      </c>
      <c r="C43">
        <v>12</v>
      </c>
      <c r="D43">
        <v>17</v>
      </c>
      <c r="E43">
        <v>-2.61</v>
      </c>
      <c r="F43">
        <v>1833</v>
      </c>
      <c r="G43">
        <v>643</v>
      </c>
      <c r="H43">
        <v>1546</v>
      </c>
      <c r="I43">
        <v>394</v>
      </c>
      <c r="J43">
        <v>608</v>
      </c>
      <c r="K43">
        <v>362</v>
      </c>
      <c r="L43">
        <v>1063</v>
      </c>
      <c r="M43">
        <v>353</v>
      </c>
      <c r="N43">
        <v>149</v>
      </c>
      <c r="O43">
        <v>67</v>
      </c>
      <c r="P43">
        <v>377</v>
      </c>
      <c r="Q43">
        <v>532</v>
      </c>
      <c r="R43">
        <v>42</v>
      </c>
    </row>
    <row r="44" spans="1:18">
      <c r="A44" s="1" t="s">
        <v>48</v>
      </c>
      <c r="B44">
        <v>30</v>
      </c>
      <c r="C44">
        <v>20</v>
      </c>
      <c r="D44">
        <v>10</v>
      </c>
      <c r="E44">
        <v>-1.0900000000000001</v>
      </c>
      <c r="F44">
        <v>2028</v>
      </c>
      <c r="G44">
        <v>674</v>
      </c>
      <c r="H44">
        <v>1522</v>
      </c>
      <c r="I44">
        <v>475</v>
      </c>
      <c r="J44">
        <v>698</v>
      </c>
      <c r="K44">
        <v>268</v>
      </c>
      <c r="L44">
        <v>984</v>
      </c>
      <c r="M44">
        <v>414</v>
      </c>
      <c r="N44">
        <v>202</v>
      </c>
      <c r="O44">
        <v>92</v>
      </c>
      <c r="P44">
        <v>460</v>
      </c>
      <c r="Q44">
        <v>572</v>
      </c>
      <c r="R44">
        <v>43</v>
      </c>
    </row>
    <row r="45" spans="1:18">
      <c r="A45" s="1" t="s">
        <v>49</v>
      </c>
      <c r="B45">
        <v>35</v>
      </c>
      <c r="C45">
        <v>24</v>
      </c>
      <c r="D45">
        <v>11</v>
      </c>
      <c r="E45">
        <v>8.26</v>
      </c>
      <c r="F45">
        <v>2703</v>
      </c>
      <c r="G45">
        <v>966</v>
      </c>
      <c r="H45">
        <v>2028</v>
      </c>
      <c r="I45">
        <v>543</v>
      </c>
      <c r="J45">
        <v>717</v>
      </c>
      <c r="K45">
        <v>395</v>
      </c>
      <c r="L45">
        <v>1241</v>
      </c>
      <c r="M45">
        <v>500</v>
      </c>
      <c r="N45">
        <v>198</v>
      </c>
      <c r="O45">
        <v>86</v>
      </c>
      <c r="P45">
        <v>421</v>
      </c>
      <c r="Q45">
        <v>593</v>
      </c>
      <c r="R45">
        <v>44</v>
      </c>
    </row>
    <row r="46" spans="1:18">
      <c r="A46" s="1" t="s">
        <v>50</v>
      </c>
      <c r="B46">
        <v>30</v>
      </c>
      <c r="C46">
        <v>19</v>
      </c>
      <c r="D46">
        <v>11</v>
      </c>
      <c r="E46">
        <v>-4.96</v>
      </c>
      <c r="F46">
        <v>2057</v>
      </c>
      <c r="G46">
        <v>702</v>
      </c>
      <c r="H46">
        <v>1578</v>
      </c>
      <c r="I46">
        <v>509</v>
      </c>
      <c r="J46">
        <v>719</v>
      </c>
      <c r="K46">
        <v>353</v>
      </c>
      <c r="L46">
        <v>978</v>
      </c>
      <c r="M46">
        <v>430</v>
      </c>
      <c r="N46">
        <v>314</v>
      </c>
      <c r="O46">
        <v>64</v>
      </c>
      <c r="P46">
        <v>429</v>
      </c>
      <c r="Q46">
        <v>563</v>
      </c>
      <c r="R46">
        <v>45</v>
      </c>
    </row>
    <row r="47" spans="1:18">
      <c r="A47" s="1" t="s">
        <v>51</v>
      </c>
      <c r="B47">
        <v>32</v>
      </c>
      <c r="C47">
        <v>15</v>
      </c>
      <c r="D47">
        <v>17</v>
      </c>
      <c r="E47">
        <v>-4.09</v>
      </c>
      <c r="F47">
        <v>2125</v>
      </c>
      <c r="G47">
        <v>744</v>
      </c>
      <c r="H47">
        <v>1806</v>
      </c>
      <c r="I47">
        <v>427</v>
      </c>
      <c r="J47">
        <v>609</v>
      </c>
      <c r="K47">
        <v>404</v>
      </c>
      <c r="L47">
        <v>1199</v>
      </c>
      <c r="M47">
        <v>403</v>
      </c>
      <c r="N47">
        <v>193</v>
      </c>
      <c r="O47">
        <v>112</v>
      </c>
      <c r="P47">
        <v>471</v>
      </c>
      <c r="Q47">
        <v>585</v>
      </c>
      <c r="R47">
        <v>46</v>
      </c>
    </row>
    <row r="48" spans="1:18">
      <c r="A48" s="1" t="s">
        <v>52</v>
      </c>
      <c r="B48">
        <v>29</v>
      </c>
      <c r="C48">
        <v>8</v>
      </c>
      <c r="D48">
        <v>21</v>
      </c>
      <c r="E48">
        <v>-5.08</v>
      </c>
      <c r="F48">
        <v>2056</v>
      </c>
      <c r="G48">
        <v>684</v>
      </c>
      <c r="H48">
        <v>1645</v>
      </c>
      <c r="I48">
        <v>461</v>
      </c>
      <c r="J48">
        <v>629</v>
      </c>
      <c r="K48">
        <v>274</v>
      </c>
      <c r="L48">
        <v>874</v>
      </c>
      <c r="M48">
        <v>383</v>
      </c>
      <c r="N48">
        <v>231</v>
      </c>
      <c r="O48">
        <v>65</v>
      </c>
      <c r="P48">
        <v>442</v>
      </c>
      <c r="Q48">
        <v>617</v>
      </c>
      <c r="R48">
        <v>47</v>
      </c>
    </row>
    <row r="49" spans="1:18">
      <c r="A49" s="1" t="s">
        <v>344</v>
      </c>
      <c r="B49">
        <v>30</v>
      </c>
      <c r="C49">
        <v>9</v>
      </c>
      <c r="D49">
        <v>21</v>
      </c>
      <c r="F49">
        <v>1897</v>
      </c>
      <c r="G49">
        <v>641</v>
      </c>
      <c r="H49">
        <v>1560</v>
      </c>
      <c r="I49">
        <v>454</v>
      </c>
      <c r="J49">
        <v>712</v>
      </c>
      <c r="K49">
        <v>339</v>
      </c>
      <c r="L49">
        <v>1013</v>
      </c>
      <c r="M49">
        <v>296</v>
      </c>
      <c r="N49">
        <v>195</v>
      </c>
      <c r="O49">
        <v>101</v>
      </c>
      <c r="P49">
        <v>420</v>
      </c>
      <c r="Q49">
        <v>520</v>
      </c>
      <c r="R49">
        <v>48</v>
      </c>
    </row>
    <row r="50" spans="1:18">
      <c r="A50" s="1" t="s">
        <v>274</v>
      </c>
      <c r="B50">
        <v>30</v>
      </c>
      <c r="C50">
        <v>12</v>
      </c>
      <c r="D50">
        <v>18</v>
      </c>
      <c r="E50">
        <v>-9.68</v>
      </c>
      <c r="F50">
        <v>1834</v>
      </c>
      <c r="G50">
        <v>645</v>
      </c>
      <c r="H50">
        <v>1599</v>
      </c>
      <c r="I50">
        <v>392</v>
      </c>
      <c r="J50">
        <v>547</v>
      </c>
      <c r="K50">
        <v>330</v>
      </c>
      <c r="L50">
        <v>974</v>
      </c>
      <c r="M50">
        <v>329</v>
      </c>
      <c r="N50">
        <v>200</v>
      </c>
      <c r="O50">
        <v>90</v>
      </c>
      <c r="P50">
        <v>402</v>
      </c>
      <c r="Q50">
        <v>454</v>
      </c>
      <c r="R50">
        <v>49</v>
      </c>
    </row>
    <row r="51" spans="1:18">
      <c r="A51" s="1" t="s">
        <v>53</v>
      </c>
      <c r="B51">
        <v>32</v>
      </c>
      <c r="C51">
        <v>15</v>
      </c>
      <c r="D51">
        <v>17</v>
      </c>
      <c r="E51">
        <v>2.19</v>
      </c>
      <c r="F51">
        <v>2133</v>
      </c>
      <c r="G51">
        <v>758</v>
      </c>
      <c r="H51">
        <v>1716</v>
      </c>
      <c r="I51">
        <v>439</v>
      </c>
      <c r="J51">
        <v>644</v>
      </c>
      <c r="K51">
        <v>356</v>
      </c>
      <c r="L51">
        <v>1052</v>
      </c>
      <c r="M51">
        <v>474</v>
      </c>
      <c r="N51">
        <v>248</v>
      </c>
      <c r="O51">
        <v>95</v>
      </c>
      <c r="P51">
        <v>457</v>
      </c>
      <c r="Q51">
        <v>599</v>
      </c>
      <c r="R51">
        <v>50</v>
      </c>
    </row>
    <row r="52" spans="1:18">
      <c r="A52" s="1" t="s">
        <v>54</v>
      </c>
      <c r="B52">
        <v>30</v>
      </c>
      <c r="C52">
        <v>15</v>
      </c>
      <c r="D52">
        <v>15</v>
      </c>
      <c r="E52">
        <v>-3.58</v>
      </c>
      <c r="F52">
        <v>1937</v>
      </c>
      <c r="G52">
        <v>651</v>
      </c>
      <c r="H52">
        <v>1588</v>
      </c>
      <c r="I52">
        <v>406</v>
      </c>
      <c r="J52">
        <v>611</v>
      </c>
      <c r="K52">
        <v>371</v>
      </c>
      <c r="L52">
        <v>1005</v>
      </c>
      <c r="M52">
        <v>321</v>
      </c>
      <c r="N52">
        <v>246</v>
      </c>
      <c r="O52">
        <v>85</v>
      </c>
      <c r="P52">
        <v>427</v>
      </c>
      <c r="Q52">
        <v>654</v>
      </c>
      <c r="R52">
        <v>51</v>
      </c>
    </row>
    <row r="53" spans="1:18">
      <c r="A53" s="1" t="s">
        <v>55</v>
      </c>
      <c r="B53">
        <v>30</v>
      </c>
      <c r="C53">
        <v>13</v>
      </c>
      <c r="D53">
        <v>17</v>
      </c>
      <c r="E53">
        <v>-8.1199999999999992</v>
      </c>
      <c r="F53">
        <v>2062</v>
      </c>
      <c r="G53">
        <v>767</v>
      </c>
      <c r="H53">
        <v>1789</v>
      </c>
      <c r="I53">
        <v>331</v>
      </c>
      <c r="J53">
        <v>500</v>
      </c>
      <c r="K53">
        <v>407</v>
      </c>
      <c r="L53">
        <v>1100</v>
      </c>
      <c r="M53">
        <v>331</v>
      </c>
      <c r="N53">
        <v>269</v>
      </c>
      <c r="O53">
        <v>121</v>
      </c>
      <c r="P53">
        <v>444</v>
      </c>
      <c r="Q53">
        <v>535</v>
      </c>
      <c r="R53">
        <v>52</v>
      </c>
    </row>
    <row r="54" spans="1:18">
      <c r="A54" s="1" t="s">
        <v>56</v>
      </c>
      <c r="B54">
        <v>31</v>
      </c>
      <c r="C54">
        <v>19</v>
      </c>
      <c r="D54">
        <v>12</v>
      </c>
      <c r="E54">
        <v>3</v>
      </c>
      <c r="F54">
        <v>2276</v>
      </c>
      <c r="G54">
        <v>756</v>
      </c>
      <c r="H54">
        <v>1807</v>
      </c>
      <c r="I54">
        <v>563</v>
      </c>
      <c r="J54">
        <v>768</v>
      </c>
      <c r="K54">
        <v>413</v>
      </c>
      <c r="L54">
        <v>1227</v>
      </c>
      <c r="M54">
        <v>409</v>
      </c>
      <c r="N54">
        <v>183</v>
      </c>
      <c r="O54">
        <v>126</v>
      </c>
      <c r="P54">
        <v>413</v>
      </c>
      <c r="Q54">
        <v>564</v>
      </c>
      <c r="R54">
        <v>53</v>
      </c>
    </row>
    <row r="55" spans="1:18">
      <c r="A55" s="1" t="s">
        <v>57</v>
      </c>
      <c r="B55">
        <v>33</v>
      </c>
      <c r="C55">
        <v>15</v>
      </c>
      <c r="D55">
        <v>18</v>
      </c>
      <c r="E55">
        <v>-3.68</v>
      </c>
      <c r="F55">
        <v>2305</v>
      </c>
      <c r="G55">
        <v>823</v>
      </c>
      <c r="H55">
        <v>1889</v>
      </c>
      <c r="I55">
        <v>390</v>
      </c>
      <c r="J55">
        <v>631</v>
      </c>
      <c r="K55">
        <v>383</v>
      </c>
      <c r="L55">
        <v>1238</v>
      </c>
      <c r="M55">
        <v>483</v>
      </c>
      <c r="N55">
        <v>199</v>
      </c>
      <c r="O55">
        <v>82</v>
      </c>
      <c r="P55">
        <v>538</v>
      </c>
      <c r="Q55">
        <v>626</v>
      </c>
      <c r="R55">
        <v>54</v>
      </c>
    </row>
    <row r="56" spans="1:18">
      <c r="A56" s="1" t="s">
        <v>58</v>
      </c>
      <c r="B56">
        <v>32</v>
      </c>
      <c r="C56">
        <v>9</v>
      </c>
      <c r="D56">
        <v>23</v>
      </c>
      <c r="E56">
        <v>-7.61</v>
      </c>
      <c r="F56">
        <v>2010</v>
      </c>
      <c r="G56">
        <v>701</v>
      </c>
      <c r="H56">
        <v>1833</v>
      </c>
      <c r="I56">
        <v>469</v>
      </c>
      <c r="J56">
        <v>709</v>
      </c>
      <c r="K56">
        <v>453</v>
      </c>
      <c r="L56">
        <v>1169</v>
      </c>
      <c r="M56">
        <v>321</v>
      </c>
      <c r="N56">
        <v>222</v>
      </c>
      <c r="O56">
        <v>69</v>
      </c>
      <c r="P56">
        <v>511</v>
      </c>
      <c r="Q56">
        <v>640</v>
      </c>
      <c r="R56">
        <v>55</v>
      </c>
    </row>
    <row r="57" spans="1:18">
      <c r="A57" s="1" t="s">
        <v>335</v>
      </c>
      <c r="B57">
        <v>35</v>
      </c>
      <c r="C57">
        <v>19</v>
      </c>
      <c r="D57">
        <v>16</v>
      </c>
      <c r="E57">
        <v>8.4499999999999993</v>
      </c>
      <c r="F57">
        <v>2408</v>
      </c>
      <c r="G57">
        <v>890</v>
      </c>
      <c r="H57">
        <v>2081</v>
      </c>
      <c r="I57">
        <v>428</v>
      </c>
      <c r="J57">
        <v>671</v>
      </c>
      <c r="K57">
        <v>489</v>
      </c>
      <c r="L57">
        <v>1374</v>
      </c>
      <c r="M57">
        <v>482</v>
      </c>
      <c r="N57">
        <v>199</v>
      </c>
      <c r="O57">
        <v>107</v>
      </c>
      <c r="P57">
        <v>458</v>
      </c>
      <c r="Q57">
        <v>642</v>
      </c>
      <c r="R57">
        <v>56</v>
      </c>
    </row>
    <row r="58" spans="1:18">
      <c r="A58" s="1" t="s">
        <v>59</v>
      </c>
      <c r="B58">
        <v>32</v>
      </c>
      <c r="C58">
        <v>16</v>
      </c>
      <c r="D58">
        <v>16</v>
      </c>
      <c r="E58">
        <v>-2.94</v>
      </c>
      <c r="F58">
        <v>1950</v>
      </c>
      <c r="G58">
        <v>687</v>
      </c>
      <c r="H58">
        <v>1669</v>
      </c>
      <c r="I58">
        <v>347</v>
      </c>
      <c r="J58">
        <v>480</v>
      </c>
      <c r="K58">
        <v>312</v>
      </c>
      <c r="L58">
        <v>1023</v>
      </c>
      <c r="M58">
        <v>350</v>
      </c>
      <c r="N58">
        <v>165</v>
      </c>
      <c r="O58">
        <v>48</v>
      </c>
      <c r="P58">
        <v>343</v>
      </c>
      <c r="Q58">
        <v>488</v>
      </c>
      <c r="R58">
        <v>57</v>
      </c>
    </row>
    <row r="59" spans="1:18">
      <c r="A59" s="1" t="s">
        <v>60</v>
      </c>
      <c r="B59">
        <v>32</v>
      </c>
      <c r="C59">
        <v>21</v>
      </c>
      <c r="D59">
        <v>11</v>
      </c>
      <c r="E59">
        <v>7.9</v>
      </c>
      <c r="F59">
        <v>2350</v>
      </c>
      <c r="G59">
        <v>851</v>
      </c>
      <c r="H59">
        <v>1878</v>
      </c>
      <c r="I59">
        <v>432</v>
      </c>
      <c r="J59">
        <v>654</v>
      </c>
      <c r="K59">
        <v>420</v>
      </c>
      <c r="L59">
        <v>1178</v>
      </c>
      <c r="M59">
        <v>453</v>
      </c>
      <c r="N59">
        <v>301</v>
      </c>
      <c r="O59">
        <v>151</v>
      </c>
      <c r="P59">
        <v>480</v>
      </c>
      <c r="Q59">
        <v>564</v>
      </c>
      <c r="R59">
        <v>58</v>
      </c>
    </row>
    <row r="60" spans="1:18">
      <c r="A60" s="1" t="s">
        <v>61</v>
      </c>
      <c r="B60">
        <v>33</v>
      </c>
      <c r="C60">
        <v>16</v>
      </c>
      <c r="D60">
        <v>17</v>
      </c>
      <c r="E60">
        <v>2.12</v>
      </c>
      <c r="F60">
        <v>2283</v>
      </c>
      <c r="G60">
        <v>796</v>
      </c>
      <c r="H60">
        <v>1802</v>
      </c>
      <c r="I60">
        <v>477</v>
      </c>
      <c r="J60">
        <v>637</v>
      </c>
      <c r="K60">
        <v>320</v>
      </c>
      <c r="L60">
        <v>975</v>
      </c>
      <c r="M60">
        <v>431</v>
      </c>
      <c r="N60">
        <v>293</v>
      </c>
      <c r="O60">
        <v>61</v>
      </c>
      <c r="P60">
        <v>405</v>
      </c>
      <c r="Q60">
        <v>711</v>
      </c>
      <c r="R60">
        <v>59</v>
      </c>
    </row>
    <row r="61" spans="1:18">
      <c r="A61" s="1" t="s">
        <v>62</v>
      </c>
      <c r="B61">
        <v>35</v>
      </c>
      <c r="C61">
        <v>28</v>
      </c>
      <c r="D61">
        <v>7</v>
      </c>
      <c r="E61">
        <v>-10.14</v>
      </c>
      <c r="F61">
        <v>2584</v>
      </c>
      <c r="G61">
        <v>966</v>
      </c>
      <c r="H61">
        <v>2022</v>
      </c>
      <c r="I61">
        <v>468</v>
      </c>
      <c r="J61">
        <v>740</v>
      </c>
      <c r="K61">
        <v>465</v>
      </c>
      <c r="L61">
        <v>1375</v>
      </c>
      <c r="M61">
        <v>541</v>
      </c>
      <c r="N61">
        <v>265</v>
      </c>
      <c r="O61">
        <v>156</v>
      </c>
      <c r="P61">
        <v>452</v>
      </c>
      <c r="Q61">
        <v>566</v>
      </c>
      <c r="R61">
        <v>60</v>
      </c>
    </row>
    <row r="62" spans="1:18">
      <c r="A62" s="1" t="s">
        <v>63</v>
      </c>
      <c r="B62">
        <v>29</v>
      </c>
      <c r="C62">
        <v>10</v>
      </c>
      <c r="D62">
        <v>19</v>
      </c>
      <c r="E62">
        <v>-6.52</v>
      </c>
      <c r="F62">
        <v>1955</v>
      </c>
      <c r="G62">
        <v>693</v>
      </c>
      <c r="H62">
        <v>1596</v>
      </c>
      <c r="I62">
        <v>377</v>
      </c>
      <c r="J62">
        <v>550</v>
      </c>
      <c r="K62">
        <v>320</v>
      </c>
      <c r="L62">
        <v>996</v>
      </c>
      <c r="M62">
        <v>384</v>
      </c>
      <c r="N62">
        <v>181</v>
      </c>
      <c r="O62">
        <v>59</v>
      </c>
      <c r="P62">
        <v>434</v>
      </c>
      <c r="Q62">
        <v>540</v>
      </c>
      <c r="R62">
        <v>61</v>
      </c>
    </row>
    <row r="63" spans="1:18">
      <c r="A63" s="1" t="s">
        <v>64</v>
      </c>
      <c r="B63">
        <v>34</v>
      </c>
      <c r="C63">
        <v>22</v>
      </c>
      <c r="D63">
        <v>12</v>
      </c>
      <c r="E63">
        <v>-2.46</v>
      </c>
      <c r="F63">
        <v>2549</v>
      </c>
      <c r="G63">
        <v>950</v>
      </c>
      <c r="H63">
        <v>2073</v>
      </c>
      <c r="I63">
        <v>323</v>
      </c>
      <c r="J63">
        <v>435</v>
      </c>
      <c r="K63">
        <v>301</v>
      </c>
      <c r="L63">
        <v>1078</v>
      </c>
      <c r="M63">
        <v>445</v>
      </c>
      <c r="N63">
        <v>199</v>
      </c>
      <c r="O63">
        <v>162</v>
      </c>
      <c r="P63">
        <v>382</v>
      </c>
      <c r="Q63">
        <v>574</v>
      </c>
      <c r="R63">
        <v>62</v>
      </c>
    </row>
    <row r="64" spans="1:18">
      <c r="A64" s="1" t="s">
        <v>65</v>
      </c>
      <c r="B64">
        <v>32</v>
      </c>
      <c r="C64">
        <v>16</v>
      </c>
      <c r="D64">
        <v>16</v>
      </c>
      <c r="E64">
        <v>3.61</v>
      </c>
      <c r="F64">
        <v>2120</v>
      </c>
      <c r="G64">
        <v>704</v>
      </c>
      <c r="H64">
        <v>1637</v>
      </c>
      <c r="I64">
        <v>535</v>
      </c>
      <c r="J64">
        <v>791</v>
      </c>
      <c r="K64">
        <v>354</v>
      </c>
      <c r="L64">
        <v>1105</v>
      </c>
      <c r="M64">
        <v>340</v>
      </c>
      <c r="N64">
        <v>231</v>
      </c>
      <c r="O64">
        <v>78</v>
      </c>
      <c r="P64">
        <v>485</v>
      </c>
      <c r="Q64">
        <v>658</v>
      </c>
      <c r="R64">
        <v>63</v>
      </c>
    </row>
    <row r="65" spans="1:18">
      <c r="A65" s="1" t="s">
        <v>66</v>
      </c>
      <c r="B65">
        <v>31</v>
      </c>
      <c r="C65">
        <v>15</v>
      </c>
      <c r="D65">
        <v>16</v>
      </c>
      <c r="E65">
        <v>7.7</v>
      </c>
      <c r="F65">
        <v>2313</v>
      </c>
      <c r="G65">
        <v>773</v>
      </c>
      <c r="H65">
        <v>1634</v>
      </c>
      <c r="I65">
        <v>561</v>
      </c>
      <c r="J65">
        <v>732</v>
      </c>
      <c r="K65">
        <v>228</v>
      </c>
      <c r="L65">
        <v>884</v>
      </c>
      <c r="M65">
        <v>443</v>
      </c>
      <c r="N65">
        <v>256</v>
      </c>
      <c r="O65">
        <v>70</v>
      </c>
      <c r="P65">
        <v>409</v>
      </c>
      <c r="Q65">
        <v>659</v>
      </c>
      <c r="R65">
        <v>64</v>
      </c>
    </row>
    <row r="66" spans="1:18">
      <c r="A66" s="1" t="s">
        <v>67</v>
      </c>
      <c r="B66">
        <v>28</v>
      </c>
      <c r="C66">
        <v>11</v>
      </c>
      <c r="D66">
        <v>17</v>
      </c>
      <c r="E66">
        <v>-6.04</v>
      </c>
      <c r="F66">
        <v>1686</v>
      </c>
      <c r="G66">
        <v>590</v>
      </c>
      <c r="H66">
        <v>1452</v>
      </c>
      <c r="I66">
        <v>371</v>
      </c>
      <c r="J66">
        <v>553</v>
      </c>
      <c r="K66">
        <v>303</v>
      </c>
      <c r="L66">
        <v>925</v>
      </c>
      <c r="M66">
        <v>279</v>
      </c>
      <c r="N66">
        <v>208</v>
      </c>
      <c r="O66">
        <v>52</v>
      </c>
      <c r="P66">
        <v>401</v>
      </c>
      <c r="Q66">
        <v>552</v>
      </c>
      <c r="R66">
        <v>65</v>
      </c>
    </row>
    <row r="67" spans="1:18">
      <c r="A67" s="1" t="s">
        <v>275</v>
      </c>
      <c r="B67">
        <v>34</v>
      </c>
      <c r="C67">
        <v>18</v>
      </c>
      <c r="D67">
        <v>16</v>
      </c>
      <c r="E67">
        <v>9.15</v>
      </c>
      <c r="F67">
        <v>2380</v>
      </c>
      <c r="G67">
        <v>842</v>
      </c>
      <c r="H67">
        <v>1877</v>
      </c>
      <c r="I67">
        <v>571</v>
      </c>
      <c r="J67">
        <v>829</v>
      </c>
      <c r="K67">
        <v>460</v>
      </c>
      <c r="L67">
        <v>1338</v>
      </c>
      <c r="M67">
        <v>461</v>
      </c>
      <c r="N67">
        <v>220</v>
      </c>
      <c r="O67">
        <v>260</v>
      </c>
      <c r="P67">
        <v>506</v>
      </c>
      <c r="Q67">
        <v>538</v>
      </c>
      <c r="R67">
        <v>66</v>
      </c>
    </row>
    <row r="68" spans="1:18">
      <c r="A68" s="1" t="s">
        <v>68</v>
      </c>
      <c r="B68">
        <v>30</v>
      </c>
      <c r="C68">
        <v>8</v>
      </c>
      <c r="D68">
        <v>22</v>
      </c>
      <c r="E68">
        <v>-6.81</v>
      </c>
      <c r="F68">
        <v>1833</v>
      </c>
      <c r="G68">
        <v>654</v>
      </c>
      <c r="H68">
        <v>1680</v>
      </c>
      <c r="I68">
        <v>377</v>
      </c>
      <c r="J68">
        <v>511</v>
      </c>
      <c r="K68">
        <v>337</v>
      </c>
      <c r="L68">
        <v>1003</v>
      </c>
      <c r="M68">
        <v>304</v>
      </c>
      <c r="N68">
        <v>185</v>
      </c>
      <c r="O68">
        <v>63</v>
      </c>
      <c r="P68">
        <v>419</v>
      </c>
      <c r="Q68">
        <v>561</v>
      </c>
      <c r="R68">
        <v>67</v>
      </c>
    </row>
    <row r="69" spans="1:18">
      <c r="A69" s="1" t="s">
        <v>69</v>
      </c>
      <c r="B69">
        <v>34</v>
      </c>
      <c r="C69">
        <v>29</v>
      </c>
      <c r="D69">
        <v>5</v>
      </c>
      <c r="E69">
        <v>-0.91</v>
      </c>
      <c r="F69">
        <v>2596</v>
      </c>
      <c r="G69">
        <v>913</v>
      </c>
      <c r="H69">
        <v>1894</v>
      </c>
      <c r="I69">
        <v>393</v>
      </c>
      <c r="J69">
        <v>538</v>
      </c>
      <c r="K69">
        <v>349</v>
      </c>
      <c r="L69">
        <v>1149</v>
      </c>
      <c r="M69">
        <v>543</v>
      </c>
      <c r="N69">
        <v>243</v>
      </c>
      <c r="O69">
        <v>122</v>
      </c>
      <c r="P69">
        <v>414</v>
      </c>
      <c r="Q69">
        <v>598</v>
      </c>
      <c r="R69">
        <v>68</v>
      </c>
    </row>
    <row r="70" spans="1:18">
      <c r="A70" s="1" t="s">
        <v>326</v>
      </c>
      <c r="B70">
        <v>34</v>
      </c>
      <c r="C70">
        <v>18</v>
      </c>
      <c r="D70">
        <v>16</v>
      </c>
      <c r="E70">
        <v>3.15</v>
      </c>
      <c r="F70">
        <v>2374</v>
      </c>
      <c r="G70">
        <v>812</v>
      </c>
      <c r="H70">
        <v>1870</v>
      </c>
      <c r="I70">
        <v>499</v>
      </c>
      <c r="J70">
        <v>693</v>
      </c>
      <c r="K70">
        <v>357</v>
      </c>
      <c r="L70">
        <v>1194</v>
      </c>
      <c r="M70">
        <v>465</v>
      </c>
      <c r="N70">
        <v>174</v>
      </c>
      <c r="O70">
        <v>111</v>
      </c>
      <c r="P70">
        <v>414</v>
      </c>
      <c r="Q70">
        <v>621</v>
      </c>
      <c r="R70">
        <v>69</v>
      </c>
    </row>
    <row r="71" spans="1:18">
      <c r="A71" s="1" t="s">
        <v>70</v>
      </c>
      <c r="B71">
        <v>28</v>
      </c>
      <c r="C71">
        <v>5</v>
      </c>
      <c r="D71">
        <v>23</v>
      </c>
      <c r="E71">
        <v>-5.46</v>
      </c>
      <c r="F71">
        <v>1513</v>
      </c>
      <c r="G71">
        <v>574</v>
      </c>
      <c r="H71">
        <v>1506</v>
      </c>
      <c r="I71">
        <v>263</v>
      </c>
      <c r="J71">
        <v>401</v>
      </c>
      <c r="K71">
        <v>286</v>
      </c>
      <c r="L71">
        <v>862</v>
      </c>
      <c r="M71">
        <v>285</v>
      </c>
      <c r="N71">
        <v>178</v>
      </c>
      <c r="O71">
        <v>64</v>
      </c>
      <c r="P71">
        <v>376</v>
      </c>
      <c r="Q71">
        <v>512</v>
      </c>
      <c r="R71">
        <v>70</v>
      </c>
    </row>
    <row r="72" spans="1:18">
      <c r="A72" s="1" t="s">
        <v>71</v>
      </c>
      <c r="B72">
        <v>31</v>
      </c>
      <c r="C72">
        <v>16</v>
      </c>
      <c r="D72">
        <v>15</v>
      </c>
      <c r="E72">
        <v>-1.26</v>
      </c>
      <c r="F72">
        <v>2240</v>
      </c>
      <c r="G72">
        <v>759</v>
      </c>
      <c r="H72">
        <v>1775</v>
      </c>
      <c r="I72">
        <v>405</v>
      </c>
      <c r="J72">
        <v>598</v>
      </c>
      <c r="K72">
        <v>371</v>
      </c>
      <c r="L72">
        <v>1148</v>
      </c>
      <c r="M72">
        <v>474</v>
      </c>
      <c r="N72">
        <v>141</v>
      </c>
      <c r="O72">
        <v>112</v>
      </c>
      <c r="P72">
        <v>421</v>
      </c>
      <c r="Q72">
        <v>603</v>
      </c>
      <c r="R72">
        <v>71</v>
      </c>
    </row>
    <row r="73" spans="1:18">
      <c r="A73" s="1" t="s">
        <v>276</v>
      </c>
      <c r="B73">
        <v>37</v>
      </c>
      <c r="C73">
        <v>25</v>
      </c>
      <c r="D73">
        <v>12</v>
      </c>
      <c r="E73">
        <v>5.61</v>
      </c>
      <c r="F73">
        <v>2599</v>
      </c>
      <c r="G73">
        <v>909</v>
      </c>
      <c r="H73">
        <v>2050</v>
      </c>
      <c r="I73">
        <v>525</v>
      </c>
      <c r="J73">
        <v>789</v>
      </c>
      <c r="K73">
        <v>439</v>
      </c>
      <c r="L73">
        <v>1432</v>
      </c>
      <c r="M73">
        <v>544</v>
      </c>
      <c r="N73">
        <v>237</v>
      </c>
      <c r="O73">
        <v>128</v>
      </c>
      <c r="P73">
        <v>536</v>
      </c>
      <c r="Q73">
        <v>729</v>
      </c>
      <c r="R73">
        <v>72</v>
      </c>
    </row>
    <row r="74" spans="1:18">
      <c r="A74" s="1" t="s">
        <v>72</v>
      </c>
      <c r="B74">
        <v>29</v>
      </c>
      <c r="C74">
        <v>17</v>
      </c>
      <c r="D74">
        <v>12</v>
      </c>
      <c r="E74">
        <v>-7.6</v>
      </c>
      <c r="F74">
        <v>1697</v>
      </c>
      <c r="G74">
        <v>607</v>
      </c>
      <c r="H74">
        <v>1485</v>
      </c>
      <c r="I74">
        <v>338</v>
      </c>
      <c r="J74">
        <v>499</v>
      </c>
      <c r="K74">
        <v>328</v>
      </c>
      <c r="L74">
        <v>809</v>
      </c>
      <c r="M74">
        <v>300</v>
      </c>
      <c r="N74">
        <v>239</v>
      </c>
      <c r="O74">
        <v>71</v>
      </c>
      <c r="P74">
        <v>332</v>
      </c>
      <c r="Q74">
        <v>440</v>
      </c>
      <c r="R74">
        <v>73</v>
      </c>
    </row>
    <row r="75" spans="1:18">
      <c r="A75" s="1" t="s">
        <v>73</v>
      </c>
      <c r="B75">
        <v>31</v>
      </c>
      <c r="C75">
        <v>7</v>
      </c>
      <c r="D75">
        <v>24</v>
      </c>
      <c r="E75">
        <v>1.37</v>
      </c>
      <c r="F75">
        <v>1965</v>
      </c>
      <c r="G75">
        <v>685</v>
      </c>
      <c r="H75">
        <v>1751</v>
      </c>
      <c r="I75">
        <v>421</v>
      </c>
      <c r="J75">
        <v>602</v>
      </c>
      <c r="K75">
        <v>400</v>
      </c>
      <c r="L75">
        <v>1078</v>
      </c>
      <c r="M75">
        <v>361</v>
      </c>
      <c r="N75">
        <v>156</v>
      </c>
      <c r="O75">
        <v>73</v>
      </c>
      <c r="P75">
        <v>411</v>
      </c>
      <c r="Q75">
        <v>649</v>
      </c>
      <c r="R75">
        <v>74</v>
      </c>
    </row>
    <row r="76" spans="1:18">
      <c r="A76" s="1" t="s">
        <v>74</v>
      </c>
      <c r="B76">
        <v>32</v>
      </c>
      <c r="C76">
        <v>19</v>
      </c>
      <c r="D76">
        <v>13</v>
      </c>
      <c r="E76">
        <v>-4.8899999999999997</v>
      </c>
      <c r="F76">
        <v>2079</v>
      </c>
      <c r="G76">
        <v>689</v>
      </c>
      <c r="H76">
        <v>1406</v>
      </c>
      <c r="I76">
        <v>450</v>
      </c>
      <c r="J76">
        <v>630</v>
      </c>
      <c r="K76">
        <v>156</v>
      </c>
      <c r="L76">
        <v>768</v>
      </c>
      <c r="M76">
        <v>465</v>
      </c>
      <c r="N76">
        <v>181</v>
      </c>
      <c r="O76">
        <v>97</v>
      </c>
      <c r="P76">
        <v>378</v>
      </c>
      <c r="Q76">
        <v>697</v>
      </c>
      <c r="R76">
        <v>75</v>
      </c>
    </row>
    <row r="77" spans="1:18">
      <c r="A77" s="1" t="s">
        <v>277</v>
      </c>
      <c r="B77">
        <v>31</v>
      </c>
      <c r="C77">
        <v>8</v>
      </c>
      <c r="D77">
        <v>23</v>
      </c>
      <c r="E77">
        <v>7.58</v>
      </c>
      <c r="F77">
        <v>1891</v>
      </c>
      <c r="G77">
        <v>704</v>
      </c>
      <c r="H77">
        <v>1771</v>
      </c>
      <c r="I77">
        <v>308</v>
      </c>
      <c r="J77">
        <v>529</v>
      </c>
      <c r="K77">
        <v>372</v>
      </c>
      <c r="L77">
        <v>1036</v>
      </c>
      <c r="M77">
        <v>366</v>
      </c>
      <c r="N77">
        <v>236</v>
      </c>
      <c r="O77">
        <v>97</v>
      </c>
      <c r="P77">
        <v>338</v>
      </c>
      <c r="Q77">
        <v>570</v>
      </c>
      <c r="R77">
        <v>76</v>
      </c>
    </row>
    <row r="78" spans="1:18">
      <c r="A78" s="1" t="s">
        <v>75</v>
      </c>
      <c r="B78">
        <v>34</v>
      </c>
      <c r="C78">
        <v>20</v>
      </c>
      <c r="D78">
        <v>14</v>
      </c>
      <c r="E78">
        <v>-1.59</v>
      </c>
      <c r="F78">
        <v>2360</v>
      </c>
      <c r="G78">
        <v>829</v>
      </c>
      <c r="H78">
        <v>1805</v>
      </c>
      <c r="I78">
        <v>556</v>
      </c>
      <c r="J78">
        <v>849</v>
      </c>
      <c r="K78">
        <v>401</v>
      </c>
      <c r="L78">
        <v>1225</v>
      </c>
      <c r="M78">
        <v>464</v>
      </c>
      <c r="N78">
        <v>255</v>
      </c>
      <c r="O78">
        <v>133</v>
      </c>
      <c r="P78">
        <v>530</v>
      </c>
      <c r="Q78">
        <v>631</v>
      </c>
      <c r="R78">
        <v>77</v>
      </c>
    </row>
    <row r="79" spans="1:18">
      <c r="A79" s="1" t="s">
        <v>76</v>
      </c>
      <c r="B79">
        <v>33</v>
      </c>
      <c r="C79">
        <v>14</v>
      </c>
      <c r="D79">
        <v>19</v>
      </c>
      <c r="E79">
        <v>3.34</v>
      </c>
      <c r="F79">
        <v>2197</v>
      </c>
      <c r="G79">
        <v>738</v>
      </c>
      <c r="H79">
        <v>1694</v>
      </c>
      <c r="I79">
        <v>437</v>
      </c>
      <c r="J79">
        <v>577</v>
      </c>
      <c r="K79">
        <v>221</v>
      </c>
      <c r="L79">
        <v>939</v>
      </c>
      <c r="M79">
        <v>386</v>
      </c>
      <c r="N79">
        <v>182</v>
      </c>
      <c r="O79">
        <v>67</v>
      </c>
      <c r="P79">
        <v>332</v>
      </c>
      <c r="Q79">
        <v>551</v>
      </c>
      <c r="R79">
        <v>78</v>
      </c>
    </row>
    <row r="80" spans="1:18">
      <c r="A80" s="1" t="s">
        <v>77</v>
      </c>
      <c r="B80">
        <v>32</v>
      </c>
      <c r="C80">
        <v>16</v>
      </c>
      <c r="D80">
        <v>16</v>
      </c>
      <c r="E80">
        <v>0.19</v>
      </c>
      <c r="F80">
        <v>2044</v>
      </c>
      <c r="G80">
        <v>732</v>
      </c>
      <c r="H80">
        <v>1802</v>
      </c>
      <c r="I80">
        <v>427</v>
      </c>
      <c r="J80">
        <v>650</v>
      </c>
      <c r="K80">
        <v>407</v>
      </c>
      <c r="L80">
        <v>1152</v>
      </c>
      <c r="M80">
        <v>397</v>
      </c>
      <c r="N80">
        <v>190</v>
      </c>
      <c r="O80">
        <v>113</v>
      </c>
      <c r="P80">
        <v>387</v>
      </c>
      <c r="Q80">
        <v>665</v>
      </c>
      <c r="R80">
        <v>79</v>
      </c>
    </row>
    <row r="81" spans="1:18">
      <c r="A81" s="1" t="s">
        <v>373</v>
      </c>
      <c r="B81">
        <v>40</v>
      </c>
      <c r="C81">
        <v>35</v>
      </c>
      <c r="D81">
        <v>5</v>
      </c>
      <c r="E81">
        <v>9.2100000000000009</v>
      </c>
      <c r="F81">
        <v>3079</v>
      </c>
      <c r="G81">
        <v>1049</v>
      </c>
      <c r="H81">
        <v>2375</v>
      </c>
      <c r="I81">
        <v>682</v>
      </c>
      <c r="J81">
        <v>899</v>
      </c>
      <c r="K81">
        <v>569</v>
      </c>
      <c r="L81">
        <v>1560</v>
      </c>
      <c r="M81">
        <v>555</v>
      </c>
      <c r="N81">
        <v>266</v>
      </c>
      <c r="O81">
        <v>162</v>
      </c>
      <c r="P81">
        <v>429</v>
      </c>
      <c r="Q81">
        <v>722</v>
      </c>
      <c r="R81">
        <v>80</v>
      </c>
    </row>
    <row r="82" spans="1:18">
      <c r="A82" s="1" t="s">
        <v>78</v>
      </c>
      <c r="B82">
        <v>32</v>
      </c>
      <c r="C82">
        <v>16</v>
      </c>
      <c r="D82">
        <v>16</v>
      </c>
      <c r="E82">
        <v>1.95</v>
      </c>
      <c r="F82">
        <v>2251</v>
      </c>
      <c r="G82">
        <v>819</v>
      </c>
      <c r="H82">
        <v>1920</v>
      </c>
      <c r="I82">
        <v>441</v>
      </c>
      <c r="J82">
        <v>730</v>
      </c>
      <c r="K82">
        <v>417</v>
      </c>
      <c r="L82">
        <v>1195</v>
      </c>
      <c r="M82">
        <v>441</v>
      </c>
      <c r="N82">
        <v>259</v>
      </c>
      <c r="O82">
        <v>138</v>
      </c>
      <c r="P82">
        <v>457</v>
      </c>
      <c r="Q82">
        <v>602</v>
      </c>
      <c r="R82">
        <v>81</v>
      </c>
    </row>
    <row r="83" spans="1:18">
      <c r="A83" s="1" t="s">
        <v>79</v>
      </c>
      <c r="B83">
        <v>31</v>
      </c>
      <c r="C83">
        <v>10</v>
      </c>
      <c r="D83">
        <v>21</v>
      </c>
      <c r="E83">
        <v>4.42</v>
      </c>
      <c r="F83">
        <v>2082</v>
      </c>
      <c r="G83">
        <v>717</v>
      </c>
      <c r="H83">
        <v>1641</v>
      </c>
      <c r="I83">
        <v>480</v>
      </c>
      <c r="J83">
        <v>685</v>
      </c>
      <c r="K83">
        <v>348</v>
      </c>
      <c r="L83">
        <v>1103</v>
      </c>
      <c r="M83">
        <v>367</v>
      </c>
      <c r="N83">
        <v>199</v>
      </c>
      <c r="O83">
        <v>106</v>
      </c>
      <c r="P83">
        <v>518</v>
      </c>
      <c r="Q83">
        <v>546</v>
      </c>
      <c r="R83">
        <v>82</v>
      </c>
    </row>
    <row r="84" spans="1:18">
      <c r="A84" s="1" t="s">
        <v>80</v>
      </c>
      <c r="B84">
        <v>35</v>
      </c>
      <c r="C84">
        <v>20</v>
      </c>
      <c r="D84">
        <v>15</v>
      </c>
      <c r="E84">
        <v>-1.47</v>
      </c>
      <c r="F84">
        <v>2424</v>
      </c>
      <c r="G84">
        <v>855</v>
      </c>
      <c r="H84">
        <v>1978</v>
      </c>
      <c r="I84">
        <v>537</v>
      </c>
      <c r="J84">
        <v>815</v>
      </c>
      <c r="K84">
        <v>445</v>
      </c>
      <c r="L84">
        <v>1277</v>
      </c>
      <c r="M84">
        <v>382</v>
      </c>
      <c r="N84">
        <v>293</v>
      </c>
      <c r="O84">
        <v>112</v>
      </c>
      <c r="P84">
        <v>519</v>
      </c>
      <c r="Q84">
        <v>673</v>
      </c>
      <c r="R84">
        <v>83</v>
      </c>
    </row>
    <row r="85" spans="1:18">
      <c r="A85" s="1" t="s">
        <v>81</v>
      </c>
      <c r="B85">
        <v>31</v>
      </c>
      <c r="C85">
        <v>19</v>
      </c>
      <c r="D85">
        <v>12</v>
      </c>
      <c r="E85">
        <v>-5</v>
      </c>
      <c r="F85">
        <v>2112</v>
      </c>
      <c r="G85">
        <v>780</v>
      </c>
      <c r="H85">
        <v>1690</v>
      </c>
      <c r="I85">
        <v>423</v>
      </c>
      <c r="J85">
        <v>587</v>
      </c>
      <c r="K85">
        <v>349</v>
      </c>
      <c r="L85">
        <v>1084</v>
      </c>
      <c r="M85">
        <v>465</v>
      </c>
      <c r="N85">
        <v>192</v>
      </c>
      <c r="O85">
        <v>104</v>
      </c>
      <c r="P85">
        <v>420</v>
      </c>
      <c r="Q85">
        <v>519</v>
      </c>
      <c r="R85">
        <v>84</v>
      </c>
    </row>
    <row r="86" spans="1:18">
      <c r="A86" s="1" t="s">
        <v>82</v>
      </c>
      <c r="B86">
        <v>33</v>
      </c>
      <c r="C86">
        <v>20</v>
      </c>
      <c r="D86">
        <v>13</v>
      </c>
      <c r="E86">
        <v>-5.16</v>
      </c>
      <c r="F86">
        <v>2351</v>
      </c>
      <c r="G86">
        <v>846</v>
      </c>
      <c r="H86">
        <v>1790</v>
      </c>
      <c r="I86">
        <v>332</v>
      </c>
      <c r="J86">
        <v>460</v>
      </c>
      <c r="K86">
        <v>243</v>
      </c>
      <c r="L86">
        <v>886</v>
      </c>
      <c r="M86">
        <v>514</v>
      </c>
      <c r="N86">
        <v>234</v>
      </c>
      <c r="O86">
        <v>76</v>
      </c>
      <c r="P86">
        <v>319</v>
      </c>
      <c r="Q86">
        <v>544</v>
      </c>
      <c r="R86">
        <v>85</v>
      </c>
    </row>
    <row r="87" spans="1:18">
      <c r="A87" s="1" t="s">
        <v>83</v>
      </c>
      <c r="B87">
        <v>32</v>
      </c>
      <c r="C87">
        <v>17</v>
      </c>
      <c r="D87">
        <v>15</v>
      </c>
      <c r="E87">
        <v>-3.59</v>
      </c>
      <c r="F87">
        <v>2124</v>
      </c>
      <c r="G87">
        <v>713</v>
      </c>
      <c r="H87">
        <v>1711</v>
      </c>
      <c r="I87">
        <v>497</v>
      </c>
      <c r="J87">
        <v>755</v>
      </c>
      <c r="K87">
        <v>370</v>
      </c>
      <c r="L87">
        <v>1126</v>
      </c>
      <c r="M87">
        <v>399</v>
      </c>
      <c r="N87">
        <v>216</v>
      </c>
      <c r="O87">
        <v>92</v>
      </c>
      <c r="P87">
        <v>435</v>
      </c>
      <c r="Q87">
        <v>569</v>
      </c>
      <c r="R87">
        <v>86</v>
      </c>
    </row>
    <row r="88" spans="1:18">
      <c r="A88" s="1" t="s">
        <v>84</v>
      </c>
      <c r="B88">
        <v>30</v>
      </c>
      <c r="C88">
        <v>9</v>
      </c>
      <c r="D88">
        <v>21</v>
      </c>
      <c r="E88">
        <v>-1.91</v>
      </c>
      <c r="F88">
        <v>2065</v>
      </c>
      <c r="G88">
        <v>723</v>
      </c>
      <c r="H88">
        <v>1739</v>
      </c>
      <c r="I88">
        <v>413</v>
      </c>
      <c r="J88">
        <v>579</v>
      </c>
      <c r="K88">
        <v>303</v>
      </c>
      <c r="L88">
        <v>1021</v>
      </c>
      <c r="M88">
        <v>408</v>
      </c>
      <c r="N88">
        <v>186</v>
      </c>
      <c r="O88">
        <v>74</v>
      </c>
      <c r="P88">
        <v>452</v>
      </c>
      <c r="Q88">
        <v>626</v>
      </c>
      <c r="R88">
        <v>87</v>
      </c>
    </row>
    <row r="89" spans="1:18">
      <c r="A89" s="1" t="s">
        <v>85</v>
      </c>
      <c r="B89">
        <v>32</v>
      </c>
      <c r="C89">
        <v>9</v>
      </c>
      <c r="D89">
        <v>23</v>
      </c>
      <c r="E89">
        <v>-3.04</v>
      </c>
      <c r="F89">
        <v>2141</v>
      </c>
      <c r="G89">
        <v>760</v>
      </c>
      <c r="H89">
        <v>1837</v>
      </c>
      <c r="I89">
        <v>392</v>
      </c>
      <c r="J89">
        <v>605</v>
      </c>
      <c r="K89">
        <v>329</v>
      </c>
      <c r="L89">
        <v>1060</v>
      </c>
      <c r="M89">
        <v>401</v>
      </c>
      <c r="N89">
        <v>192</v>
      </c>
      <c r="O89">
        <v>64</v>
      </c>
      <c r="P89">
        <v>422</v>
      </c>
      <c r="Q89">
        <v>599</v>
      </c>
      <c r="R89">
        <v>88</v>
      </c>
    </row>
    <row r="90" spans="1:18">
      <c r="A90" s="1" t="s">
        <v>86</v>
      </c>
      <c r="B90">
        <v>30</v>
      </c>
      <c r="C90">
        <v>9</v>
      </c>
      <c r="D90">
        <v>21</v>
      </c>
      <c r="E90">
        <v>1.82</v>
      </c>
      <c r="F90">
        <v>1944</v>
      </c>
      <c r="G90">
        <v>668</v>
      </c>
      <c r="H90">
        <v>1550</v>
      </c>
      <c r="I90">
        <v>470</v>
      </c>
      <c r="J90">
        <v>652</v>
      </c>
      <c r="K90">
        <v>286</v>
      </c>
      <c r="L90">
        <v>1001</v>
      </c>
      <c r="M90">
        <v>423</v>
      </c>
      <c r="N90">
        <v>153</v>
      </c>
      <c r="O90">
        <v>50</v>
      </c>
      <c r="P90">
        <v>431</v>
      </c>
      <c r="Q90">
        <v>642</v>
      </c>
      <c r="R90">
        <v>89</v>
      </c>
    </row>
    <row r="91" spans="1:18">
      <c r="A91" s="1" t="s">
        <v>87</v>
      </c>
      <c r="B91">
        <v>34</v>
      </c>
      <c r="C91">
        <v>23</v>
      </c>
      <c r="D91">
        <v>11</v>
      </c>
      <c r="E91">
        <v>-3.33</v>
      </c>
      <c r="F91">
        <v>2414</v>
      </c>
      <c r="G91">
        <v>860</v>
      </c>
      <c r="H91">
        <v>1996</v>
      </c>
      <c r="I91">
        <v>487</v>
      </c>
      <c r="J91">
        <v>699</v>
      </c>
      <c r="K91">
        <v>455</v>
      </c>
      <c r="L91">
        <v>1243</v>
      </c>
      <c r="M91">
        <v>473</v>
      </c>
      <c r="N91">
        <v>253</v>
      </c>
      <c r="O91">
        <v>174</v>
      </c>
      <c r="P91">
        <v>452</v>
      </c>
      <c r="Q91">
        <v>627</v>
      </c>
      <c r="R91">
        <v>90</v>
      </c>
    </row>
    <row r="92" spans="1:18">
      <c r="A92" s="1" t="s">
        <v>88</v>
      </c>
      <c r="B92">
        <v>32</v>
      </c>
      <c r="C92">
        <v>11</v>
      </c>
      <c r="D92">
        <v>21</v>
      </c>
      <c r="E92">
        <v>-6.42</v>
      </c>
      <c r="F92">
        <v>2027</v>
      </c>
      <c r="G92">
        <v>701</v>
      </c>
      <c r="H92">
        <v>1678</v>
      </c>
      <c r="I92">
        <v>481</v>
      </c>
      <c r="J92">
        <v>743</v>
      </c>
      <c r="K92">
        <v>319</v>
      </c>
      <c r="L92">
        <v>1128</v>
      </c>
      <c r="M92">
        <v>361</v>
      </c>
      <c r="N92">
        <v>176</v>
      </c>
      <c r="O92">
        <v>127</v>
      </c>
      <c r="P92">
        <v>497</v>
      </c>
      <c r="Q92">
        <v>610</v>
      </c>
      <c r="R92">
        <v>91</v>
      </c>
    </row>
    <row r="93" spans="1:18">
      <c r="A93" s="1" t="s">
        <v>89</v>
      </c>
      <c r="B93">
        <v>31</v>
      </c>
      <c r="C93">
        <v>9</v>
      </c>
      <c r="D93">
        <v>22</v>
      </c>
      <c r="E93">
        <v>-6.41</v>
      </c>
      <c r="F93">
        <v>1965</v>
      </c>
      <c r="G93">
        <v>683</v>
      </c>
      <c r="H93">
        <v>1681</v>
      </c>
      <c r="I93">
        <v>427</v>
      </c>
      <c r="J93">
        <v>667</v>
      </c>
      <c r="K93">
        <v>358</v>
      </c>
      <c r="L93">
        <v>1042</v>
      </c>
      <c r="M93">
        <v>312</v>
      </c>
      <c r="N93">
        <v>178</v>
      </c>
      <c r="O93">
        <v>82</v>
      </c>
      <c r="P93">
        <v>485</v>
      </c>
      <c r="Q93">
        <v>591</v>
      </c>
      <c r="R93">
        <v>92</v>
      </c>
    </row>
    <row r="94" spans="1:18">
      <c r="A94" s="1" t="s">
        <v>90</v>
      </c>
      <c r="B94">
        <v>30</v>
      </c>
      <c r="C94">
        <v>14</v>
      </c>
      <c r="D94">
        <v>16</v>
      </c>
      <c r="E94">
        <v>-3.3</v>
      </c>
      <c r="F94">
        <v>2202</v>
      </c>
      <c r="G94">
        <v>779</v>
      </c>
      <c r="H94">
        <v>1824</v>
      </c>
      <c r="I94">
        <v>424</v>
      </c>
      <c r="J94">
        <v>626</v>
      </c>
      <c r="K94">
        <v>366</v>
      </c>
      <c r="L94">
        <v>1061</v>
      </c>
      <c r="M94">
        <v>431</v>
      </c>
      <c r="N94">
        <v>172</v>
      </c>
      <c r="O94">
        <v>137</v>
      </c>
      <c r="P94">
        <v>370</v>
      </c>
      <c r="Q94">
        <v>632</v>
      </c>
      <c r="R94">
        <v>93</v>
      </c>
    </row>
    <row r="95" spans="1:18">
      <c r="A95" s="1" t="s">
        <v>346</v>
      </c>
      <c r="B95">
        <v>29</v>
      </c>
      <c r="C95">
        <v>8</v>
      </c>
      <c r="D95">
        <v>21</v>
      </c>
      <c r="F95">
        <v>1875</v>
      </c>
      <c r="G95">
        <v>679</v>
      </c>
      <c r="H95">
        <v>1609</v>
      </c>
      <c r="I95">
        <v>393</v>
      </c>
      <c r="J95">
        <v>606</v>
      </c>
      <c r="K95">
        <v>395</v>
      </c>
      <c r="L95">
        <v>1035</v>
      </c>
      <c r="M95">
        <v>403</v>
      </c>
      <c r="N95">
        <v>232</v>
      </c>
      <c r="O95">
        <v>102</v>
      </c>
      <c r="P95">
        <v>494</v>
      </c>
      <c r="Q95">
        <v>628</v>
      </c>
      <c r="R95">
        <v>94</v>
      </c>
    </row>
    <row r="96" spans="1:18">
      <c r="A96" s="1" t="s">
        <v>91</v>
      </c>
      <c r="B96">
        <v>32</v>
      </c>
      <c r="C96">
        <v>7</v>
      </c>
      <c r="D96">
        <v>25</v>
      </c>
      <c r="E96">
        <v>-2.74</v>
      </c>
      <c r="F96">
        <v>2176</v>
      </c>
      <c r="G96">
        <v>782</v>
      </c>
      <c r="H96">
        <v>1882</v>
      </c>
      <c r="I96">
        <v>436</v>
      </c>
      <c r="J96">
        <v>624</v>
      </c>
      <c r="K96">
        <v>384</v>
      </c>
      <c r="L96">
        <v>1053</v>
      </c>
      <c r="M96">
        <v>395</v>
      </c>
      <c r="N96">
        <v>254</v>
      </c>
      <c r="O96">
        <v>60</v>
      </c>
      <c r="P96">
        <v>435</v>
      </c>
      <c r="Q96">
        <v>623</v>
      </c>
      <c r="R96">
        <v>95</v>
      </c>
    </row>
    <row r="97" spans="1:18">
      <c r="A97" s="1" t="s">
        <v>92</v>
      </c>
      <c r="B97">
        <v>32</v>
      </c>
      <c r="C97">
        <v>22</v>
      </c>
      <c r="D97">
        <v>10</v>
      </c>
      <c r="E97">
        <v>6.79</v>
      </c>
      <c r="F97">
        <v>2183</v>
      </c>
      <c r="G97">
        <v>783</v>
      </c>
      <c r="H97">
        <v>1734</v>
      </c>
      <c r="I97">
        <v>431</v>
      </c>
      <c r="J97">
        <v>669</v>
      </c>
      <c r="K97">
        <v>406</v>
      </c>
      <c r="L97">
        <v>1211</v>
      </c>
      <c r="M97">
        <v>446</v>
      </c>
      <c r="N97">
        <v>267</v>
      </c>
      <c r="O97">
        <v>200</v>
      </c>
      <c r="P97">
        <v>528</v>
      </c>
      <c r="Q97">
        <v>575</v>
      </c>
      <c r="R97">
        <v>96</v>
      </c>
    </row>
    <row r="98" spans="1:18">
      <c r="A98" s="1" t="s">
        <v>347</v>
      </c>
      <c r="B98">
        <v>34</v>
      </c>
      <c r="C98">
        <v>21</v>
      </c>
      <c r="D98">
        <v>13</v>
      </c>
      <c r="E98">
        <v>7.16</v>
      </c>
      <c r="F98">
        <v>2455</v>
      </c>
      <c r="G98">
        <v>890</v>
      </c>
      <c r="H98">
        <v>2006</v>
      </c>
      <c r="I98">
        <v>472</v>
      </c>
      <c r="J98">
        <v>671</v>
      </c>
      <c r="K98">
        <v>455</v>
      </c>
      <c r="L98">
        <v>1265</v>
      </c>
      <c r="M98">
        <v>479</v>
      </c>
      <c r="N98">
        <v>243</v>
      </c>
      <c r="O98">
        <v>94</v>
      </c>
      <c r="P98">
        <v>423</v>
      </c>
      <c r="Q98">
        <v>501</v>
      </c>
      <c r="R98">
        <v>97</v>
      </c>
    </row>
    <row r="99" spans="1:18">
      <c r="A99" s="1" t="s">
        <v>93</v>
      </c>
      <c r="B99">
        <v>28</v>
      </c>
      <c r="C99">
        <v>2</v>
      </c>
      <c r="D99">
        <v>26</v>
      </c>
      <c r="E99">
        <v>2.08</v>
      </c>
      <c r="F99">
        <v>1793</v>
      </c>
      <c r="G99">
        <v>645</v>
      </c>
      <c r="H99">
        <v>1698</v>
      </c>
      <c r="I99">
        <v>369</v>
      </c>
      <c r="J99">
        <v>544</v>
      </c>
      <c r="K99">
        <v>360</v>
      </c>
      <c r="L99">
        <v>1046</v>
      </c>
      <c r="M99">
        <v>273</v>
      </c>
      <c r="N99">
        <v>157</v>
      </c>
      <c r="O99">
        <v>115</v>
      </c>
      <c r="P99">
        <v>436</v>
      </c>
      <c r="Q99">
        <v>556</v>
      </c>
      <c r="R99">
        <v>98</v>
      </c>
    </row>
    <row r="100" spans="1:18">
      <c r="A100" s="1" t="s">
        <v>306</v>
      </c>
      <c r="B100">
        <v>33</v>
      </c>
      <c r="C100">
        <v>15</v>
      </c>
      <c r="D100">
        <v>18</v>
      </c>
      <c r="E100">
        <v>1.31</v>
      </c>
      <c r="F100">
        <v>2188</v>
      </c>
      <c r="G100">
        <v>750</v>
      </c>
      <c r="H100">
        <v>1763</v>
      </c>
      <c r="I100">
        <v>473</v>
      </c>
      <c r="J100">
        <v>698</v>
      </c>
      <c r="K100">
        <v>343</v>
      </c>
      <c r="L100">
        <v>1104</v>
      </c>
      <c r="M100">
        <v>466</v>
      </c>
      <c r="N100">
        <v>261</v>
      </c>
      <c r="O100">
        <v>143</v>
      </c>
      <c r="P100">
        <v>462</v>
      </c>
      <c r="Q100">
        <v>555</v>
      </c>
      <c r="R100">
        <v>99</v>
      </c>
    </row>
    <row r="101" spans="1:18">
      <c r="A101" s="1" t="s">
        <v>94</v>
      </c>
      <c r="B101">
        <v>30</v>
      </c>
      <c r="C101">
        <v>13</v>
      </c>
      <c r="D101">
        <v>17</v>
      </c>
      <c r="E101">
        <v>-4.83</v>
      </c>
      <c r="F101">
        <v>2052</v>
      </c>
      <c r="G101">
        <v>676</v>
      </c>
      <c r="H101">
        <v>1620</v>
      </c>
      <c r="I101">
        <v>505</v>
      </c>
      <c r="J101">
        <v>706</v>
      </c>
      <c r="K101">
        <v>326</v>
      </c>
      <c r="L101">
        <v>1074</v>
      </c>
      <c r="M101">
        <v>347</v>
      </c>
      <c r="N101">
        <v>148</v>
      </c>
      <c r="O101">
        <v>154</v>
      </c>
      <c r="P101">
        <v>433</v>
      </c>
      <c r="Q101">
        <v>631</v>
      </c>
      <c r="R101">
        <v>100</v>
      </c>
    </row>
    <row r="102" spans="1:18">
      <c r="A102" s="1" t="s">
        <v>318</v>
      </c>
      <c r="B102">
        <v>29</v>
      </c>
      <c r="C102">
        <v>8</v>
      </c>
      <c r="D102">
        <v>21</v>
      </c>
      <c r="E102">
        <v>-5.61</v>
      </c>
      <c r="F102">
        <v>2005</v>
      </c>
      <c r="G102">
        <v>739</v>
      </c>
      <c r="H102">
        <v>1749</v>
      </c>
      <c r="I102">
        <v>329</v>
      </c>
      <c r="J102">
        <v>512</v>
      </c>
      <c r="K102">
        <v>352</v>
      </c>
      <c r="L102">
        <v>1044</v>
      </c>
      <c r="M102">
        <v>414</v>
      </c>
      <c r="N102">
        <v>201</v>
      </c>
      <c r="O102">
        <v>73</v>
      </c>
      <c r="P102">
        <v>525</v>
      </c>
      <c r="Q102">
        <v>588</v>
      </c>
      <c r="R102">
        <v>101</v>
      </c>
    </row>
    <row r="103" spans="1:18">
      <c r="A103" s="1" t="s">
        <v>95</v>
      </c>
      <c r="B103">
        <v>32</v>
      </c>
      <c r="C103">
        <v>17</v>
      </c>
      <c r="D103">
        <v>15</v>
      </c>
      <c r="E103">
        <v>0.06</v>
      </c>
      <c r="F103">
        <v>2145</v>
      </c>
      <c r="G103">
        <v>759</v>
      </c>
      <c r="H103">
        <v>1729</v>
      </c>
      <c r="I103">
        <v>462</v>
      </c>
      <c r="J103">
        <v>720</v>
      </c>
      <c r="K103">
        <v>365</v>
      </c>
      <c r="L103">
        <v>1111</v>
      </c>
      <c r="M103">
        <v>379</v>
      </c>
      <c r="N103">
        <v>210</v>
      </c>
      <c r="O103">
        <v>128</v>
      </c>
      <c r="P103">
        <v>438</v>
      </c>
      <c r="Q103">
        <v>557</v>
      </c>
      <c r="R103">
        <v>102</v>
      </c>
    </row>
    <row r="104" spans="1:18">
      <c r="A104" s="1" t="s">
        <v>96</v>
      </c>
      <c r="B104">
        <v>31</v>
      </c>
      <c r="C104">
        <v>16</v>
      </c>
      <c r="D104">
        <v>15</v>
      </c>
      <c r="E104">
        <v>0.96</v>
      </c>
      <c r="F104">
        <v>2180</v>
      </c>
      <c r="G104">
        <v>783</v>
      </c>
      <c r="H104">
        <v>1800</v>
      </c>
      <c r="I104">
        <v>460</v>
      </c>
      <c r="J104">
        <v>705</v>
      </c>
      <c r="K104">
        <v>431</v>
      </c>
      <c r="L104">
        <v>1197</v>
      </c>
      <c r="M104">
        <v>398</v>
      </c>
      <c r="N104">
        <v>244</v>
      </c>
      <c r="O104">
        <v>109</v>
      </c>
      <c r="P104">
        <v>443</v>
      </c>
      <c r="Q104">
        <v>647</v>
      </c>
      <c r="R104">
        <v>103</v>
      </c>
    </row>
    <row r="105" spans="1:18">
      <c r="A105" s="1" t="s">
        <v>97</v>
      </c>
      <c r="B105">
        <v>34</v>
      </c>
      <c r="C105">
        <v>23</v>
      </c>
      <c r="D105">
        <v>11</v>
      </c>
      <c r="E105">
        <v>9.56</v>
      </c>
      <c r="F105">
        <v>2500</v>
      </c>
      <c r="G105">
        <v>905</v>
      </c>
      <c r="H105">
        <v>1815</v>
      </c>
      <c r="I105">
        <v>478</v>
      </c>
      <c r="J105">
        <v>672</v>
      </c>
      <c r="K105">
        <v>333</v>
      </c>
      <c r="L105">
        <v>1132</v>
      </c>
      <c r="M105">
        <v>524</v>
      </c>
      <c r="N105">
        <v>237</v>
      </c>
      <c r="O105">
        <v>161</v>
      </c>
      <c r="P105">
        <v>473</v>
      </c>
      <c r="Q105">
        <v>579</v>
      </c>
      <c r="R105">
        <v>104</v>
      </c>
    </row>
    <row r="106" spans="1:18">
      <c r="A106" s="1" t="s">
        <v>98</v>
      </c>
      <c r="B106">
        <v>32</v>
      </c>
      <c r="C106">
        <v>9</v>
      </c>
      <c r="D106">
        <v>23</v>
      </c>
      <c r="E106">
        <v>-1.67</v>
      </c>
      <c r="F106">
        <v>2260</v>
      </c>
      <c r="G106">
        <v>791</v>
      </c>
      <c r="H106">
        <v>1849</v>
      </c>
      <c r="I106">
        <v>447</v>
      </c>
      <c r="J106">
        <v>665</v>
      </c>
      <c r="K106">
        <v>368</v>
      </c>
      <c r="L106">
        <v>985</v>
      </c>
      <c r="M106">
        <v>444</v>
      </c>
      <c r="N106">
        <v>259</v>
      </c>
      <c r="O106">
        <v>106</v>
      </c>
      <c r="P106">
        <v>512</v>
      </c>
      <c r="Q106">
        <v>693</v>
      </c>
      <c r="R106">
        <v>105</v>
      </c>
    </row>
    <row r="107" spans="1:18">
      <c r="A107" s="1" t="s">
        <v>99</v>
      </c>
      <c r="B107">
        <v>32</v>
      </c>
      <c r="C107">
        <v>12</v>
      </c>
      <c r="D107">
        <v>20</v>
      </c>
      <c r="E107">
        <v>-1.48</v>
      </c>
      <c r="F107">
        <v>1993</v>
      </c>
      <c r="G107">
        <v>740</v>
      </c>
      <c r="H107">
        <v>1770</v>
      </c>
      <c r="I107">
        <v>378</v>
      </c>
      <c r="J107">
        <v>551</v>
      </c>
      <c r="K107">
        <v>423</v>
      </c>
      <c r="L107">
        <v>1082</v>
      </c>
      <c r="M107">
        <v>356</v>
      </c>
      <c r="N107">
        <v>231</v>
      </c>
      <c r="O107">
        <v>106</v>
      </c>
      <c r="P107">
        <v>432</v>
      </c>
      <c r="Q107">
        <v>599</v>
      </c>
      <c r="R107">
        <v>106</v>
      </c>
    </row>
    <row r="108" spans="1:18">
      <c r="A108" s="1" t="s">
        <v>100</v>
      </c>
      <c r="B108">
        <v>36</v>
      </c>
      <c r="C108">
        <v>23</v>
      </c>
      <c r="D108">
        <v>13</v>
      </c>
      <c r="E108">
        <v>9.02</v>
      </c>
      <c r="F108">
        <v>2621</v>
      </c>
      <c r="G108">
        <v>948</v>
      </c>
      <c r="H108">
        <v>2064</v>
      </c>
      <c r="I108">
        <v>512</v>
      </c>
      <c r="J108">
        <v>779</v>
      </c>
      <c r="K108">
        <v>464</v>
      </c>
      <c r="L108">
        <v>1430</v>
      </c>
      <c r="M108">
        <v>508</v>
      </c>
      <c r="N108">
        <v>288</v>
      </c>
      <c r="O108">
        <v>190</v>
      </c>
      <c r="P108">
        <v>574</v>
      </c>
      <c r="Q108">
        <v>670</v>
      </c>
      <c r="R108">
        <v>107</v>
      </c>
    </row>
    <row r="109" spans="1:18">
      <c r="A109" s="1" t="s">
        <v>101</v>
      </c>
      <c r="B109">
        <v>31</v>
      </c>
      <c r="C109">
        <v>14</v>
      </c>
      <c r="D109">
        <v>17</v>
      </c>
      <c r="E109">
        <v>8.0399999999999991</v>
      </c>
      <c r="F109">
        <v>2128</v>
      </c>
      <c r="G109">
        <v>759</v>
      </c>
      <c r="H109">
        <v>1664</v>
      </c>
      <c r="I109">
        <v>460</v>
      </c>
      <c r="J109">
        <v>641</v>
      </c>
      <c r="K109">
        <v>385</v>
      </c>
      <c r="L109">
        <v>1117</v>
      </c>
      <c r="M109">
        <v>425</v>
      </c>
      <c r="N109">
        <v>187</v>
      </c>
      <c r="O109">
        <v>145</v>
      </c>
      <c r="P109">
        <v>471</v>
      </c>
      <c r="Q109">
        <v>503</v>
      </c>
      <c r="R109">
        <v>108</v>
      </c>
    </row>
    <row r="110" spans="1:18">
      <c r="A110" s="1" t="s">
        <v>374</v>
      </c>
      <c r="B110">
        <v>34</v>
      </c>
      <c r="C110">
        <v>27</v>
      </c>
      <c r="D110">
        <v>7</v>
      </c>
      <c r="E110">
        <v>3.83</v>
      </c>
      <c r="F110">
        <v>2614</v>
      </c>
      <c r="G110">
        <v>912</v>
      </c>
      <c r="H110">
        <v>1856</v>
      </c>
      <c r="I110">
        <v>608</v>
      </c>
      <c r="J110">
        <v>916</v>
      </c>
      <c r="K110">
        <v>358</v>
      </c>
      <c r="L110">
        <v>1286</v>
      </c>
      <c r="M110">
        <v>456</v>
      </c>
      <c r="N110">
        <v>227</v>
      </c>
      <c r="O110">
        <v>142</v>
      </c>
      <c r="P110">
        <v>444</v>
      </c>
      <c r="Q110">
        <v>614</v>
      </c>
      <c r="R110">
        <v>109</v>
      </c>
    </row>
    <row r="111" spans="1:18">
      <c r="A111" s="1" t="s">
        <v>102</v>
      </c>
      <c r="B111">
        <v>28</v>
      </c>
      <c r="C111">
        <v>7</v>
      </c>
      <c r="D111">
        <v>21</v>
      </c>
      <c r="E111">
        <v>-12.75</v>
      </c>
      <c r="F111">
        <v>1784</v>
      </c>
      <c r="G111">
        <v>613</v>
      </c>
      <c r="H111">
        <v>1551</v>
      </c>
      <c r="I111">
        <v>392</v>
      </c>
      <c r="J111">
        <v>570</v>
      </c>
      <c r="K111">
        <v>299</v>
      </c>
      <c r="L111">
        <v>930</v>
      </c>
      <c r="M111">
        <v>315</v>
      </c>
      <c r="N111">
        <v>210</v>
      </c>
      <c r="O111">
        <v>73</v>
      </c>
      <c r="P111">
        <v>438</v>
      </c>
      <c r="Q111">
        <v>624</v>
      </c>
      <c r="R111">
        <v>110</v>
      </c>
    </row>
    <row r="112" spans="1:18">
      <c r="A112" s="1" t="s">
        <v>103</v>
      </c>
      <c r="B112">
        <v>35</v>
      </c>
      <c r="C112">
        <v>22</v>
      </c>
      <c r="D112">
        <v>13</v>
      </c>
      <c r="E112">
        <v>0.75</v>
      </c>
      <c r="F112">
        <v>2397</v>
      </c>
      <c r="G112">
        <v>832</v>
      </c>
      <c r="H112">
        <v>1905</v>
      </c>
      <c r="I112">
        <v>499</v>
      </c>
      <c r="J112">
        <v>680</v>
      </c>
      <c r="K112">
        <v>390</v>
      </c>
      <c r="L112">
        <v>1142</v>
      </c>
      <c r="M112">
        <v>410</v>
      </c>
      <c r="N112">
        <v>213</v>
      </c>
      <c r="O112">
        <v>89</v>
      </c>
      <c r="P112">
        <v>434</v>
      </c>
      <c r="Q112">
        <v>649</v>
      </c>
      <c r="R112">
        <v>111</v>
      </c>
    </row>
    <row r="113" spans="1:18">
      <c r="A113" s="1" t="s">
        <v>104</v>
      </c>
      <c r="B113">
        <v>32</v>
      </c>
      <c r="C113">
        <v>14</v>
      </c>
      <c r="D113">
        <v>18</v>
      </c>
      <c r="E113">
        <v>-8.36</v>
      </c>
      <c r="F113">
        <v>2102</v>
      </c>
      <c r="G113">
        <v>725</v>
      </c>
      <c r="H113">
        <v>1708</v>
      </c>
      <c r="I113">
        <v>488</v>
      </c>
      <c r="J113">
        <v>720</v>
      </c>
      <c r="K113">
        <v>368</v>
      </c>
      <c r="L113">
        <v>1106</v>
      </c>
      <c r="M113">
        <v>385</v>
      </c>
      <c r="N113">
        <v>278</v>
      </c>
      <c r="O113">
        <v>127</v>
      </c>
      <c r="P113">
        <v>496</v>
      </c>
      <c r="Q113">
        <v>591</v>
      </c>
      <c r="R113">
        <v>112</v>
      </c>
    </row>
    <row r="114" spans="1:18">
      <c r="A114" s="1" t="s">
        <v>105</v>
      </c>
      <c r="B114">
        <v>30</v>
      </c>
      <c r="C114">
        <v>8</v>
      </c>
      <c r="D114">
        <v>22</v>
      </c>
      <c r="E114">
        <v>-6.04</v>
      </c>
      <c r="F114">
        <v>1868</v>
      </c>
      <c r="G114">
        <v>668</v>
      </c>
      <c r="H114">
        <v>1678</v>
      </c>
      <c r="I114">
        <v>299</v>
      </c>
      <c r="J114">
        <v>468</v>
      </c>
      <c r="K114">
        <v>297</v>
      </c>
      <c r="L114">
        <v>932</v>
      </c>
      <c r="M114">
        <v>340</v>
      </c>
      <c r="N114">
        <v>181</v>
      </c>
      <c r="O114">
        <v>80</v>
      </c>
      <c r="P114">
        <v>349</v>
      </c>
      <c r="Q114">
        <v>659</v>
      </c>
      <c r="R114">
        <v>113</v>
      </c>
    </row>
    <row r="115" spans="1:18">
      <c r="A115" s="1" t="s">
        <v>106</v>
      </c>
      <c r="B115">
        <v>29</v>
      </c>
      <c r="C115">
        <v>21</v>
      </c>
      <c r="D115">
        <v>8</v>
      </c>
      <c r="E115">
        <v>-3.91</v>
      </c>
      <c r="F115">
        <v>2145</v>
      </c>
      <c r="G115">
        <v>723</v>
      </c>
      <c r="H115">
        <v>1510</v>
      </c>
      <c r="I115">
        <v>514</v>
      </c>
      <c r="J115">
        <v>672</v>
      </c>
      <c r="K115">
        <v>272</v>
      </c>
      <c r="L115">
        <v>970</v>
      </c>
      <c r="M115">
        <v>446</v>
      </c>
      <c r="N115">
        <v>228</v>
      </c>
      <c r="O115">
        <v>136</v>
      </c>
      <c r="P115">
        <v>446</v>
      </c>
      <c r="Q115">
        <v>540</v>
      </c>
      <c r="R115">
        <v>114</v>
      </c>
    </row>
    <row r="116" spans="1:18">
      <c r="A116" s="1" t="s">
        <v>107</v>
      </c>
      <c r="B116">
        <v>30</v>
      </c>
      <c r="C116">
        <v>10</v>
      </c>
      <c r="D116">
        <v>20</v>
      </c>
      <c r="E116">
        <v>0.33</v>
      </c>
      <c r="F116">
        <v>2044</v>
      </c>
      <c r="G116">
        <v>707</v>
      </c>
      <c r="H116">
        <v>1640</v>
      </c>
      <c r="I116">
        <v>480</v>
      </c>
      <c r="J116">
        <v>727</v>
      </c>
      <c r="K116">
        <v>402</v>
      </c>
      <c r="L116">
        <v>1075</v>
      </c>
      <c r="M116">
        <v>415</v>
      </c>
      <c r="N116">
        <v>133</v>
      </c>
      <c r="O116">
        <v>61</v>
      </c>
      <c r="P116">
        <v>429</v>
      </c>
      <c r="Q116">
        <v>543</v>
      </c>
      <c r="R116">
        <v>115</v>
      </c>
    </row>
    <row r="117" spans="1:18">
      <c r="A117" s="1" t="s">
        <v>108</v>
      </c>
      <c r="B117">
        <v>30</v>
      </c>
      <c r="C117">
        <v>15</v>
      </c>
      <c r="D117">
        <v>15</v>
      </c>
      <c r="E117">
        <v>-9.3000000000000007</v>
      </c>
      <c r="F117">
        <v>2169</v>
      </c>
      <c r="G117">
        <v>771</v>
      </c>
      <c r="H117">
        <v>1787</v>
      </c>
      <c r="I117">
        <v>431</v>
      </c>
      <c r="J117">
        <v>627</v>
      </c>
      <c r="K117">
        <v>390</v>
      </c>
      <c r="L117">
        <v>1063</v>
      </c>
      <c r="M117">
        <v>385</v>
      </c>
      <c r="N117">
        <v>205</v>
      </c>
      <c r="O117">
        <v>127</v>
      </c>
      <c r="P117">
        <v>471</v>
      </c>
      <c r="Q117">
        <v>648</v>
      </c>
      <c r="R117">
        <v>116</v>
      </c>
    </row>
    <row r="118" spans="1:18">
      <c r="A118" s="1" t="s">
        <v>307</v>
      </c>
      <c r="B118">
        <v>34</v>
      </c>
      <c r="C118">
        <v>19</v>
      </c>
      <c r="D118">
        <v>15</v>
      </c>
      <c r="E118">
        <v>-0.02</v>
      </c>
      <c r="F118">
        <v>2406</v>
      </c>
      <c r="G118">
        <v>859</v>
      </c>
      <c r="H118">
        <v>2102</v>
      </c>
      <c r="I118">
        <v>482</v>
      </c>
      <c r="J118">
        <v>664</v>
      </c>
      <c r="K118">
        <v>503</v>
      </c>
      <c r="L118">
        <v>1382</v>
      </c>
      <c r="M118">
        <v>466</v>
      </c>
      <c r="N118">
        <v>254</v>
      </c>
      <c r="O118">
        <v>219</v>
      </c>
      <c r="P118">
        <v>469</v>
      </c>
      <c r="Q118">
        <v>731</v>
      </c>
      <c r="R118">
        <v>117</v>
      </c>
    </row>
    <row r="119" spans="1:18">
      <c r="A119" s="1" t="s">
        <v>109</v>
      </c>
      <c r="B119">
        <v>31</v>
      </c>
      <c r="C119">
        <v>9</v>
      </c>
      <c r="D119">
        <v>22</v>
      </c>
      <c r="E119">
        <v>-5.57</v>
      </c>
      <c r="F119">
        <v>2147</v>
      </c>
      <c r="G119">
        <v>761</v>
      </c>
      <c r="H119">
        <v>1707</v>
      </c>
      <c r="I119">
        <v>464</v>
      </c>
      <c r="J119">
        <v>662</v>
      </c>
      <c r="K119">
        <v>381</v>
      </c>
      <c r="L119">
        <v>1136</v>
      </c>
      <c r="M119">
        <v>409</v>
      </c>
      <c r="N119">
        <v>134</v>
      </c>
      <c r="O119">
        <v>89</v>
      </c>
      <c r="P119">
        <v>447</v>
      </c>
      <c r="Q119">
        <v>551</v>
      </c>
      <c r="R119">
        <v>118</v>
      </c>
    </row>
    <row r="120" spans="1:18">
      <c r="A120" s="1" t="s">
        <v>353</v>
      </c>
      <c r="B120">
        <v>33</v>
      </c>
      <c r="C120">
        <v>12</v>
      </c>
      <c r="D120">
        <v>21</v>
      </c>
      <c r="F120">
        <v>2347</v>
      </c>
      <c r="G120">
        <v>801</v>
      </c>
      <c r="H120">
        <v>1926</v>
      </c>
      <c r="I120">
        <v>610</v>
      </c>
      <c r="J120">
        <v>839</v>
      </c>
      <c r="K120">
        <v>450</v>
      </c>
      <c r="L120">
        <v>1294</v>
      </c>
      <c r="M120">
        <v>409</v>
      </c>
      <c r="N120">
        <v>237</v>
      </c>
      <c r="O120">
        <v>121</v>
      </c>
      <c r="P120">
        <v>606</v>
      </c>
      <c r="Q120">
        <v>683</v>
      </c>
      <c r="R120">
        <v>119</v>
      </c>
    </row>
    <row r="121" spans="1:18">
      <c r="A121" s="1" t="s">
        <v>110</v>
      </c>
      <c r="B121">
        <v>35</v>
      </c>
      <c r="C121">
        <v>19</v>
      </c>
      <c r="D121">
        <v>16</v>
      </c>
      <c r="E121">
        <v>3.48</v>
      </c>
      <c r="F121">
        <v>2751</v>
      </c>
      <c r="G121">
        <v>958</v>
      </c>
      <c r="H121">
        <v>2282</v>
      </c>
      <c r="I121">
        <v>545</v>
      </c>
      <c r="J121">
        <v>768</v>
      </c>
      <c r="K121">
        <v>440</v>
      </c>
      <c r="L121">
        <v>1185</v>
      </c>
      <c r="M121">
        <v>435</v>
      </c>
      <c r="N121">
        <v>329</v>
      </c>
      <c r="O121">
        <v>103</v>
      </c>
      <c r="P121">
        <v>315</v>
      </c>
      <c r="Q121">
        <v>652</v>
      </c>
      <c r="R121">
        <v>120</v>
      </c>
    </row>
    <row r="122" spans="1:18">
      <c r="A122" s="1" t="s">
        <v>111</v>
      </c>
      <c r="B122">
        <v>32</v>
      </c>
      <c r="C122">
        <v>7</v>
      </c>
      <c r="D122">
        <v>25</v>
      </c>
      <c r="E122">
        <v>-7.27</v>
      </c>
      <c r="F122">
        <v>1868</v>
      </c>
      <c r="G122">
        <v>639</v>
      </c>
      <c r="H122">
        <v>1704</v>
      </c>
      <c r="I122">
        <v>412</v>
      </c>
      <c r="J122">
        <v>696</v>
      </c>
      <c r="K122">
        <v>388</v>
      </c>
      <c r="L122">
        <v>1092</v>
      </c>
      <c r="M122">
        <v>308</v>
      </c>
      <c r="N122">
        <v>140</v>
      </c>
      <c r="O122">
        <v>69</v>
      </c>
      <c r="P122">
        <v>473</v>
      </c>
      <c r="Q122">
        <v>537</v>
      </c>
      <c r="R122">
        <v>121</v>
      </c>
    </row>
    <row r="123" spans="1:18">
      <c r="A123" s="1" t="s">
        <v>112</v>
      </c>
      <c r="B123">
        <v>29</v>
      </c>
      <c r="C123">
        <v>7</v>
      </c>
      <c r="D123">
        <v>22</v>
      </c>
      <c r="E123">
        <v>0.13</v>
      </c>
      <c r="F123">
        <v>1927</v>
      </c>
      <c r="G123">
        <v>705</v>
      </c>
      <c r="H123">
        <v>1555</v>
      </c>
      <c r="I123">
        <v>382</v>
      </c>
      <c r="J123">
        <v>551</v>
      </c>
      <c r="K123">
        <v>332</v>
      </c>
      <c r="L123">
        <v>926</v>
      </c>
      <c r="M123">
        <v>324</v>
      </c>
      <c r="N123">
        <v>166</v>
      </c>
      <c r="O123">
        <v>80</v>
      </c>
      <c r="P123">
        <v>382</v>
      </c>
      <c r="Q123">
        <v>516</v>
      </c>
      <c r="R123">
        <v>122</v>
      </c>
    </row>
    <row r="124" spans="1:18">
      <c r="A124" s="1" t="s">
        <v>113</v>
      </c>
      <c r="B124">
        <v>31</v>
      </c>
      <c r="C124">
        <v>15</v>
      </c>
      <c r="D124">
        <v>16</v>
      </c>
      <c r="E124">
        <v>0.48</v>
      </c>
      <c r="F124">
        <v>2206</v>
      </c>
      <c r="G124">
        <v>791</v>
      </c>
      <c r="H124">
        <v>1703</v>
      </c>
      <c r="I124">
        <v>430</v>
      </c>
      <c r="J124">
        <v>651</v>
      </c>
      <c r="K124">
        <v>335</v>
      </c>
      <c r="L124">
        <v>1074</v>
      </c>
      <c r="M124">
        <v>459</v>
      </c>
      <c r="N124">
        <v>185</v>
      </c>
      <c r="O124">
        <v>95</v>
      </c>
      <c r="P124">
        <v>432</v>
      </c>
      <c r="Q124">
        <v>554</v>
      </c>
      <c r="R124">
        <v>123</v>
      </c>
    </row>
    <row r="125" spans="1:18">
      <c r="A125" s="1" t="s">
        <v>114</v>
      </c>
      <c r="B125">
        <v>30</v>
      </c>
      <c r="C125">
        <v>8</v>
      </c>
      <c r="D125">
        <v>22</v>
      </c>
      <c r="E125">
        <v>0.94</v>
      </c>
      <c r="F125">
        <v>1876</v>
      </c>
      <c r="G125">
        <v>654</v>
      </c>
      <c r="H125">
        <v>1691</v>
      </c>
      <c r="I125">
        <v>393</v>
      </c>
      <c r="J125">
        <v>549</v>
      </c>
      <c r="K125">
        <v>313</v>
      </c>
      <c r="L125">
        <v>982</v>
      </c>
      <c r="M125">
        <v>315</v>
      </c>
      <c r="N125">
        <v>211</v>
      </c>
      <c r="O125">
        <v>74</v>
      </c>
      <c r="P125">
        <v>383</v>
      </c>
      <c r="Q125">
        <v>569</v>
      </c>
      <c r="R125">
        <v>124</v>
      </c>
    </row>
    <row r="126" spans="1:18">
      <c r="A126" s="1" t="s">
        <v>115</v>
      </c>
      <c r="B126">
        <v>33</v>
      </c>
      <c r="C126">
        <v>22</v>
      </c>
      <c r="D126">
        <v>11</v>
      </c>
      <c r="E126">
        <v>1.1599999999999999</v>
      </c>
      <c r="F126">
        <v>2283</v>
      </c>
      <c r="G126">
        <v>794</v>
      </c>
      <c r="H126">
        <v>1776</v>
      </c>
      <c r="I126">
        <v>502</v>
      </c>
      <c r="J126">
        <v>717</v>
      </c>
      <c r="K126">
        <v>383</v>
      </c>
      <c r="L126">
        <v>1173</v>
      </c>
      <c r="M126">
        <v>433</v>
      </c>
      <c r="N126">
        <v>240</v>
      </c>
      <c r="O126">
        <v>114</v>
      </c>
      <c r="P126">
        <v>429</v>
      </c>
      <c r="Q126">
        <v>556</v>
      </c>
      <c r="R126">
        <v>125</v>
      </c>
    </row>
    <row r="127" spans="1:18">
      <c r="A127" s="1" t="s">
        <v>348</v>
      </c>
      <c r="B127">
        <v>36</v>
      </c>
      <c r="C127">
        <v>21</v>
      </c>
      <c r="D127">
        <v>15</v>
      </c>
      <c r="E127">
        <v>9.58</v>
      </c>
      <c r="F127">
        <v>2547</v>
      </c>
      <c r="G127">
        <v>957</v>
      </c>
      <c r="H127">
        <v>2127</v>
      </c>
      <c r="I127">
        <v>414</v>
      </c>
      <c r="J127">
        <v>581</v>
      </c>
      <c r="K127">
        <v>396</v>
      </c>
      <c r="L127">
        <v>1337</v>
      </c>
      <c r="M127">
        <v>570</v>
      </c>
      <c r="N127">
        <v>202</v>
      </c>
      <c r="O127">
        <v>144</v>
      </c>
      <c r="P127">
        <v>443</v>
      </c>
      <c r="Q127">
        <v>611</v>
      </c>
      <c r="R127">
        <v>126</v>
      </c>
    </row>
    <row r="128" spans="1:18">
      <c r="A128" s="1" t="s">
        <v>308</v>
      </c>
      <c r="B128">
        <v>32</v>
      </c>
      <c r="C128">
        <v>17</v>
      </c>
      <c r="D128">
        <v>15</v>
      </c>
      <c r="E128">
        <v>2.4</v>
      </c>
      <c r="F128">
        <v>2113</v>
      </c>
      <c r="G128">
        <v>708</v>
      </c>
      <c r="H128">
        <v>1681</v>
      </c>
      <c r="I128">
        <v>476</v>
      </c>
      <c r="J128">
        <v>619</v>
      </c>
      <c r="K128">
        <v>290</v>
      </c>
      <c r="L128">
        <v>1067</v>
      </c>
      <c r="M128">
        <v>335</v>
      </c>
      <c r="N128">
        <v>177</v>
      </c>
      <c r="O128">
        <v>120</v>
      </c>
      <c r="P128">
        <v>401</v>
      </c>
      <c r="Q128">
        <v>590</v>
      </c>
      <c r="R128">
        <v>127</v>
      </c>
    </row>
    <row r="129" spans="1:18">
      <c r="A129" s="1" t="s">
        <v>327</v>
      </c>
      <c r="B129">
        <v>31</v>
      </c>
      <c r="C129">
        <v>10</v>
      </c>
      <c r="D129">
        <v>21</v>
      </c>
      <c r="E129">
        <v>9.3699999999999992</v>
      </c>
      <c r="F129">
        <v>2053</v>
      </c>
      <c r="G129">
        <v>703</v>
      </c>
      <c r="H129">
        <v>1687</v>
      </c>
      <c r="I129">
        <v>487</v>
      </c>
      <c r="J129">
        <v>705</v>
      </c>
      <c r="K129">
        <v>395</v>
      </c>
      <c r="L129">
        <v>1090</v>
      </c>
      <c r="M129">
        <v>375</v>
      </c>
      <c r="N129">
        <v>211</v>
      </c>
      <c r="O129">
        <v>107</v>
      </c>
      <c r="P129">
        <v>486</v>
      </c>
      <c r="Q129">
        <v>636</v>
      </c>
      <c r="R129">
        <v>128</v>
      </c>
    </row>
    <row r="130" spans="1:18">
      <c r="A130" s="1" t="s">
        <v>309</v>
      </c>
      <c r="B130">
        <v>31</v>
      </c>
      <c r="C130">
        <v>21</v>
      </c>
      <c r="D130">
        <v>10</v>
      </c>
      <c r="E130">
        <v>-1.85</v>
      </c>
      <c r="F130">
        <v>2050</v>
      </c>
      <c r="G130">
        <v>700</v>
      </c>
      <c r="H130">
        <v>1667</v>
      </c>
      <c r="I130">
        <v>423</v>
      </c>
      <c r="J130">
        <v>621</v>
      </c>
      <c r="K130">
        <v>322</v>
      </c>
      <c r="L130">
        <v>1041</v>
      </c>
      <c r="M130">
        <v>421</v>
      </c>
      <c r="N130">
        <v>246</v>
      </c>
      <c r="O130">
        <v>90</v>
      </c>
      <c r="P130">
        <v>420</v>
      </c>
      <c r="Q130">
        <v>614</v>
      </c>
      <c r="R130">
        <v>129</v>
      </c>
    </row>
    <row r="131" spans="1:18">
      <c r="A131" s="1" t="s">
        <v>310</v>
      </c>
      <c r="B131">
        <v>32</v>
      </c>
      <c r="C131">
        <v>15</v>
      </c>
      <c r="D131">
        <v>17</v>
      </c>
      <c r="E131">
        <v>8.3699999999999992</v>
      </c>
      <c r="F131">
        <v>2250</v>
      </c>
      <c r="G131">
        <v>804</v>
      </c>
      <c r="H131">
        <v>1811</v>
      </c>
      <c r="I131">
        <v>442</v>
      </c>
      <c r="J131">
        <v>673</v>
      </c>
      <c r="K131">
        <v>388</v>
      </c>
      <c r="L131">
        <v>1193</v>
      </c>
      <c r="M131">
        <v>442</v>
      </c>
      <c r="N131">
        <v>162</v>
      </c>
      <c r="O131">
        <v>155</v>
      </c>
      <c r="P131">
        <v>443</v>
      </c>
      <c r="Q131">
        <v>490</v>
      </c>
      <c r="R131">
        <v>130</v>
      </c>
    </row>
    <row r="132" spans="1:18">
      <c r="A132" s="1" t="s">
        <v>116</v>
      </c>
      <c r="B132">
        <v>32</v>
      </c>
      <c r="C132">
        <v>10</v>
      </c>
      <c r="D132">
        <v>22</v>
      </c>
      <c r="E132">
        <v>8.09</v>
      </c>
      <c r="F132">
        <v>1937</v>
      </c>
      <c r="G132">
        <v>675</v>
      </c>
      <c r="H132">
        <v>1629</v>
      </c>
      <c r="I132">
        <v>348</v>
      </c>
      <c r="J132">
        <v>503</v>
      </c>
      <c r="K132">
        <v>317</v>
      </c>
      <c r="L132">
        <v>1023</v>
      </c>
      <c r="M132">
        <v>394</v>
      </c>
      <c r="N132">
        <v>134</v>
      </c>
      <c r="O132">
        <v>64</v>
      </c>
      <c r="P132">
        <v>440</v>
      </c>
      <c r="Q132">
        <v>507</v>
      </c>
      <c r="R132">
        <v>131</v>
      </c>
    </row>
    <row r="133" spans="1:18">
      <c r="A133" s="1" t="s">
        <v>319</v>
      </c>
      <c r="B133">
        <v>31</v>
      </c>
      <c r="C133">
        <v>16</v>
      </c>
      <c r="D133">
        <v>15</v>
      </c>
      <c r="E133">
        <v>-4.7300000000000004</v>
      </c>
      <c r="F133">
        <v>2129</v>
      </c>
      <c r="G133">
        <v>747</v>
      </c>
      <c r="H133">
        <v>1790</v>
      </c>
      <c r="I133">
        <v>414</v>
      </c>
      <c r="J133">
        <v>595</v>
      </c>
      <c r="K133">
        <v>335</v>
      </c>
      <c r="L133">
        <v>1103</v>
      </c>
      <c r="M133">
        <v>376</v>
      </c>
      <c r="N133">
        <v>183</v>
      </c>
      <c r="O133">
        <v>145</v>
      </c>
      <c r="P133">
        <v>398</v>
      </c>
      <c r="Q133">
        <v>592</v>
      </c>
      <c r="R133">
        <v>132</v>
      </c>
    </row>
    <row r="134" spans="1:18">
      <c r="A134" s="1" t="s">
        <v>117</v>
      </c>
      <c r="B134">
        <v>36</v>
      </c>
      <c r="C134">
        <v>25</v>
      </c>
      <c r="D134">
        <v>11</v>
      </c>
      <c r="E134">
        <v>-4.08</v>
      </c>
      <c r="F134">
        <v>2681</v>
      </c>
      <c r="G134">
        <v>953</v>
      </c>
      <c r="H134">
        <v>1891</v>
      </c>
      <c r="I134">
        <v>571</v>
      </c>
      <c r="J134">
        <v>799</v>
      </c>
      <c r="K134">
        <v>359</v>
      </c>
      <c r="L134">
        <v>1199</v>
      </c>
      <c r="M134">
        <v>538</v>
      </c>
      <c r="N134">
        <v>317</v>
      </c>
      <c r="O134">
        <v>167</v>
      </c>
      <c r="P134">
        <v>513</v>
      </c>
      <c r="Q134">
        <v>573</v>
      </c>
      <c r="R134">
        <v>133</v>
      </c>
    </row>
    <row r="135" spans="1:18">
      <c r="A135" s="1" t="s">
        <v>278</v>
      </c>
      <c r="B135">
        <v>32</v>
      </c>
      <c r="C135">
        <v>19</v>
      </c>
      <c r="D135">
        <v>13</v>
      </c>
      <c r="E135">
        <v>-10.66</v>
      </c>
      <c r="F135">
        <v>2028</v>
      </c>
      <c r="G135">
        <v>682</v>
      </c>
      <c r="H135">
        <v>1725</v>
      </c>
      <c r="I135">
        <v>487</v>
      </c>
      <c r="J135">
        <v>755</v>
      </c>
      <c r="K135">
        <v>413</v>
      </c>
      <c r="L135">
        <v>1214</v>
      </c>
      <c r="M135">
        <v>359</v>
      </c>
      <c r="N135">
        <v>190</v>
      </c>
      <c r="O135">
        <v>119</v>
      </c>
      <c r="P135">
        <v>469</v>
      </c>
      <c r="Q135">
        <v>659</v>
      </c>
      <c r="R135">
        <v>134</v>
      </c>
    </row>
    <row r="136" spans="1:18">
      <c r="A136" s="1" t="s">
        <v>118</v>
      </c>
      <c r="B136">
        <v>30</v>
      </c>
      <c r="C136">
        <v>11</v>
      </c>
      <c r="D136">
        <v>19</v>
      </c>
      <c r="E136">
        <v>-4.22</v>
      </c>
      <c r="F136">
        <v>2088</v>
      </c>
      <c r="G136">
        <v>727</v>
      </c>
      <c r="H136">
        <v>1670</v>
      </c>
      <c r="I136">
        <v>453</v>
      </c>
      <c r="J136">
        <v>619</v>
      </c>
      <c r="K136">
        <v>328</v>
      </c>
      <c r="L136">
        <v>1026</v>
      </c>
      <c r="M136">
        <v>455</v>
      </c>
      <c r="N136">
        <v>202</v>
      </c>
      <c r="O136">
        <v>142</v>
      </c>
      <c r="P136">
        <v>415</v>
      </c>
      <c r="Q136">
        <v>560</v>
      </c>
      <c r="R136">
        <v>135</v>
      </c>
    </row>
    <row r="137" spans="1:18">
      <c r="A137" s="1" t="s">
        <v>119</v>
      </c>
      <c r="B137">
        <v>33</v>
      </c>
      <c r="C137">
        <v>20</v>
      </c>
      <c r="D137">
        <v>13</v>
      </c>
      <c r="E137">
        <v>-2.2999999999999998</v>
      </c>
      <c r="F137">
        <v>2304</v>
      </c>
      <c r="G137">
        <v>803</v>
      </c>
      <c r="H137">
        <v>1915</v>
      </c>
      <c r="I137">
        <v>522</v>
      </c>
      <c r="J137">
        <v>739</v>
      </c>
      <c r="K137">
        <v>480</v>
      </c>
      <c r="L137">
        <v>1230</v>
      </c>
      <c r="M137">
        <v>393</v>
      </c>
      <c r="N137">
        <v>279</v>
      </c>
      <c r="O137">
        <v>137</v>
      </c>
      <c r="P137">
        <v>481</v>
      </c>
      <c r="Q137">
        <v>654</v>
      </c>
      <c r="R137">
        <v>136</v>
      </c>
    </row>
    <row r="138" spans="1:18">
      <c r="A138" s="1" t="s">
        <v>120</v>
      </c>
      <c r="B138">
        <v>33</v>
      </c>
      <c r="C138">
        <v>13</v>
      </c>
      <c r="D138">
        <v>20</v>
      </c>
      <c r="E138">
        <v>-1.52</v>
      </c>
      <c r="F138">
        <v>2210</v>
      </c>
      <c r="G138">
        <v>796</v>
      </c>
      <c r="H138">
        <v>1810</v>
      </c>
      <c r="I138">
        <v>429</v>
      </c>
      <c r="J138">
        <v>628</v>
      </c>
      <c r="K138">
        <v>353</v>
      </c>
      <c r="L138">
        <v>1149</v>
      </c>
      <c r="M138">
        <v>462</v>
      </c>
      <c r="N138">
        <v>204</v>
      </c>
      <c r="O138">
        <v>140</v>
      </c>
      <c r="P138">
        <v>477</v>
      </c>
      <c r="Q138">
        <v>532</v>
      </c>
      <c r="R138">
        <v>137</v>
      </c>
    </row>
    <row r="139" spans="1:18">
      <c r="A139" s="1" t="s">
        <v>121</v>
      </c>
      <c r="B139">
        <v>37</v>
      </c>
      <c r="C139">
        <v>29</v>
      </c>
      <c r="D139">
        <v>8</v>
      </c>
      <c r="E139">
        <v>10.28</v>
      </c>
      <c r="F139">
        <v>2949</v>
      </c>
      <c r="G139">
        <v>981</v>
      </c>
      <c r="H139">
        <v>2182</v>
      </c>
      <c r="I139">
        <v>734</v>
      </c>
      <c r="J139">
        <v>1098</v>
      </c>
      <c r="K139">
        <v>559</v>
      </c>
      <c r="L139">
        <v>1437</v>
      </c>
      <c r="M139">
        <v>541</v>
      </c>
      <c r="N139">
        <v>274</v>
      </c>
      <c r="O139">
        <v>187</v>
      </c>
      <c r="P139">
        <v>529</v>
      </c>
      <c r="Q139">
        <v>828</v>
      </c>
      <c r="R139">
        <v>138</v>
      </c>
    </row>
    <row r="140" spans="1:18">
      <c r="A140" s="1" t="s">
        <v>375</v>
      </c>
      <c r="B140">
        <v>36</v>
      </c>
      <c r="C140">
        <v>33</v>
      </c>
      <c r="D140">
        <v>3</v>
      </c>
      <c r="E140">
        <v>8.25</v>
      </c>
      <c r="F140">
        <v>2937</v>
      </c>
      <c r="G140">
        <v>1033</v>
      </c>
      <c r="H140">
        <v>2111</v>
      </c>
      <c r="I140">
        <v>609</v>
      </c>
      <c r="J140">
        <v>871</v>
      </c>
      <c r="K140">
        <v>468</v>
      </c>
      <c r="L140">
        <v>1457</v>
      </c>
      <c r="M140">
        <v>609</v>
      </c>
      <c r="N140">
        <v>301</v>
      </c>
      <c r="O140">
        <v>232</v>
      </c>
      <c r="P140">
        <v>470</v>
      </c>
      <c r="Q140">
        <v>658</v>
      </c>
      <c r="R140">
        <v>139</v>
      </c>
    </row>
    <row r="141" spans="1:18">
      <c r="A141" s="1" t="s">
        <v>336</v>
      </c>
      <c r="B141">
        <v>33</v>
      </c>
      <c r="C141">
        <v>13</v>
      </c>
      <c r="D141">
        <v>20</v>
      </c>
      <c r="E141">
        <v>-3.69</v>
      </c>
      <c r="F141">
        <v>2182</v>
      </c>
      <c r="G141">
        <v>784</v>
      </c>
      <c r="H141">
        <v>1924</v>
      </c>
      <c r="I141">
        <v>379</v>
      </c>
      <c r="J141">
        <v>557</v>
      </c>
      <c r="K141">
        <v>450</v>
      </c>
      <c r="L141">
        <v>1166</v>
      </c>
      <c r="M141">
        <v>417</v>
      </c>
      <c r="N141">
        <v>218</v>
      </c>
      <c r="O141">
        <v>121</v>
      </c>
      <c r="P141">
        <v>480</v>
      </c>
      <c r="Q141">
        <v>529</v>
      </c>
      <c r="R141">
        <v>140</v>
      </c>
    </row>
    <row r="142" spans="1:18">
      <c r="A142" s="1" t="s">
        <v>122</v>
      </c>
      <c r="B142">
        <v>34</v>
      </c>
      <c r="C142">
        <v>24</v>
      </c>
      <c r="D142">
        <v>10</v>
      </c>
      <c r="E142">
        <v>0.74</v>
      </c>
      <c r="F142">
        <v>2382</v>
      </c>
      <c r="G142">
        <v>839</v>
      </c>
      <c r="H142">
        <v>1942</v>
      </c>
      <c r="I142">
        <v>515</v>
      </c>
      <c r="J142">
        <v>766</v>
      </c>
      <c r="K142">
        <v>410</v>
      </c>
      <c r="L142">
        <v>1207</v>
      </c>
      <c r="M142">
        <v>437</v>
      </c>
      <c r="N142">
        <v>285</v>
      </c>
      <c r="O142">
        <v>91</v>
      </c>
      <c r="P142">
        <v>407</v>
      </c>
      <c r="Q142">
        <v>631</v>
      </c>
      <c r="R142">
        <v>141</v>
      </c>
    </row>
    <row r="143" spans="1:18">
      <c r="A143" s="1" t="s">
        <v>354</v>
      </c>
      <c r="B143">
        <v>38</v>
      </c>
      <c r="C143">
        <v>35</v>
      </c>
      <c r="D143">
        <v>3</v>
      </c>
      <c r="E143">
        <v>6.82</v>
      </c>
      <c r="F143">
        <v>3012</v>
      </c>
      <c r="G143">
        <v>1066</v>
      </c>
      <c r="H143">
        <v>2228</v>
      </c>
      <c r="I143">
        <v>649</v>
      </c>
      <c r="J143">
        <v>971</v>
      </c>
      <c r="K143">
        <v>538</v>
      </c>
      <c r="L143">
        <v>1584</v>
      </c>
      <c r="M143">
        <v>573</v>
      </c>
      <c r="N143">
        <v>279</v>
      </c>
      <c r="O143">
        <v>273</v>
      </c>
      <c r="P143">
        <v>538</v>
      </c>
      <c r="Q143">
        <v>641</v>
      </c>
      <c r="R143">
        <v>142</v>
      </c>
    </row>
    <row r="144" spans="1:18">
      <c r="A144" s="1" t="s">
        <v>123</v>
      </c>
      <c r="B144">
        <v>30</v>
      </c>
      <c r="C144">
        <v>12</v>
      </c>
      <c r="D144">
        <v>18</v>
      </c>
      <c r="E144">
        <v>2.46</v>
      </c>
      <c r="F144">
        <v>2111</v>
      </c>
      <c r="G144">
        <v>756</v>
      </c>
      <c r="H144">
        <v>1718</v>
      </c>
      <c r="I144">
        <v>435</v>
      </c>
      <c r="J144">
        <v>652</v>
      </c>
      <c r="K144">
        <v>420</v>
      </c>
      <c r="L144">
        <v>1167</v>
      </c>
      <c r="M144">
        <v>415</v>
      </c>
      <c r="N144">
        <v>187</v>
      </c>
      <c r="O144">
        <v>140</v>
      </c>
      <c r="P144">
        <v>471</v>
      </c>
      <c r="Q144">
        <v>517</v>
      </c>
      <c r="R144">
        <v>143</v>
      </c>
    </row>
    <row r="145" spans="1:18">
      <c r="A145" s="1" t="s">
        <v>279</v>
      </c>
      <c r="B145">
        <v>32</v>
      </c>
      <c r="C145">
        <v>19</v>
      </c>
      <c r="D145">
        <v>13</v>
      </c>
      <c r="E145">
        <v>-8.99</v>
      </c>
      <c r="F145">
        <v>2320</v>
      </c>
      <c r="G145">
        <v>775</v>
      </c>
      <c r="H145">
        <v>1710</v>
      </c>
      <c r="I145">
        <v>512</v>
      </c>
      <c r="J145">
        <v>670</v>
      </c>
      <c r="K145">
        <v>274</v>
      </c>
      <c r="L145">
        <v>991</v>
      </c>
      <c r="M145">
        <v>482</v>
      </c>
      <c r="N145">
        <v>235</v>
      </c>
      <c r="O145">
        <v>91</v>
      </c>
      <c r="P145">
        <v>422</v>
      </c>
      <c r="Q145">
        <v>552</v>
      </c>
      <c r="R145">
        <v>144</v>
      </c>
    </row>
    <row r="146" spans="1:18">
      <c r="A146" s="1" t="s">
        <v>280</v>
      </c>
      <c r="B146">
        <v>32</v>
      </c>
      <c r="C146">
        <v>14</v>
      </c>
      <c r="D146">
        <v>18</v>
      </c>
      <c r="E146">
        <v>-4.22</v>
      </c>
      <c r="F146">
        <v>2200</v>
      </c>
      <c r="G146">
        <v>755</v>
      </c>
      <c r="H146">
        <v>1782</v>
      </c>
      <c r="I146">
        <v>568</v>
      </c>
      <c r="J146">
        <v>839</v>
      </c>
      <c r="K146">
        <v>449</v>
      </c>
      <c r="L146">
        <v>1257</v>
      </c>
      <c r="M146">
        <v>439</v>
      </c>
      <c r="N146">
        <v>202</v>
      </c>
      <c r="O146">
        <v>115</v>
      </c>
      <c r="P146">
        <v>510</v>
      </c>
      <c r="Q146">
        <v>609</v>
      </c>
      <c r="R146">
        <v>145</v>
      </c>
    </row>
    <row r="147" spans="1:18">
      <c r="A147" s="1" t="s">
        <v>124</v>
      </c>
      <c r="B147">
        <v>33</v>
      </c>
      <c r="C147">
        <v>22</v>
      </c>
      <c r="D147">
        <v>11</v>
      </c>
      <c r="E147">
        <v>-7.79</v>
      </c>
      <c r="F147">
        <v>2478</v>
      </c>
      <c r="G147">
        <v>842</v>
      </c>
      <c r="H147">
        <v>1853</v>
      </c>
      <c r="I147">
        <v>574</v>
      </c>
      <c r="J147">
        <v>799</v>
      </c>
      <c r="K147">
        <v>339</v>
      </c>
      <c r="L147">
        <v>1201</v>
      </c>
      <c r="M147">
        <v>495</v>
      </c>
      <c r="N147">
        <v>203</v>
      </c>
      <c r="O147">
        <v>85</v>
      </c>
      <c r="P147">
        <v>429</v>
      </c>
      <c r="Q147">
        <v>589</v>
      </c>
      <c r="R147">
        <v>146</v>
      </c>
    </row>
    <row r="148" spans="1:18">
      <c r="A148" s="1" t="s">
        <v>125</v>
      </c>
      <c r="B148">
        <v>31</v>
      </c>
      <c r="C148">
        <v>15</v>
      </c>
      <c r="D148">
        <v>16</v>
      </c>
      <c r="E148">
        <v>-7.25</v>
      </c>
      <c r="F148">
        <v>2093</v>
      </c>
      <c r="G148">
        <v>727</v>
      </c>
      <c r="H148">
        <v>1656</v>
      </c>
      <c r="I148">
        <v>468</v>
      </c>
      <c r="J148">
        <v>669</v>
      </c>
      <c r="K148">
        <v>333</v>
      </c>
      <c r="L148">
        <v>1141</v>
      </c>
      <c r="M148">
        <v>383</v>
      </c>
      <c r="N148">
        <v>205</v>
      </c>
      <c r="O148">
        <v>91</v>
      </c>
      <c r="P148">
        <v>483</v>
      </c>
      <c r="Q148">
        <v>567</v>
      </c>
      <c r="R148">
        <v>147</v>
      </c>
    </row>
    <row r="149" spans="1:18">
      <c r="A149" s="1" t="s">
        <v>320</v>
      </c>
      <c r="B149">
        <v>30</v>
      </c>
      <c r="C149">
        <v>17</v>
      </c>
      <c r="D149">
        <v>13</v>
      </c>
      <c r="E149">
        <v>-3.07</v>
      </c>
      <c r="F149">
        <v>2373</v>
      </c>
      <c r="G149">
        <v>826</v>
      </c>
      <c r="H149">
        <v>1778</v>
      </c>
      <c r="I149">
        <v>478</v>
      </c>
      <c r="J149">
        <v>678</v>
      </c>
      <c r="K149">
        <v>385</v>
      </c>
      <c r="L149">
        <v>1105</v>
      </c>
      <c r="M149">
        <v>519</v>
      </c>
      <c r="N149">
        <v>201</v>
      </c>
      <c r="O149">
        <v>76</v>
      </c>
      <c r="P149">
        <v>439</v>
      </c>
      <c r="Q149">
        <v>520</v>
      </c>
      <c r="R149">
        <v>148</v>
      </c>
    </row>
    <row r="150" spans="1:18">
      <c r="A150" s="1" t="s">
        <v>126</v>
      </c>
      <c r="B150">
        <v>33</v>
      </c>
      <c r="C150">
        <v>17</v>
      </c>
      <c r="D150">
        <v>16</v>
      </c>
      <c r="E150">
        <v>1.55</v>
      </c>
      <c r="F150">
        <v>2344</v>
      </c>
      <c r="G150">
        <v>828</v>
      </c>
      <c r="H150">
        <v>1912</v>
      </c>
      <c r="I150">
        <v>486</v>
      </c>
      <c r="J150">
        <v>745</v>
      </c>
      <c r="K150">
        <v>395</v>
      </c>
      <c r="L150">
        <v>1176</v>
      </c>
      <c r="M150">
        <v>440</v>
      </c>
      <c r="N150">
        <v>256</v>
      </c>
      <c r="O150">
        <v>89</v>
      </c>
      <c r="P150">
        <v>473</v>
      </c>
      <c r="Q150">
        <v>591</v>
      </c>
      <c r="R150">
        <v>149</v>
      </c>
    </row>
    <row r="151" spans="1:18">
      <c r="A151" s="1" t="s">
        <v>127</v>
      </c>
      <c r="B151">
        <v>31</v>
      </c>
      <c r="C151">
        <v>14</v>
      </c>
      <c r="D151">
        <v>17</v>
      </c>
      <c r="E151">
        <v>-8.25</v>
      </c>
      <c r="F151">
        <v>2162</v>
      </c>
      <c r="G151">
        <v>721</v>
      </c>
      <c r="H151">
        <v>1802</v>
      </c>
      <c r="I151">
        <v>490</v>
      </c>
      <c r="J151">
        <v>709</v>
      </c>
      <c r="K151">
        <v>426</v>
      </c>
      <c r="L151">
        <v>1210</v>
      </c>
      <c r="M151">
        <v>335</v>
      </c>
      <c r="N151">
        <v>180</v>
      </c>
      <c r="O151">
        <v>122</v>
      </c>
      <c r="P151">
        <v>437</v>
      </c>
      <c r="Q151">
        <v>551</v>
      </c>
      <c r="R151">
        <v>150</v>
      </c>
    </row>
    <row r="152" spans="1:18">
      <c r="A152" s="1" t="s">
        <v>331</v>
      </c>
      <c r="B152">
        <v>31</v>
      </c>
      <c r="C152">
        <v>12</v>
      </c>
      <c r="D152">
        <v>19</v>
      </c>
      <c r="E152">
        <v>-3.74</v>
      </c>
      <c r="F152">
        <v>2297</v>
      </c>
      <c r="G152">
        <v>859</v>
      </c>
      <c r="H152">
        <v>1963</v>
      </c>
      <c r="I152">
        <v>362</v>
      </c>
      <c r="J152">
        <v>554</v>
      </c>
      <c r="K152">
        <v>388</v>
      </c>
      <c r="L152">
        <v>1091</v>
      </c>
      <c r="M152">
        <v>524</v>
      </c>
      <c r="N152">
        <v>221</v>
      </c>
      <c r="O152">
        <v>69</v>
      </c>
      <c r="P152">
        <v>475</v>
      </c>
      <c r="Q152">
        <v>652</v>
      </c>
      <c r="R152">
        <v>151</v>
      </c>
    </row>
    <row r="153" spans="1:18">
      <c r="A153" s="1" t="s">
        <v>281</v>
      </c>
      <c r="B153">
        <v>30</v>
      </c>
      <c r="C153">
        <v>13</v>
      </c>
      <c r="D153">
        <v>17</v>
      </c>
      <c r="E153">
        <v>-4.74</v>
      </c>
      <c r="F153">
        <v>2043</v>
      </c>
      <c r="G153">
        <v>743</v>
      </c>
      <c r="H153">
        <v>1657</v>
      </c>
      <c r="I153">
        <v>389</v>
      </c>
      <c r="J153">
        <v>572</v>
      </c>
      <c r="K153">
        <v>311</v>
      </c>
      <c r="L153">
        <v>958</v>
      </c>
      <c r="M153">
        <v>351</v>
      </c>
      <c r="N153">
        <v>207</v>
      </c>
      <c r="O153">
        <v>133</v>
      </c>
      <c r="P153">
        <v>391</v>
      </c>
      <c r="Q153">
        <v>610</v>
      </c>
      <c r="R153">
        <v>152</v>
      </c>
    </row>
    <row r="154" spans="1:18">
      <c r="A154" s="1" t="s">
        <v>128</v>
      </c>
      <c r="B154">
        <v>31</v>
      </c>
      <c r="C154">
        <v>12</v>
      </c>
      <c r="D154">
        <v>19</v>
      </c>
      <c r="E154">
        <v>-5.3</v>
      </c>
      <c r="F154">
        <v>2108</v>
      </c>
      <c r="G154">
        <v>683</v>
      </c>
      <c r="H154">
        <v>1621</v>
      </c>
      <c r="I154">
        <v>548</v>
      </c>
      <c r="J154">
        <v>757</v>
      </c>
      <c r="K154">
        <v>370</v>
      </c>
      <c r="L154">
        <v>1039</v>
      </c>
      <c r="M154">
        <v>298</v>
      </c>
      <c r="N154">
        <v>216</v>
      </c>
      <c r="O154">
        <v>91</v>
      </c>
      <c r="P154">
        <v>503</v>
      </c>
      <c r="Q154">
        <v>627</v>
      </c>
      <c r="R154">
        <v>153</v>
      </c>
    </row>
    <row r="155" spans="1:18">
      <c r="A155" s="1" t="s">
        <v>282</v>
      </c>
      <c r="B155">
        <v>31</v>
      </c>
      <c r="C155">
        <v>11</v>
      </c>
      <c r="D155">
        <v>20</v>
      </c>
      <c r="E155">
        <v>5.93</v>
      </c>
      <c r="F155">
        <v>1905</v>
      </c>
      <c r="G155">
        <v>690</v>
      </c>
      <c r="H155">
        <v>1727</v>
      </c>
      <c r="I155">
        <v>384</v>
      </c>
      <c r="J155">
        <v>552</v>
      </c>
      <c r="K155">
        <v>394</v>
      </c>
      <c r="L155">
        <v>1114</v>
      </c>
      <c r="M155">
        <v>354</v>
      </c>
      <c r="N155">
        <v>189</v>
      </c>
      <c r="O155">
        <v>116</v>
      </c>
      <c r="P155">
        <v>397</v>
      </c>
      <c r="Q155">
        <v>547</v>
      </c>
      <c r="R155">
        <v>154</v>
      </c>
    </row>
    <row r="156" spans="1:18">
      <c r="A156" s="1" t="s">
        <v>129</v>
      </c>
      <c r="B156">
        <v>35</v>
      </c>
      <c r="C156">
        <v>24</v>
      </c>
      <c r="D156">
        <v>11</v>
      </c>
      <c r="E156">
        <v>-0.4</v>
      </c>
      <c r="F156">
        <v>2557</v>
      </c>
      <c r="G156">
        <v>917</v>
      </c>
      <c r="H156">
        <v>2034</v>
      </c>
      <c r="I156">
        <v>521</v>
      </c>
      <c r="J156">
        <v>760</v>
      </c>
      <c r="K156">
        <v>441</v>
      </c>
      <c r="L156">
        <v>1294</v>
      </c>
      <c r="M156">
        <v>417</v>
      </c>
      <c r="N156">
        <v>235</v>
      </c>
      <c r="O156">
        <v>116</v>
      </c>
      <c r="P156">
        <v>462</v>
      </c>
      <c r="Q156">
        <v>562</v>
      </c>
      <c r="R156">
        <v>155</v>
      </c>
    </row>
    <row r="157" spans="1:18">
      <c r="A157" s="1" t="s">
        <v>283</v>
      </c>
      <c r="B157">
        <v>33</v>
      </c>
      <c r="C157">
        <v>20</v>
      </c>
      <c r="D157">
        <v>13</v>
      </c>
      <c r="E157">
        <v>7.99</v>
      </c>
      <c r="F157">
        <v>2505</v>
      </c>
      <c r="G157">
        <v>876</v>
      </c>
      <c r="H157">
        <v>1960</v>
      </c>
      <c r="I157">
        <v>491</v>
      </c>
      <c r="J157">
        <v>700</v>
      </c>
      <c r="K157">
        <v>478</v>
      </c>
      <c r="L157">
        <v>1217</v>
      </c>
      <c r="M157">
        <v>511</v>
      </c>
      <c r="N157">
        <v>258</v>
      </c>
      <c r="O157">
        <v>135</v>
      </c>
      <c r="P157">
        <v>453</v>
      </c>
      <c r="Q157">
        <v>663</v>
      </c>
      <c r="R157">
        <v>156</v>
      </c>
    </row>
    <row r="158" spans="1:18">
      <c r="A158" s="1" t="s">
        <v>130</v>
      </c>
      <c r="B158">
        <v>30</v>
      </c>
      <c r="C158">
        <v>14</v>
      </c>
      <c r="D158">
        <v>16</v>
      </c>
      <c r="E158">
        <v>0.56000000000000005</v>
      </c>
      <c r="F158">
        <v>1945</v>
      </c>
      <c r="G158">
        <v>673</v>
      </c>
      <c r="H158">
        <v>1598</v>
      </c>
      <c r="I158">
        <v>405</v>
      </c>
      <c r="J158">
        <v>589</v>
      </c>
      <c r="K158">
        <v>364</v>
      </c>
      <c r="L158">
        <v>1072</v>
      </c>
      <c r="M158">
        <v>393</v>
      </c>
      <c r="N158">
        <v>149</v>
      </c>
      <c r="O158">
        <v>98</v>
      </c>
      <c r="P158">
        <v>415</v>
      </c>
      <c r="Q158">
        <v>523</v>
      </c>
      <c r="R158">
        <v>157</v>
      </c>
    </row>
    <row r="159" spans="1:18">
      <c r="A159" s="1" t="s">
        <v>131</v>
      </c>
      <c r="B159">
        <v>34</v>
      </c>
      <c r="C159">
        <v>18</v>
      </c>
      <c r="D159">
        <v>16</v>
      </c>
      <c r="E159">
        <v>1.32</v>
      </c>
      <c r="F159">
        <v>2578</v>
      </c>
      <c r="G159">
        <v>910</v>
      </c>
      <c r="H159">
        <v>1998</v>
      </c>
      <c r="I159">
        <v>557</v>
      </c>
      <c r="J159">
        <v>807</v>
      </c>
      <c r="K159">
        <v>416</v>
      </c>
      <c r="L159">
        <v>1210</v>
      </c>
      <c r="M159">
        <v>472</v>
      </c>
      <c r="N159">
        <v>255</v>
      </c>
      <c r="O159">
        <v>141</v>
      </c>
      <c r="P159">
        <v>441</v>
      </c>
      <c r="Q159">
        <v>655</v>
      </c>
      <c r="R159">
        <v>158</v>
      </c>
    </row>
    <row r="160" spans="1:18">
      <c r="A160" s="1" t="s">
        <v>132</v>
      </c>
      <c r="B160">
        <v>30</v>
      </c>
      <c r="C160">
        <v>13</v>
      </c>
      <c r="D160">
        <v>17</v>
      </c>
      <c r="E160">
        <v>-4.09</v>
      </c>
      <c r="F160">
        <v>1949</v>
      </c>
      <c r="G160">
        <v>673</v>
      </c>
      <c r="H160">
        <v>1601</v>
      </c>
      <c r="I160">
        <v>439</v>
      </c>
      <c r="J160">
        <v>628</v>
      </c>
      <c r="K160">
        <v>353</v>
      </c>
      <c r="L160">
        <v>1053</v>
      </c>
      <c r="M160">
        <v>343</v>
      </c>
      <c r="N160">
        <v>193</v>
      </c>
      <c r="O160">
        <v>132</v>
      </c>
      <c r="P160">
        <v>450</v>
      </c>
      <c r="Q160">
        <v>606</v>
      </c>
      <c r="R160">
        <v>159</v>
      </c>
    </row>
    <row r="161" spans="1:18">
      <c r="A161" s="1" t="s">
        <v>133</v>
      </c>
      <c r="B161">
        <v>30</v>
      </c>
      <c r="C161">
        <v>19</v>
      </c>
      <c r="D161">
        <v>11</v>
      </c>
      <c r="E161">
        <v>-6.26</v>
      </c>
      <c r="F161">
        <v>1931</v>
      </c>
      <c r="G161">
        <v>650</v>
      </c>
      <c r="H161">
        <v>1596</v>
      </c>
      <c r="I161">
        <v>435</v>
      </c>
      <c r="J161">
        <v>634</v>
      </c>
      <c r="K161">
        <v>337</v>
      </c>
      <c r="L161">
        <v>1089</v>
      </c>
      <c r="M161">
        <v>397</v>
      </c>
      <c r="N161">
        <v>219</v>
      </c>
      <c r="O161">
        <v>97</v>
      </c>
      <c r="P161">
        <v>431</v>
      </c>
      <c r="Q161">
        <v>471</v>
      </c>
      <c r="R161">
        <v>160</v>
      </c>
    </row>
    <row r="162" spans="1:18">
      <c r="A162" s="1" t="s">
        <v>134</v>
      </c>
      <c r="B162">
        <v>31</v>
      </c>
      <c r="C162">
        <v>11</v>
      </c>
      <c r="D162">
        <v>20</v>
      </c>
      <c r="E162">
        <v>-2.97</v>
      </c>
      <c r="F162">
        <v>2031</v>
      </c>
      <c r="G162">
        <v>727</v>
      </c>
      <c r="H162">
        <v>1797</v>
      </c>
      <c r="I162">
        <v>444</v>
      </c>
      <c r="J162">
        <v>649</v>
      </c>
      <c r="K162">
        <v>364</v>
      </c>
      <c r="L162">
        <v>1089</v>
      </c>
      <c r="M162">
        <v>307</v>
      </c>
      <c r="N162">
        <v>240</v>
      </c>
      <c r="O162">
        <v>114</v>
      </c>
      <c r="P162">
        <v>361</v>
      </c>
      <c r="Q162">
        <v>603</v>
      </c>
      <c r="R162">
        <v>161</v>
      </c>
    </row>
    <row r="163" spans="1:18">
      <c r="A163" s="1" t="s">
        <v>135</v>
      </c>
      <c r="B163">
        <v>30</v>
      </c>
      <c r="C163">
        <v>1</v>
      </c>
      <c r="D163">
        <v>29</v>
      </c>
      <c r="E163">
        <v>-2.85</v>
      </c>
      <c r="F163">
        <v>1684</v>
      </c>
      <c r="G163">
        <v>600</v>
      </c>
      <c r="H163">
        <v>1546</v>
      </c>
      <c r="I163">
        <v>280</v>
      </c>
      <c r="J163">
        <v>439</v>
      </c>
      <c r="K163">
        <v>268</v>
      </c>
      <c r="L163">
        <v>904</v>
      </c>
      <c r="M163">
        <v>296</v>
      </c>
      <c r="N163">
        <v>156</v>
      </c>
      <c r="O163">
        <v>38</v>
      </c>
      <c r="P163">
        <v>424</v>
      </c>
      <c r="Q163">
        <v>553</v>
      </c>
      <c r="R163">
        <v>162</v>
      </c>
    </row>
    <row r="164" spans="1:18">
      <c r="A164" s="1" t="s">
        <v>136</v>
      </c>
      <c r="B164">
        <v>34</v>
      </c>
      <c r="C164">
        <v>22</v>
      </c>
      <c r="D164">
        <v>12</v>
      </c>
      <c r="E164">
        <v>8.23</v>
      </c>
      <c r="F164">
        <v>2485</v>
      </c>
      <c r="G164">
        <v>861</v>
      </c>
      <c r="H164">
        <v>1890</v>
      </c>
      <c r="I164">
        <v>489</v>
      </c>
      <c r="J164">
        <v>660</v>
      </c>
      <c r="K164">
        <v>343</v>
      </c>
      <c r="L164">
        <v>1071</v>
      </c>
      <c r="M164">
        <v>516</v>
      </c>
      <c r="N164">
        <v>269</v>
      </c>
      <c r="O164">
        <v>72</v>
      </c>
      <c r="P164">
        <v>353</v>
      </c>
      <c r="Q164">
        <v>580</v>
      </c>
      <c r="R164">
        <v>163</v>
      </c>
    </row>
    <row r="165" spans="1:18">
      <c r="A165" s="1" t="s">
        <v>137</v>
      </c>
      <c r="B165">
        <v>34</v>
      </c>
      <c r="C165">
        <v>24</v>
      </c>
      <c r="D165">
        <v>10</v>
      </c>
      <c r="E165">
        <v>1.57</v>
      </c>
      <c r="F165">
        <v>2717</v>
      </c>
      <c r="G165">
        <v>949</v>
      </c>
      <c r="H165">
        <v>1985</v>
      </c>
      <c r="I165">
        <v>597</v>
      </c>
      <c r="J165">
        <v>873</v>
      </c>
      <c r="K165">
        <v>412</v>
      </c>
      <c r="L165">
        <v>1327</v>
      </c>
      <c r="M165">
        <v>549</v>
      </c>
      <c r="N165">
        <v>216</v>
      </c>
      <c r="O165">
        <v>268</v>
      </c>
      <c r="P165">
        <v>432</v>
      </c>
      <c r="Q165">
        <v>613</v>
      </c>
      <c r="R165">
        <v>164</v>
      </c>
    </row>
    <row r="166" spans="1:18">
      <c r="A166" s="1" t="s">
        <v>138</v>
      </c>
      <c r="B166">
        <v>30</v>
      </c>
      <c r="C166">
        <v>4</v>
      </c>
      <c r="D166">
        <v>26</v>
      </c>
      <c r="E166">
        <v>-6.19</v>
      </c>
      <c r="F166">
        <v>1893</v>
      </c>
      <c r="G166">
        <v>684</v>
      </c>
      <c r="H166">
        <v>1656</v>
      </c>
      <c r="I166">
        <v>375</v>
      </c>
      <c r="J166">
        <v>544</v>
      </c>
      <c r="K166">
        <v>251</v>
      </c>
      <c r="L166">
        <v>918</v>
      </c>
      <c r="M166">
        <v>332</v>
      </c>
      <c r="N166">
        <v>179</v>
      </c>
      <c r="O166">
        <v>90</v>
      </c>
      <c r="P166">
        <v>341</v>
      </c>
      <c r="Q166">
        <v>564</v>
      </c>
      <c r="R166">
        <v>165</v>
      </c>
    </row>
    <row r="167" spans="1:18">
      <c r="A167" s="1" t="s">
        <v>139</v>
      </c>
      <c r="B167">
        <v>32</v>
      </c>
      <c r="C167">
        <v>11</v>
      </c>
      <c r="D167">
        <v>21</v>
      </c>
      <c r="E167">
        <v>-7.38</v>
      </c>
      <c r="F167">
        <v>1945</v>
      </c>
      <c r="G167">
        <v>691</v>
      </c>
      <c r="H167">
        <v>1722</v>
      </c>
      <c r="I167">
        <v>402</v>
      </c>
      <c r="J167">
        <v>624</v>
      </c>
      <c r="K167">
        <v>398</v>
      </c>
      <c r="L167">
        <v>1159</v>
      </c>
      <c r="M167">
        <v>359</v>
      </c>
      <c r="N167">
        <v>173</v>
      </c>
      <c r="O167">
        <v>67</v>
      </c>
      <c r="P167">
        <v>485</v>
      </c>
      <c r="Q167">
        <v>595</v>
      </c>
      <c r="R167">
        <v>166</v>
      </c>
    </row>
    <row r="168" spans="1:18">
      <c r="A168" s="1" t="s">
        <v>332</v>
      </c>
      <c r="B168">
        <v>33</v>
      </c>
      <c r="C168">
        <v>24</v>
      </c>
      <c r="D168">
        <v>9</v>
      </c>
      <c r="E168">
        <v>7.95</v>
      </c>
      <c r="F168">
        <v>2629</v>
      </c>
      <c r="G168">
        <v>966</v>
      </c>
      <c r="H168">
        <v>2052</v>
      </c>
      <c r="I168">
        <v>502</v>
      </c>
      <c r="J168">
        <v>689</v>
      </c>
      <c r="K168">
        <v>421</v>
      </c>
      <c r="L168">
        <v>1270</v>
      </c>
      <c r="M168">
        <v>545</v>
      </c>
      <c r="N168">
        <v>256</v>
      </c>
      <c r="O168">
        <v>154</v>
      </c>
      <c r="P168">
        <v>383</v>
      </c>
      <c r="Q168">
        <v>554</v>
      </c>
      <c r="R168">
        <v>167</v>
      </c>
    </row>
    <row r="169" spans="1:18">
      <c r="A169" s="1" t="s">
        <v>140</v>
      </c>
      <c r="B169">
        <v>32</v>
      </c>
      <c r="C169">
        <v>12</v>
      </c>
      <c r="D169">
        <v>20</v>
      </c>
      <c r="E169">
        <v>3.4</v>
      </c>
      <c r="F169">
        <v>2262</v>
      </c>
      <c r="G169">
        <v>795</v>
      </c>
      <c r="H169">
        <v>1976</v>
      </c>
      <c r="I169">
        <v>445</v>
      </c>
      <c r="J169">
        <v>670</v>
      </c>
      <c r="K169">
        <v>468</v>
      </c>
      <c r="L169">
        <v>1287</v>
      </c>
      <c r="M169">
        <v>380</v>
      </c>
      <c r="N169">
        <v>176</v>
      </c>
      <c r="O169">
        <v>124</v>
      </c>
      <c r="P169">
        <v>446</v>
      </c>
      <c r="Q169">
        <v>652</v>
      </c>
      <c r="R169">
        <v>168</v>
      </c>
    </row>
    <row r="170" spans="1:18">
      <c r="A170" s="1" t="s">
        <v>141</v>
      </c>
      <c r="B170">
        <v>30</v>
      </c>
      <c r="C170">
        <v>10</v>
      </c>
      <c r="D170">
        <v>20</v>
      </c>
      <c r="E170">
        <v>-4.34</v>
      </c>
      <c r="F170">
        <v>2032</v>
      </c>
      <c r="G170">
        <v>755</v>
      </c>
      <c r="H170">
        <v>1743</v>
      </c>
      <c r="I170">
        <v>339</v>
      </c>
      <c r="J170">
        <v>528</v>
      </c>
      <c r="K170">
        <v>407</v>
      </c>
      <c r="L170">
        <v>1048</v>
      </c>
      <c r="M170">
        <v>356</v>
      </c>
      <c r="N170">
        <v>221</v>
      </c>
      <c r="O170">
        <v>108</v>
      </c>
      <c r="P170">
        <v>430</v>
      </c>
      <c r="Q170">
        <v>607</v>
      </c>
      <c r="R170">
        <v>169</v>
      </c>
    </row>
    <row r="171" spans="1:18">
      <c r="A171" s="1" t="s">
        <v>142</v>
      </c>
      <c r="B171">
        <v>34</v>
      </c>
      <c r="C171">
        <v>24</v>
      </c>
      <c r="D171">
        <v>10</v>
      </c>
      <c r="E171">
        <v>3.65</v>
      </c>
      <c r="F171">
        <v>2565</v>
      </c>
      <c r="G171">
        <v>854</v>
      </c>
      <c r="H171">
        <v>1859</v>
      </c>
      <c r="I171">
        <v>573</v>
      </c>
      <c r="J171">
        <v>826</v>
      </c>
      <c r="K171">
        <v>358</v>
      </c>
      <c r="L171">
        <v>1103</v>
      </c>
      <c r="M171">
        <v>468</v>
      </c>
      <c r="N171">
        <v>276</v>
      </c>
      <c r="O171">
        <v>182</v>
      </c>
      <c r="P171">
        <v>390</v>
      </c>
      <c r="Q171">
        <v>643</v>
      </c>
      <c r="R171">
        <v>170</v>
      </c>
    </row>
    <row r="172" spans="1:18">
      <c r="A172" s="1" t="s">
        <v>143</v>
      </c>
      <c r="B172">
        <v>33</v>
      </c>
      <c r="C172">
        <v>16</v>
      </c>
      <c r="D172">
        <v>17</v>
      </c>
      <c r="E172">
        <v>-1.2</v>
      </c>
      <c r="F172">
        <v>2514</v>
      </c>
      <c r="G172">
        <v>836</v>
      </c>
      <c r="H172">
        <v>1866</v>
      </c>
      <c r="I172">
        <v>568</v>
      </c>
      <c r="J172">
        <v>808</v>
      </c>
      <c r="K172">
        <v>402</v>
      </c>
      <c r="L172">
        <v>1227</v>
      </c>
      <c r="M172">
        <v>446</v>
      </c>
      <c r="N172">
        <v>199</v>
      </c>
      <c r="O172">
        <v>85</v>
      </c>
      <c r="P172">
        <v>488</v>
      </c>
      <c r="Q172">
        <v>617</v>
      </c>
      <c r="R172">
        <v>171</v>
      </c>
    </row>
    <row r="173" spans="1:18">
      <c r="A173" s="1" t="s">
        <v>284</v>
      </c>
      <c r="B173">
        <v>33</v>
      </c>
      <c r="C173">
        <v>20</v>
      </c>
      <c r="D173">
        <v>13</v>
      </c>
      <c r="E173">
        <v>7.01</v>
      </c>
      <c r="F173">
        <v>2390</v>
      </c>
      <c r="G173">
        <v>843</v>
      </c>
      <c r="H173">
        <v>1820</v>
      </c>
      <c r="I173">
        <v>459</v>
      </c>
      <c r="J173">
        <v>677</v>
      </c>
      <c r="K173">
        <v>385</v>
      </c>
      <c r="L173">
        <v>1186</v>
      </c>
      <c r="M173">
        <v>461</v>
      </c>
      <c r="N173">
        <v>229</v>
      </c>
      <c r="O173">
        <v>146</v>
      </c>
      <c r="P173">
        <v>464</v>
      </c>
      <c r="Q173">
        <v>573</v>
      </c>
      <c r="R173">
        <v>172</v>
      </c>
    </row>
    <row r="174" spans="1:18">
      <c r="A174" s="1" t="s">
        <v>144</v>
      </c>
      <c r="B174">
        <v>32</v>
      </c>
      <c r="C174">
        <v>14</v>
      </c>
      <c r="D174">
        <v>18</v>
      </c>
      <c r="E174">
        <v>1.43</v>
      </c>
      <c r="F174">
        <v>1996</v>
      </c>
      <c r="G174">
        <v>682</v>
      </c>
      <c r="H174">
        <v>1568</v>
      </c>
      <c r="I174">
        <v>427</v>
      </c>
      <c r="J174">
        <v>587</v>
      </c>
      <c r="K174">
        <v>278</v>
      </c>
      <c r="L174">
        <v>1017</v>
      </c>
      <c r="M174">
        <v>333</v>
      </c>
      <c r="N174">
        <v>159</v>
      </c>
      <c r="O174">
        <v>120</v>
      </c>
      <c r="P174">
        <v>411</v>
      </c>
      <c r="Q174">
        <v>582</v>
      </c>
      <c r="R174">
        <v>173</v>
      </c>
    </row>
    <row r="175" spans="1:18">
      <c r="A175" s="1" t="s">
        <v>377</v>
      </c>
      <c r="B175">
        <v>37</v>
      </c>
      <c r="C175">
        <v>28</v>
      </c>
      <c r="D175">
        <v>9</v>
      </c>
      <c r="E175">
        <v>8.17</v>
      </c>
      <c r="F175">
        <v>2658</v>
      </c>
      <c r="G175">
        <v>974</v>
      </c>
      <c r="H175">
        <v>2068</v>
      </c>
      <c r="I175">
        <v>523</v>
      </c>
      <c r="J175">
        <v>764</v>
      </c>
      <c r="K175">
        <v>487</v>
      </c>
      <c r="L175">
        <v>1426</v>
      </c>
      <c r="M175">
        <v>606</v>
      </c>
      <c r="N175">
        <v>242</v>
      </c>
      <c r="O175">
        <v>123</v>
      </c>
      <c r="P175">
        <v>514</v>
      </c>
      <c r="Q175">
        <v>666</v>
      </c>
      <c r="R175">
        <v>174</v>
      </c>
    </row>
    <row r="176" spans="1:18">
      <c r="A176" s="1" t="s">
        <v>145</v>
      </c>
      <c r="B176">
        <v>32</v>
      </c>
      <c r="C176">
        <v>15</v>
      </c>
      <c r="D176">
        <v>17</v>
      </c>
      <c r="E176">
        <v>9.3699999999999992</v>
      </c>
      <c r="F176">
        <v>2059</v>
      </c>
      <c r="G176">
        <v>732</v>
      </c>
      <c r="H176">
        <v>1758</v>
      </c>
      <c r="I176">
        <v>368</v>
      </c>
      <c r="J176">
        <v>509</v>
      </c>
      <c r="K176">
        <v>320</v>
      </c>
      <c r="L176">
        <v>990</v>
      </c>
      <c r="M176">
        <v>456</v>
      </c>
      <c r="N176">
        <v>223</v>
      </c>
      <c r="O176">
        <v>68</v>
      </c>
      <c r="P176">
        <v>326</v>
      </c>
      <c r="Q176">
        <v>468</v>
      </c>
      <c r="R176">
        <v>175</v>
      </c>
    </row>
    <row r="177" spans="1:18">
      <c r="A177" s="1" t="s">
        <v>146</v>
      </c>
      <c r="B177">
        <v>33</v>
      </c>
      <c r="C177">
        <v>19</v>
      </c>
      <c r="D177">
        <v>14</v>
      </c>
      <c r="E177">
        <v>-3.33</v>
      </c>
      <c r="F177">
        <v>2282</v>
      </c>
      <c r="G177">
        <v>792</v>
      </c>
      <c r="H177">
        <v>1780</v>
      </c>
      <c r="I177">
        <v>497</v>
      </c>
      <c r="J177">
        <v>675</v>
      </c>
      <c r="K177">
        <v>336</v>
      </c>
      <c r="L177">
        <v>1097</v>
      </c>
      <c r="M177">
        <v>365</v>
      </c>
      <c r="N177">
        <v>199</v>
      </c>
      <c r="O177">
        <v>82</v>
      </c>
      <c r="P177">
        <v>436</v>
      </c>
      <c r="Q177">
        <v>696</v>
      </c>
      <c r="R177">
        <v>176</v>
      </c>
    </row>
    <row r="178" spans="1:18">
      <c r="A178" s="1" t="s">
        <v>147</v>
      </c>
      <c r="B178">
        <v>34</v>
      </c>
      <c r="C178">
        <v>20</v>
      </c>
      <c r="D178">
        <v>14</v>
      </c>
      <c r="E178">
        <v>0.52</v>
      </c>
      <c r="F178">
        <v>2370</v>
      </c>
      <c r="G178">
        <v>789</v>
      </c>
      <c r="H178">
        <v>1834</v>
      </c>
      <c r="I178">
        <v>542</v>
      </c>
      <c r="J178">
        <v>791</v>
      </c>
      <c r="K178">
        <v>379</v>
      </c>
      <c r="L178">
        <v>1241</v>
      </c>
      <c r="M178">
        <v>423</v>
      </c>
      <c r="N178">
        <v>190</v>
      </c>
      <c r="O178">
        <v>79</v>
      </c>
      <c r="P178">
        <v>465</v>
      </c>
      <c r="Q178">
        <v>629</v>
      </c>
      <c r="R178">
        <v>177</v>
      </c>
    </row>
    <row r="179" spans="1:18">
      <c r="A179" s="1" t="s">
        <v>148</v>
      </c>
      <c r="B179">
        <v>35</v>
      </c>
      <c r="C179">
        <v>21</v>
      </c>
      <c r="D179">
        <v>14</v>
      </c>
      <c r="E179">
        <v>7.32</v>
      </c>
      <c r="F179">
        <v>2533</v>
      </c>
      <c r="G179">
        <v>912</v>
      </c>
      <c r="H179">
        <v>1949</v>
      </c>
      <c r="I179">
        <v>463</v>
      </c>
      <c r="J179">
        <v>661</v>
      </c>
      <c r="K179">
        <v>375</v>
      </c>
      <c r="L179">
        <v>1237</v>
      </c>
      <c r="M179">
        <v>583</v>
      </c>
      <c r="N179">
        <v>273</v>
      </c>
      <c r="O179">
        <v>199</v>
      </c>
      <c r="P179">
        <v>427</v>
      </c>
      <c r="Q179">
        <v>579</v>
      </c>
      <c r="R179">
        <v>178</v>
      </c>
    </row>
    <row r="180" spans="1:18">
      <c r="A180" s="1" t="s">
        <v>149</v>
      </c>
      <c r="B180">
        <v>36</v>
      </c>
      <c r="C180">
        <v>24</v>
      </c>
      <c r="D180">
        <v>12</v>
      </c>
      <c r="E180">
        <v>4.5999999999999996</v>
      </c>
      <c r="F180">
        <v>2622</v>
      </c>
      <c r="G180">
        <v>897</v>
      </c>
      <c r="H180">
        <v>2065</v>
      </c>
      <c r="I180">
        <v>499</v>
      </c>
      <c r="J180">
        <v>728</v>
      </c>
      <c r="K180">
        <v>379</v>
      </c>
      <c r="L180">
        <v>1406</v>
      </c>
      <c r="M180">
        <v>462</v>
      </c>
      <c r="N180">
        <v>209</v>
      </c>
      <c r="O180">
        <v>271</v>
      </c>
      <c r="P180">
        <v>443</v>
      </c>
      <c r="Q180">
        <v>508</v>
      </c>
      <c r="R180">
        <v>179</v>
      </c>
    </row>
    <row r="181" spans="1:18">
      <c r="A181" s="1" t="s">
        <v>150</v>
      </c>
      <c r="B181">
        <v>32</v>
      </c>
      <c r="C181">
        <v>9</v>
      </c>
      <c r="D181">
        <v>23</v>
      </c>
      <c r="E181">
        <v>-9.8800000000000008</v>
      </c>
      <c r="F181">
        <v>2057</v>
      </c>
      <c r="G181">
        <v>723</v>
      </c>
      <c r="H181">
        <v>1766</v>
      </c>
      <c r="I181">
        <v>408</v>
      </c>
      <c r="J181">
        <v>642</v>
      </c>
      <c r="K181">
        <v>365</v>
      </c>
      <c r="L181">
        <v>1116</v>
      </c>
      <c r="M181">
        <v>390</v>
      </c>
      <c r="N181">
        <v>251</v>
      </c>
      <c r="O181">
        <v>82</v>
      </c>
      <c r="P181">
        <v>552</v>
      </c>
      <c r="Q181">
        <v>666</v>
      </c>
      <c r="R181">
        <v>180</v>
      </c>
    </row>
    <row r="182" spans="1:18">
      <c r="A182" s="1" t="s">
        <v>151</v>
      </c>
      <c r="B182">
        <v>35</v>
      </c>
      <c r="C182">
        <v>24</v>
      </c>
      <c r="D182">
        <v>11</v>
      </c>
      <c r="E182">
        <v>5.77</v>
      </c>
      <c r="F182">
        <v>2743</v>
      </c>
      <c r="G182">
        <v>986</v>
      </c>
      <c r="H182">
        <v>2185</v>
      </c>
      <c r="I182">
        <v>485</v>
      </c>
      <c r="J182">
        <v>731</v>
      </c>
      <c r="K182">
        <v>460</v>
      </c>
      <c r="L182">
        <v>1377</v>
      </c>
      <c r="M182">
        <v>486</v>
      </c>
      <c r="N182">
        <v>259</v>
      </c>
      <c r="O182">
        <v>184</v>
      </c>
      <c r="P182">
        <v>424</v>
      </c>
      <c r="Q182">
        <v>660</v>
      </c>
      <c r="R182">
        <v>181</v>
      </c>
    </row>
    <row r="183" spans="1:18">
      <c r="A183" s="1" t="s">
        <v>152</v>
      </c>
      <c r="B183">
        <v>30</v>
      </c>
      <c r="C183">
        <v>12</v>
      </c>
      <c r="D183">
        <v>18</v>
      </c>
      <c r="E183">
        <v>-4.75</v>
      </c>
      <c r="F183">
        <v>2002</v>
      </c>
      <c r="G183">
        <v>685</v>
      </c>
      <c r="H183">
        <v>1629</v>
      </c>
      <c r="I183">
        <v>458</v>
      </c>
      <c r="J183">
        <v>654</v>
      </c>
      <c r="K183">
        <v>307</v>
      </c>
      <c r="L183">
        <v>931</v>
      </c>
      <c r="M183">
        <v>345</v>
      </c>
      <c r="N183">
        <v>179</v>
      </c>
      <c r="O183">
        <v>51</v>
      </c>
      <c r="P183">
        <v>383</v>
      </c>
      <c r="Q183">
        <v>624</v>
      </c>
      <c r="R183">
        <v>182</v>
      </c>
    </row>
    <row r="184" spans="1:18">
      <c r="A184" s="1" t="s">
        <v>153</v>
      </c>
      <c r="B184">
        <v>36</v>
      </c>
      <c r="C184">
        <v>24</v>
      </c>
      <c r="D184">
        <v>12</v>
      </c>
      <c r="E184">
        <v>1.4</v>
      </c>
      <c r="F184">
        <v>2572</v>
      </c>
      <c r="G184">
        <v>895</v>
      </c>
      <c r="H184">
        <v>1993</v>
      </c>
      <c r="I184">
        <v>530</v>
      </c>
      <c r="J184">
        <v>724</v>
      </c>
      <c r="K184">
        <v>398</v>
      </c>
      <c r="L184">
        <v>1247</v>
      </c>
      <c r="M184">
        <v>505</v>
      </c>
      <c r="N184">
        <v>209</v>
      </c>
      <c r="O184">
        <v>110</v>
      </c>
      <c r="P184">
        <v>407</v>
      </c>
      <c r="Q184">
        <v>667</v>
      </c>
      <c r="R184">
        <v>183</v>
      </c>
    </row>
    <row r="185" spans="1:18">
      <c r="A185" s="1" t="s">
        <v>328</v>
      </c>
      <c r="B185">
        <v>34</v>
      </c>
      <c r="C185">
        <v>23</v>
      </c>
      <c r="D185">
        <v>11</v>
      </c>
      <c r="E185">
        <v>6.36</v>
      </c>
      <c r="F185">
        <v>2627</v>
      </c>
      <c r="G185">
        <v>926</v>
      </c>
      <c r="H185">
        <v>2104</v>
      </c>
      <c r="I185">
        <v>517</v>
      </c>
      <c r="J185">
        <v>714</v>
      </c>
      <c r="K185">
        <v>441</v>
      </c>
      <c r="L185">
        <v>1200</v>
      </c>
      <c r="M185">
        <v>522</v>
      </c>
      <c r="N185">
        <v>371</v>
      </c>
      <c r="O185">
        <v>160</v>
      </c>
      <c r="P185">
        <v>432</v>
      </c>
      <c r="Q185">
        <v>656</v>
      </c>
      <c r="R185">
        <v>184</v>
      </c>
    </row>
    <row r="186" spans="1:18">
      <c r="A186" s="1" t="s">
        <v>154</v>
      </c>
      <c r="B186">
        <v>31</v>
      </c>
      <c r="C186">
        <v>12</v>
      </c>
      <c r="D186">
        <v>19</v>
      </c>
      <c r="E186">
        <v>-7.82</v>
      </c>
      <c r="F186">
        <v>1976</v>
      </c>
      <c r="G186">
        <v>682</v>
      </c>
      <c r="H186">
        <v>1689</v>
      </c>
      <c r="I186">
        <v>416</v>
      </c>
      <c r="J186">
        <v>607</v>
      </c>
      <c r="K186">
        <v>341</v>
      </c>
      <c r="L186">
        <v>1038</v>
      </c>
      <c r="M186">
        <v>405</v>
      </c>
      <c r="N186">
        <v>226</v>
      </c>
      <c r="O186">
        <v>69</v>
      </c>
      <c r="P186">
        <v>447</v>
      </c>
      <c r="Q186">
        <v>565</v>
      </c>
      <c r="R186">
        <v>185</v>
      </c>
    </row>
    <row r="187" spans="1:18">
      <c r="A187" s="1" t="s">
        <v>155</v>
      </c>
      <c r="B187">
        <v>29</v>
      </c>
      <c r="C187">
        <v>15</v>
      </c>
      <c r="D187">
        <v>14</v>
      </c>
      <c r="E187">
        <v>-2.4500000000000002</v>
      </c>
      <c r="F187">
        <v>1992</v>
      </c>
      <c r="G187">
        <v>689</v>
      </c>
      <c r="H187">
        <v>1548</v>
      </c>
      <c r="I187">
        <v>402</v>
      </c>
      <c r="J187">
        <v>584</v>
      </c>
      <c r="K187">
        <v>266</v>
      </c>
      <c r="L187">
        <v>912</v>
      </c>
      <c r="M187">
        <v>365</v>
      </c>
      <c r="N187">
        <v>180</v>
      </c>
      <c r="O187">
        <v>89</v>
      </c>
      <c r="P187">
        <v>331</v>
      </c>
      <c r="Q187">
        <v>516</v>
      </c>
      <c r="R187">
        <v>186</v>
      </c>
    </row>
    <row r="188" spans="1:18">
      <c r="A188" s="1" t="s">
        <v>156</v>
      </c>
      <c r="B188">
        <v>32</v>
      </c>
      <c r="C188">
        <v>22</v>
      </c>
      <c r="D188">
        <v>10</v>
      </c>
      <c r="E188">
        <v>-2.35</v>
      </c>
      <c r="F188">
        <v>2228</v>
      </c>
      <c r="G188">
        <v>791</v>
      </c>
      <c r="H188">
        <v>1636</v>
      </c>
      <c r="I188">
        <v>436</v>
      </c>
      <c r="J188">
        <v>603</v>
      </c>
      <c r="K188">
        <v>283</v>
      </c>
      <c r="L188">
        <v>1048</v>
      </c>
      <c r="M188">
        <v>396</v>
      </c>
      <c r="N188">
        <v>206</v>
      </c>
      <c r="O188">
        <v>106</v>
      </c>
      <c r="P188">
        <v>390</v>
      </c>
      <c r="Q188">
        <v>571</v>
      </c>
      <c r="R188">
        <v>187</v>
      </c>
    </row>
    <row r="189" spans="1:18">
      <c r="A189" s="1" t="s">
        <v>157</v>
      </c>
      <c r="B189">
        <v>35</v>
      </c>
      <c r="C189">
        <v>24</v>
      </c>
      <c r="D189">
        <v>11</v>
      </c>
      <c r="E189">
        <v>-3.07</v>
      </c>
      <c r="F189">
        <v>2505</v>
      </c>
      <c r="G189">
        <v>880</v>
      </c>
      <c r="H189">
        <v>1963</v>
      </c>
      <c r="I189">
        <v>487</v>
      </c>
      <c r="J189">
        <v>710</v>
      </c>
      <c r="K189">
        <v>491</v>
      </c>
      <c r="L189">
        <v>1301</v>
      </c>
      <c r="M189">
        <v>502</v>
      </c>
      <c r="N189">
        <v>314</v>
      </c>
      <c r="O189">
        <v>118</v>
      </c>
      <c r="P189">
        <v>521</v>
      </c>
      <c r="Q189">
        <v>691</v>
      </c>
      <c r="R189">
        <v>188</v>
      </c>
    </row>
    <row r="190" spans="1:18">
      <c r="A190" s="1" t="s">
        <v>158</v>
      </c>
      <c r="B190">
        <v>37</v>
      </c>
      <c r="C190">
        <v>27</v>
      </c>
      <c r="D190">
        <v>10</v>
      </c>
      <c r="E190">
        <v>-6.15</v>
      </c>
      <c r="F190">
        <v>2813</v>
      </c>
      <c r="G190">
        <v>960</v>
      </c>
      <c r="H190">
        <v>2239</v>
      </c>
      <c r="I190">
        <v>688</v>
      </c>
      <c r="J190">
        <v>983</v>
      </c>
      <c r="K190">
        <v>568</v>
      </c>
      <c r="L190">
        <v>1488</v>
      </c>
      <c r="M190">
        <v>461</v>
      </c>
      <c r="N190">
        <v>243</v>
      </c>
      <c r="O190">
        <v>152</v>
      </c>
      <c r="P190">
        <v>499</v>
      </c>
      <c r="Q190">
        <v>782</v>
      </c>
      <c r="R190">
        <v>189</v>
      </c>
    </row>
    <row r="191" spans="1:18">
      <c r="A191" s="1" t="s">
        <v>159</v>
      </c>
      <c r="B191">
        <v>31</v>
      </c>
      <c r="C191">
        <v>16</v>
      </c>
      <c r="D191">
        <v>15</v>
      </c>
      <c r="E191">
        <v>-6.28</v>
      </c>
      <c r="F191">
        <v>2045</v>
      </c>
      <c r="G191">
        <v>714</v>
      </c>
      <c r="H191">
        <v>1692</v>
      </c>
      <c r="I191">
        <v>434</v>
      </c>
      <c r="J191">
        <v>681</v>
      </c>
      <c r="K191">
        <v>341</v>
      </c>
      <c r="L191">
        <v>1082</v>
      </c>
      <c r="M191">
        <v>352</v>
      </c>
      <c r="N191">
        <v>235</v>
      </c>
      <c r="O191">
        <v>143</v>
      </c>
      <c r="P191">
        <v>415</v>
      </c>
      <c r="Q191">
        <v>543</v>
      </c>
      <c r="R191">
        <v>190</v>
      </c>
    </row>
    <row r="192" spans="1:18">
      <c r="A192" s="1" t="s">
        <v>160</v>
      </c>
      <c r="B192">
        <v>36</v>
      </c>
      <c r="C192">
        <v>31</v>
      </c>
      <c r="D192">
        <v>5</v>
      </c>
      <c r="E192">
        <v>-3.89</v>
      </c>
      <c r="F192">
        <v>2753</v>
      </c>
      <c r="G192">
        <v>978</v>
      </c>
      <c r="H192">
        <v>1961</v>
      </c>
      <c r="I192">
        <v>571</v>
      </c>
      <c r="J192">
        <v>821</v>
      </c>
      <c r="K192">
        <v>439</v>
      </c>
      <c r="L192">
        <v>1319</v>
      </c>
      <c r="M192">
        <v>556</v>
      </c>
      <c r="N192">
        <v>347</v>
      </c>
      <c r="O192">
        <v>196</v>
      </c>
      <c r="P192">
        <v>527</v>
      </c>
      <c r="Q192">
        <v>618</v>
      </c>
      <c r="R192">
        <v>191</v>
      </c>
    </row>
    <row r="193" spans="1:18">
      <c r="A193" s="1" t="s">
        <v>161</v>
      </c>
      <c r="B193">
        <v>30</v>
      </c>
      <c r="C193">
        <v>13</v>
      </c>
      <c r="D193">
        <v>17</v>
      </c>
      <c r="E193">
        <v>-7.91</v>
      </c>
      <c r="F193">
        <v>2138</v>
      </c>
      <c r="G193">
        <v>709</v>
      </c>
      <c r="H193">
        <v>1736</v>
      </c>
      <c r="I193">
        <v>474</v>
      </c>
      <c r="J193">
        <v>665</v>
      </c>
      <c r="K193">
        <v>311</v>
      </c>
      <c r="L193">
        <v>993</v>
      </c>
      <c r="M193">
        <v>394</v>
      </c>
      <c r="N193">
        <v>209</v>
      </c>
      <c r="O193">
        <v>83</v>
      </c>
      <c r="P193">
        <v>443</v>
      </c>
      <c r="Q193">
        <v>650</v>
      </c>
      <c r="R193">
        <v>192</v>
      </c>
    </row>
    <row r="194" spans="1:18">
      <c r="A194" s="1" t="s">
        <v>162</v>
      </c>
      <c r="B194">
        <v>33</v>
      </c>
      <c r="C194">
        <v>15</v>
      </c>
      <c r="D194">
        <v>18</v>
      </c>
      <c r="E194">
        <v>6.66</v>
      </c>
      <c r="F194">
        <v>2194</v>
      </c>
      <c r="G194">
        <v>768</v>
      </c>
      <c r="H194">
        <v>1745</v>
      </c>
      <c r="I194">
        <v>441</v>
      </c>
      <c r="J194">
        <v>654</v>
      </c>
      <c r="K194">
        <v>320</v>
      </c>
      <c r="L194">
        <v>1069</v>
      </c>
      <c r="M194">
        <v>471</v>
      </c>
      <c r="N194">
        <v>223</v>
      </c>
      <c r="O194">
        <v>94</v>
      </c>
      <c r="P194">
        <v>416</v>
      </c>
      <c r="Q194">
        <v>626</v>
      </c>
      <c r="R194">
        <v>193</v>
      </c>
    </row>
    <row r="195" spans="1:18">
      <c r="A195" s="1" t="s">
        <v>285</v>
      </c>
      <c r="B195">
        <v>34</v>
      </c>
      <c r="C195">
        <v>25</v>
      </c>
      <c r="D195">
        <v>9</v>
      </c>
      <c r="E195">
        <v>4.82</v>
      </c>
      <c r="F195">
        <v>2485</v>
      </c>
      <c r="G195">
        <v>899</v>
      </c>
      <c r="H195">
        <v>1950</v>
      </c>
      <c r="I195">
        <v>456</v>
      </c>
      <c r="J195">
        <v>637</v>
      </c>
      <c r="K195">
        <v>337</v>
      </c>
      <c r="L195">
        <v>1149</v>
      </c>
      <c r="M195">
        <v>551</v>
      </c>
      <c r="N195">
        <v>266</v>
      </c>
      <c r="O195">
        <v>117</v>
      </c>
      <c r="P195">
        <v>395</v>
      </c>
      <c r="Q195">
        <v>691</v>
      </c>
      <c r="R195">
        <v>194</v>
      </c>
    </row>
    <row r="196" spans="1:18">
      <c r="A196" s="1" t="s">
        <v>163</v>
      </c>
      <c r="B196">
        <v>34</v>
      </c>
      <c r="C196">
        <v>21</v>
      </c>
      <c r="D196">
        <v>13</v>
      </c>
      <c r="E196">
        <v>2.56</v>
      </c>
      <c r="F196">
        <v>2703</v>
      </c>
      <c r="G196">
        <v>983</v>
      </c>
      <c r="H196">
        <v>2040</v>
      </c>
      <c r="I196">
        <v>515</v>
      </c>
      <c r="J196">
        <v>704</v>
      </c>
      <c r="K196">
        <v>374</v>
      </c>
      <c r="L196">
        <v>1263</v>
      </c>
      <c r="M196">
        <v>480</v>
      </c>
      <c r="N196">
        <v>173</v>
      </c>
      <c r="O196">
        <v>149</v>
      </c>
      <c r="P196">
        <v>405</v>
      </c>
      <c r="Q196">
        <v>591</v>
      </c>
      <c r="R196">
        <v>195</v>
      </c>
    </row>
    <row r="197" spans="1:18">
      <c r="A197" s="1" t="s">
        <v>164</v>
      </c>
      <c r="B197">
        <v>30</v>
      </c>
      <c r="C197">
        <v>13</v>
      </c>
      <c r="D197">
        <v>17</v>
      </c>
      <c r="E197">
        <v>-6.29</v>
      </c>
      <c r="F197">
        <v>1825</v>
      </c>
      <c r="G197">
        <v>611</v>
      </c>
      <c r="H197">
        <v>1628</v>
      </c>
      <c r="I197">
        <v>421</v>
      </c>
      <c r="J197">
        <v>653</v>
      </c>
      <c r="K197">
        <v>383</v>
      </c>
      <c r="L197">
        <v>1084</v>
      </c>
      <c r="M197">
        <v>312</v>
      </c>
      <c r="N197">
        <v>142</v>
      </c>
      <c r="O197">
        <v>70</v>
      </c>
      <c r="P197">
        <v>395</v>
      </c>
      <c r="Q197">
        <v>601</v>
      </c>
      <c r="R197">
        <v>196</v>
      </c>
    </row>
    <row r="198" spans="1:18">
      <c r="A198" s="1" t="s">
        <v>165</v>
      </c>
      <c r="B198">
        <v>34</v>
      </c>
      <c r="C198">
        <v>22</v>
      </c>
      <c r="D198">
        <v>12</v>
      </c>
      <c r="E198">
        <v>1.66</v>
      </c>
      <c r="F198">
        <v>2662</v>
      </c>
      <c r="G198">
        <v>919</v>
      </c>
      <c r="H198">
        <v>1997</v>
      </c>
      <c r="I198">
        <v>537</v>
      </c>
      <c r="J198">
        <v>767</v>
      </c>
      <c r="K198">
        <v>358</v>
      </c>
      <c r="L198">
        <v>1212</v>
      </c>
      <c r="M198">
        <v>484</v>
      </c>
      <c r="N198">
        <v>203</v>
      </c>
      <c r="O198">
        <v>111</v>
      </c>
      <c r="P198">
        <v>437</v>
      </c>
      <c r="Q198">
        <v>595</v>
      </c>
      <c r="R198">
        <v>197</v>
      </c>
    </row>
    <row r="199" spans="1:18">
      <c r="A199" s="1" t="s">
        <v>166</v>
      </c>
      <c r="B199">
        <v>35</v>
      </c>
      <c r="C199">
        <v>30</v>
      </c>
      <c r="D199">
        <v>5</v>
      </c>
      <c r="E199">
        <v>3.84</v>
      </c>
      <c r="F199">
        <v>2655</v>
      </c>
      <c r="G199">
        <v>887</v>
      </c>
      <c r="H199">
        <v>2023</v>
      </c>
      <c r="I199">
        <v>608</v>
      </c>
      <c r="J199">
        <v>909</v>
      </c>
      <c r="K199">
        <v>458</v>
      </c>
      <c r="L199">
        <v>1347</v>
      </c>
      <c r="M199">
        <v>497</v>
      </c>
      <c r="N199">
        <v>232</v>
      </c>
      <c r="O199">
        <v>120</v>
      </c>
      <c r="P199">
        <v>387</v>
      </c>
      <c r="Q199">
        <v>615</v>
      </c>
      <c r="R199">
        <v>198</v>
      </c>
    </row>
    <row r="200" spans="1:18">
      <c r="A200" s="1" t="s">
        <v>167</v>
      </c>
      <c r="B200">
        <v>30</v>
      </c>
      <c r="C200">
        <v>8</v>
      </c>
      <c r="D200">
        <v>22</v>
      </c>
      <c r="E200">
        <v>-4.5</v>
      </c>
      <c r="F200">
        <v>1778</v>
      </c>
      <c r="G200">
        <v>593</v>
      </c>
      <c r="H200">
        <v>1471</v>
      </c>
      <c r="I200">
        <v>424</v>
      </c>
      <c r="J200">
        <v>618</v>
      </c>
      <c r="K200">
        <v>279</v>
      </c>
      <c r="L200">
        <v>951</v>
      </c>
      <c r="M200">
        <v>321</v>
      </c>
      <c r="N200">
        <v>189</v>
      </c>
      <c r="O200">
        <v>61</v>
      </c>
      <c r="P200">
        <v>478</v>
      </c>
      <c r="Q200">
        <v>607</v>
      </c>
      <c r="R200">
        <v>199</v>
      </c>
    </row>
    <row r="201" spans="1:18">
      <c r="A201" s="1" t="s">
        <v>168</v>
      </c>
      <c r="B201">
        <v>33</v>
      </c>
      <c r="C201">
        <v>18</v>
      </c>
      <c r="D201">
        <v>15</v>
      </c>
      <c r="E201">
        <v>-2.5</v>
      </c>
      <c r="F201">
        <v>2382</v>
      </c>
      <c r="G201">
        <v>812</v>
      </c>
      <c r="H201">
        <v>1990</v>
      </c>
      <c r="I201">
        <v>504</v>
      </c>
      <c r="J201">
        <v>743</v>
      </c>
      <c r="K201">
        <v>429</v>
      </c>
      <c r="L201">
        <v>1226</v>
      </c>
      <c r="M201">
        <v>440</v>
      </c>
      <c r="N201">
        <v>270</v>
      </c>
      <c r="O201">
        <v>148</v>
      </c>
      <c r="P201">
        <v>406</v>
      </c>
      <c r="Q201">
        <v>620</v>
      </c>
      <c r="R201">
        <v>200</v>
      </c>
    </row>
    <row r="202" spans="1:18">
      <c r="A202" s="1" t="s">
        <v>169</v>
      </c>
      <c r="B202">
        <v>30</v>
      </c>
      <c r="C202">
        <v>11</v>
      </c>
      <c r="D202">
        <v>19</v>
      </c>
      <c r="E202">
        <v>-2.61</v>
      </c>
      <c r="F202">
        <v>1967</v>
      </c>
      <c r="G202">
        <v>667</v>
      </c>
      <c r="H202">
        <v>1530</v>
      </c>
      <c r="I202">
        <v>431</v>
      </c>
      <c r="J202">
        <v>624</v>
      </c>
      <c r="K202">
        <v>266</v>
      </c>
      <c r="L202">
        <v>815</v>
      </c>
      <c r="M202">
        <v>404</v>
      </c>
      <c r="N202">
        <v>258</v>
      </c>
      <c r="O202">
        <v>31</v>
      </c>
      <c r="P202">
        <v>398</v>
      </c>
      <c r="Q202">
        <v>640</v>
      </c>
      <c r="R202">
        <v>201</v>
      </c>
    </row>
    <row r="203" spans="1:18">
      <c r="A203" s="1" t="s">
        <v>337</v>
      </c>
      <c r="B203">
        <v>31</v>
      </c>
      <c r="C203">
        <v>10</v>
      </c>
      <c r="D203">
        <v>21</v>
      </c>
      <c r="E203">
        <v>-8.24</v>
      </c>
      <c r="F203">
        <v>1905</v>
      </c>
      <c r="G203">
        <v>665</v>
      </c>
      <c r="H203">
        <v>1757</v>
      </c>
      <c r="I203">
        <v>379</v>
      </c>
      <c r="J203">
        <v>584</v>
      </c>
      <c r="K203">
        <v>344</v>
      </c>
      <c r="L203">
        <v>1064</v>
      </c>
      <c r="M203">
        <v>376</v>
      </c>
      <c r="N203">
        <v>229</v>
      </c>
      <c r="O203">
        <v>96</v>
      </c>
      <c r="P203">
        <v>461</v>
      </c>
      <c r="Q203">
        <v>615</v>
      </c>
      <c r="R203">
        <v>202</v>
      </c>
    </row>
    <row r="204" spans="1:18">
      <c r="A204" s="1" t="s">
        <v>170</v>
      </c>
      <c r="B204">
        <v>30</v>
      </c>
      <c r="C204">
        <v>11</v>
      </c>
      <c r="D204">
        <v>19</v>
      </c>
      <c r="E204">
        <v>-6.42</v>
      </c>
      <c r="F204">
        <v>2119</v>
      </c>
      <c r="G204">
        <v>778</v>
      </c>
      <c r="H204">
        <v>1692</v>
      </c>
      <c r="I204">
        <v>435</v>
      </c>
      <c r="J204">
        <v>684</v>
      </c>
      <c r="K204">
        <v>349</v>
      </c>
      <c r="L204">
        <v>1119</v>
      </c>
      <c r="M204">
        <v>342</v>
      </c>
      <c r="N204">
        <v>251</v>
      </c>
      <c r="O204">
        <v>96</v>
      </c>
      <c r="P204">
        <v>542</v>
      </c>
      <c r="Q204">
        <v>681</v>
      </c>
      <c r="R204">
        <v>203</v>
      </c>
    </row>
    <row r="205" spans="1:18">
      <c r="A205" s="1" t="s">
        <v>171</v>
      </c>
      <c r="B205">
        <v>31</v>
      </c>
      <c r="C205">
        <v>15</v>
      </c>
      <c r="D205">
        <v>16</v>
      </c>
      <c r="E205">
        <v>-6.47</v>
      </c>
      <c r="F205">
        <v>2296</v>
      </c>
      <c r="G205">
        <v>822</v>
      </c>
      <c r="H205">
        <v>1852</v>
      </c>
      <c r="I205">
        <v>483</v>
      </c>
      <c r="J205">
        <v>717</v>
      </c>
      <c r="K205">
        <v>405</v>
      </c>
      <c r="L205">
        <v>1229</v>
      </c>
      <c r="M205">
        <v>507</v>
      </c>
      <c r="N205">
        <v>232</v>
      </c>
      <c r="O205">
        <v>177</v>
      </c>
      <c r="P205">
        <v>521</v>
      </c>
      <c r="Q205">
        <v>603</v>
      </c>
      <c r="R205">
        <v>204</v>
      </c>
    </row>
    <row r="206" spans="1:18">
      <c r="A206" s="1" t="s">
        <v>172</v>
      </c>
      <c r="B206">
        <v>33</v>
      </c>
      <c r="C206">
        <v>11</v>
      </c>
      <c r="D206">
        <v>22</v>
      </c>
      <c r="E206">
        <v>-5.66</v>
      </c>
      <c r="F206">
        <v>2241</v>
      </c>
      <c r="G206">
        <v>774</v>
      </c>
      <c r="H206">
        <v>1931</v>
      </c>
      <c r="I206">
        <v>428</v>
      </c>
      <c r="J206">
        <v>686</v>
      </c>
      <c r="K206">
        <v>403</v>
      </c>
      <c r="L206">
        <v>1224</v>
      </c>
      <c r="M206">
        <v>410</v>
      </c>
      <c r="N206">
        <v>219</v>
      </c>
      <c r="O206">
        <v>164</v>
      </c>
      <c r="P206">
        <v>501</v>
      </c>
      <c r="Q206">
        <v>570</v>
      </c>
      <c r="R206">
        <v>205</v>
      </c>
    </row>
    <row r="207" spans="1:18">
      <c r="A207" s="1" t="s">
        <v>349</v>
      </c>
      <c r="B207">
        <v>29</v>
      </c>
      <c r="C207">
        <v>7</v>
      </c>
      <c r="D207">
        <v>22</v>
      </c>
      <c r="F207">
        <v>1748</v>
      </c>
      <c r="G207">
        <v>638</v>
      </c>
      <c r="H207">
        <v>1621</v>
      </c>
      <c r="I207">
        <v>326</v>
      </c>
      <c r="J207">
        <v>485</v>
      </c>
      <c r="K207">
        <v>349</v>
      </c>
      <c r="L207">
        <v>913</v>
      </c>
      <c r="M207">
        <v>368</v>
      </c>
      <c r="N207">
        <v>237</v>
      </c>
      <c r="O207">
        <v>90</v>
      </c>
      <c r="P207">
        <v>485</v>
      </c>
      <c r="Q207">
        <v>546</v>
      </c>
      <c r="R207">
        <v>206</v>
      </c>
    </row>
    <row r="208" spans="1:18">
      <c r="A208" s="1" t="s">
        <v>173</v>
      </c>
      <c r="B208">
        <v>31</v>
      </c>
      <c r="C208">
        <v>8</v>
      </c>
      <c r="D208">
        <v>23</v>
      </c>
      <c r="E208">
        <v>0.63</v>
      </c>
      <c r="F208">
        <v>1966</v>
      </c>
      <c r="G208">
        <v>696</v>
      </c>
      <c r="H208">
        <v>1803</v>
      </c>
      <c r="I208">
        <v>426</v>
      </c>
      <c r="J208">
        <v>610</v>
      </c>
      <c r="K208">
        <v>440</v>
      </c>
      <c r="L208">
        <v>1120</v>
      </c>
      <c r="M208">
        <v>286</v>
      </c>
      <c r="N208">
        <v>186</v>
      </c>
      <c r="O208">
        <v>97</v>
      </c>
      <c r="P208">
        <v>444</v>
      </c>
      <c r="Q208">
        <v>593</v>
      </c>
      <c r="R208">
        <v>207</v>
      </c>
    </row>
    <row r="209" spans="1:18">
      <c r="A209" s="1" t="s">
        <v>174</v>
      </c>
      <c r="B209">
        <v>36</v>
      </c>
      <c r="C209">
        <v>20</v>
      </c>
      <c r="D209">
        <v>16</v>
      </c>
      <c r="E209">
        <v>7.3</v>
      </c>
      <c r="F209">
        <v>2398</v>
      </c>
      <c r="G209">
        <v>857</v>
      </c>
      <c r="H209">
        <v>1975</v>
      </c>
      <c r="I209">
        <v>491</v>
      </c>
      <c r="J209">
        <v>723</v>
      </c>
      <c r="K209">
        <v>411</v>
      </c>
      <c r="L209">
        <v>1257</v>
      </c>
      <c r="M209">
        <v>483</v>
      </c>
      <c r="N209">
        <v>234</v>
      </c>
      <c r="O209">
        <v>154</v>
      </c>
      <c r="P209">
        <v>472</v>
      </c>
      <c r="Q209">
        <v>653</v>
      </c>
      <c r="R209">
        <v>208</v>
      </c>
    </row>
    <row r="210" spans="1:18">
      <c r="A210" s="1" t="s">
        <v>286</v>
      </c>
      <c r="B210">
        <v>31</v>
      </c>
      <c r="C210">
        <v>9</v>
      </c>
      <c r="D210">
        <v>22</v>
      </c>
      <c r="E210">
        <v>0.94</v>
      </c>
      <c r="F210">
        <v>2051</v>
      </c>
      <c r="G210">
        <v>722</v>
      </c>
      <c r="H210">
        <v>1741</v>
      </c>
      <c r="I210">
        <v>400</v>
      </c>
      <c r="J210">
        <v>620</v>
      </c>
      <c r="K210">
        <v>391</v>
      </c>
      <c r="L210">
        <v>1135</v>
      </c>
      <c r="M210">
        <v>393</v>
      </c>
      <c r="N210">
        <v>159</v>
      </c>
      <c r="O210">
        <v>151</v>
      </c>
      <c r="P210">
        <v>492</v>
      </c>
      <c r="Q210">
        <v>633</v>
      </c>
      <c r="R210">
        <v>209</v>
      </c>
    </row>
    <row r="211" spans="1:18">
      <c r="A211" s="1" t="s">
        <v>312</v>
      </c>
      <c r="B211">
        <v>37</v>
      </c>
      <c r="C211">
        <v>20</v>
      </c>
      <c r="D211">
        <v>17</v>
      </c>
      <c r="E211">
        <v>9.83</v>
      </c>
      <c r="F211">
        <v>2758</v>
      </c>
      <c r="G211">
        <v>1012</v>
      </c>
      <c r="H211">
        <v>2292</v>
      </c>
      <c r="I211">
        <v>558</v>
      </c>
      <c r="J211">
        <v>854</v>
      </c>
      <c r="K211">
        <v>556</v>
      </c>
      <c r="L211">
        <v>1552</v>
      </c>
      <c r="M211">
        <v>577</v>
      </c>
      <c r="N211">
        <v>250</v>
      </c>
      <c r="O211">
        <v>210</v>
      </c>
      <c r="P211">
        <v>562</v>
      </c>
      <c r="Q211">
        <v>564</v>
      </c>
      <c r="R211">
        <v>210</v>
      </c>
    </row>
    <row r="212" spans="1:18">
      <c r="A212" s="1" t="s">
        <v>338</v>
      </c>
      <c r="B212">
        <v>29</v>
      </c>
      <c r="C212">
        <v>11</v>
      </c>
      <c r="D212">
        <v>18</v>
      </c>
      <c r="E212">
        <v>-5.76</v>
      </c>
      <c r="F212">
        <v>2047</v>
      </c>
      <c r="G212">
        <v>734</v>
      </c>
      <c r="H212">
        <v>1707</v>
      </c>
      <c r="I212">
        <v>435</v>
      </c>
      <c r="J212">
        <v>597</v>
      </c>
      <c r="K212">
        <v>320</v>
      </c>
      <c r="L212">
        <v>1073</v>
      </c>
      <c r="M212">
        <v>410</v>
      </c>
      <c r="N212">
        <v>151</v>
      </c>
      <c r="O212">
        <v>94</v>
      </c>
      <c r="P212">
        <v>382</v>
      </c>
      <c r="Q212">
        <v>553</v>
      </c>
      <c r="R212">
        <v>211</v>
      </c>
    </row>
    <row r="213" spans="1:18">
      <c r="A213" s="1" t="s">
        <v>357</v>
      </c>
      <c r="B213">
        <v>31</v>
      </c>
      <c r="C213">
        <v>8</v>
      </c>
      <c r="D213">
        <v>23</v>
      </c>
      <c r="F213">
        <v>1941</v>
      </c>
      <c r="G213">
        <v>630</v>
      </c>
      <c r="H213">
        <v>1495</v>
      </c>
      <c r="I213">
        <v>459</v>
      </c>
      <c r="J213">
        <v>674</v>
      </c>
      <c r="K213">
        <v>265</v>
      </c>
      <c r="L213">
        <v>977</v>
      </c>
      <c r="M213">
        <v>357</v>
      </c>
      <c r="N213">
        <v>173</v>
      </c>
      <c r="O213">
        <v>78</v>
      </c>
      <c r="P213">
        <v>505</v>
      </c>
      <c r="Q213">
        <v>638</v>
      </c>
      <c r="R213">
        <v>212</v>
      </c>
    </row>
    <row r="214" spans="1:18">
      <c r="A214" s="1" t="s">
        <v>339</v>
      </c>
      <c r="B214">
        <v>31</v>
      </c>
      <c r="C214">
        <v>13</v>
      </c>
      <c r="D214">
        <v>18</v>
      </c>
      <c r="E214">
        <v>-2.11</v>
      </c>
      <c r="F214">
        <v>1830</v>
      </c>
      <c r="G214">
        <v>637</v>
      </c>
      <c r="H214">
        <v>1530</v>
      </c>
      <c r="I214">
        <v>379</v>
      </c>
      <c r="J214">
        <v>602</v>
      </c>
      <c r="K214">
        <v>300</v>
      </c>
      <c r="L214">
        <v>978</v>
      </c>
      <c r="M214">
        <v>375</v>
      </c>
      <c r="N214">
        <v>184</v>
      </c>
      <c r="O214">
        <v>96</v>
      </c>
      <c r="P214">
        <v>481</v>
      </c>
      <c r="Q214">
        <v>624</v>
      </c>
      <c r="R214">
        <v>213</v>
      </c>
    </row>
    <row r="215" spans="1:18">
      <c r="A215" s="1" t="s">
        <v>175</v>
      </c>
      <c r="B215">
        <v>33</v>
      </c>
      <c r="C215">
        <v>24</v>
      </c>
      <c r="D215">
        <v>9</v>
      </c>
      <c r="E215">
        <v>-4.72</v>
      </c>
      <c r="F215">
        <v>2437</v>
      </c>
      <c r="G215">
        <v>798</v>
      </c>
      <c r="H215">
        <v>1748</v>
      </c>
      <c r="I215">
        <v>662</v>
      </c>
      <c r="J215">
        <v>921</v>
      </c>
      <c r="K215">
        <v>364</v>
      </c>
      <c r="L215">
        <v>1220</v>
      </c>
      <c r="M215">
        <v>394</v>
      </c>
      <c r="N215">
        <v>144</v>
      </c>
      <c r="O215">
        <v>94</v>
      </c>
      <c r="P215">
        <v>485</v>
      </c>
      <c r="Q215">
        <v>590</v>
      </c>
      <c r="R215">
        <v>214</v>
      </c>
    </row>
    <row r="216" spans="1:18">
      <c r="A216" s="1" t="s">
        <v>176</v>
      </c>
      <c r="B216">
        <v>33</v>
      </c>
      <c r="C216">
        <v>20</v>
      </c>
      <c r="D216">
        <v>13</v>
      </c>
      <c r="E216">
        <v>2.21</v>
      </c>
      <c r="F216">
        <v>2124</v>
      </c>
      <c r="G216">
        <v>763</v>
      </c>
      <c r="H216">
        <v>1699</v>
      </c>
      <c r="I216">
        <v>424</v>
      </c>
      <c r="J216">
        <v>589</v>
      </c>
      <c r="K216">
        <v>312</v>
      </c>
      <c r="L216">
        <v>1008</v>
      </c>
      <c r="M216">
        <v>389</v>
      </c>
      <c r="N216">
        <v>236</v>
      </c>
      <c r="O216">
        <v>118</v>
      </c>
      <c r="P216">
        <v>386</v>
      </c>
      <c r="Q216">
        <v>520</v>
      </c>
      <c r="R216">
        <v>215</v>
      </c>
    </row>
    <row r="217" spans="1:18">
      <c r="A217" s="1" t="s">
        <v>287</v>
      </c>
      <c r="B217">
        <v>28</v>
      </c>
      <c r="C217">
        <v>14</v>
      </c>
      <c r="D217">
        <v>14</v>
      </c>
      <c r="E217">
        <v>-2.35</v>
      </c>
      <c r="F217">
        <v>1965</v>
      </c>
      <c r="G217">
        <v>704</v>
      </c>
      <c r="H217">
        <v>1494</v>
      </c>
      <c r="I217">
        <v>386</v>
      </c>
      <c r="J217">
        <v>573</v>
      </c>
      <c r="K217">
        <v>257</v>
      </c>
      <c r="L217">
        <v>944</v>
      </c>
      <c r="M217">
        <v>454</v>
      </c>
      <c r="N217">
        <v>190</v>
      </c>
      <c r="O217">
        <v>95</v>
      </c>
      <c r="P217">
        <v>430</v>
      </c>
      <c r="Q217">
        <v>550</v>
      </c>
      <c r="R217">
        <v>216</v>
      </c>
    </row>
    <row r="218" spans="1:18">
      <c r="A218" s="1" t="s">
        <v>333</v>
      </c>
      <c r="B218">
        <v>33</v>
      </c>
      <c r="C218">
        <v>25</v>
      </c>
      <c r="D218">
        <v>8</v>
      </c>
      <c r="E218">
        <v>-4.26</v>
      </c>
      <c r="F218">
        <v>2426</v>
      </c>
      <c r="G218">
        <v>780</v>
      </c>
      <c r="H218">
        <v>1751</v>
      </c>
      <c r="I218">
        <v>614</v>
      </c>
      <c r="J218">
        <v>824</v>
      </c>
      <c r="K218">
        <v>331</v>
      </c>
      <c r="L218">
        <v>1096</v>
      </c>
      <c r="M218">
        <v>383</v>
      </c>
      <c r="N218">
        <v>239</v>
      </c>
      <c r="O218">
        <v>78</v>
      </c>
      <c r="P218">
        <v>416</v>
      </c>
      <c r="Q218">
        <v>658</v>
      </c>
      <c r="R218">
        <v>217</v>
      </c>
    </row>
    <row r="219" spans="1:18">
      <c r="A219" s="1" t="s">
        <v>177</v>
      </c>
      <c r="B219">
        <v>30</v>
      </c>
      <c r="C219">
        <v>10</v>
      </c>
      <c r="D219">
        <v>20</v>
      </c>
      <c r="E219">
        <v>-2.0499999999999998</v>
      </c>
      <c r="F219">
        <v>2017</v>
      </c>
      <c r="G219">
        <v>698</v>
      </c>
      <c r="H219">
        <v>1739</v>
      </c>
      <c r="I219">
        <v>445</v>
      </c>
      <c r="J219">
        <v>689</v>
      </c>
      <c r="K219">
        <v>423</v>
      </c>
      <c r="L219">
        <v>1150</v>
      </c>
      <c r="M219">
        <v>399</v>
      </c>
      <c r="N219">
        <v>198</v>
      </c>
      <c r="O219">
        <v>105</v>
      </c>
      <c r="P219">
        <v>459</v>
      </c>
      <c r="Q219">
        <v>650</v>
      </c>
      <c r="R219">
        <v>218</v>
      </c>
    </row>
    <row r="220" spans="1:18">
      <c r="A220" s="1" t="s">
        <v>178</v>
      </c>
      <c r="B220">
        <v>35</v>
      </c>
      <c r="C220">
        <v>30</v>
      </c>
      <c r="D220">
        <v>5</v>
      </c>
      <c r="E220">
        <v>4.2699999999999996</v>
      </c>
      <c r="F220">
        <v>2216</v>
      </c>
      <c r="G220">
        <v>747</v>
      </c>
      <c r="H220">
        <v>1741</v>
      </c>
      <c r="I220">
        <v>489</v>
      </c>
      <c r="J220">
        <v>645</v>
      </c>
      <c r="K220">
        <v>333</v>
      </c>
      <c r="L220">
        <v>1130</v>
      </c>
      <c r="M220">
        <v>367</v>
      </c>
      <c r="N220">
        <v>198</v>
      </c>
      <c r="O220">
        <v>70</v>
      </c>
      <c r="P220">
        <v>372</v>
      </c>
      <c r="Q220">
        <v>556</v>
      </c>
      <c r="R220">
        <v>219</v>
      </c>
    </row>
    <row r="221" spans="1:18">
      <c r="A221" s="1" t="s">
        <v>179</v>
      </c>
      <c r="B221">
        <v>29</v>
      </c>
      <c r="C221">
        <v>10</v>
      </c>
      <c r="D221">
        <v>19</v>
      </c>
      <c r="E221">
        <v>-4.7</v>
      </c>
      <c r="F221">
        <v>2186</v>
      </c>
      <c r="G221">
        <v>747</v>
      </c>
      <c r="H221">
        <v>1720</v>
      </c>
      <c r="I221">
        <v>510</v>
      </c>
      <c r="J221">
        <v>838</v>
      </c>
      <c r="K221">
        <v>384</v>
      </c>
      <c r="L221">
        <v>1093</v>
      </c>
      <c r="M221">
        <v>363</v>
      </c>
      <c r="N221">
        <v>229</v>
      </c>
      <c r="O221">
        <v>143</v>
      </c>
      <c r="P221">
        <v>487</v>
      </c>
      <c r="Q221">
        <v>678</v>
      </c>
      <c r="R221">
        <v>220</v>
      </c>
    </row>
    <row r="222" spans="1:18">
      <c r="A222" s="1" t="s">
        <v>180</v>
      </c>
      <c r="B222">
        <v>34</v>
      </c>
      <c r="C222">
        <v>20</v>
      </c>
      <c r="D222">
        <v>14</v>
      </c>
      <c r="E222">
        <v>4.99</v>
      </c>
      <c r="F222">
        <v>2351</v>
      </c>
      <c r="G222">
        <v>789</v>
      </c>
      <c r="H222">
        <v>1820</v>
      </c>
      <c r="I222">
        <v>456</v>
      </c>
      <c r="J222">
        <v>639</v>
      </c>
      <c r="K222">
        <v>350</v>
      </c>
      <c r="L222">
        <v>1091</v>
      </c>
      <c r="M222">
        <v>565</v>
      </c>
      <c r="N222">
        <v>221</v>
      </c>
      <c r="O222">
        <v>133</v>
      </c>
      <c r="P222">
        <v>374</v>
      </c>
      <c r="Q222">
        <v>651</v>
      </c>
      <c r="R222">
        <v>221</v>
      </c>
    </row>
    <row r="223" spans="1:18">
      <c r="A223" s="1" t="s">
        <v>181</v>
      </c>
      <c r="B223">
        <v>35</v>
      </c>
      <c r="C223">
        <v>23</v>
      </c>
      <c r="D223">
        <v>12</v>
      </c>
      <c r="E223">
        <v>6.22</v>
      </c>
      <c r="F223">
        <v>2635</v>
      </c>
      <c r="G223">
        <v>918</v>
      </c>
      <c r="H223">
        <v>1953</v>
      </c>
      <c r="I223">
        <v>538</v>
      </c>
      <c r="J223">
        <v>744</v>
      </c>
      <c r="K223">
        <v>402</v>
      </c>
      <c r="L223">
        <v>1250</v>
      </c>
      <c r="M223">
        <v>585</v>
      </c>
      <c r="N223">
        <v>194</v>
      </c>
      <c r="O223">
        <v>104</v>
      </c>
      <c r="P223">
        <v>362</v>
      </c>
      <c r="Q223">
        <v>530</v>
      </c>
      <c r="R223">
        <v>222</v>
      </c>
    </row>
    <row r="224" spans="1:18">
      <c r="A224" s="1" t="s">
        <v>182</v>
      </c>
      <c r="B224">
        <v>35</v>
      </c>
      <c r="C224">
        <v>26</v>
      </c>
      <c r="D224">
        <v>9</v>
      </c>
      <c r="E224">
        <v>-2.96</v>
      </c>
      <c r="F224">
        <v>2676</v>
      </c>
      <c r="G224">
        <v>920</v>
      </c>
      <c r="H224">
        <v>2053</v>
      </c>
      <c r="I224">
        <v>630</v>
      </c>
      <c r="J224">
        <v>876</v>
      </c>
      <c r="K224">
        <v>477</v>
      </c>
      <c r="L224">
        <v>1344</v>
      </c>
      <c r="M224">
        <v>461</v>
      </c>
      <c r="N224">
        <v>236</v>
      </c>
      <c r="O224">
        <v>169</v>
      </c>
      <c r="P224">
        <v>485</v>
      </c>
      <c r="Q224">
        <v>632</v>
      </c>
      <c r="R224">
        <v>223</v>
      </c>
    </row>
    <row r="225" spans="1:18">
      <c r="A225" s="1" t="s">
        <v>321</v>
      </c>
      <c r="B225">
        <v>37</v>
      </c>
      <c r="C225">
        <v>29</v>
      </c>
      <c r="D225">
        <v>8</v>
      </c>
      <c r="E225">
        <v>7.37</v>
      </c>
      <c r="F225">
        <v>2740</v>
      </c>
      <c r="G225">
        <v>983</v>
      </c>
      <c r="H225">
        <v>1999</v>
      </c>
      <c r="I225">
        <v>498</v>
      </c>
      <c r="J225">
        <v>716</v>
      </c>
      <c r="K225">
        <v>325</v>
      </c>
      <c r="L225">
        <v>1234</v>
      </c>
      <c r="M225">
        <v>545</v>
      </c>
      <c r="N225">
        <v>262</v>
      </c>
      <c r="O225">
        <v>157</v>
      </c>
      <c r="P225">
        <v>413</v>
      </c>
      <c r="Q225">
        <v>565</v>
      </c>
      <c r="R225">
        <v>224</v>
      </c>
    </row>
    <row r="226" spans="1:18">
      <c r="A226" s="1" t="s">
        <v>183</v>
      </c>
      <c r="B226">
        <v>37</v>
      </c>
      <c r="C226">
        <v>22</v>
      </c>
      <c r="D226">
        <v>15</v>
      </c>
      <c r="E226">
        <v>-0.03</v>
      </c>
      <c r="F226">
        <v>2763</v>
      </c>
      <c r="G226">
        <v>925</v>
      </c>
      <c r="H226">
        <v>2153</v>
      </c>
      <c r="I226">
        <v>635</v>
      </c>
      <c r="J226">
        <v>883</v>
      </c>
      <c r="K226">
        <v>443</v>
      </c>
      <c r="L226">
        <v>1371</v>
      </c>
      <c r="M226">
        <v>524</v>
      </c>
      <c r="N226">
        <v>278</v>
      </c>
      <c r="O226">
        <v>97</v>
      </c>
      <c r="P226">
        <v>473</v>
      </c>
      <c r="Q226">
        <v>696</v>
      </c>
      <c r="R226">
        <v>225</v>
      </c>
    </row>
    <row r="227" spans="1:18">
      <c r="A227" s="1" t="s">
        <v>340</v>
      </c>
      <c r="B227">
        <v>33</v>
      </c>
      <c r="C227">
        <v>22</v>
      </c>
      <c r="D227">
        <v>11</v>
      </c>
      <c r="E227">
        <v>6.97</v>
      </c>
      <c r="F227">
        <v>2437</v>
      </c>
      <c r="G227">
        <v>839</v>
      </c>
      <c r="H227">
        <v>1861</v>
      </c>
      <c r="I227">
        <v>485</v>
      </c>
      <c r="J227">
        <v>679</v>
      </c>
      <c r="K227">
        <v>327</v>
      </c>
      <c r="L227">
        <v>1169</v>
      </c>
      <c r="M227">
        <v>413</v>
      </c>
      <c r="N227">
        <v>214</v>
      </c>
      <c r="O227">
        <v>84</v>
      </c>
      <c r="P227">
        <v>418</v>
      </c>
      <c r="Q227">
        <v>664</v>
      </c>
      <c r="R227">
        <v>226</v>
      </c>
    </row>
    <row r="228" spans="1:18">
      <c r="A228" s="1" t="s">
        <v>329</v>
      </c>
      <c r="B228">
        <v>31</v>
      </c>
      <c r="C228">
        <v>13</v>
      </c>
      <c r="D228">
        <v>18</v>
      </c>
      <c r="E228">
        <v>7.79</v>
      </c>
      <c r="F228">
        <v>2235</v>
      </c>
      <c r="G228">
        <v>766</v>
      </c>
      <c r="H228">
        <v>1782</v>
      </c>
      <c r="I228">
        <v>451</v>
      </c>
      <c r="J228">
        <v>606</v>
      </c>
      <c r="K228">
        <v>324</v>
      </c>
      <c r="L228">
        <v>1066</v>
      </c>
      <c r="M228">
        <v>391</v>
      </c>
      <c r="N228">
        <v>180</v>
      </c>
      <c r="O228">
        <v>84</v>
      </c>
      <c r="P228">
        <v>382</v>
      </c>
      <c r="Q228">
        <v>505</v>
      </c>
      <c r="R228">
        <v>227</v>
      </c>
    </row>
    <row r="229" spans="1:18">
      <c r="A229" s="1" t="s">
        <v>184</v>
      </c>
      <c r="B229">
        <v>36</v>
      </c>
      <c r="C229">
        <v>27</v>
      </c>
      <c r="D229">
        <v>9</v>
      </c>
      <c r="E229">
        <v>1.78</v>
      </c>
      <c r="F229">
        <v>2415</v>
      </c>
      <c r="G229">
        <v>922</v>
      </c>
      <c r="H229">
        <v>2061</v>
      </c>
      <c r="I229">
        <v>405</v>
      </c>
      <c r="J229">
        <v>625</v>
      </c>
      <c r="K229">
        <v>540</v>
      </c>
      <c r="L229">
        <v>1394</v>
      </c>
      <c r="M229">
        <v>554</v>
      </c>
      <c r="N229">
        <v>282</v>
      </c>
      <c r="O229">
        <v>105</v>
      </c>
      <c r="P229">
        <v>457</v>
      </c>
      <c r="Q229">
        <v>560</v>
      </c>
      <c r="R229">
        <v>228</v>
      </c>
    </row>
    <row r="230" spans="1:18">
      <c r="A230" s="1" t="s">
        <v>185</v>
      </c>
      <c r="B230">
        <v>33</v>
      </c>
      <c r="C230">
        <v>20</v>
      </c>
      <c r="D230">
        <v>13</v>
      </c>
      <c r="E230">
        <v>-3.85</v>
      </c>
      <c r="F230">
        <v>2313</v>
      </c>
      <c r="G230">
        <v>826</v>
      </c>
      <c r="H230">
        <v>1865</v>
      </c>
      <c r="I230">
        <v>508</v>
      </c>
      <c r="J230">
        <v>745</v>
      </c>
      <c r="K230">
        <v>406</v>
      </c>
      <c r="L230">
        <v>1272</v>
      </c>
      <c r="M230">
        <v>396</v>
      </c>
      <c r="N230">
        <v>205</v>
      </c>
      <c r="O230">
        <v>149</v>
      </c>
      <c r="P230">
        <v>450</v>
      </c>
      <c r="Q230">
        <v>595</v>
      </c>
      <c r="R230">
        <v>229</v>
      </c>
    </row>
    <row r="231" spans="1:18">
      <c r="A231" s="1" t="s">
        <v>186</v>
      </c>
      <c r="B231">
        <v>32</v>
      </c>
      <c r="C231">
        <v>14</v>
      </c>
      <c r="D231">
        <v>18</v>
      </c>
      <c r="E231">
        <v>5.79</v>
      </c>
      <c r="F231">
        <v>1929</v>
      </c>
      <c r="G231">
        <v>670</v>
      </c>
      <c r="H231">
        <v>1556</v>
      </c>
      <c r="I231">
        <v>449</v>
      </c>
      <c r="J231">
        <v>665</v>
      </c>
      <c r="K231">
        <v>321</v>
      </c>
      <c r="L231">
        <v>1019</v>
      </c>
      <c r="M231">
        <v>365</v>
      </c>
      <c r="N231">
        <v>261</v>
      </c>
      <c r="O231">
        <v>63</v>
      </c>
      <c r="P231">
        <v>479</v>
      </c>
      <c r="Q231">
        <v>528</v>
      </c>
      <c r="R231">
        <v>230</v>
      </c>
    </row>
    <row r="232" spans="1:18">
      <c r="A232" s="1" t="s">
        <v>288</v>
      </c>
      <c r="B232">
        <v>32</v>
      </c>
      <c r="C232">
        <v>16</v>
      </c>
      <c r="D232">
        <v>16</v>
      </c>
      <c r="E232">
        <v>5.96</v>
      </c>
      <c r="F232">
        <v>2237</v>
      </c>
      <c r="G232">
        <v>803</v>
      </c>
      <c r="H232">
        <v>1869</v>
      </c>
      <c r="I232">
        <v>446</v>
      </c>
      <c r="J232">
        <v>624</v>
      </c>
      <c r="K232">
        <v>395</v>
      </c>
      <c r="L232">
        <v>1094</v>
      </c>
      <c r="M232">
        <v>355</v>
      </c>
      <c r="N232">
        <v>220</v>
      </c>
      <c r="O232">
        <v>94</v>
      </c>
      <c r="P232">
        <v>408</v>
      </c>
      <c r="Q232">
        <v>606</v>
      </c>
      <c r="R232">
        <v>231</v>
      </c>
    </row>
    <row r="233" spans="1:18">
      <c r="A233" s="1" t="s">
        <v>187</v>
      </c>
      <c r="B233">
        <v>35</v>
      </c>
      <c r="C233">
        <v>23</v>
      </c>
      <c r="D233">
        <v>12</v>
      </c>
      <c r="E233">
        <v>-1.19</v>
      </c>
      <c r="F233">
        <v>2297</v>
      </c>
      <c r="G233">
        <v>820</v>
      </c>
      <c r="H233">
        <v>1862</v>
      </c>
      <c r="I233">
        <v>431</v>
      </c>
      <c r="J233">
        <v>662</v>
      </c>
      <c r="K233">
        <v>381</v>
      </c>
      <c r="L233">
        <v>1215</v>
      </c>
      <c r="M233">
        <v>435</v>
      </c>
      <c r="N233">
        <v>192</v>
      </c>
      <c r="O233">
        <v>87</v>
      </c>
      <c r="P233">
        <v>393</v>
      </c>
      <c r="Q233">
        <v>605</v>
      </c>
      <c r="R233">
        <v>232</v>
      </c>
    </row>
    <row r="234" spans="1:18">
      <c r="A234" s="1" t="s">
        <v>188</v>
      </c>
      <c r="B234">
        <v>31</v>
      </c>
      <c r="C234">
        <v>11</v>
      </c>
      <c r="D234">
        <v>20</v>
      </c>
      <c r="E234">
        <v>6.32</v>
      </c>
      <c r="F234">
        <v>2013</v>
      </c>
      <c r="G234">
        <v>711</v>
      </c>
      <c r="H234">
        <v>1632</v>
      </c>
      <c r="I234">
        <v>383</v>
      </c>
      <c r="J234">
        <v>542</v>
      </c>
      <c r="K234">
        <v>301</v>
      </c>
      <c r="L234">
        <v>1055</v>
      </c>
      <c r="M234">
        <v>410</v>
      </c>
      <c r="N234">
        <v>143</v>
      </c>
      <c r="O234">
        <v>54</v>
      </c>
      <c r="P234">
        <v>360</v>
      </c>
      <c r="Q234">
        <v>503</v>
      </c>
      <c r="R234">
        <v>233</v>
      </c>
    </row>
    <row r="235" spans="1:18">
      <c r="A235" s="1" t="s">
        <v>289</v>
      </c>
      <c r="B235">
        <v>28</v>
      </c>
      <c r="C235">
        <v>6</v>
      </c>
      <c r="D235">
        <v>22</v>
      </c>
      <c r="E235">
        <v>-3.31</v>
      </c>
      <c r="F235">
        <v>1751</v>
      </c>
      <c r="G235">
        <v>596</v>
      </c>
      <c r="H235">
        <v>1440</v>
      </c>
      <c r="I235">
        <v>376</v>
      </c>
      <c r="J235">
        <v>502</v>
      </c>
      <c r="K235">
        <v>263</v>
      </c>
      <c r="L235">
        <v>853</v>
      </c>
      <c r="M235">
        <v>376</v>
      </c>
      <c r="N235">
        <v>147</v>
      </c>
      <c r="O235">
        <v>54</v>
      </c>
      <c r="P235">
        <v>420</v>
      </c>
      <c r="Q235">
        <v>535</v>
      </c>
      <c r="R235">
        <v>234</v>
      </c>
    </row>
    <row r="236" spans="1:18">
      <c r="A236" s="1" t="s">
        <v>290</v>
      </c>
      <c r="B236">
        <v>31</v>
      </c>
      <c r="C236">
        <v>7</v>
      </c>
      <c r="D236">
        <v>24</v>
      </c>
      <c r="E236">
        <v>0.94</v>
      </c>
      <c r="F236">
        <v>2044</v>
      </c>
      <c r="G236">
        <v>693</v>
      </c>
      <c r="H236">
        <v>1760</v>
      </c>
      <c r="I236">
        <v>464</v>
      </c>
      <c r="J236">
        <v>659</v>
      </c>
      <c r="K236">
        <v>394</v>
      </c>
      <c r="L236">
        <v>1122</v>
      </c>
      <c r="M236">
        <v>342</v>
      </c>
      <c r="N236">
        <v>152</v>
      </c>
      <c r="O236">
        <v>75</v>
      </c>
      <c r="P236">
        <v>423</v>
      </c>
      <c r="Q236">
        <v>599</v>
      </c>
      <c r="R236">
        <v>235</v>
      </c>
    </row>
    <row r="237" spans="1:18">
      <c r="A237" s="1" t="s">
        <v>189</v>
      </c>
      <c r="B237">
        <v>34</v>
      </c>
      <c r="C237">
        <v>25</v>
      </c>
      <c r="D237">
        <v>9</v>
      </c>
      <c r="E237">
        <v>7.39</v>
      </c>
      <c r="F237">
        <v>2336</v>
      </c>
      <c r="G237">
        <v>809</v>
      </c>
      <c r="H237">
        <v>1811</v>
      </c>
      <c r="I237">
        <v>537</v>
      </c>
      <c r="J237">
        <v>775</v>
      </c>
      <c r="K237">
        <v>420</v>
      </c>
      <c r="L237">
        <v>1269</v>
      </c>
      <c r="M237">
        <v>536</v>
      </c>
      <c r="N237">
        <v>177</v>
      </c>
      <c r="O237">
        <v>139</v>
      </c>
      <c r="P237">
        <v>421</v>
      </c>
      <c r="Q237">
        <v>594</v>
      </c>
      <c r="R237">
        <v>236</v>
      </c>
    </row>
    <row r="238" spans="1:18">
      <c r="A238" s="1" t="s">
        <v>190</v>
      </c>
      <c r="B238">
        <v>32</v>
      </c>
      <c r="C238">
        <v>13</v>
      </c>
      <c r="D238">
        <v>19</v>
      </c>
      <c r="E238">
        <v>-1.21</v>
      </c>
      <c r="F238">
        <v>2496</v>
      </c>
      <c r="G238">
        <v>888</v>
      </c>
      <c r="H238">
        <v>1862</v>
      </c>
      <c r="I238">
        <v>462</v>
      </c>
      <c r="J238">
        <v>644</v>
      </c>
      <c r="K238">
        <v>356</v>
      </c>
      <c r="L238">
        <v>1019</v>
      </c>
      <c r="M238">
        <v>424</v>
      </c>
      <c r="N238">
        <v>201</v>
      </c>
      <c r="O238">
        <v>127</v>
      </c>
      <c r="P238">
        <v>431</v>
      </c>
      <c r="Q238">
        <v>596</v>
      </c>
      <c r="R238">
        <v>237</v>
      </c>
    </row>
    <row r="239" spans="1:18">
      <c r="A239" s="1" t="s">
        <v>191</v>
      </c>
      <c r="B239">
        <v>32</v>
      </c>
      <c r="C239">
        <v>21</v>
      </c>
      <c r="D239">
        <v>11</v>
      </c>
      <c r="E239">
        <v>2.04</v>
      </c>
      <c r="F239">
        <v>2306</v>
      </c>
      <c r="G239">
        <v>798</v>
      </c>
      <c r="H239">
        <v>1720</v>
      </c>
      <c r="I239">
        <v>457</v>
      </c>
      <c r="J239">
        <v>622</v>
      </c>
      <c r="K239">
        <v>340</v>
      </c>
      <c r="L239">
        <v>1068</v>
      </c>
      <c r="M239">
        <v>472</v>
      </c>
      <c r="N239">
        <v>207</v>
      </c>
      <c r="O239">
        <v>53</v>
      </c>
      <c r="P239">
        <v>420</v>
      </c>
      <c r="Q239">
        <v>504</v>
      </c>
      <c r="R239">
        <v>238</v>
      </c>
    </row>
    <row r="240" spans="1:18">
      <c r="A240" s="1" t="s">
        <v>192</v>
      </c>
      <c r="B240">
        <v>30</v>
      </c>
      <c r="C240">
        <v>16</v>
      </c>
      <c r="D240">
        <v>14</v>
      </c>
      <c r="E240">
        <v>-12.11</v>
      </c>
      <c r="F240">
        <v>1930</v>
      </c>
      <c r="G240">
        <v>682</v>
      </c>
      <c r="H240">
        <v>1723</v>
      </c>
      <c r="I240">
        <v>386</v>
      </c>
      <c r="J240">
        <v>629</v>
      </c>
      <c r="K240">
        <v>364</v>
      </c>
      <c r="L240">
        <v>1128</v>
      </c>
      <c r="M240">
        <v>392</v>
      </c>
      <c r="N240">
        <v>240</v>
      </c>
      <c r="O240">
        <v>124</v>
      </c>
      <c r="P240">
        <v>427</v>
      </c>
      <c r="Q240">
        <v>527</v>
      </c>
      <c r="R240">
        <v>239</v>
      </c>
    </row>
    <row r="241" spans="1:18">
      <c r="A241" s="1" t="s">
        <v>350</v>
      </c>
      <c r="B241">
        <v>31</v>
      </c>
      <c r="C241">
        <v>5</v>
      </c>
      <c r="D241">
        <v>26</v>
      </c>
      <c r="F241">
        <v>1873</v>
      </c>
      <c r="G241">
        <v>694</v>
      </c>
      <c r="H241">
        <v>1631</v>
      </c>
      <c r="I241">
        <v>313</v>
      </c>
      <c r="J241">
        <v>450</v>
      </c>
      <c r="K241">
        <v>239</v>
      </c>
      <c r="L241">
        <v>926</v>
      </c>
      <c r="M241">
        <v>345</v>
      </c>
      <c r="N241">
        <v>178</v>
      </c>
      <c r="O241">
        <v>70</v>
      </c>
      <c r="P241">
        <v>482</v>
      </c>
      <c r="Q241">
        <v>504</v>
      </c>
      <c r="R241">
        <v>240</v>
      </c>
    </row>
    <row r="242" spans="1:18">
      <c r="A242" s="1" t="s">
        <v>193</v>
      </c>
      <c r="B242">
        <v>31</v>
      </c>
      <c r="C242">
        <v>22</v>
      </c>
      <c r="D242">
        <v>9</v>
      </c>
      <c r="E242">
        <v>-5.56</v>
      </c>
      <c r="F242">
        <v>1871</v>
      </c>
      <c r="G242">
        <v>660</v>
      </c>
      <c r="H242">
        <v>1497</v>
      </c>
      <c r="I242">
        <v>347</v>
      </c>
      <c r="J242">
        <v>483</v>
      </c>
      <c r="K242">
        <v>275</v>
      </c>
      <c r="L242">
        <v>951</v>
      </c>
      <c r="M242">
        <v>363</v>
      </c>
      <c r="N242">
        <v>238</v>
      </c>
      <c r="O242">
        <v>101</v>
      </c>
      <c r="P242">
        <v>407</v>
      </c>
      <c r="Q242">
        <v>523</v>
      </c>
      <c r="R242">
        <v>241</v>
      </c>
    </row>
    <row r="243" spans="1:18">
      <c r="A243" s="1" t="s">
        <v>194</v>
      </c>
      <c r="B243">
        <v>31</v>
      </c>
      <c r="C243">
        <v>12</v>
      </c>
      <c r="D243">
        <v>19</v>
      </c>
      <c r="E243">
        <v>8.24</v>
      </c>
      <c r="F243">
        <v>2554</v>
      </c>
      <c r="G243">
        <v>913</v>
      </c>
      <c r="H243">
        <v>2104</v>
      </c>
      <c r="I243">
        <v>479</v>
      </c>
      <c r="J243">
        <v>714</v>
      </c>
      <c r="K243">
        <v>535</v>
      </c>
      <c r="L243">
        <v>1253</v>
      </c>
      <c r="M243">
        <v>443</v>
      </c>
      <c r="N243">
        <v>248</v>
      </c>
      <c r="O243">
        <v>136</v>
      </c>
      <c r="P243">
        <v>394</v>
      </c>
      <c r="Q243">
        <v>615</v>
      </c>
      <c r="R243">
        <v>242</v>
      </c>
    </row>
    <row r="244" spans="1:18">
      <c r="A244" s="1" t="s">
        <v>291</v>
      </c>
      <c r="B244">
        <v>35</v>
      </c>
      <c r="C244">
        <v>29</v>
      </c>
      <c r="D244">
        <v>6</v>
      </c>
      <c r="E244">
        <v>8.81</v>
      </c>
      <c r="F244">
        <v>2467</v>
      </c>
      <c r="G244">
        <v>867</v>
      </c>
      <c r="H244">
        <v>1957</v>
      </c>
      <c r="I244">
        <v>546</v>
      </c>
      <c r="J244">
        <v>755</v>
      </c>
      <c r="K244">
        <v>351</v>
      </c>
      <c r="L244">
        <v>1170</v>
      </c>
      <c r="M244">
        <v>493</v>
      </c>
      <c r="N244">
        <v>248</v>
      </c>
      <c r="O244">
        <v>162</v>
      </c>
      <c r="P244">
        <v>381</v>
      </c>
      <c r="Q244">
        <v>651</v>
      </c>
      <c r="R244">
        <v>243</v>
      </c>
    </row>
    <row r="245" spans="1:18">
      <c r="A245" s="1" t="s">
        <v>195</v>
      </c>
      <c r="B245">
        <v>33</v>
      </c>
      <c r="C245">
        <v>23</v>
      </c>
      <c r="D245">
        <v>10</v>
      </c>
      <c r="E245">
        <v>-9.3699999999999992</v>
      </c>
      <c r="F245">
        <v>2415</v>
      </c>
      <c r="G245">
        <v>862</v>
      </c>
      <c r="H245">
        <v>1926</v>
      </c>
      <c r="I245">
        <v>558</v>
      </c>
      <c r="J245">
        <v>774</v>
      </c>
      <c r="K245">
        <v>482</v>
      </c>
      <c r="L245">
        <v>1333</v>
      </c>
      <c r="M245">
        <v>443</v>
      </c>
      <c r="N245">
        <v>232</v>
      </c>
      <c r="O245">
        <v>71</v>
      </c>
      <c r="P245">
        <v>452</v>
      </c>
      <c r="Q245">
        <v>627</v>
      </c>
      <c r="R245">
        <v>244</v>
      </c>
    </row>
    <row r="246" spans="1:18">
      <c r="A246" s="1" t="s">
        <v>196</v>
      </c>
      <c r="B246">
        <v>31</v>
      </c>
      <c r="C246">
        <v>19</v>
      </c>
      <c r="D246">
        <v>12</v>
      </c>
      <c r="E246">
        <v>-6.9</v>
      </c>
      <c r="F246">
        <v>2217</v>
      </c>
      <c r="G246">
        <v>819</v>
      </c>
      <c r="H246">
        <v>1847</v>
      </c>
      <c r="I246">
        <v>441</v>
      </c>
      <c r="J246">
        <v>744</v>
      </c>
      <c r="K246">
        <v>442</v>
      </c>
      <c r="L246">
        <v>1340</v>
      </c>
      <c r="M246">
        <v>503</v>
      </c>
      <c r="N246">
        <v>182</v>
      </c>
      <c r="O246">
        <v>115</v>
      </c>
      <c r="P246">
        <v>467</v>
      </c>
      <c r="Q246">
        <v>495</v>
      </c>
      <c r="R246">
        <v>245</v>
      </c>
    </row>
    <row r="247" spans="1:18">
      <c r="A247" s="1" t="s">
        <v>197</v>
      </c>
      <c r="B247">
        <v>36</v>
      </c>
      <c r="C247">
        <v>26</v>
      </c>
      <c r="D247">
        <v>10</v>
      </c>
      <c r="E247">
        <v>3.33</v>
      </c>
      <c r="F247">
        <v>2737</v>
      </c>
      <c r="G247">
        <v>991</v>
      </c>
      <c r="H247">
        <v>2227</v>
      </c>
      <c r="I247">
        <v>520</v>
      </c>
      <c r="J247">
        <v>745</v>
      </c>
      <c r="K247">
        <v>477</v>
      </c>
      <c r="L247">
        <v>1258</v>
      </c>
      <c r="M247">
        <v>533</v>
      </c>
      <c r="N247">
        <v>294</v>
      </c>
      <c r="O247">
        <v>182</v>
      </c>
      <c r="P247">
        <v>394</v>
      </c>
      <c r="Q247">
        <v>595</v>
      </c>
      <c r="R247">
        <v>246</v>
      </c>
    </row>
    <row r="248" spans="1:18">
      <c r="A248" s="1" t="s">
        <v>198</v>
      </c>
      <c r="B248">
        <v>31</v>
      </c>
      <c r="C248">
        <v>8</v>
      </c>
      <c r="D248">
        <v>23</v>
      </c>
      <c r="E248">
        <v>1.1499999999999999</v>
      </c>
      <c r="F248">
        <v>1983</v>
      </c>
      <c r="G248">
        <v>703</v>
      </c>
      <c r="H248">
        <v>1739</v>
      </c>
      <c r="I248">
        <v>413</v>
      </c>
      <c r="J248">
        <v>638</v>
      </c>
      <c r="K248">
        <v>382</v>
      </c>
      <c r="L248">
        <v>1097</v>
      </c>
      <c r="M248">
        <v>369</v>
      </c>
      <c r="N248">
        <v>229</v>
      </c>
      <c r="O248">
        <v>82</v>
      </c>
      <c r="P248">
        <v>436</v>
      </c>
      <c r="Q248">
        <v>615</v>
      </c>
      <c r="R248">
        <v>247</v>
      </c>
    </row>
    <row r="249" spans="1:18">
      <c r="A249" s="1" t="s">
        <v>199</v>
      </c>
      <c r="B249">
        <v>35</v>
      </c>
      <c r="C249">
        <v>26</v>
      </c>
      <c r="D249">
        <v>9</v>
      </c>
      <c r="E249">
        <v>3.43</v>
      </c>
      <c r="F249">
        <v>2427</v>
      </c>
      <c r="G249">
        <v>868</v>
      </c>
      <c r="H249">
        <v>1943</v>
      </c>
      <c r="I249">
        <v>441</v>
      </c>
      <c r="J249">
        <v>630</v>
      </c>
      <c r="K249">
        <v>304</v>
      </c>
      <c r="L249">
        <v>1139</v>
      </c>
      <c r="M249">
        <v>442</v>
      </c>
      <c r="N249">
        <v>289</v>
      </c>
      <c r="O249">
        <v>158</v>
      </c>
      <c r="P249">
        <v>384</v>
      </c>
      <c r="Q249">
        <v>634</v>
      </c>
      <c r="R249">
        <v>248</v>
      </c>
    </row>
    <row r="250" spans="1:18">
      <c r="A250" s="1" t="s">
        <v>200</v>
      </c>
      <c r="B250">
        <v>33</v>
      </c>
      <c r="C250">
        <v>17</v>
      </c>
      <c r="D250">
        <v>16</v>
      </c>
      <c r="E250">
        <v>-1.68</v>
      </c>
      <c r="F250">
        <v>2295</v>
      </c>
      <c r="G250">
        <v>811</v>
      </c>
      <c r="H250">
        <v>1914</v>
      </c>
      <c r="I250">
        <v>455</v>
      </c>
      <c r="J250">
        <v>661</v>
      </c>
      <c r="K250">
        <v>345</v>
      </c>
      <c r="L250">
        <v>1150</v>
      </c>
      <c r="M250">
        <v>411</v>
      </c>
      <c r="N250">
        <v>225</v>
      </c>
      <c r="O250">
        <v>101</v>
      </c>
      <c r="P250">
        <v>425</v>
      </c>
      <c r="Q250">
        <v>582</v>
      </c>
      <c r="R250">
        <v>249</v>
      </c>
    </row>
    <row r="251" spans="1:18">
      <c r="A251" s="1" t="s">
        <v>201</v>
      </c>
      <c r="B251">
        <v>35</v>
      </c>
      <c r="C251">
        <v>23</v>
      </c>
      <c r="D251">
        <v>12</v>
      </c>
      <c r="E251">
        <v>-6.15</v>
      </c>
      <c r="F251">
        <v>2399</v>
      </c>
      <c r="G251">
        <v>815</v>
      </c>
      <c r="H251">
        <v>1868</v>
      </c>
      <c r="I251">
        <v>572</v>
      </c>
      <c r="J251">
        <v>859</v>
      </c>
      <c r="K251">
        <v>412</v>
      </c>
      <c r="L251">
        <v>1227</v>
      </c>
      <c r="M251">
        <v>433</v>
      </c>
      <c r="N251">
        <v>267</v>
      </c>
      <c r="O251">
        <v>80</v>
      </c>
      <c r="P251">
        <v>520</v>
      </c>
      <c r="Q251">
        <v>757</v>
      </c>
      <c r="R251">
        <v>250</v>
      </c>
    </row>
    <row r="252" spans="1:18">
      <c r="A252" s="1" t="s">
        <v>202</v>
      </c>
      <c r="B252">
        <v>32</v>
      </c>
      <c r="C252">
        <v>15</v>
      </c>
      <c r="D252">
        <v>17</v>
      </c>
      <c r="E252">
        <v>5.91</v>
      </c>
      <c r="F252">
        <v>2160</v>
      </c>
      <c r="G252">
        <v>767</v>
      </c>
      <c r="H252">
        <v>1810</v>
      </c>
      <c r="I252">
        <v>415</v>
      </c>
      <c r="J252">
        <v>623</v>
      </c>
      <c r="K252">
        <v>381</v>
      </c>
      <c r="L252">
        <v>1146</v>
      </c>
      <c r="M252">
        <v>438</v>
      </c>
      <c r="N252">
        <v>186</v>
      </c>
      <c r="O252">
        <v>227</v>
      </c>
      <c r="P252">
        <v>466</v>
      </c>
      <c r="Q252">
        <v>517</v>
      </c>
      <c r="R252">
        <v>251</v>
      </c>
    </row>
    <row r="253" spans="1:18">
      <c r="A253" s="1" t="s">
        <v>203</v>
      </c>
      <c r="B253">
        <v>30</v>
      </c>
      <c r="C253">
        <v>9</v>
      </c>
      <c r="D253">
        <v>21</v>
      </c>
      <c r="E253">
        <v>-2.65</v>
      </c>
      <c r="F253">
        <v>1935</v>
      </c>
      <c r="G253">
        <v>671</v>
      </c>
      <c r="H253">
        <v>1632</v>
      </c>
      <c r="I253">
        <v>417</v>
      </c>
      <c r="J253">
        <v>583</v>
      </c>
      <c r="K253">
        <v>266</v>
      </c>
      <c r="L253">
        <v>970</v>
      </c>
      <c r="M253">
        <v>385</v>
      </c>
      <c r="N253">
        <v>216</v>
      </c>
      <c r="O253">
        <v>85</v>
      </c>
      <c r="P253">
        <v>412</v>
      </c>
      <c r="Q253">
        <v>563</v>
      </c>
      <c r="R253">
        <v>252</v>
      </c>
    </row>
    <row r="254" spans="1:18">
      <c r="A254" s="1" t="s">
        <v>204</v>
      </c>
      <c r="B254">
        <v>29</v>
      </c>
      <c r="C254">
        <v>14</v>
      </c>
      <c r="D254">
        <v>15</v>
      </c>
      <c r="E254">
        <v>-8.7200000000000006</v>
      </c>
      <c r="F254">
        <v>2087</v>
      </c>
      <c r="G254">
        <v>770</v>
      </c>
      <c r="H254">
        <v>1743</v>
      </c>
      <c r="I254">
        <v>295</v>
      </c>
      <c r="J254">
        <v>477</v>
      </c>
      <c r="K254">
        <v>389</v>
      </c>
      <c r="L254">
        <v>1077</v>
      </c>
      <c r="M254">
        <v>426</v>
      </c>
      <c r="N254">
        <v>201</v>
      </c>
      <c r="O254">
        <v>101</v>
      </c>
      <c r="P254">
        <v>462</v>
      </c>
      <c r="Q254">
        <v>550</v>
      </c>
      <c r="R254">
        <v>253</v>
      </c>
    </row>
    <row r="255" spans="1:18">
      <c r="A255" s="1" t="s">
        <v>205</v>
      </c>
      <c r="B255">
        <v>30</v>
      </c>
      <c r="C255">
        <v>11</v>
      </c>
      <c r="D255">
        <v>19</v>
      </c>
      <c r="E255">
        <v>-7.08</v>
      </c>
      <c r="F255">
        <v>1875</v>
      </c>
      <c r="G255">
        <v>633</v>
      </c>
      <c r="H255">
        <v>1523</v>
      </c>
      <c r="I255">
        <v>406</v>
      </c>
      <c r="J255">
        <v>555</v>
      </c>
      <c r="K255">
        <v>299</v>
      </c>
      <c r="L255">
        <v>922</v>
      </c>
      <c r="M255">
        <v>386</v>
      </c>
      <c r="N255">
        <v>174</v>
      </c>
      <c r="O255">
        <v>76</v>
      </c>
      <c r="P255">
        <v>476</v>
      </c>
      <c r="Q255">
        <v>603</v>
      </c>
      <c r="R255">
        <v>254</v>
      </c>
    </row>
    <row r="256" spans="1:18">
      <c r="A256" s="1" t="s">
        <v>206</v>
      </c>
      <c r="B256">
        <v>31</v>
      </c>
      <c r="C256">
        <v>11</v>
      </c>
      <c r="D256">
        <v>20</v>
      </c>
      <c r="E256">
        <v>3.97</v>
      </c>
      <c r="F256">
        <v>2141</v>
      </c>
      <c r="G256">
        <v>731</v>
      </c>
      <c r="H256">
        <v>1775</v>
      </c>
      <c r="I256">
        <v>488</v>
      </c>
      <c r="J256">
        <v>687</v>
      </c>
      <c r="K256">
        <v>299</v>
      </c>
      <c r="L256">
        <v>1001</v>
      </c>
      <c r="M256">
        <v>406</v>
      </c>
      <c r="N256">
        <v>226</v>
      </c>
      <c r="O256">
        <v>108</v>
      </c>
      <c r="P256">
        <v>407</v>
      </c>
      <c r="Q256">
        <v>553</v>
      </c>
      <c r="R256">
        <v>255</v>
      </c>
    </row>
    <row r="257" spans="1:18">
      <c r="A257" s="1" t="s">
        <v>292</v>
      </c>
      <c r="B257">
        <v>36</v>
      </c>
      <c r="C257">
        <v>23</v>
      </c>
      <c r="D257">
        <v>13</v>
      </c>
      <c r="E257">
        <v>2.5499999999999998</v>
      </c>
      <c r="F257">
        <v>2283</v>
      </c>
      <c r="G257">
        <v>826</v>
      </c>
      <c r="H257">
        <v>1882</v>
      </c>
      <c r="I257">
        <v>416</v>
      </c>
      <c r="J257">
        <v>672</v>
      </c>
      <c r="K257">
        <v>333</v>
      </c>
      <c r="L257">
        <v>1206</v>
      </c>
      <c r="M257">
        <v>454</v>
      </c>
      <c r="N257">
        <v>204</v>
      </c>
      <c r="O257">
        <v>169</v>
      </c>
      <c r="P257">
        <v>478</v>
      </c>
      <c r="Q257">
        <v>615</v>
      </c>
      <c r="R257">
        <v>256</v>
      </c>
    </row>
    <row r="258" spans="1:18">
      <c r="A258" s="1" t="s">
        <v>207</v>
      </c>
      <c r="B258">
        <v>34</v>
      </c>
      <c r="C258">
        <v>28</v>
      </c>
      <c r="D258">
        <v>6</v>
      </c>
      <c r="E258">
        <v>2.2000000000000002</v>
      </c>
      <c r="F258">
        <v>2668</v>
      </c>
      <c r="G258">
        <v>944</v>
      </c>
      <c r="H258">
        <v>1950</v>
      </c>
      <c r="I258">
        <v>496</v>
      </c>
      <c r="J258">
        <v>652</v>
      </c>
      <c r="K258">
        <v>370</v>
      </c>
      <c r="L258">
        <v>1244</v>
      </c>
      <c r="M258">
        <v>543</v>
      </c>
      <c r="N258">
        <v>168</v>
      </c>
      <c r="O258">
        <v>176</v>
      </c>
      <c r="P258">
        <v>394</v>
      </c>
      <c r="Q258">
        <v>560</v>
      </c>
      <c r="R258">
        <v>257</v>
      </c>
    </row>
    <row r="259" spans="1:18">
      <c r="A259" s="1" t="s">
        <v>208</v>
      </c>
      <c r="B259">
        <v>30</v>
      </c>
      <c r="C259">
        <v>16</v>
      </c>
      <c r="D259">
        <v>14</v>
      </c>
      <c r="E259">
        <v>-4.57</v>
      </c>
      <c r="F259">
        <v>1863</v>
      </c>
      <c r="G259">
        <v>661</v>
      </c>
      <c r="H259">
        <v>1660</v>
      </c>
      <c r="I259">
        <v>389</v>
      </c>
      <c r="J259">
        <v>586</v>
      </c>
      <c r="K259">
        <v>428</v>
      </c>
      <c r="L259">
        <v>1169</v>
      </c>
      <c r="M259">
        <v>311</v>
      </c>
      <c r="N259">
        <v>227</v>
      </c>
      <c r="O259">
        <v>132</v>
      </c>
      <c r="P259">
        <v>489</v>
      </c>
      <c r="Q259">
        <v>591</v>
      </c>
      <c r="R259">
        <v>258</v>
      </c>
    </row>
    <row r="260" spans="1:18">
      <c r="A260" s="1" t="s">
        <v>209</v>
      </c>
      <c r="B260">
        <v>33</v>
      </c>
      <c r="C260">
        <v>25</v>
      </c>
      <c r="D260">
        <v>8</v>
      </c>
      <c r="E260">
        <v>-3.37</v>
      </c>
      <c r="F260">
        <v>2616</v>
      </c>
      <c r="G260">
        <v>909</v>
      </c>
      <c r="H260">
        <v>1963</v>
      </c>
      <c r="I260">
        <v>511</v>
      </c>
      <c r="J260">
        <v>727</v>
      </c>
      <c r="K260">
        <v>410</v>
      </c>
      <c r="L260">
        <v>1247</v>
      </c>
      <c r="M260">
        <v>673</v>
      </c>
      <c r="N260">
        <v>257</v>
      </c>
      <c r="O260">
        <v>85</v>
      </c>
      <c r="P260">
        <v>442</v>
      </c>
      <c r="Q260">
        <v>661</v>
      </c>
      <c r="R260">
        <v>259</v>
      </c>
    </row>
    <row r="261" spans="1:18">
      <c r="A261" s="1" t="s">
        <v>293</v>
      </c>
      <c r="B261">
        <v>31</v>
      </c>
      <c r="C261">
        <v>11</v>
      </c>
      <c r="D261">
        <v>20</v>
      </c>
      <c r="E261">
        <v>-2.54</v>
      </c>
      <c r="F261">
        <v>1789</v>
      </c>
      <c r="G261">
        <v>620</v>
      </c>
      <c r="H261">
        <v>1365</v>
      </c>
      <c r="I261">
        <v>302</v>
      </c>
      <c r="J261">
        <v>453</v>
      </c>
      <c r="K261">
        <v>192</v>
      </c>
      <c r="L261">
        <v>867</v>
      </c>
      <c r="M261">
        <v>405</v>
      </c>
      <c r="N261">
        <v>162</v>
      </c>
      <c r="O261">
        <v>53</v>
      </c>
      <c r="P261">
        <v>399</v>
      </c>
      <c r="Q261">
        <v>443</v>
      </c>
      <c r="R261">
        <v>260</v>
      </c>
    </row>
    <row r="262" spans="1:18">
      <c r="A262" s="1" t="s">
        <v>210</v>
      </c>
      <c r="B262">
        <v>34</v>
      </c>
      <c r="C262">
        <v>25</v>
      </c>
      <c r="D262">
        <v>9</v>
      </c>
      <c r="E262">
        <v>4.21</v>
      </c>
      <c r="F262">
        <v>2389</v>
      </c>
      <c r="G262">
        <v>875</v>
      </c>
      <c r="H262">
        <v>1846</v>
      </c>
      <c r="I262">
        <v>460</v>
      </c>
      <c r="J262">
        <v>741</v>
      </c>
      <c r="K262">
        <v>444</v>
      </c>
      <c r="L262">
        <v>1257</v>
      </c>
      <c r="M262">
        <v>458</v>
      </c>
      <c r="N262">
        <v>251</v>
      </c>
      <c r="O262">
        <v>156</v>
      </c>
      <c r="P262">
        <v>453</v>
      </c>
      <c r="Q262">
        <v>552</v>
      </c>
      <c r="R262">
        <v>261</v>
      </c>
    </row>
    <row r="263" spans="1:18">
      <c r="A263" s="1" t="s">
        <v>211</v>
      </c>
      <c r="B263">
        <v>32</v>
      </c>
      <c r="C263">
        <v>11</v>
      </c>
      <c r="D263">
        <v>21</v>
      </c>
      <c r="E263">
        <v>1.98</v>
      </c>
      <c r="F263">
        <v>1996</v>
      </c>
      <c r="G263">
        <v>680</v>
      </c>
      <c r="H263">
        <v>1652</v>
      </c>
      <c r="I263">
        <v>416</v>
      </c>
      <c r="J263">
        <v>584</v>
      </c>
      <c r="K263">
        <v>298</v>
      </c>
      <c r="L263">
        <v>972</v>
      </c>
      <c r="M263">
        <v>367</v>
      </c>
      <c r="N263">
        <v>213</v>
      </c>
      <c r="O263">
        <v>96</v>
      </c>
      <c r="P263">
        <v>429</v>
      </c>
      <c r="Q263">
        <v>585</v>
      </c>
      <c r="R263">
        <v>262</v>
      </c>
    </row>
    <row r="264" spans="1:18">
      <c r="A264" s="1" t="s">
        <v>212</v>
      </c>
      <c r="B264">
        <v>30</v>
      </c>
      <c r="C264">
        <v>12</v>
      </c>
      <c r="D264">
        <v>18</v>
      </c>
      <c r="E264">
        <v>2.82</v>
      </c>
      <c r="F264">
        <v>2116</v>
      </c>
      <c r="G264">
        <v>723</v>
      </c>
      <c r="H264">
        <v>1618</v>
      </c>
      <c r="I264">
        <v>499</v>
      </c>
      <c r="J264">
        <v>727</v>
      </c>
      <c r="K264">
        <v>329</v>
      </c>
      <c r="L264">
        <v>1076</v>
      </c>
      <c r="M264">
        <v>369</v>
      </c>
      <c r="N264">
        <v>161</v>
      </c>
      <c r="O264">
        <v>59</v>
      </c>
      <c r="P264">
        <v>441</v>
      </c>
      <c r="Q264">
        <v>544</v>
      </c>
      <c r="R264">
        <v>263</v>
      </c>
    </row>
    <row r="265" spans="1:18">
      <c r="A265" s="1" t="s">
        <v>213</v>
      </c>
      <c r="B265">
        <v>31</v>
      </c>
      <c r="C265">
        <v>14</v>
      </c>
      <c r="D265">
        <v>17</v>
      </c>
      <c r="E265">
        <v>0.83</v>
      </c>
      <c r="F265">
        <v>2289</v>
      </c>
      <c r="G265">
        <v>796</v>
      </c>
      <c r="H265">
        <v>1748</v>
      </c>
      <c r="I265">
        <v>495</v>
      </c>
      <c r="J265">
        <v>680</v>
      </c>
      <c r="K265">
        <v>358</v>
      </c>
      <c r="L265">
        <v>1090</v>
      </c>
      <c r="M265">
        <v>416</v>
      </c>
      <c r="N265">
        <v>145</v>
      </c>
      <c r="O265">
        <v>81</v>
      </c>
      <c r="P265">
        <v>392</v>
      </c>
      <c r="Q265">
        <v>521</v>
      </c>
      <c r="R265">
        <v>264</v>
      </c>
    </row>
    <row r="266" spans="1:18">
      <c r="A266" s="1" t="s">
        <v>214</v>
      </c>
      <c r="B266">
        <v>32</v>
      </c>
      <c r="C266">
        <v>11</v>
      </c>
      <c r="D266">
        <v>21</v>
      </c>
      <c r="E266">
        <v>1.66</v>
      </c>
      <c r="F266">
        <v>2049</v>
      </c>
      <c r="G266">
        <v>696</v>
      </c>
      <c r="H266">
        <v>1692</v>
      </c>
      <c r="I266">
        <v>508</v>
      </c>
      <c r="J266">
        <v>743</v>
      </c>
      <c r="K266">
        <v>376</v>
      </c>
      <c r="L266">
        <v>1091</v>
      </c>
      <c r="M266">
        <v>316</v>
      </c>
      <c r="N266">
        <v>232</v>
      </c>
      <c r="O266">
        <v>121</v>
      </c>
      <c r="P266">
        <v>493</v>
      </c>
      <c r="Q266">
        <v>634</v>
      </c>
      <c r="R266">
        <v>265</v>
      </c>
    </row>
    <row r="267" spans="1:18">
      <c r="A267" s="1" t="s">
        <v>322</v>
      </c>
      <c r="B267">
        <v>26</v>
      </c>
      <c r="C267">
        <v>11</v>
      </c>
      <c r="D267">
        <v>15</v>
      </c>
      <c r="E267">
        <v>-5.75</v>
      </c>
      <c r="F267">
        <v>1528</v>
      </c>
      <c r="G267">
        <v>564</v>
      </c>
      <c r="H267">
        <v>1329</v>
      </c>
      <c r="I267">
        <v>288</v>
      </c>
      <c r="J267">
        <v>443</v>
      </c>
      <c r="K267">
        <v>292</v>
      </c>
      <c r="L267">
        <v>852</v>
      </c>
      <c r="M267">
        <v>303</v>
      </c>
      <c r="N267">
        <v>194</v>
      </c>
      <c r="O267">
        <v>74</v>
      </c>
      <c r="P267">
        <v>418</v>
      </c>
      <c r="Q267">
        <v>476</v>
      </c>
      <c r="R267">
        <v>266</v>
      </c>
    </row>
    <row r="268" spans="1:18">
      <c r="A268" s="1" t="s">
        <v>358</v>
      </c>
      <c r="B268">
        <v>31</v>
      </c>
      <c r="C268">
        <v>17</v>
      </c>
      <c r="D268">
        <v>14</v>
      </c>
      <c r="F268">
        <v>2489</v>
      </c>
      <c r="G268">
        <v>881</v>
      </c>
      <c r="H268">
        <v>1987</v>
      </c>
      <c r="I268">
        <v>563</v>
      </c>
      <c r="J268">
        <v>872</v>
      </c>
      <c r="K268">
        <v>465</v>
      </c>
      <c r="L268">
        <v>1244</v>
      </c>
      <c r="M268">
        <v>376</v>
      </c>
      <c r="N268">
        <v>288</v>
      </c>
      <c r="O268">
        <v>59</v>
      </c>
      <c r="P268">
        <v>549</v>
      </c>
      <c r="Q268">
        <v>727</v>
      </c>
      <c r="R268">
        <v>267</v>
      </c>
    </row>
    <row r="269" spans="1:18">
      <c r="A269" s="1" t="s">
        <v>294</v>
      </c>
      <c r="B269">
        <v>32</v>
      </c>
      <c r="C269">
        <v>19</v>
      </c>
      <c r="D269">
        <v>13</v>
      </c>
      <c r="E269">
        <v>5.78</v>
      </c>
      <c r="F269">
        <v>2563</v>
      </c>
      <c r="G269">
        <v>938</v>
      </c>
      <c r="H269">
        <v>2107</v>
      </c>
      <c r="I269">
        <v>478</v>
      </c>
      <c r="J269">
        <v>701</v>
      </c>
      <c r="K269">
        <v>456</v>
      </c>
      <c r="L269">
        <v>1240</v>
      </c>
      <c r="M269">
        <v>487</v>
      </c>
      <c r="N269">
        <v>236</v>
      </c>
      <c r="O269">
        <v>168</v>
      </c>
      <c r="P269">
        <v>342</v>
      </c>
      <c r="Q269">
        <v>602</v>
      </c>
      <c r="R269">
        <v>268</v>
      </c>
    </row>
    <row r="270" spans="1:18">
      <c r="A270" s="1" t="s">
        <v>215</v>
      </c>
      <c r="B270">
        <v>34</v>
      </c>
      <c r="C270">
        <v>27</v>
      </c>
      <c r="D270">
        <v>7</v>
      </c>
      <c r="E270">
        <v>-1.17</v>
      </c>
      <c r="F270">
        <v>2554</v>
      </c>
      <c r="G270">
        <v>930</v>
      </c>
      <c r="H270">
        <v>2048</v>
      </c>
      <c r="I270">
        <v>534</v>
      </c>
      <c r="J270">
        <v>793</v>
      </c>
      <c r="K270">
        <v>442</v>
      </c>
      <c r="L270">
        <v>1310</v>
      </c>
      <c r="M270">
        <v>486</v>
      </c>
      <c r="N270">
        <v>298</v>
      </c>
      <c r="O270">
        <v>119</v>
      </c>
      <c r="P270">
        <v>418</v>
      </c>
      <c r="Q270">
        <v>471</v>
      </c>
      <c r="R270">
        <v>269</v>
      </c>
    </row>
    <row r="271" spans="1:18">
      <c r="A271" s="1" t="s">
        <v>216</v>
      </c>
      <c r="B271">
        <v>32</v>
      </c>
      <c r="C271">
        <v>17</v>
      </c>
      <c r="D271">
        <v>15</v>
      </c>
      <c r="E271">
        <v>-3.82</v>
      </c>
      <c r="F271">
        <v>2124</v>
      </c>
      <c r="G271">
        <v>739</v>
      </c>
      <c r="H271">
        <v>1771</v>
      </c>
      <c r="I271">
        <v>486</v>
      </c>
      <c r="J271">
        <v>685</v>
      </c>
      <c r="K271">
        <v>395</v>
      </c>
      <c r="L271">
        <v>1163</v>
      </c>
      <c r="M271">
        <v>374</v>
      </c>
      <c r="N271">
        <v>193</v>
      </c>
      <c r="O271">
        <v>114</v>
      </c>
      <c r="P271">
        <v>462</v>
      </c>
      <c r="Q271">
        <v>588</v>
      </c>
      <c r="R271">
        <v>270</v>
      </c>
    </row>
    <row r="272" spans="1:18">
      <c r="A272" s="1" t="s">
        <v>295</v>
      </c>
      <c r="B272">
        <v>32</v>
      </c>
      <c r="C272">
        <v>18</v>
      </c>
      <c r="D272">
        <v>14</v>
      </c>
      <c r="E272">
        <v>-8.65</v>
      </c>
      <c r="F272">
        <v>2224</v>
      </c>
      <c r="G272">
        <v>784</v>
      </c>
      <c r="H272">
        <v>1766</v>
      </c>
      <c r="I272">
        <v>494</v>
      </c>
      <c r="J272">
        <v>675</v>
      </c>
      <c r="K272">
        <v>367</v>
      </c>
      <c r="L272">
        <v>1110</v>
      </c>
      <c r="M272">
        <v>423</v>
      </c>
      <c r="N272">
        <v>224</v>
      </c>
      <c r="O272">
        <v>92</v>
      </c>
      <c r="P272">
        <v>497</v>
      </c>
      <c r="Q272">
        <v>602</v>
      </c>
      <c r="R272">
        <v>271</v>
      </c>
    </row>
    <row r="273" spans="1:18">
      <c r="A273" s="1" t="s">
        <v>351</v>
      </c>
      <c r="B273">
        <v>29</v>
      </c>
      <c r="C273">
        <v>6</v>
      </c>
      <c r="D273">
        <v>23</v>
      </c>
      <c r="F273">
        <v>1741</v>
      </c>
      <c r="G273">
        <v>616</v>
      </c>
      <c r="H273">
        <v>1519</v>
      </c>
      <c r="I273">
        <v>351</v>
      </c>
      <c r="J273">
        <v>539</v>
      </c>
      <c r="K273">
        <v>331</v>
      </c>
      <c r="L273">
        <v>1011</v>
      </c>
      <c r="M273">
        <v>365</v>
      </c>
      <c r="N273">
        <v>202</v>
      </c>
      <c r="O273">
        <v>141</v>
      </c>
      <c r="P273">
        <v>481</v>
      </c>
      <c r="Q273">
        <v>528</v>
      </c>
      <c r="R273">
        <v>272</v>
      </c>
    </row>
    <row r="274" spans="1:18">
      <c r="A274" s="1" t="s">
        <v>217</v>
      </c>
      <c r="B274">
        <v>31</v>
      </c>
      <c r="C274">
        <v>15</v>
      </c>
      <c r="D274">
        <v>16</v>
      </c>
      <c r="E274">
        <v>7.29</v>
      </c>
      <c r="F274">
        <v>2227</v>
      </c>
      <c r="G274">
        <v>820</v>
      </c>
      <c r="H274">
        <v>1961</v>
      </c>
      <c r="I274">
        <v>371</v>
      </c>
      <c r="J274">
        <v>571</v>
      </c>
      <c r="K274">
        <v>411</v>
      </c>
      <c r="L274">
        <v>1078</v>
      </c>
      <c r="M274">
        <v>306</v>
      </c>
      <c r="N274">
        <v>269</v>
      </c>
      <c r="O274">
        <v>188</v>
      </c>
      <c r="P274">
        <v>382</v>
      </c>
      <c r="Q274">
        <v>549</v>
      </c>
      <c r="R274">
        <v>273</v>
      </c>
    </row>
    <row r="275" spans="1:18">
      <c r="A275" s="1" t="s">
        <v>341</v>
      </c>
      <c r="B275">
        <v>30</v>
      </c>
      <c r="C275">
        <v>14</v>
      </c>
      <c r="D275">
        <v>16</v>
      </c>
      <c r="E275">
        <v>-5.05</v>
      </c>
      <c r="F275">
        <v>2227</v>
      </c>
      <c r="G275">
        <v>721</v>
      </c>
      <c r="H275">
        <v>1710</v>
      </c>
      <c r="I275">
        <v>573</v>
      </c>
      <c r="J275">
        <v>769</v>
      </c>
      <c r="K275">
        <v>363</v>
      </c>
      <c r="L275">
        <v>1061</v>
      </c>
      <c r="M275">
        <v>351</v>
      </c>
      <c r="N275">
        <v>166</v>
      </c>
      <c r="O275">
        <v>67</v>
      </c>
      <c r="P275">
        <v>364</v>
      </c>
      <c r="Q275">
        <v>554</v>
      </c>
      <c r="R275">
        <v>274</v>
      </c>
    </row>
    <row r="276" spans="1:18">
      <c r="A276" s="1" t="s">
        <v>359</v>
      </c>
      <c r="B276">
        <v>32</v>
      </c>
      <c r="C276">
        <v>22</v>
      </c>
      <c r="D276">
        <v>10</v>
      </c>
      <c r="F276">
        <v>2543</v>
      </c>
      <c r="G276">
        <v>886</v>
      </c>
      <c r="H276">
        <v>1865</v>
      </c>
      <c r="I276">
        <v>527</v>
      </c>
      <c r="J276">
        <v>794</v>
      </c>
      <c r="K276">
        <v>297</v>
      </c>
      <c r="L276">
        <v>1210</v>
      </c>
      <c r="M276">
        <v>536</v>
      </c>
      <c r="N276">
        <v>222</v>
      </c>
      <c r="O276">
        <v>163</v>
      </c>
      <c r="P276">
        <v>463</v>
      </c>
      <c r="Q276">
        <v>447</v>
      </c>
      <c r="R276">
        <v>275</v>
      </c>
    </row>
    <row r="277" spans="1:18">
      <c r="A277" s="1" t="s">
        <v>218</v>
      </c>
      <c r="B277">
        <v>33</v>
      </c>
      <c r="C277">
        <v>20</v>
      </c>
      <c r="D277">
        <v>13</v>
      </c>
      <c r="E277">
        <v>7.21</v>
      </c>
      <c r="F277">
        <v>2226</v>
      </c>
      <c r="G277">
        <v>775</v>
      </c>
      <c r="H277">
        <v>1757</v>
      </c>
      <c r="I277">
        <v>543</v>
      </c>
      <c r="J277">
        <v>796</v>
      </c>
      <c r="K277">
        <v>384</v>
      </c>
      <c r="L277">
        <v>1170</v>
      </c>
      <c r="M277">
        <v>392</v>
      </c>
      <c r="N277">
        <v>205</v>
      </c>
      <c r="O277">
        <v>117</v>
      </c>
      <c r="P277">
        <v>415</v>
      </c>
      <c r="Q277">
        <v>563</v>
      </c>
      <c r="R277">
        <v>276</v>
      </c>
    </row>
    <row r="278" spans="1:18">
      <c r="A278" s="1" t="s">
        <v>296</v>
      </c>
      <c r="B278">
        <v>30</v>
      </c>
      <c r="C278">
        <v>7</v>
      </c>
      <c r="D278">
        <v>23</v>
      </c>
      <c r="E278">
        <v>-3.06</v>
      </c>
      <c r="F278">
        <v>1927</v>
      </c>
      <c r="G278">
        <v>662</v>
      </c>
      <c r="H278">
        <v>1621</v>
      </c>
      <c r="I278">
        <v>428</v>
      </c>
      <c r="J278">
        <v>656</v>
      </c>
      <c r="K278">
        <v>334</v>
      </c>
      <c r="L278">
        <v>1026</v>
      </c>
      <c r="M278">
        <v>335</v>
      </c>
      <c r="N278">
        <v>178</v>
      </c>
      <c r="O278">
        <v>73</v>
      </c>
      <c r="P278">
        <v>465</v>
      </c>
      <c r="Q278">
        <v>654</v>
      </c>
      <c r="R278">
        <v>277</v>
      </c>
    </row>
    <row r="279" spans="1:18">
      <c r="A279" s="1" t="s">
        <v>219</v>
      </c>
      <c r="B279">
        <v>31</v>
      </c>
      <c r="C279">
        <v>19</v>
      </c>
      <c r="D279">
        <v>12</v>
      </c>
      <c r="E279">
        <v>-6.21</v>
      </c>
      <c r="F279">
        <v>2255</v>
      </c>
      <c r="G279">
        <v>795</v>
      </c>
      <c r="H279">
        <v>1667</v>
      </c>
      <c r="I279">
        <v>456</v>
      </c>
      <c r="J279">
        <v>648</v>
      </c>
      <c r="K279">
        <v>288</v>
      </c>
      <c r="L279">
        <v>1042</v>
      </c>
      <c r="M279">
        <v>442</v>
      </c>
      <c r="N279">
        <v>231</v>
      </c>
      <c r="O279">
        <v>178</v>
      </c>
      <c r="P279">
        <v>460</v>
      </c>
      <c r="Q279">
        <v>614</v>
      </c>
      <c r="R279">
        <v>278</v>
      </c>
    </row>
    <row r="280" spans="1:18">
      <c r="A280" s="1" t="s">
        <v>220</v>
      </c>
      <c r="B280">
        <v>30</v>
      </c>
      <c r="C280">
        <v>16</v>
      </c>
      <c r="D280">
        <v>14</v>
      </c>
      <c r="E280">
        <v>6.47</v>
      </c>
      <c r="F280">
        <v>1789</v>
      </c>
      <c r="G280">
        <v>662</v>
      </c>
      <c r="H280">
        <v>1551</v>
      </c>
      <c r="I280">
        <v>358</v>
      </c>
      <c r="J280">
        <v>550</v>
      </c>
      <c r="K280">
        <v>331</v>
      </c>
      <c r="L280">
        <v>1047</v>
      </c>
      <c r="M280">
        <v>282</v>
      </c>
      <c r="N280">
        <v>171</v>
      </c>
      <c r="O280">
        <v>132</v>
      </c>
      <c r="P280">
        <v>434</v>
      </c>
      <c r="Q280">
        <v>531</v>
      </c>
      <c r="R280">
        <v>279</v>
      </c>
    </row>
    <row r="281" spans="1:18">
      <c r="A281" s="1" t="s">
        <v>355</v>
      </c>
      <c r="B281">
        <v>28</v>
      </c>
      <c r="C281">
        <v>5</v>
      </c>
      <c r="D281">
        <v>23</v>
      </c>
      <c r="F281">
        <v>1739</v>
      </c>
      <c r="G281">
        <v>612</v>
      </c>
      <c r="H281">
        <v>1565</v>
      </c>
      <c r="I281">
        <v>347</v>
      </c>
      <c r="J281">
        <v>494</v>
      </c>
      <c r="K281">
        <v>258</v>
      </c>
      <c r="L281">
        <v>914</v>
      </c>
      <c r="M281">
        <v>337</v>
      </c>
      <c r="N281">
        <v>146</v>
      </c>
      <c r="O281">
        <v>69</v>
      </c>
      <c r="P281">
        <v>409</v>
      </c>
      <c r="Q281">
        <v>555</v>
      </c>
      <c r="R281">
        <v>280</v>
      </c>
    </row>
    <row r="282" spans="1:18">
      <c r="A282" s="1" t="s">
        <v>221</v>
      </c>
      <c r="B282">
        <v>30</v>
      </c>
      <c r="C282">
        <v>15</v>
      </c>
      <c r="D282">
        <v>15</v>
      </c>
      <c r="E282">
        <v>1.27</v>
      </c>
      <c r="F282">
        <v>2104</v>
      </c>
      <c r="G282">
        <v>740</v>
      </c>
      <c r="H282">
        <v>1614</v>
      </c>
      <c r="I282">
        <v>420</v>
      </c>
      <c r="J282">
        <v>608</v>
      </c>
      <c r="K282">
        <v>300</v>
      </c>
      <c r="L282">
        <v>978</v>
      </c>
      <c r="M282">
        <v>411</v>
      </c>
      <c r="N282">
        <v>192</v>
      </c>
      <c r="O282">
        <v>83</v>
      </c>
      <c r="P282">
        <v>405</v>
      </c>
      <c r="Q282">
        <v>629</v>
      </c>
      <c r="R282">
        <v>281</v>
      </c>
    </row>
    <row r="283" spans="1:18">
      <c r="A283" s="1" t="s">
        <v>222</v>
      </c>
      <c r="B283">
        <v>31</v>
      </c>
      <c r="C283">
        <v>14</v>
      </c>
      <c r="D283">
        <v>17</v>
      </c>
      <c r="E283">
        <v>3.78</v>
      </c>
      <c r="F283">
        <v>2053</v>
      </c>
      <c r="G283">
        <v>710</v>
      </c>
      <c r="H283">
        <v>1554</v>
      </c>
      <c r="I283">
        <v>450</v>
      </c>
      <c r="J283">
        <v>643</v>
      </c>
      <c r="K283">
        <v>315</v>
      </c>
      <c r="L283">
        <v>1032</v>
      </c>
      <c r="M283">
        <v>333</v>
      </c>
      <c r="N283">
        <v>176</v>
      </c>
      <c r="O283">
        <v>76</v>
      </c>
      <c r="P283">
        <v>425</v>
      </c>
      <c r="Q283">
        <v>518</v>
      </c>
      <c r="R283">
        <v>282</v>
      </c>
    </row>
    <row r="284" spans="1:18">
      <c r="A284" s="1" t="s">
        <v>223</v>
      </c>
      <c r="B284">
        <v>34</v>
      </c>
      <c r="C284">
        <v>20</v>
      </c>
      <c r="D284">
        <v>14</v>
      </c>
      <c r="E284">
        <v>2.25</v>
      </c>
      <c r="F284">
        <v>2200</v>
      </c>
      <c r="G284">
        <v>758</v>
      </c>
      <c r="H284">
        <v>1821</v>
      </c>
      <c r="I284">
        <v>529</v>
      </c>
      <c r="J284">
        <v>733</v>
      </c>
      <c r="K284">
        <v>444</v>
      </c>
      <c r="L284">
        <v>1285</v>
      </c>
      <c r="M284">
        <v>326</v>
      </c>
      <c r="N284">
        <v>179</v>
      </c>
      <c r="O284">
        <v>121</v>
      </c>
      <c r="P284">
        <v>432</v>
      </c>
      <c r="Q284">
        <v>614</v>
      </c>
      <c r="R284">
        <v>283</v>
      </c>
    </row>
    <row r="285" spans="1:18">
      <c r="A285" s="1" t="s">
        <v>224</v>
      </c>
      <c r="B285">
        <v>29</v>
      </c>
      <c r="C285">
        <v>7</v>
      </c>
      <c r="D285">
        <v>22</v>
      </c>
      <c r="E285">
        <v>-4.75</v>
      </c>
      <c r="F285">
        <v>1861</v>
      </c>
      <c r="G285">
        <v>660</v>
      </c>
      <c r="H285">
        <v>1498</v>
      </c>
      <c r="I285">
        <v>411</v>
      </c>
      <c r="J285">
        <v>566</v>
      </c>
      <c r="K285">
        <v>294</v>
      </c>
      <c r="L285">
        <v>1012</v>
      </c>
      <c r="M285">
        <v>340</v>
      </c>
      <c r="N285">
        <v>165</v>
      </c>
      <c r="O285">
        <v>112</v>
      </c>
      <c r="P285">
        <v>528</v>
      </c>
      <c r="Q285">
        <v>585</v>
      </c>
      <c r="R285">
        <v>284</v>
      </c>
    </row>
    <row r="286" spans="1:18">
      <c r="A286" s="1" t="s">
        <v>225</v>
      </c>
      <c r="B286">
        <v>30</v>
      </c>
      <c r="C286">
        <v>5</v>
      </c>
      <c r="D286">
        <v>25</v>
      </c>
      <c r="E286">
        <v>-10.96</v>
      </c>
      <c r="F286">
        <v>1802</v>
      </c>
      <c r="G286">
        <v>647</v>
      </c>
      <c r="H286">
        <v>1675</v>
      </c>
      <c r="I286">
        <v>368</v>
      </c>
      <c r="J286">
        <v>616</v>
      </c>
      <c r="K286">
        <v>330</v>
      </c>
      <c r="L286">
        <v>1025</v>
      </c>
      <c r="M286">
        <v>363</v>
      </c>
      <c r="N286">
        <v>177</v>
      </c>
      <c r="O286">
        <v>114</v>
      </c>
      <c r="P286">
        <v>489</v>
      </c>
      <c r="Q286">
        <v>502</v>
      </c>
      <c r="R286">
        <v>285</v>
      </c>
    </row>
    <row r="287" spans="1:18">
      <c r="A287" s="1" t="s">
        <v>297</v>
      </c>
      <c r="B287">
        <v>31</v>
      </c>
      <c r="C287">
        <v>15</v>
      </c>
      <c r="D287">
        <v>16</v>
      </c>
      <c r="E287">
        <v>1.96</v>
      </c>
      <c r="F287">
        <v>2173</v>
      </c>
      <c r="G287">
        <v>803</v>
      </c>
      <c r="H287">
        <v>1734</v>
      </c>
      <c r="I287">
        <v>406</v>
      </c>
      <c r="J287">
        <v>614</v>
      </c>
      <c r="K287">
        <v>349</v>
      </c>
      <c r="L287">
        <v>1099</v>
      </c>
      <c r="M287">
        <v>458</v>
      </c>
      <c r="N287">
        <v>180</v>
      </c>
      <c r="O287">
        <v>119</v>
      </c>
      <c r="P287">
        <v>446</v>
      </c>
      <c r="Q287">
        <v>598</v>
      </c>
      <c r="R287">
        <v>286</v>
      </c>
    </row>
    <row r="288" spans="1:18">
      <c r="A288" s="1" t="s">
        <v>226</v>
      </c>
      <c r="B288">
        <v>29</v>
      </c>
      <c r="C288">
        <v>11</v>
      </c>
      <c r="D288">
        <v>18</v>
      </c>
      <c r="E288">
        <v>-8.42</v>
      </c>
      <c r="F288">
        <v>1753</v>
      </c>
      <c r="G288">
        <v>610</v>
      </c>
      <c r="H288">
        <v>1525</v>
      </c>
      <c r="I288">
        <v>343</v>
      </c>
      <c r="J288">
        <v>558</v>
      </c>
      <c r="K288">
        <v>324</v>
      </c>
      <c r="L288">
        <v>944</v>
      </c>
      <c r="M288">
        <v>344</v>
      </c>
      <c r="N288">
        <v>232</v>
      </c>
      <c r="O288">
        <v>87</v>
      </c>
      <c r="P288">
        <v>449</v>
      </c>
      <c r="Q288">
        <v>545</v>
      </c>
      <c r="R288">
        <v>287</v>
      </c>
    </row>
    <row r="289" spans="1:18">
      <c r="A289" s="1" t="s">
        <v>298</v>
      </c>
      <c r="B289">
        <v>33</v>
      </c>
      <c r="C289">
        <v>17</v>
      </c>
      <c r="D289">
        <v>16</v>
      </c>
      <c r="E289">
        <v>8.6999999999999993</v>
      </c>
      <c r="F289">
        <v>2251</v>
      </c>
      <c r="G289">
        <v>817</v>
      </c>
      <c r="H289">
        <v>1927</v>
      </c>
      <c r="I289">
        <v>397</v>
      </c>
      <c r="J289">
        <v>609</v>
      </c>
      <c r="K289">
        <v>432</v>
      </c>
      <c r="L289">
        <v>1219</v>
      </c>
      <c r="M289">
        <v>432</v>
      </c>
      <c r="N289">
        <v>222</v>
      </c>
      <c r="O289">
        <v>124</v>
      </c>
      <c r="P289">
        <v>409</v>
      </c>
      <c r="Q289">
        <v>607</v>
      </c>
      <c r="R289">
        <v>288</v>
      </c>
    </row>
    <row r="290" spans="1:18">
      <c r="A290" s="1" t="s">
        <v>342</v>
      </c>
      <c r="B290">
        <v>32</v>
      </c>
      <c r="C290">
        <v>14</v>
      </c>
      <c r="D290">
        <v>18</v>
      </c>
      <c r="E290">
        <v>6.5</v>
      </c>
      <c r="F290">
        <v>2212</v>
      </c>
      <c r="G290">
        <v>779</v>
      </c>
      <c r="H290">
        <v>1796</v>
      </c>
      <c r="I290">
        <v>444</v>
      </c>
      <c r="J290">
        <v>669</v>
      </c>
      <c r="K290">
        <v>337</v>
      </c>
      <c r="L290">
        <v>1081</v>
      </c>
      <c r="M290">
        <v>419</v>
      </c>
      <c r="N290">
        <v>172</v>
      </c>
      <c r="O290">
        <v>54</v>
      </c>
      <c r="P290">
        <v>388</v>
      </c>
      <c r="Q290">
        <v>561</v>
      </c>
      <c r="R290">
        <v>289</v>
      </c>
    </row>
    <row r="291" spans="1:18">
      <c r="A291" s="1" t="s">
        <v>227</v>
      </c>
      <c r="B291">
        <v>32</v>
      </c>
      <c r="C291">
        <v>23</v>
      </c>
      <c r="D291">
        <v>9</v>
      </c>
      <c r="E291">
        <v>-6.9</v>
      </c>
      <c r="F291">
        <v>2126</v>
      </c>
      <c r="G291">
        <v>779</v>
      </c>
      <c r="H291">
        <v>1703</v>
      </c>
      <c r="I291">
        <v>433</v>
      </c>
      <c r="J291">
        <v>611</v>
      </c>
      <c r="K291">
        <v>378</v>
      </c>
      <c r="L291">
        <v>1085</v>
      </c>
      <c r="M291">
        <v>429</v>
      </c>
      <c r="N291">
        <v>216</v>
      </c>
      <c r="O291">
        <v>69</v>
      </c>
      <c r="P291">
        <v>413</v>
      </c>
      <c r="Q291">
        <v>565</v>
      </c>
      <c r="R291">
        <v>290</v>
      </c>
    </row>
    <row r="292" spans="1:18">
      <c r="A292" s="1" t="s">
        <v>228</v>
      </c>
      <c r="B292">
        <v>29</v>
      </c>
      <c r="C292">
        <v>7</v>
      </c>
      <c r="D292">
        <v>22</v>
      </c>
      <c r="E292">
        <v>-2.14</v>
      </c>
      <c r="F292">
        <v>1744</v>
      </c>
      <c r="G292">
        <v>614</v>
      </c>
      <c r="H292">
        <v>1581</v>
      </c>
      <c r="I292">
        <v>316</v>
      </c>
      <c r="J292">
        <v>517</v>
      </c>
      <c r="K292">
        <v>294</v>
      </c>
      <c r="L292">
        <v>898</v>
      </c>
      <c r="M292">
        <v>323</v>
      </c>
      <c r="N292">
        <v>186</v>
      </c>
      <c r="O292">
        <v>74</v>
      </c>
      <c r="P292">
        <v>423</v>
      </c>
      <c r="Q292">
        <v>566</v>
      </c>
      <c r="R292">
        <v>291</v>
      </c>
    </row>
    <row r="293" spans="1:18">
      <c r="A293" s="1" t="s">
        <v>229</v>
      </c>
      <c r="B293">
        <v>32</v>
      </c>
      <c r="C293">
        <v>22</v>
      </c>
      <c r="D293">
        <v>10</v>
      </c>
      <c r="E293">
        <v>-7.64</v>
      </c>
      <c r="F293">
        <v>2205</v>
      </c>
      <c r="G293">
        <v>776</v>
      </c>
      <c r="H293">
        <v>1804</v>
      </c>
      <c r="I293">
        <v>459</v>
      </c>
      <c r="J293">
        <v>663</v>
      </c>
      <c r="K293">
        <v>373</v>
      </c>
      <c r="L293">
        <v>1164</v>
      </c>
      <c r="M293">
        <v>371</v>
      </c>
      <c r="N293">
        <v>229</v>
      </c>
      <c r="O293">
        <v>62</v>
      </c>
      <c r="P293">
        <v>404</v>
      </c>
      <c r="Q293">
        <v>571</v>
      </c>
      <c r="R293">
        <v>292</v>
      </c>
    </row>
    <row r="294" spans="1:18">
      <c r="A294" s="1" t="s">
        <v>313</v>
      </c>
      <c r="B294">
        <v>35</v>
      </c>
      <c r="C294">
        <v>30</v>
      </c>
      <c r="D294">
        <v>5</v>
      </c>
      <c r="E294">
        <v>7.21</v>
      </c>
      <c r="F294">
        <v>2832</v>
      </c>
      <c r="G294">
        <v>1042</v>
      </c>
      <c r="H294">
        <v>2021</v>
      </c>
      <c r="I294">
        <v>504</v>
      </c>
      <c r="J294">
        <v>745</v>
      </c>
      <c r="K294">
        <v>417</v>
      </c>
      <c r="L294">
        <v>1337</v>
      </c>
      <c r="M294">
        <v>673</v>
      </c>
      <c r="N294">
        <v>336</v>
      </c>
      <c r="O294">
        <v>221</v>
      </c>
      <c r="P294">
        <v>532</v>
      </c>
      <c r="Q294">
        <v>515</v>
      </c>
      <c r="R294">
        <v>293</v>
      </c>
    </row>
    <row r="295" spans="1:18">
      <c r="A295" s="1" t="s">
        <v>314</v>
      </c>
      <c r="B295">
        <v>35</v>
      </c>
      <c r="C295">
        <v>29</v>
      </c>
      <c r="D295">
        <v>6</v>
      </c>
      <c r="E295">
        <v>4.2699999999999996</v>
      </c>
      <c r="F295">
        <v>2273</v>
      </c>
      <c r="G295">
        <v>851</v>
      </c>
      <c r="H295">
        <v>1942</v>
      </c>
      <c r="I295">
        <v>367</v>
      </c>
      <c r="J295">
        <v>533</v>
      </c>
      <c r="K295">
        <v>377</v>
      </c>
      <c r="L295">
        <v>1281</v>
      </c>
      <c r="M295">
        <v>515</v>
      </c>
      <c r="N295">
        <v>163</v>
      </c>
      <c r="O295">
        <v>104</v>
      </c>
      <c r="P295">
        <v>358</v>
      </c>
      <c r="Q295">
        <v>521</v>
      </c>
      <c r="R295">
        <v>294</v>
      </c>
    </row>
    <row r="296" spans="1:18">
      <c r="A296" s="1" t="s">
        <v>230</v>
      </c>
      <c r="B296">
        <v>29</v>
      </c>
      <c r="C296">
        <v>4</v>
      </c>
      <c r="D296">
        <v>25</v>
      </c>
      <c r="E296">
        <v>-2.06</v>
      </c>
      <c r="F296">
        <v>1860</v>
      </c>
      <c r="G296">
        <v>639</v>
      </c>
      <c r="H296">
        <v>1677</v>
      </c>
      <c r="I296">
        <v>431</v>
      </c>
      <c r="J296">
        <v>642</v>
      </c>
      <c r="K296">
        <v>381</v>
      </c>
      <c r="L296">
        <v>1041</v>
      </c>
      <c r="M296">
        <v>313</v>
      </c>
      <c r="N296">
        <v>205</v>
      </c>
      <c r="O296">
        <v>97</v>
      </c>
      <c r="P296">
        <v>454</v>
      </c>
      <c r="Q296">
        <v>558</v>
      </c>
      <c r="R296">
        <v>295</v>
      </c>
    </row>
    <row r="297" spans="1:18">
      <c r="A297" s="1" t="s">
        <v>231</v>
      </c>
      <c r="B297">
        <v>32</v>
      </c>
      <c r="C297">
        <v>9</v>
      </c>
      <c r="D297">
        <v>23</v>
      </c>
      <c r="E297">
        <v>-2.69</v>
      </c>
      <c r="F297">
        <v>2154</v>
      </c>
      <c r="G297">
        <v>750</v>
      </c>
      <c r="H297">
        <v>1844</v>
      </c>
      <c r="I297">
        <v>396</v>
      </c>
      <c r="J297">
        <v>562</v>
      </c>
      <c r="K297">
        <v>392</v>
      </c>
      <c r="L297">
        <v>1063</v>
      </c>
      <c r="M297">
        <v>397</v>
      </c>
      <c r="N297">
        <v>254</v>
      </c>
      <c r="O297">
        <v>76</v>
      </c>
      <c r="P297">
        <v>511</v>
      </c>
      <c r="Q297">
        <v>631</v>
      </c>
      <c r="R297">
        <v>296</v>
      </c>
    </row>
    <row r="298" spans="1:18">
      <c r="A298" s="1" t="s">
        <v>232</v>
      </c>
      <c r="B298">
        <v>32</v>
      </c>
      <c r="C298">
        <v>15</v>
      </c>
      <c r="D298">
        <v>17</v>
      </c>
      <c r="E298">
        <v>-2.5099999999999998</v>
      </c>
      <c r="F298">
        <v>2375</v>
      </c>
      <c r="G298">
        <v>845</v>
      </c>
      <c r="H298">
        <v>1801</v>
      </c>
      <c r="I298">
        <v>499</v>
      </c>
      <c r="J298">
        <v>720</v>
      </c>
      <c r="K298">
        <v>383</v>
      </c>
      <c r="L298">
        <v>1105</v>
      </c>
      <c r="M298">
        <v>423</v>
      </c>
      <c r="N298">
        <v>201</v>
      </c>
      <c r="O298">
        <v>75</v>
      </c>
      <c r="P298">
        <v>481</v>
      </c>
      <c r="Q298">
        <v>696</v>
      </c>
      <c r="R298">
        <v>297</v>
      </c>
    </row>
    <row r="299" spans="1:18">
      <c r="A299" s="1" t="s">
        <v>315</v>
      </c>
      <c r="B299">
        <v>37</v>
      </c>
      <c r="C299">
        <v>28</v>
      </c>
      <c r="D299">
        <v>9</v>
      </c>
      <c r="E299">
        <v>7.75</v>
      </c>
      <c r="F299">
        <v>2720</v>
      </c>
      <c r="G299">
        <v>991</v>
      </c>
      <c r="H299">
        <v>2174</v>
      </c>
      <c r="I299">
        <v>520</v>
      </c>
      <c r="J299">
        <v>775</v>
      </c>
      <c r="K299">
        <v>441</v>
      </c>
      <c r="L299">
        <v>1353</v>
      </c>
      <c r="M299">
        <v>530</v>
      </c>
      <c r="N299">
        <v>290</v>
      </c>
      <c r="O299">
        <v>136</v>
      </c>
      <c r="P299">
        <v>490</v>
      </c>
      <c r="Q299">
        <v>733</v>
      </c>
      <c r="R299">
        <v>298</v>
      </c>
    </row>
    <row r="300" spans="1:18">
      <c r="A300" s="1" t="s">
        <v>323</v>
      </c>
      <c r="B300">
        <v>32</v>
      </c>
      <c r="C300">
        <v>17</v>
      </c>
      <c r="D300">
        <v>15</v>
      </c>
      <c r="E300">
        <v>-2.83</v>
      </c>
      <c r="F300">
        <v>2184</v>
      </c>
      <c r="G300">
        <v>770</v>
      </c>
      <c r="H300">
        <v>1681</v>
      </c>
      <c r="I300">
        <v>480</v>
      </c>
      <c r="J300">
        <v>723</v>
      </c>
      <c r="K300">
        <v>389</v>
      </c>
      <c r="L300">
        <v>1161</v>
      </c>
      <c r="M300">
        <v>422</v>
      </c>
      <c r="N300">
        <v>250</v>
      </c>
      <c r="O300">
        <v>122</v>
      </c>
      <c r="P300">
        <v>556</v>
      </c>
      <c r="Q300">
        <v>584</v>
      </c>
      <c r="R300">
        <v>299</v>
      </c>
    </row>
    <row r="301" spans="1:18">
      <c r="A301" s="1" t="s">
        <v>233</v>
      </c>
      <c r="B301">
        <v>34</v>
      </c>
      <c r="C301">
        <v>24</v>
      </c>
      <c r="D301">
        <v>10</v>
      </c>
      <c r="E301">
        <v>9.8000000000000007</v>
      </c>
      <c r="F301">
        <v>2426</v>
      </c>
      <c r="G301">
        <v>813</v>
      </c>
      <c r="H301">
        <v>1846</v>
      </c>
      <c r="I301">
        <v>590</v>
      </c>
      <c r="J301">
        <v>892</v>
      </c>
      <c r="K301">
        <v>400</v>
      </c>
      <c r="L301">
        <v>1252</v>
      </c>
      <c r="M301">
        <v>417</v>
      </c>
      <c r="N301">
        <v>223</v>
      </c>
      <c r="O301">
        <v>113</v>
      </c>
      <c r="P301">
        <v>417</v>
      </c>
      <c r="Q301">
        <v>619</v>
      </c>
      <c r="R301">
        <v>300</v>
      </c>
    </row>
    <row r="302" spans="1:18">
      <c r="A302" s="1" t="s">
        <v>234</v>
      </c>
      <c r="B302">
        <v>30</v>
      </c>
      <c r="C302">
        <v>16</v>
      </c>
      <c r="D302">
        <v>14</v>
      </c>
      <c r="E302">
        <v>-3.97</v>
      </c>
      <c r="F302">
        <v>2216</v>
      </c>
      <c r="G302">
        <v>745</v>
      </c>
      <c r="H302">
        <v>1739</v>
      </c>
      <c r="I302">
        <v>530</v>
      </c>
      <c r="J302">
        <v>770</v>
      </c>
      <c r="K302">
        <v>367</v>
      </c>
      <c r="L302">
        <v>1082</v>
      </c>
      <c r="M302">
        <v>364</v>
      </c>
      <c r="N302">
        <v>208</v>
      </c>
      <c r="O302">
        <v>108</v>
      </c>
      <c r="P302">
        <v>452</v>
      </c>
      <c r="Q302">
        <v>705</v>
      </c>
      <c r="R302">
        <v>301</v>
      </c>
    </row>
    <row r="303" spans="1:18">
      <c r="A303" s="1" t="s">
        <v>235</v>
      </c>
      <c r="B303">
        <v>32</v>
      </c>
      <c r="C303">
        <v>13</v>
      </c>
      <c r="D303">
        <v>19</v>
      </c>
      <c r="E303">
        <v>4.1500000000000004</v>
      </c>
      <c r="F303">
        <v>2169</v>
      </c>
      <c r="G303">
        <v>759</v>
      </c>
      <c r="H303">
        <v>1707</v>
      </c>
      <c r="I303">
        <v>403</v>
      </c>
      <c r="J303">
        <v>576</v>
      </c>
      <c r="K303">
        <v>297</v>
      </c>
      <c r="L303">
        <v>1021</v>
      </c>
      <c r="M303">
        <v>441</v>
      </c>
      <c r="N303">
        <v>169</v>
      </c>
      <c r="O303">
        <v>61</v>
      </c>
      <c r="P303">
        <v>449</v>
      </c>
      <c r="Q303">
        <v>612</v>
      </c>
      <c r="R303">
        <v>302</v>
      </c>
    </row>
    <row r="304" spans="1:18">
      <c r="A304" s="1" t="s">
        <v>236</v>
      </c>
      <c r="B304">
        <v>33</v>
      </c>
      <c r="C304">
        <v>26</v>
      </c>
      <c r="D304">
        <v>7</v>
      </c>
      <c r="E304">
        <v>1.96</v>
      </c>
      <c r="F304">
        <v>2484</v>
      </c>
      <c r="G304">
        <v>891</v>
      </c>
      <c r="H304">
        <v>1879</v>
      </c>
      <c r="I304">
        <v>501</v>
      </c>
      <c r="J304">
        <v>744</v>
      </c>
      <c r="K304">
        <v>323</v>
      </c>
      <c r="L304">
        <v>1193</v>
      </c>
      <c r="M304">
        <v>488</v>
      </c>
      <c r="N304">
        <v>288</v>
      </c>
      <c r="O304">
        <v>120</v>
      </c>
      <c r="P304">
        <v>435</v>
      </c>
      <c r="Q304">
        <v>643</v>
      </c>
      <c r="R304">
        <v>303</v>
      </c>
    </row>
    <row r="305" spans="1:18">
      <c r="A305" s="1" t="s">
        <v>237</v>
      </c>
      <c r="B305">
        <v>33</v>
      </c>
      <c r="C305">
        <v>6</v>
      </c>
      <c r="D305">
        <v>27</v>
      </c>
      <c r="E305">
        <v>-4.47</v>
      </c>
      <c r="F305">
        <v>2019</v>
      </c>
      <c r="G305">
        <v>693</v>
      </c>
      <c r="H305">
        <v>1781</v>
      </c>
      <c r="I305">
        <v>422</v>
      </c>
      <c r="J305">
        <v>655</v>
      </c>
      <c r="K305">
        <v>292</v>
      </c>
      <c r="L305">
        <v>1005</v>
      </c>
      <c r="M305">
        <v>379</v>
      </c>
      <c r="N305">
        <v>218</v>
      </c>
      <c r="O305">
        <v>48</v>
      </c>
      <c r="P305">
        <v>473</v>
      </c>
      <c r="Q305">
        <v>668</v>
      </c>
      <c r="R305">
        <v>304</v>
      </c>
    </row>
    <row r="306" spans="1:18">
      <c r="A306" s="1" t="s">
        <v>238</v>
      </c>
      <c r="B306">
        <v>30</v>
      </c>
      <c r="C306">
        <v>19</v>
      </c>
      <c r="D306">
        <v>11</v>
      </c>
      <c r="E306">
        <v>-5.44</v>
      </c>
      <c r="F306">
        <v>2121</v>
      </c>
      <c r="G306">
        <v>740</v>
      </c>
      <c r="H306">
        <v>1683</v>
      </c>
      <c r="I306">
        <v>451</v>
      </c>
      <c r="J306">
        <v>593</v>
      </c>
      <c r="K306">
        <v>342</v>
      </c>
      <c r="L306">
        <v>1029</v>
      </c>
      <c r="M306">
        <v>352</v>
      </c>
      <c r="N306">
        <v>199</v>
      </c>
      <c r="O306">
        <v>50</v>
      </c>
      <c r="P306">
        <v>347</v>
      </c>
      <c r="Q306">
        <v>499</v>
      </c>
      <c r="R306">
        <v>305</v>
      </c>
    </row>
    <row r="307" spans="1:18">
      <c r="A307" s="1" t="s">
        <v>239</v>
      </c>
      <c r="B307">
        <v>33</v>
      </c>
      <c r="C307">
        <v>17</v>
      </c>
      <c r="D307">
        <v>16</v>
      </c>
      <c r="E307">
        <v>-11.38</v>
      </c>
      <c r="F307">
        <v>2241</v>
      </c>
      <c r="G307">
        <v>822</v>
      </c>
      <c r="H307">
        <v>1765</v>
      </c>
      <c r="I307">
        <v>457</v>
      </c>
      <c r="J307">
        <v>722</v>
      </c>
      <c r="K307">
        <v>362</v>
      </c>
      <c r="L307">
        <v>1104</v>
      </c>
      <c r="M307">
        <v>402</v>
      </c>
      <c r="N307">
        <v>341</v>
      </c>
      <c r="O307">
        <v>122</v>
      </c>
      <c r="P307">
        <v>574</v>
      </c>
      <c r="Q307">
        <v>690</v>
      </c>
      <c r="R307">
        <v>306</v>
      </c>
    </row>
    <row r="308" spans="1:18">
      <c r="A308" s="1" t="s">
        <v>240</v>
      </c>
      <c r="B308">
        <v>31</v>
      </c>
      <c r="C308">
        <v>15</v>
      </c>
      <c r="D308">
        <v>16</v>
      </c>
      <c r="E308">
        <v>-3.3</v>
      </c>
      <c r="F308">
        <v>2392</v>
      </c>
      <c r="G308">
        <v>793</v>
      </c>
      <c r="H308">
        <v>1902</v>
      </c>
      <c r="I308">
        <v>592</v>
      </c>
      <c r="J308">
        <v>886</v>
      </c>
      <c r="K308">
        <v>466</v>
      </c>
      <c r="L308">
        <v>1226</v>
      </c>
      <c r="M308">
        <v>449</v>
      </c>
      <c r="N308">
        <v>285</v>
      </c>
      <c r="O308">
        <v>96</v>
      </c>
      <c r="P308">
        <v>556</v>
      </c>
      <c r="Q308">
        <v>773</v>
      </c>
      <c r="R308">
        <v>307</v>
      </c>
    </row>
    <row r="309" spans="1:18">
      <c r="A309" s="1" t="s">
        <v>241</v>
      </c>
      <c r="B309">
        <v>35</v>
      </c>
      <c r="C309">
        <v>19</v>
      </c>
      <c r="D309">
        <v>16</v>
      </c>
      <c r="E309">
        <v>8.4700000000000006</v>
      </c>
      <c r="F309">
        <v>2684</v>
      </c>
      <c r="G309">
        <v>922</v>
      </c>
      <c r="H309">
        <v>2103</v>
      </c>
      <c r="I309">
        <v>644</v>
      </c>
      <c r="J309">
        <v>901</v>
      </c>
      <c r="K309">
        <v>422</v>
      </c>
      <c r="L309">
        <v>1298</v>
      </c>
      <c r="M309">
        <v>502</v>
      </c>
      <c r="N309">
        <v>239</v>
      </c>
      <c r="O309">
        <v>153</v>
      </c>
      <c r="P309">
        <v>481</v>
      </c>
      <c r="Q309">
        <v>748</v>
      </c>
      <c r="R309">
        <v>308</v>
      </c>
    </row>
    <row r="310" spans="1:18">
      <c r="A310" s="1" t="s">
        <v>362</v>
      </c>
      <c r="B310">
        <v>34</v>
      </c>
      <c r="C310">
        <v>24</v>
      </c>
      <c r="D310">
        <v>10</v>
      </c>
      <c r="E310">
        <v>7.38</v>
      </c>
      <c r="F310">
        <v>2761</v>
      </c>
      <c r="G310">
        <v>1005</v>
      </c>
      <c r="H310">
        <v>2158</v>
      </c>
      <c r="I310">
        <v>556</v>
      </c>
      <c r="J310">
        <v>878</v>
      </c>
      <c r="K310">
        <v>503</v>
      </c>
      <c r="L310">
        <v>1425</v>
      </c>
      <c r="M310">
        <v>489</v>
      </c>
      <c r="N310">
        <v>269</v>
      </c>
      <c r="O310">
        <v>194</v>
      </c>
      <c r="P310">
        <v>464</v>
      </c>
      <c r="Q310">
        <v>670</v>
      </c>
      <c r="R310">
        <v>309</v>
      </c>
    </row>
    <row r="311" spans="1:18">
      <c r="A311" s="1" t="s">
        <v>242</v>
      </c>
      <c r="B311">
        <v>32</v>
      </c>
      <c r="C311">
        <v>4</v>
      </c>
      <c r="D311">
        <v>28</v>
      </c>
      <c r="E311">
        <v>-0.77</v>
      </c>
      <c r="F311">
        <v>1734</v>
      </c>
      <c r="G311">
        <v>645</v>
      </c>
      <c r="H311">
        <v>1572</v>
      </c>
      <c r="I311">
        <v>276</v>
      </c>
      <c r="J311">
        <v>440</v>
      </c>
      <c r="K311">
        <v>278</v>
      </c>
      <c r="L311">
        <v>984</v>
      </c>
      <c r="M311">
        <v>346</v>
      </c>
      <c r="N311">
        <v>137</v>
      </c>
      <c r="O311">
        <v>59</v>
      </c>
      <c r="P311">
        <v>464</v>
      </c>
      <c r="Q311">
        <v>562</v>
      </c>
      <c r="R311">
        <v>310</v>
      </c>
    </row>
    <row r="312" spans="1:18">
      <c r="A312" s="1" t="s">
        <v>243</v>
      </c>
      <c r="B312">
        <v>31</v>
      </c>
      <c r="C312">
        <v>10</v>
      </c>
      <c r="D312">
        <v>21</v>
      </c>
      <c r="E312">
        <v>-0.75</v>
      </c>
      <c r="F312">
        <v>2124</v>
      </c>
      <c r="G312">
        <v>751</v>
      </c>
      <c r="H312">
        <v>1796</v>
      </c>
      <c r="I312">
        <v>426</v>
      </c>
      <c r="J312">
        <v>638</v>
      </c>
      <c r="K312">
        <v>370</v>
      </c>
      <c r="L312">
        <v>1063</v>
      </c>
      <c r="M312">
        <v>391</v>
      </c>
      <c r="N312">
        <v>195</v>
      </c>
      <c r="O312">
        <v>151</v>
      </c>
      <c r="P312">
        <v>396</v>
      </c>
      <c r="Q312">
        <v>524</v>
      </c>
      <c r="R312">
        <v>311</v>
      </c>
    </row>
    <row r="313" spans="1:18">
      <c r="A313" s="1" t="s">
        <v>244</v>
      </c>
      <c r="B313">
        <v>33</v>
      </c>
      <c r="C313">
        <v>20</v>
      </c>
      <c r="D313">
        <v>13</v>
      </c>
      <c r="E313">
        <v>-2.31</v>
      </c>
      <c r="F313">
        <v>2467</v>
      </c>
      <c r="G313">
        <v>932</v>
      </c>
      <c r="H313">
        <v>1977</v>
      </c>
      <c r="I313">
        <v>363</v>
      </c>
      <c r="J313">
        <v>558</v>
      </c>
      <c r="K313">
        <v>374</v>
      </c>
      <c r="L313">
        <v>1192</v>
      </c>
      <c r="M313">
        <v>421</v>
      </c>
      <c r="N313">
        <v>229</v>
      </c>
      <c r="O313">
        <v>115</v>
      </c>
      <c r="P313">
        <v>402</v>
      </c>
      <c r="Q313">
        <v>531</v>
      </c>
      <c r="R313">
        <v>312</v>
      </c>
    </row>
    <row r="314" spans="1:18">
      <c r="A314" s="1" t="s">
        <v>245</v>
      </c>
      <c r="B314">
        <v>30</v>
      </c>
      <c r="C314">
        <v>8</v>
      </c>
      <c r="D314">
        <v>22</v>
      </c>
      <c r="E314">
        <v>1.5</v>
      </c>
      <c r="F314">
        <v>1864</v>
      </c>
      <c r="G314">
        <v>636</v>
      </c>
      <c r="H314">
        <v>1603</v>
      </c>
      <c r="I314">
        <v>424</v>
      </c>
      <c r="J314">
        <v>612</v>
      </c>
      <c r="K314">
        <v>316</v>
      </c>
      <c r="L314">
        <v>925</v>
      </c>
      <c r="M314">
        <v>328</v>
      </c>
      <c r="N314">
        <v>231</v>
      </c>
      <c r="O314">
        <v>84</v>
      </c>
      <c r="P314">
        <v>412</v>
      </c>
      <c r="Q314">
        <v>610</v>
      </c>
      <c r="R314">
        <v>313</v>
      </c>
    </row>
    <row r="315" spans="1:18">
      <c r="A315" s="1" t="s">
        <v>299</v>
      </c>
      <c r="B315">
        <v>35</v>
      </c>
      <c r="C315">
        <v>23</v>
      </c>
      <c r="D315">
        <v>12</v>
      </c>
      <c r="E315">
        <v>2.84</v>
      </c>
      <c r="F315">
        <v>2500</v>
      </c>
      <c r="G315">
        <v>852</v>
      </c>
      <c r="H315">
        <v>1871</v>
      </c>
      <c r="I315">
        <v>623</v>
      </c>
      <c r="J315">
        <v>881</v>
      </c>
      <c r="K315">
        <v>396</v>
      </c>
      <c r="L315">
        <v>1336</v>
      </c>
      <c r="M315">
        <v>438</v>
      </c>
      <c r="N315">
        <v>156</v>
      </c>
      <c r="O315">
        <v>195</v>
      </c>
      <c r="P315">
        <v>461</v>
      </c>
      <c r="Q315">
        <v>617</v>
      </c>
      <c r="R315">
        <v>314</v>
      </c>
    </row>
    <row r="316" spans="1:18">
      <c r="A316" s="1" t="s">
        <v>324</v>
      </c>
      <c r="B316">
        <v>32</v>
      </c>
      <c r="C316">
        <v>14</v>
      </c>
      <c r="D316">
        <v>18</v>
      </c>
      <c r="E316">
        <v>7.86</v>
      </c>
      <c r="F316">
        <v>2139</v>
      </c>
      <c r="G316">
        <v>784</v>
      </c>
      <c r="H316">
        <v>1666</v>
      </c>
      <c r="I316">
        <v>385</v>
      </c>
      <c r="J316">
        <v>609</v>
      </c>
      <c r="K316">
        <v>305</v>
      </c>
      <c r="L316">
        <v>1018</v>
      </c>
      <c r="M316">
        <v>489</v>
      </c>
      <c r="N316">
        <v>206</v>
      </c>
      <c r="O316">
        <v>135</v>
      </c>
      <c r="P316">
        <v>460</v>
      </c>
      <c r="Q316">
        <v>512</v>
      </c>
      <c r="R316">
        <v>315</v>
      </c>
    </row>
    <row r="317" spans="1:18">
      <c r="A317" s="1" t="s">
        <v>316</v>
      </c>
      <c r="B317">
        <v>35</v>
      </c>
      <c r="C317">
        <v>27</v>
      </c>
      <c r="D317">
        <v>8</v>
      </c>
      <c r="E317">
        <v>1.23</v>
      </c>
      <c r="F317">
        <v>2559</v>
      </c>
      <c r="G317">
        <v>941</v>
      </c>
      <c r="H317">
        <v>1928</v>
      </c>
      <c r="I317">
        <v>435</v>
      </c>
      <c r="J317">
        <v>574</v>
      </c>
      <c r="K317">
        <v>362</v>
      </c>
      <c r="L317">
        <v>1238</v>
      </c>
      <c r="M317">
        <v>584</v>
      </c>
      <c r="N317">
        <v>162</v>
      </c>
      <c r="O317">
        <v>123</v>
      </c>
      <c r="P317">
        <v>358</v>
      </c>
      <c r="Q317">
        <v>562</v>
      </c>
      <c r="R317">
        <v>316</v>
      </c>
    </row>
    <row r="318" spans="1:18">
      <c r="A318" s="1" t="s">
        <v>334</v>
      </c>
      <c r="B318">
        <v>30</v>
      </c>
      <c r="C318">
        <v>12</v>
      </c>
      <c r="D318">
        <v>18</v>
      </c>
      <c r="E318">
        <v>-9.25</v>
      </c>
      <c r="F318">
        <v>1906</v>
      </c>
      <c r="G318">
        <v>650</v>
      </c>
      <c r="H318">
        <v>1575</v>
      </c>
      <c r="I318">
        <v>428</v>
      </c>
      <c r="J318">
        <v>572</v>
      </c>
      <c r="K318">
        <v>288</v>
      </c>
      <c r="L318">
        <v>994</v>
      </c>
      <c r="M318">
        <v>362</v>
      </c>
      <c r="N318">
        <v>184</v>
      </c>
      <c r="O318">
        <v>64</v>
      </c>
      <c r="P318">
        <v>403</v>
      </c>
      <c r="Q318">
        <v>531</v>
      </c>
      <c r="R318">
        <v>317</v>
      </c>
    </row>
    <row r="319" spans="1:18">
      <c r="A319" s="1" t="s">
        <v>300</v>
      </c>
      <c r="B319">
        <v>31</v>
      </c>
      <c r="C319">
        <v>14</v>
      </c>
      <c r="D319">
        <v>17</v>
      </c>
      <c r="E319">
        <v>4.16</v>
      </c>
      <c r="F319">
        <v>2059</v>
      </c>
      <c r="G319">
        <v>692</v>
      </c>
      <c r="H319">
        <v>1618</v>
      </c>
      <c r="I319">
        <v>490</v>
      </c>
      <c r="J319">
        <v>655</v>
      </c>
      <c r="K319">
        <v>284</v>
      </c>
      <c r="L319">
        <v>1052</v>
      </c>
      <c r="M319">
        <v>361</v>
      </c>
      <c r="N319">
        <v>172</v>
      </c>
      <c r="O319">
        <v>186</v>
      </c>
      <c r="P319">
        <v>423</v>
      </c>
      <c r="Q319">
        <v>639</v>
      </c>
      <c r="R319">
        <v>318</v>
      </c>
    </row>
    <row r="320" spans="1:18">
      <c r="A320" s="1" t="s">
        <v>301</v>
      </c>
      <c r="B320">
        <v>32</v>
      </c>
      <c r="C320">
        <v>15</v>
      </c>
      <c r="D320">
        <v>17</v>
      </c>
      <c r="E320">
        <v>0.34</v>
      </c>
      <c r="F320">
        <v>2344</v>
      </c>
      <c r="G320">
        <v>823</v>
      </c>
      <c r="H320">
        <v>1764</v>
      </c>
      <c r="I320">
        <v>453</v>
      </c>
      <c r="J320">
        <v>636</v>
      </c>
      <c r="K320">
        <v>328</v>
      </c>
      <c r="L320">
        <v>1037</v>
      </c>
      <c r="M320">
        <v>479</v>
      </c>
      <c r="N320">
        <v>227</v>
      </c>
      <c r="O320">
        <v>71</v>
      </c>
      <c r="P320">
        <v>439</v>
      </c>
      <c r="Q320">
        <v>644</v>
      </c>
      <c r="R320">
        <v>319</v>
      </c>
    </row>
    <row r="321" spans="1:18">
      <c r="A321" s="1" t="s">
        <v>246</v>
      </c>
      <c r="B321">
        <v>33</v>
      </c>
      <c r="C321">
        <v>24</v>
      </c>
      <c r="D321">
        <v>9</v>
      </c>
      <c r="E321">
        <v>7.86</v>
      </c>
      <c r="F321">
        <v>2537</v>
      </c>
      <c r="G321">
        <v>859</v>
      </c>
      <c r="H321">
        <v>1829</v>
      </c>
      <c r="I321">
        <v>616</v>
      </c>
      <c r="J321">
        <v>854</v>
      </c>
      <c r="K321">
        <v>361</v>
      </c>
      <c r="L321">
        <v>1197</v>
      </c>
      <c r="M321">
        <v>436</v>
      </c>
      <c r="N321">
        <v>188</v>
      </c>
      <c r="O321">
        <v>171</v>
      </c>
      <c r="P321">
        <v>448</v>
      </c>
      <c r="Q321">
        <v>632</v>
      </c>
      <c r="R321">
        <v>320</v>
      </c>
    </row>
    <row r="322" spans="1:18">
      <c r="A322" s="1" t="s">
        <v>247</v>
      </c>
      <c r="B322">
        <v>35</v>
      </c>
      <c r="C322">
        <v>25</v>
      </c>
      <c r="D322">
        <v>10</v>
      </c>
      <c r="E322">
        <v>-6.69</v>
      </c>
      <c r="F322">
        <v>2457</v>
      </c>
      <c r="G322">
        <v>826</v>
      </c>
      <c r="H322">
        <v>1884</v>
      </c>
      <c r="I322">
        <v>639</v>
      </c>
      <c r="J322">
        <v>930</v>
      </c>
      <c r="K322">
        <v>433</v>
      </c>
      <c r="L322">
        <v>1291</v>
      </c>
      <c r="M322">
        <v>423</v>
      </c>
      <c r="N322">
        <v>239</v>
      </c>
      <c r="O322">
        <v>141</v>
      </c>
      <c r="P322">
        <v>487</v>
      </c>
      <c r="Q322">
        <v>635</v>
      </c>
      <c r="R322">
        <v>321</v>
      </c>
    </row>
    <row r="323" spans="1:18">
      <c r="A323" s="1" t="s">
        <v>248</v>
      </c>
      <c r="B323">
        <v>33</v>
      </c>
      <c r="C323">
        <v>25</v>
      </c>
      <c r="D323">
        <v>8</v>
      </c>
      <c r="E323">
        <v>7.75</v>
      </c>
      <c r="F323">
        <v>2700</v>
      </c>
      <c r="G323">
        <v>899</v>
      </c>
      <c r="H323">
        <v>1962</v>
      </c>
      <c r="I323">
        <v>650</v>
      </c>
      <c r="J323">
        <v>861</v>
      </c>
      <c r="K323">
        <v>441</v>
      </c>
      <c r="L323">
        <v>1272</v>
      </c>
      <c r="M323">
        <v>448</v>
      </c>
      <c r="N323">
        <v>259</v>
      </c>
      <c r="O323">
        <v>133</v>
      </c>
      <c r="P323">
        <v>452</v>
      </c>
      <c r="Q323">
        <v>731</v>
      </c>
      <c r="R323">
        <v>322</v>
      </c>
    </row>
    <row r="324" spans="1:18">
      <c r="A324" s="1" t="s">
        <v>249</v>
      </c>
      <c r="B324">
        <v>36</v>
      </c>
      <c r="C324">
        <v>27</v>
      </c>
      <c r="D324">
        <v>9</v>
      </c>
      <c r="E324">
        <v>0.64</v>
      </c>
      <c r="F324">
        <v>2737</v>
      </c>
      <c r="G324">
        <v>979</v>
      </c>
      <c r="H324">
        <v>2117</v>
      </c>
      <c r="I324">
        <v>526</v>
      </c>
      <c r="J324">
        <v>747</v>
      </c>
      <c r="K324">
        <v>462</v>
      </c>
      <c r="L324">
        <v>1331</v>
      </c>
      <c r="M324">
        <v>536</v>
      </c>
      <c r="N324">
        <v>318</v>
      </c>
      <c r="O324">
        <v>148</v>
      </c>
      <c r="P324">
        <v>443</v>
      </c>
      <c r="Q324">
        <v>626</v>
      </c>
      <c r="R324">
        <v>323</v>
      </c>
    </row>
    <row r="325" spans="1:18">
      <c r="A325" s="1" t="s">
        <v>250</v>
      </c>
      <c r="B325">
        <v>29</v>
      </c>
      <c r="C325">
        <v>10</v>
      </c>
      <c r="D325">
        <v>19</v>
      </c>
      <c r="E325">
        <v>-7.21</v>
      </c>
      <c r="F325">
        <v>2569</v>
      </c>
      <c r="G325">
        <v>883</v>
      </c>
      <c r="H325">
        <v>2120</v>
      </c>
      <c r="I325">
        <v>468</v>
      </c>
      <c r="J325">
        <v>687</v>
      </c>
      <c r="K325">
        <v>384</v>
      </c>
      <c r="L325">
        <v>1075</v>
      </c>
      <c r="M325">
        <v>422</v>
      </c>
      <c r="N325">
        <v>301</v>
      </c>
      <c r="O325">
        <v>144</v>
      </c>
      <c r="P325">
        <v>426</v>
      </c>
      <c r="Q325">
        <v>594</v>
      </c>
      <c r="R325">
        <v>324</v>
      </c>
    </row>
    <row r="326" spans="1:18">
      <c r="A326" s="1" t="s">
        <v>251</v>
      </c>
      <c r="B326">
        <v>34</v>
      </c>
      <c r="C326">
        <v>25</v>
      </c>
      <c r="D326">
        <v>9</v>
      </c>
      <c r="E326">
        <v>5.13</v>
      </c>
      <c r="F326">
        <v>2473</v>
      </c>
      <c r="G326">
        <v>851</v>
      </c>
      <c r="H326">
        <v>1994</v>
      </c>
      <c r="I326">
        <v>614</v>
      </c>
      <c r="J326">
        <v>856</v>
      </c>
      <c r="K326">
        <v>443</v>
      </c>
      <c r="L326">
        <v>1278</v>
      </c>
      <c r="M326">
        <v>414</v>
      </c>
      <c r="N326">
        <v>237</v>
      </c>
      <c r="O326">
        <v>158</v>
      </c>
      <c r="P326">
        <v>419</v>
      </c>
      <c r="Q326">
        <v>637</v>
      </c>
      <c r="R326">
        <v>325</v>
      </c>
    </row>
    <row r="327" spans="1:18">
      <c r="A327" s="1" t="s">
        <v>252</v>
      </c>
      <c r="B327">
        <v>31</v>
      </c>
      <c r="C327">
        <v>15</v>
      </c>
      <c r="D327">
        <v>16</v>
      </c>
      <c r="E327">
        <v>6.93</v>
      </c>
      <c r="F327">
        <v>2029</v>
      </c>
      <c r="G327">
        <v>733</v>
      </c>
      <c r="H327">
        <v>1720</v>
      </c>
      <c r="I327">
        <v>386</v>
      </c>
      <c r="J327">
        <v>516</v>
      </c>
      <c r="K327">
        <v>318</v>
      </c>
      <c r="L327">
        <v>1053</v>
      </c>
      <c r="M327">
        <v>403</v>
      </c>
      <c r="N327">
        <v>190</v>
      </c>
      <c r="O327">
        <v>81</v>
      </c>
      <c r="P327">
        <v>333</v>
      </c>
      <c r="Q327">
        <v>510</v>
      </c>
      <c r="R327">
        <v>326</v>
      </c>
    </row>
    <row r="328" spans="1:18">
      <c r="A328" s="1" t="s">
        <v>253</v>
      </c>
      <c r="B328">
        <v>31</v>
      </c>
      <c r="C328">
        <v>5</v>
      </c>
      <c r="D328">
        <v>26</v>
      </c>
      <c r="E328">
        <v>-8.7799999999999994</v>
      </c>
      <c r="F328">
        <v>1833</v>
      </c>
      <c r="G328">
        <v>659</v>
      </c>
      <c r="H328">
        <v>1635</v>
      </c>
      <c r="I328">
        <v>287</v>
      </c>
      <c r="J328">
        <v>463</v>
      </c>
      <c r="K328">
        <v>328</v>
      </c>
      <c r="L328">
        <v>1002</v>
      </c>
      <c r="M328">
        <v>369</v>
      </c>
      <c r="N328">
        <v>194</v>
      </c>
      <c r="O328">
        <v>105</v>
      </c>
      <c r="P328">
        <v>518</v>
      </c>
      <c r="Q328">
        <v>571</v>
      </c>
      <c r="R328">
        <v>327</v>
      </c>
    </row>
    <row r="329" spans="1:18">
      <c r="A329" s="1" t="s">
        <v>254</v>
      </c>
      <c r="B329">
        <v>31</v>
      </c>
      <c r="C329">
        <v>20</v>
      </c>
      <c r="D329">
        <v>11</v>
      </c>
      <c r="E329">
        <v>8.85</v>
      </c>
      <c r="F329">
        <v>2257</v>
      </c>
      <c r="G329">
        <v>811</v>
      </c>
      <c r="H329">
        <v>1869</v>
      </c>
      <c r="I329">
        <v>501</v>
      </c>
      <c r="J329">
        <v>762</v>
      </c>
      <c r="K329">
        <v>463</v>
      </c>
      <c r="L329">
        <v>1306</v>
      </c>
      <c r="M329">
        <v>369</v>
      </c>
      <c r="N329">
        <v>221</v>
      </c>
      <c r="O329">
        <v>162</v>
      </c>
      <c r="P329">
        <v>471</v>
      </c>
      <c r="Q329">
        <v>624</v>
      </c>
      <c r="R329">
        <v>328</v>
      </c>
    </row>
    <row r="330" spans="1:18">
      <c r="A330" s="1" t="s">
        <v>255</v>
      </c>
      <c r="B330">
        <v>31</v>
      </c>
      <c r="C330">
        <v>16</v>
      </c>
      <c r="D330">
        <v>15</v>
      </c>
      <c r="E330">
        <v>4.6500000000000004</v>
      </c>
      <c r="F330">
        <v>2229</v>
      </c>
      <c r="G330">
        <v>753</v>
      </c>
      <c r="H330">
        <v>1677</v>
      </c>
      <c r="I330">
        <v>548</v>
      </c>
      <c r="J330">
        <v>777</v>
      </c>
      <c r="K330">
        <v>371</v>
      </c>
      <c r="L330">
        <v>1073</v>
      </c>
      <c r="M330">
        <v>397</v>
      </c>
      <c r="N330">
        <v>190</v>
      </c>
      <c r="O330">
        <v>140</v>
      </c>
      <c r="P330">
        <v>431</v>
      </c>
      <c r="Q330">
        <v>540</v>
      </c>
      <c r="R330">
        <v>329</v>
      </c>
    </row>
    <row r="331" spans="1:18">
      <c r="A331" s="1" t="s">
        <v>256</v>
      </c>
      <c r="B331">
        <v>36</v>
      </c>
      <c r="C331">
        <v>26</v>
      </c>
      <c r="D331">
        <v>10</v>
      </c>
      <c r="E331">
        <v>7.49</v>
      </c>
      <c r="F331">
        <v>2851</v>
      </c>
      <c r="G331">
        <v>1004</v>
      </c>
      <c r="H331">
        <v>2212</v>
      </c>
      <c r="I331">
        <v>652</v>
      </c>
      <c r="J331">
        <v>905</v>
      </c>
      <c r="K331">
        <v>476</v>
      </c>
      <c r="L331">
        <v>1364</v>
      </c>
      <c r="M331">
        <v>515</v>
      </c>
      <c r="N331">
        <v>264</v>
      </c>
      <c r="O331">
        <v>151</v>
      </c>
      <c r="P331">
        <v>460</v>
      </c>
      <c r="Q331">
        <v>766</v>
      </c>
      <c r="R331">
        <v>330</v>
      </c>
    </row>
    <row r="332" spans="1:18">
      <c r="A332" s="1" t="s">
        <v>257</v>
      </c>
      <c r="B332">
        <v>31</v>
      </c>
      <c r="C332">
        <v>20</v>
      </c>
      <c r="D332">
        <v>11</v>
      </c>
      <c r="E332">
        <v>-1.04</v>
      </c>
      <c r="F332">
        <v>2361</v>
      </c>
      <c r="G332">
        <v>787</v>
      </c>
      <c r="H332">
        <v>1768</v>
      </c>
      <c r="I332">
        <v>537</v>
      </c>
      <c r="J332">
        <v>737</v>
      </c>
      <c r="K332">
        <v>362</v>
      </c>
      <c r="L332">
        <v>1116</v>
      </c>
      <c r="M332">
        <v>401</v>
      </c>
      <c r="N332">
        <v>200</v>
      </c>
      <c r="O332">
        <v>93</v>
      </c>
      <c r="P332">
        <v>387</v>
      </c>
      <c r="Q332">
        <v>607</v>
      </c>
      <c r="R332">
        <v>331</v>
      </c>
    </row>
    <row r="333" spans="1:18">
      <c r="A333" s="1" t="s">
        <v>258</v>
      </c>
      <c r="B333">
        <v>38</v>
      </c>
      <c r="C333">
        <v>31</v>
      </c>
      <c r="D333">
        <v>7</v>
      </c>
      <c r="E333">
        <v>10.26</v>
      </c>
      <c r="F333">
        <v>2752</v>
      </c>
      <c r="G333">
        <v>942</v>
      </c>
      <c r="H333">
        <v>2190</v>
      </c>
      <c r="I333">
        <v>611</v>
      </c>
      <c r="J333">
        <v>868</v>
      </c>
      <c r="K333">
        <v>585</v>
      </c>
      <c r="L333">
        <v>1467</v>
      </c>
      <c r="M333">
        <v>589</v>
      </c>
      <c r="N333">
        <v>213</v>
      </c>
      <c r="O333">
        <v>155</v>
      </c>
      <c r="P333">
        <v>451</v>
      </c>
      <c r="Q333">
        <v>686</v>
      </c>
      <c r="R333">
        <v>332</v>
      </c>
    </row>
    <row r="334" spans="1:18">
      <c r="A334" s="1" t="s">
        <v>259</v>
      </c>
      <c r="B334">
        <v>34</v>
      </c>
      <c r="C334">
        <v>22</v>
      </c>
      <c r="D334">
        <v>12</v>
      </c>
      <c r="E334">
        <v>-2.91</v>
      </c>
      <c r="F334">
        <v>2525</v>
      </c>
      <c r="G334">
        <v>907</v>
      </c>
      <c r="H334">
        <v>2022</v>
      </c>
      <c r="I334">
        <v>437</v>
      </c>
      <c r="J334">
        <v>682</v>
      </c>
      <c r="K334">
        <v>441</v>
      </c>
      <c r="L334">
        <v>1197</v>
      </c>
      <c r="M334">
        <v>459</v>
      </c>
      <c r="N334">
        <v>321</v>
      </c>
      <c r="O334">
        <v>99</v>
      </c>
      <c r="P334">
        <v>472</v>
      </c>
      <c r="Q334">
        <v>757</v>
      </c>
      <c r="R334">
        <v>333</v>
      </c>
    </row>
    <row r="335" spans="1:18">
      <c r="A335" s="1" t="s">
        <v>260</v>
      </c>
      <c r="B335">
        <v>30</v>
      </c>
      <c r="C335">
        <v>13</v>
      </c>
      <c r="D335">
        <v>17</v>
      </c>
      <c r="E335">
        <v>-5.84</v>
      </c>
      <c r="F335">
        <v>1771</v>
      </c>
      <c r="G335">
        <v>609</v>
      </c>
      <c r="H335">
        <v>1489</v>
      </c>
      <c r="I335">
        <v>400</v>
      </c>
      <c r="J335">
        <v>588</v>
      </c>
      <c r="K335">
        <v>274</v>
      </c>
      <c r="L335">
        <v>968</v>
      </c>
      <c r="M335">
        <v>317</v>
      </c>
      <c r="N335">
        <v>198</v>
      </c>
      <c r="O335">
        <v>128</v>
      </c>
      <c r="P335">
        <v>383</v>
      </c>
      <c r="Q335">
        <v>555</v>
      </c>
      <c r="R335">
        <v>334</v>
      </c>
    </row>
    <row r="336" spans="1:18">
      <c r="A336" s="1" t="s">
        <v>261</v>
      </c>
      <c r="B336">
        <v>34</v>
      </c>
      <c r="C336">
        <v>21</v>
      </c>
      <c r="D336">
        <v>13</v>
      </c>
      <c r="E336">
        <v>-2.1800000000000002</v>
      </c>
      <c r="F336">
        <v>2422</v>
      </c>
      <c r="G336">
        <v>862</v>
      </c>
      <c r="H336">
        <v>1900</v>
      </c>
      <c r="I336">
        <v>473</v>
      </c>
      <c r="J336">
        <v>672</v>
      </c>
      <c r="K336">
        <v>393</v>
      </c>
      <c r="L336">
        <v>1192</v>
      </c>
      <c r="M336">
        <v>432</v>
      </c>
      <c r="N336">
        <v>218</v>
      </c>
      <c r="O336">
        <v>100</v>
      </c>
      <c r="P336">
        <v>441</v>
      </c>
      <c r="Q336">
        <v>580</v>
      </c>
      <c r="R336">
        <v>335</v>
      </c>
    </row>
    <row r="337" spans="1:18">
      <c r="A337" s="1" t="s">
        <v>262</v>
      </c>
      <c r="B337">
        <v>33</v>
      </c>
      <c r="C337">
        <v>18</v>
      </c>
      <c r="D337">
        <v>15</v>
      </c>
      <c r="E337">
        <v>-1.17</v>
      </c>
      <c r="F337">
        <v>2287</v>
      </c>
      <c r="G337">
        <v>778</v>
      </c>
      <c r="H337">
        <v>1813</v>
      </c>
      <c r="I337">
        <v>541</v>
      </c>
      <c r="J337">
        <v>739</v>
      </c>
      <c r="K337">
        <v>423</v>
      </c>
      <c r="L337">
        <v>1214</v>
      </c>
      <c r="M337">
        <v>413</v>
      </c>
      <c r="N337">
        <v>231</v>
      </c>
      <c r="O337">
        <v>89</v>
      </c>
      <c r="P337">
        <v>449</v>
      </c>
      <c r="Q337">
        <v>623</v>
      </c>
      <c r="R337">
        <v>336</v>
      </c>
    </row>
    <row r="338" spans="1:18">
      <c r="A338" s="1" t="s">
        <v>263</v>
      </c>
      <c r="B338">
        <v>35</v>
      </c>
      <c r="C338">
        <v>25</v>
      </c>
      <c r="D338">
        <v>10</v>
      </c>
      <c r="E338">
        <v>1.73</v>
      </c>
      <c r="F338">
        <v>2427</v>
      </c>
      <c r="G338">
        <v>837</v>
      </c>
      <c r="H338">
        <v>1873</v>
      </c>
      <c r="I338">
        <v>525</v>
      </c>
      <c r="J338">
        <v>704</v>
      </c>
      <c r="K338">
        <v>393</v>
      </c>
      <c r="L338">
        <v>1208</v>
      </c>
      <c r="M338">
        <v>498</v>
      </c>
      <c r="N338">
        <v>237</v>
      </c>
      <c r="O338">
        <v>104</v>
      </c>
      <c r="P338">
        <v>458</v>
      </c>
      <c r="Q338">
        <v>691</v>
      </c>
      <c r="R338">
        <v>337</v>
      </c>
    </row>
    <row r="339" spans="1:18">
      <c r="A339" s="1" t="s">
        <v>264</v>
      </c>
      <c r="B339">
        <v>33</v>
      </c>
      <c r="C339">
        <v>22</v>
      </c>
      <c r="D339">
        <v>11</v>
      </c>
      <c r="E339">
        <v>1.63</v>
      </c>
      <c r="F339">
        <v>2213</v>
      </c>
      <c r="G339">
        <v>735</v>
      </c>
      <c r="H339">
        <v>1732</v>
      </c>
      <c r="I339">
        <v>448</v>
      </c>
      <c r="J339">
        <v>640</v>
      </c>
      <c r="K339">
        <v>335</v>
      </c>
      <c r="L339">
        <v>1134</v>
      </c>
      <c r="M339">
        <v>463</v>
      </c>
      <c r="N339">
        <v>177</v>
      </c>
      <c r="O339">
        <v>84</v>
      </c>
      <c r="P339">
        <v>357</v>
      </c>
      <c r="Q339">
        <v>536</v>
      </c>
      <c r="R339">
        <v>338</v>
      </c>
    </row>
    <row r="340" spans="1:18">
      <c r="A340" s="1" t="s">
        <v>345</v>
      </c>
      <c r="B340">
        <v>29</v>
      </c>
      <c r="C340">
        <v>12</v>
      </c>
      <c r="D340">
        <v>17</v>
      </c>
      <c r="F340">
        <v>1806</v>
      </c>
      <c r="G340">
        <v>648</v>
      </c>
      <c r="H340">
        <v>1624</v>
      </c>
      <c r="I340">
        <v>361</v>
      </c>
      <c r="J340">
        <v>615</v>
      </c>
      <c r="K340">
        <v>393</v>
      </c>
      <c r="L340">
        <v>1066</v>
      </c>
      <c r="M340">
        <v>330</v>
      </c>
      <c r="N340">
        <v>195</v>
      </c>
      <c r="O340">
        <v>97</v>
      </c>
      <c r="P340">
        <v>503</v>
      </c>
      <c r="Q340">
        <v>546</v>
      </c>
      <c r="R340">
        <v>339</v>
      </c>
    </row>
    <row r="341" spans="1:18">
      <c r="A341" s="1" t="s">
        <v>325</v>
      </c>
      <c r="B341">
        <v>33</v>
      </c>
      <c r="C341">
        <v>19</v>
      </c>
      <c r="D341">
        <v>14</v>
      </c>
      <c r="E341">
        <v>-7.31</v>
      </c>
      <c r="F341">
        <v>2042</v>
      </c>
      <c r="G341">
        <v>735</v>
      </c>
      <c r="H341">
        <v>1934</v>
      </c>
      <c r="I341">
        <v>448</v>
      </c>
      <c r="J341">
        <v>696</v>
      </c>
      <c r="K341">
        <v>450</v>
      </c>
      <c r="L341">
        <v>1276</v>
      </c>
      <c r="M341">
        <v>346</v>
      </c>
      <c r="N341">
        <v>283</v>
      </c>
      <c r="O341">
        <v>135</v>
      </c>
      <c r="P341">
        <v>402</v>
      </c>
      <c r="Q341">
        <v>622</v>
      </c>
      <c r="R341">
        <v>340</v>
      </c>
    </row>
    <row r="342" spans="1:18">
      <c r="A342" s="1" t="s">
        <v>367</v>
      </c>
      <c r="B342">
        <v>33</v>
      </c>
      <c r="C342">
        <v>24</v>
      </c>
      <c r="D342">
        <v>9</v>
      </c>
      <c r="E342">
        <v>7.66</v>
      </c>
      <c r="F342">
        <v>2214</v>
      </c>
      <c r="G342">
        <v>776</v>
      </c>
      <c r="H342">
        <v>1750</v>
      </c>
      <c r="I342">
        <v>416</v>
      </c>
      <c r="J342">
        <v>568</v>
      </c>
      <c r="K342">
        <v>320</v>
      </c>
      <c r="L342">
        <v>1056</v>
      </c>
      <c r="M342">
        <v>412</v>
      </c>
      <c r="N342">
        <v>187</v>
      </c>
      <c r="O342">
        <v>113</v>
      </c>
      <c r="P342">
        <v>289</v>
      </c>
      <c r="Q342">
        <v>537</v>
      </c>
      <c r="R342">
        <v>341</v>
      </c>
    </row>
    <row r="343" spans="1:18">
      <c r="A343" s="1" t="s">
        <v>265</v>
      </c>
      <c r="B343">
        <v>35</v>
      </c>
      <c r="C343">
        <v>26</v>
      </c>
      <c r="D343">
        <v>9</v>
      </c>
      <c r="E343">
        <v>-2.57</v>
      </c>
      <c r="F343">
        <v>2408</v>
      </c>
      <c r="G343">
        <v>825</v>
      </c>
      <c r="H343">
        <v>1873</v>
      </c>
      <c r="I343">
        <v>555</v>
      </c>
      <c r="J343">
        <v>830</v>
      </c>
      <c r="K343">
        <v>402</v>
      </c>
      <c r="L343">
        <v>1243</v>
      </c>
      <c r="M343">
        <v>469</v>
      </c>
      <c r="N343">
        <v>242</v>
      </c>
      <c r="O343">
        <v>74</v>
      </c>
      <c r="P343">
        <v>416</v>
      </c>
      <c r="Q343">
        <v>621</v>
      </c>
      <c r="R343">
        <v>342</v>
      </c>
    </row>
    <row r="344" spans="1:18">
      <c r="A344" s="1" t="s">
        <v>266</v>
      </c>
      <c r="B344">
        <v>32</v>
      </c>
      <c r="C344">
        <v>20</v>
      </c>
      <c r="D344">
        <v>12</v>
      </c>
      <c r="E344">
        <v>0.16</v>
      </c>
      <c r="F344">
        <v>2163</v>
      </c>
      <c r="G344">
        <v>750</v>
      </c>
      <c r="H344">
        <v>1692</v>
      </c>
      <c r="I344">
        <v>423</v>
      </c>
      <c r="J344">
        <v>577</v>
      </c>
      <c r="K344">
        <v>324</v>
      </c>
      <c r="L344">
        <v>964</v>
      </c>
      <c r="M344">
        <v>433</v>
      </c>
      <c r="N344">
        <v>190</v>
      </c>
      <c r="O344">
        <v>63</v>
      </c>
      <c r="P344">
        <v>375</v>
      </c>
      <c r="Q344">
        <v>605</v>
      </c>
      <c r="R344">
        <v>343</v>
      </c>
    </row>
    <row r="345" spans="1:18">
      <c r="A345" s="1" t="s">
        <v>267</v>
      </c>
      <c r="B345">
        <v>31</v>
      </c>
      <c r="C345">
        <v>10</v>
      </c>
      <c r="D345">
        <v>21</v>
      </c>
      <c r="E345">
        <v>3.63</v>
      </c>
      <c r="F345">
        <v>2190</v>
      </c>
      <c r="G345">
        <v>734</v>
      </c>
      <c r="H345">
        <v>1674</v>
      </c>
      <c r="I345">
        <v>582</v>
      </c>
      <c r="J345">
        <v>864</v>
      </c>
      <c r="K345">
        <v>313</v>
      </c>
      <c r="L345">
        <v>1047</v>
      </c>
      <c r="M345">
        <v>346</v>
      </c>
      <c r="N345">
        <v>241</v>
      </c>
      <c r="O345">
        <v>132</v>
      </c>
      <c r="P345">
        <v>479</v>
      </c>
      <c r="Q345">
        <v>634</v>
      </c>
      <c r="R345">
        <v>344</v>
      </c>
    </row>
    <row r="346" spans="1:18">
      <c r="A346" s="1" t="s">
        <v>268</v>
      </c>
      <c r="B346">
        <v>35</v>
      </c>
      <c r="C346">
        <v>26</v>
      </c>
      <c r="D346">
        <v>9</v>
      </c>
      <c r="E346">
        <v>5.94</v>
      </c>
      <c r="F346">
        <v>2793</v>
      </c>
      <c r="G346">
        <v>961</v>
      </c>
      <c r="H346">
        <v>2082</v>
      </c>
      <c r="I346">
        <v>621</v>
      </c>
      <c r="J346">
        <v>873</v>
      </c>
      <c r="K346">
        <v>444</v>
      </c>
      <c r="L346">
        <v>1415</v>
      </c>
      <c r="M346">
        <v>494</v>
      </c>
      <c r="N346">
        <v>235</v>
      </c>
      <c r="O346">
        <v>132</v>
      </c>
      <c r="P346">
        <v>452</v>
      </c>
      <c r="Q346">
        <v>662</v>
      </c>
      <c r="R346">
        <v>345</v>
      </c>
    </row>
    <row r="347" spans="1:18">
      <c r="A347" s="1" t="s">
        <v>269</v>
      </c>
      <c r="B347">
        <v>31</v>
      </c>
      <c r="C347">
        <v>12</v>
      </c>
      <c r="D347">
        <v>19</v>
      </c>
      <c r="E347">
        <v>-5.6</v>
      </c>
      <c r="F347">
        <v>2067</v>
      </c>
      <c r="G347">
        <v>711</v>
      </c>
      <c r="H347">
        <v>1687</v>
      </c>
      <c r="I347">
        <v>507</v>
      </c>
      <c r="J347">
        <v>700</v>
      </c>
      <c r="K347">
        <v>359</v>
      </c>
      <c r="L347">
        <v>1086</v>
      </c>
      <c r="M347">
        <v>387</v>
      </c>
      <c r="N347">
        <v>212</v>
      </c>
      <c r="O347">
        <v>134</v>
      </c>
      <c r="P347">
        <v>442</v>
      </c>
      <c r="Q347">
        <v>572</v>
      </c>
      <c r="R347">
        <v>346</v>
      </c>
    </row>
    <row r="348" spans="1:18">
      <c r="A348" s="1" t="s">
        <v>270</v>
      </c>
      <c r="B348">
        <v>30</v>
      </c>
      <c r="C348">
        <v>8</v>
      </c>
      <c r="D348">
        <v>22</v>
      </c>
      <c r="E348">
        <v>0.4</v>
      </c>
      <c r="F348">
        <v>2002</v>
      </c>
      <c r="G348">
        <v>697</v>
      </c>
      <c r="H348">
        <v>1656</v>
      </c>
      <c r="I348">
        <v>455</v>
      </c>
      <c r="J348">
        <v>665</v>
      </c>
      <c r="K348">
        <v>338</v>
      </c>
      <c r="L348">
        <v>986</v>
      </c>
      <c r="M348">
        <v>390</v>
      </c>
      <c r="N348">
        <v>181</v>
      </c>
      <c r="O348">
        <v>110</v>
      </c>
      <c r="P348">
        <v>401</v>
      </c>
      <c r="Q348">
        <v>611</v>
      </c>
      <c r="R348">
        <v>347</v>
      </c>
    </row>
    <row r="349" spans="1:18">
      <c r="R349">
        <v>348</v>
      </c>
    </row>
    <row r="350" spans="1:18">
      <c r="R350">
        <v>349</v>
      </c>
    </row>
    <row r="351" spans="1:18">
      <c r="R351">
        <v>350</v>
      </c>
    </row>
    <row r="352" spans="1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F7434-E9B4-4BAE-8727-1F1D0F98778F}">
  <sheetPr codeName="Sheet12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29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32</v>
      </c>
      <c r="C2">
        <v>16</v>
      </c>
      <c r="D2">
        <v>16</v>
      </c>
      <c r="E2">
        <v>3.31</v>
      </c>
      <c r="F2">
        <v>2074</v>
      </c>
      <c r="G2">
        <v>722</v>
      </c>
      <c r="H2">
        <v>1532</v>
      </c>
      <c r="I2">
        <v>418</v>
      </c>
      <c r="J2">
        <v>593</v>
      </c>
      <c r="K2">
        <v>187</v>
      </c>
      <c r="L2">
        <v>918</v>
      </c>
      <c r="M2">
        <v>494</v>
      </c>
      <c r="N2">
        <v>200</v>
      </c>
      <c r="O2">
        <v>83</v>
      </c>
      <c r="P2">
        <v>386</v>
      </c>
      <c r="Q2">
        <v>563</v>
      </c>
      <c r="R2">
        <v>1</v>
      </c>
    </row>
    <row r="3" spans="1:18">
      <c r="A3" s="1" t="s">
        <v>18</v>
      </c>
      <c r="B3">
        <v>36</v>
      </c>
      <c r="C3">
        <v>23</v>
      </c>
      <c r="D3">
        <v>13</v>
      </c>
      <c r="E3">
        <v>-1.02</v>
      </c>
      <c r="F3">
        <v>2524</v>
      </c>
      <c r="G3">
        <v>892</v>
      </c>
      <c r="H3">
        <v>2073</v>
      </c>
      <c r="I3">
        <v>457</v>
      </c>
      <c r="J3">
        <v>649</v>
      </c>
      <c r="K3">
        <v>363</v>
      </c>
      <c r="L3">
        <v>1238</v>
      </c>
      <c r="M3">
        <v>520</v>
      </c>
      <c r="N3">
        <v>240</v>
      </c>
      <c r="O3">
        <v>129</v>
      </c>
      <c r="P3">
        <v>432</v>
      </c>
      <c r="Q3">
        <v>692</v>
      </c>
      <c r="R3">
        <v>2</v>
      </c>
    </row>
    <row r="4" spans="1:18">
      <c r="A4" s="1" t="s">
        <v>19</v>
      </c>
      <c r="B4">
        <v>28</v>
      </c>
      <c r="C4">
        <v>13</v>
      </c>
      <c r="D4">
        <v>15</v>
      </c>
      <c r="E4">
        <v>-11.75</v>
      </c>
      <c r="F4">
        <v>1808</v>
      </c>
      <c r="G4">
        <v>633</v>
      </c>
      <c r="H4">
        <v>1598</v>
      </c>
      <c r="I4">
        <v>417</v>
      </c>
      <c r="J4">
        <v>668</v>
      </c>
      <c r="K4">
        <v>347</v>
      </c>
      <c r="L4">
        <v>1058</v>
      </c>
      <c r="M4">
        <v>339</v>
      </c>
      <c r="N4">
        <v>233</v>
      </c>
      <c r="O4">
        <v>151</v>
      </c>
      <c r="P4">
        <v>444</v>
      </c>
      <c r="Q4">
        <v>562</v>
      </c>
      <c r="R4">
        <v>3</v>
      </c>
    </row>
    <row r="5" spans="1:18">
      <c r="A5" s="1" t="s">
        <v>20</v>
      </c>
      <c r="B5">
        <v>31</v>
      </c>
      <c r="C5">
        <v>22</v>
      </c>
      <c r="D5">
        <v>9</v>
      </c>
      <c r="E5">
        <v>2.78</v>
      </c>
      <c r="F5">
        <v>2119</v>
      </c>
      <c r="G5">
        <v>756</v>
      </c>
      <c r="H5">
        <v>1725</v>
      </c>
      <c r="I5">
        <v>368</v>
      </c>
      <c r="J5">
        <v>513</v>
      </c>
      <c r="K5">
        <v>352</v>
      </c>
      <c r="L5">
        <v>1109</v>
      </c>
      <c r="M5">
        <v>420</v>
      </c>
      <c r="N5">
        <v>164</v>
      </c>
      <c r="O5">
        <v>97</v>
      </c>
      <c r="P5">
        <v>387</v>
      </c>
      <c r="Q5">
        <v>514</v>
      </c>
      <c r="R5">
        <v>4</v>
      </c>
    </row>
    <row r="6" spans="1:18">
      <c r="A6" s="1" t="s">
        <v>21</v>
      </c>
      <c r="B6">
        <v>35</v>
      </c>
      <c r="C6">
        <v>17</v>
      </c>
      <c r="D6">
        <v>18</v>
      </c>
      <c r="E6">
        <v>-10.31</v>
      </c>
      <c r="F6">
        <v>2146</v>
      </c>
      <c r="G6">
        <v>728</v>
      </c>
      <c r="H6">
        <v>1841</v>
      </c>
      <c r="I6">
        <v>525</v>
      </c>
      <c r="J6">
        <v>870</v>
      </c>
      <c r="K6">
        <v>460</v>
      </c>
      <c r="L6">
        <v>1271</v>
      </c>
      <c r="M6">
        <v>404</v>
      </c>
      <c r="N6">
        <v>255</v>
      </c>
      <c r="O6">
        <v>163</v>
      </c>
      <c r="P6">
        <v>551</v>
      </c>
      <c r="Q6">
        <v>777</v>
      </c>
      <c r="R6">
        <v>5</v>
      </c>
    </row>
    <row r="7" spans="1:18">
      <c r="A7" s="1" t="s">
        <v>22</v>
      </c>
      <c r="B7">
        <v>37</v>
      </c>
      <c r="C7">
        <v>25</v>
      </c>
      <c r="D7">
        <v>12</v>
      </c>
      <c r="E7">
        <v>4.2699999999999996</v>
      </c>
      <c r="F7">
        <v>2473</v>
      </c>
      <c r="G7">
        <v>930</v>
      </c>
      <c r="H7">
        <v>2066</v>
      </c>
      <c r="I7">
        <v>461</v>
      </c>
      <c r="J7">
        <v>652</v>
      </c>
      <c r="K7">
        <v>458</v>
      </c>
      <c r="L7">
        <v>1339</v>
      </c>
      <c r="M7">
        <v>454</v>
      </c>
      <c r="N7">
        <v>351</v>
      </c>
      <c r="O7">
        <v>190</v>
      </c>
      <c r="P7">
        <v>516</v>
      </c>
      <c r="Q7">
        <v>675</v>
      </c>
      <c r="R7">
        <v>6</v>
      </c>
    </row>
    <row r="8" spans="1:18">
      <c r="A8" s="1" t="s">
        <v>23</v>
      </c>
      <c r="B8">
        <v>32</v>
      </c>
      <c r="C8">
        <v>16</v>
      </c>
      <c r="D8">
        <v>16</v>
      </c>
      <c r="E8">
        <v>-5.96</v>
      </c>
      <c r="F8">
        <v>2013</v>
      </c>
      <c r="G8">
        <v>724</v>
      </c>
      <c r="H8">
        <v>1707</v>
      </c>
      <c r="I8">
        <v>327</v>
      </c>
      <c r="J8">
        <v>507</v>
      </c>
      <c r="K8">
        <v>376</v>
      </c>
      <c r="L8">
        <v>1155</v>
      </c>
      <c r="M8">
        <v>370</v>
      </c>
      <c r="N8">
        <v>150</v>
      </c>
      <c r="O8">
        <v>90</v>
      </c>
      <c r="P8">
        <v>411</v>
      </c>
      <c r="Q8">
        <v>505</v>
      </c>
      <c r="R8">
        <v>7</v>
      </c>
    </row>
    <row r="9" spans="1:18">
      <c r="A9" s="1" t="s">
        <v>24</v>
      </c>
      <c r="B9">
        <v>28</v>
      </c>
      <c r="C9">
        <v>4</v>
      </c>
      <c r="D9">
        <v>24</v>
      </c>
      <c r="E9">
        <v>-8.02</v>
      </c>
      <c r="F9">
        <v>1838</v>
      </c>
      <c r="G9">
        <v>614</v>
      </c>
      <c r="H9">
        <v>1664</v>
      </c>
      <c r="I9">
        <v>494</v>
      </c>
      <c r="J9">
        <v>781</v>
      </c>
      <c r="K9">
        <v>295</v>
      </c>
      <c r="L9">
        <v>992</v>
      </c>
      <c r="M9">
        <v>255</v>
      </c>
      <c r="N9">
        <v>218</v>
      </c>
      <c r="O9">
        <v>103</v>
      </c>
      <c r="P9">
        <v>473</v>
      </c>
      <c r="Q9">
        <v>610</v>
      </c>
      <c r="R9">
        <v>8</v>
      </c>
    </row>
    <row r="10" spans="1:18">
      <c r="A10" s="1" t="s">
        <v>25</v>
      </c>
      <c r="B10">
        <v>31</v>
      </c>
      <c r="C10">
        <v>22</v>
      </c>
      <c r="D10">
        <v>9</v>
      </c>
      <c r="E10">
        <v>-5.64</v>
      </c>
      <c r="F10">
        <v>2051</v>
      </c>
      <c r="G10">
        <v>716</v>
      </c>
      <c r="H10">
        <v>1602</v>
      </c>
      <c r="I10">
        <v>431</v>
      </c>
      <c r="J10">
        <v>600</v>
      </c>
      <c r="K10">
        <v>288</v>
      </c>
      <c r="L10">
        <v>1044</v>
      </c>
      <c r="M10">
        <v>430</v>
      </c>
      <c r="N10">
        <v>127</v>
      </c>
      <c r="O10">
        <v>86</v>
      </c>
      <c r="P10">
        <v>346</v>
      </c>
      <c r="Q10">
        <v>558</v>
      </c>
      <c r="R10">
        <v>9</v>
      </c>
    </row>
    <row r="11" spans="1:18">
      <c r="A11" s="1" t="s">
        <v>271</v>
      </c>
      <c r="B11">
        <v>31</v>
      </c>
      <c r="C11">
        <v>16</v>
      </c>
      <c r="D11">
        <v>15</v>
      </c>
      <c r="E11">
        <v>-2.95</v>
      </c>
      <c r="F11">
        <v>2265</v>
      </c>
      <c r="G11">
        <v>790</v>
      </c>
      <c r="H11">
        <v>1738</v>
      </c>
      <c r="I11">
        <v>489</v>
      </c>
      <c r="J11">
        <v>694</v>
      </c>
      <c r="K11">
        <v>323</v>
      </c>
      <c r="L11">
        <v>1067</v>
      </c>
      <c r="M11">
        <v>327</v>
      </c>
      <c r="N11">
        <v>179</v>
      </c>
      <c r="O11">
        <v>89</v>
      </c>
      <c r="P11">
        <v>403</v>
      </c>
      <c r="Q11">
        <v>541</v>
      </c>
      <c r="R11">
        <v>10</v>
      </c>
    </row>
    <row r="12" spans="1:18">
      <c r="A12" s="1" t="s">
        <v>26</v>
      </c>
      <c r="B12">
        <v>31</v>
      </c>
      <c r="C12">
        <v>12</v>
      </c>
      <c r="D12">
        <v>19</v>
      </c>
      <c r="E12">
        <v>7.2</v>
      </c>
      <c r="F12">
        <v>1983</v>
      </c>
      <c r="G12">
        <v>719</v>
      </c>
      <c r="H12">
        <v>1674</v>
      </c>
      <c r="I12">
        <v>305</v>
      </c>
      <c r="J12">
        <v>486</v>
      </c>
      <c r="K12">
        <v>290</v>
      </c>
      <c r="L12">
        <v>991</v>
      </c>
      <c r="M12">
        <v>463</v>
      </c>
      <c r="N12">
        <v>196</v>
      </c>
      <c r="O12">
        <v>115</v>
      </c>
      <c r="P12">
        <v>379</v>
      </c>
      <c r="Q12">
        <v>574</v>
      </c>
      <c r="R12">
        <v>11</v>
      </c>
    </row>
    <row r="13" spans="1:18">
      <c r="A13" s="1" t="s">
        <v>356</v>
      </c>
      <c r="B13">
        <v>38</v>
      </c>
      <c r="C13">
        <v>30</v>
      </c>
      <c r="D13">
        <v>8</v>
      </c>
      <c r="E13">
        <v>7.99</v>
      </c>
      <c r="F13">
        <v>2905</v>
      </c>
      <c r="G13">
        <v>969</v>
      </c>
      <c r="H13">
        <v>2064</v>
      </c>
      <c r="I13">
        <v>671</v>
      </c>
      <c r="J13">
        <v>899</v>
      </c>
      <c r="K13">
        <v>408</v>
      </c>
      <c r="L13">
        <v>1319</v>
      </c>
      <c r="M13">
        <v>536</v>
      </c>
      <c r="N13">
        <v>197</v>
      </c>
      <c r="O13">
        <v>98</v>
      </c>
      <c r="P13">
        <v>484</v>
      </c>
      <c r="Q13">
        <v>707</v>
      </c>
      <c r="R13">
        <v>12</v>
      </c>
    </row>
    <row r="14" spans="1:18">
      <c r="A14" s="1" t="s">
        <v>27</v>
      </c>
      <c r="B14">
        <v>36</v>
      </c>
      <c r="C14">
        <v>19</v>
      </c>
      <c r="D14">
        <v>17</v>
      </c>
      <c r="E14">
        <v>-2.97</v>
      </c>
      <c r="F14">
        <v>2457</v>
      </c>
      <c r="G14">
        <v>825</v>
      </c>
      <c r="H14">
        <v>1938</v>
      </c>
      <c r="I14">
        <v>565</v>
      </c>
      <c r="J14">
        <v>819</v>
      </c>
      <c r="K14">
        <v>377</v>
      </c>
      <c r="L14">
        <v>1204</v>
      </c>
      <c r="M14">
        <v>433</v>
      </c>
      <c r="N14">
        <v>212</v>
      </c>
      <c r="O14">
        <v>89</v>
      </c>
      <c r="P14">
        <v>428</v>
      </c>
      <c r="Q14">
        <v>740</v>
      </c>
      <c r="R14">
        <v>13</v>
      </c>
    </row>
    <row r="15" spans="1:18">
      <c r="A15" s="1" t="s">
        <v>28</v>
      </c>
      <c r="B15">
        <v>31</v>
      </c>
      <c r="C15">
        <v>7</v>
      </c>
      <c r="D15">
        <v>24</v>
      </c>
      <c r="E15">
        <v>-8.0299999999999994</v>
      </c>
      <c r="F15">
        <v>1850</v>
      </c>
      <c r="G15">
        <v>627</v>
      </c>
      <c r="H15">
        <v>1610</v>
      </c>
      <c r="I15">
        <v>405</v>
      </c>
      <c r="J15">
        <v>646</v>
      </c>
      <c r="K15">
        <v>299</v>
      </c>
      <c r="L15">
        <v>987</v>
      </c>
      <c r="M15">
        <v>357</v>
      </c>
      <c r="N15">
        <v>234</v>
      </c>
      <c r="O15">
        <v>67</v>
      </c>
      <c r="P15">
        <v>518</v>
      </c>
      <c r="Q15">
        <v>649</v>
      </c>
      <c r="R15">
        <v>14</v>
      </c>
    </row>
    <row r="16" spans="1:18">
      <c r="A16" s="1" t="s">
        <v>29</v>
      </c>
      <c r="B16">
        <v>32</v>
      </c>
      <c r="C16">
        <v>17</v>
      </c>
      <c r="D16">
        <v>15</v>
      </c>
      <c r="E16">
        <v>-3.31</v>
      </c>
      <c r="F16">
        <v>2188</v>
      </c>
      <c r="G16">
        <v>745</v>
      </c>
      <c r="H16">
        <v>1724</v>
      </c>
      <c r="I16">
        <v>531</v>
      </c>
      <c r="J16">
        <v>750</v>
      </c>
      <c r="K16">
        <v>395</v>
      </c>
      <c r="L16">
        <v>1177</v>
      </c>
      <c r="M16">
        <v>363</v>
      </c>
      <c r="N16">
        <v>202</v>
      </c>
      <c r="O16">
        <v>99</v>
      </c>
      <c r="P16">
        <v>418</v>
      </c>
      <c r="Q16">
        <v>585</v>
      </c>
      <c r="R16">
        <v>15</v>
      </c>
    </row>
    <row r="17" spans="1:18">
      <c r="A17" s="1" t="s">
        <v>302</v>
      </c>
      <c r="B17">
        <v>31</v>
      </c>
      <c r="C17">
        <v>18</v>
      </c>
      <c r="D17">
        <v>13</v>
      </c>
      <c r="E17">
        <v>2.34</v>
      </c>
      <c r="F17">
        <v>2191</v>
      </c>
      <c r="G17">
        <v>756</v>
      </c>
      <c r="H17">
        <v>1734</v>
      </c>
      <c r="I17">
        <v>475</v>
      </c>
      <c r="J17">
        <v>683</v>
      </c>
      <c r="K17">
        <v>332</v>
      </c>
      <c r="L17">
        <v>1063</v>
      </c>
      <c r="M17">
        <v>373</v>
      </c>
      <c r="N17">
        <v>225</v>
      </c>
      <c r="O17">
        <v>182</v>
      </c>
      <c r="P17">
        <v>411</v>
      </c>
      <c r="Q17">
        <v>561</v>
      </c>
      <c r="R17">
        <v>16</v>
      </c>
    </row>
    <row r="18" spans="1:18">
      <c r="A18" s="1" t="s">
        <v>30</v>
      </c>
      <c r="B18">
        <v>30</v>
      </c>
      <c r="C18">
        <v>11</v>
      </c>
      <c r="D18">
        <v>19</v>
      </c>
      <c r="E18">
        <v>-6.58</v>
      </c>
      <c r="F18">
        <v>2038</v>
      </c>
      <c r="G18">
        <v>707</v>
      </c>
      <c r="H18">
        <v>1701</v>
      </c>
      <c r="I18">
        <v>360</v>
      </c>
      <c r="J18">
        <v>507</v>
      </c>
      <c r="K18">
        <v>324</v>
      </c>
      <c r="L18">
        <v>1020</v>
      </c>
      <c r="M18">
        <v>403</v>
      </c>
      <c r="N18">
        <v>169</v>
      </c>
      <c r="O18">
        <v>53</v>
      </c>
      <c r="P18">
        <v>424</v>
      </c>
      <c r="Q18">
        <v>606</v>
      </c>
      <c r="R18">
        <v>17</v>
      </c>
    </row>
    <row r="19" spans="1:18">
      <c r="A19" s="1" t="s">
        <v>272</v>
      </c>
      <c r="B19">
        <v>31</v>
      </c>
      <c r="C19">
        <v>11</v>
      </c>
      <c r="D19">
        <v>20</v>
      </c>
      <c r="E19">
        <v>2.4</v>
      </c>
      <c r="F19">
        <v>1933</v>
      </c>
      <c r="G19">
        <v>675</v>
      </c>
      <c r="H19">
        <v>1695</v>
      </c>
      <c r="I19">
        <v>435</v>
      </c>
      <c r="J19">
        <v>663</v>
      </c>
      <c r="K19">
        <v>383</v>
      </c>
      <c r="L19">
        <v>1067</v>
      </c>
      <c r="M19">
        <v>349</v>
      </c>
      <c r="N19">
        <v>242</v>
      </c>
      <c r="O19">
        <v>100</v>
      </c>
      <c r="P19">
        <v>440</v>
      </c>
      <c r="Q19">
        <v>641</v>
      </c>
      <c r="R19">
        <v>18</v>
      </c>
    </row>
    <row r="20" spans="1:18">
      <c r="A20" s="1" t="s">
        <v>31</v>
      </c>
      <c r="B20">
        <v>34</v>
      </c>
      <c r="C20">
        <v>20</v>
      </c>
      <c r="D20">
        <v>14</v>
      </c>
      <c r="E20">
        <v>-3.77</v>
      </c>
      <c r="F20">
        <v>2510</v>
      </c>
      <c r="G20">
        <v>899</v>
      </c>
      <c r="H20">
        <v>1960</v>
      </c>
      <c r="I20">
        <v>526</v>
      </c>
      <c r="J20">
        <v>773</v>
      </c>
      <c r="K20">
        <v>429</v>
      </c>
      <c r="L20">
        <v>1227</v>
      </c>
      <c r="M20">
        <v>484</v>
      </c>
      <c r="N20">
        <v>292</v>
      </c>
      <c r="O20">
        <v>142</v>
      </c>
      <c r="P20">
        <v>485</v>
      </c>
      <c r="Q20">
        <v>625</v>
      </c>
      <c r="R20">
        <v>19</v>
      </c>
    </row>
    <row r="21" spans="1:18">
      <c r="A21" s="1" t="s">
        <v>273</v>
      </c>
      <c r="B21">
        <v>32</v>
      </c>
      <c r="C21">
        <v>19</v>
      </c>
      <c r="D21">
        <v>13</v>
      </c>
      <c r="E21">
        <v>-3.4</v>
      </c>
      <c r="F21">
        <v>2164</v>
      </c>
      <c r="G21">
        <v>724</v>
      </c>
      <c r="H21">
        <v>1623</v>
      </c>
      <c r="I21">
        <v>567</v>
      </c>
      <c r="J21">
        <v>818</v>
      </c>
      <c r="K21">
        <v>332</v>
      </c>
      <c r="L21">
        <v>1077</v>
      </c>
      <c r="M21">
        <v>436</v>
      </c>
      <c r="N21">
        <v>193</v>
      </c>
      <c r="O21">
        <v>64</v>
      </c>
      <c r="P21">
        <v>414</v>
      </c>
      <c r="Q21">
        <v>574</v>
      </c>
      <c r="R21">
        <v>20</v>
      </c>
    </row>
    <row r="22" spans="1:18">
      <c r="A22" s="1" t="s">
        <v>32</v>
      </c>
      <c r="B22">
        <v>31</v>
      </c>
      <c r="C22">
        <v>18</v>
      </c>
      <c r="D22">
        <v>13</v>
      </c>
      <c r="E22">
        <v>4.8</v>
      </c>
      <c r="F22">
        <v>2154</v>
      </c>
      <c r="G22">
        <v>752</v>
      </c>
      <c r="H22">
        <v>1618</v>
      </c>
      <c r="I22">
        <v>486</v>
      </c>
      <c r="J22">
        <v>699</v>
      </c>
      <c r="K22">
        <v>360</v>
      </c>
      <c r="L22">
        <v>1088</v>
      </c>
      <c r="M22">
        <v>365</v>
      </c>
      <c r="N22">
        <v>217</v>
      </c>
      <c r="O22">
        <v>130</v>
      </c>
      <c r="P22">
        <v>487</v>
      </c>
      <c r="Q22">
        <v>524</v>
      </c>
      <c r="R22">
        <v>21</v>
      </c>
    </row>
    <row r="23" spans="1:18">
      <c r="A23" s="1" t="s">
        <v>33</v>
      </c>
      <c r="B23">
        <v>35</v>
      </c>
      <c r="C23">
        <v>30</v>
      </c>
      <c r="D23">
        <v>5</v>
      </c>
      <c r="E23">
        <v>-4.42</v>
      </c>
      <c r="F23">
        <v>2790</v>
      </c>
      <c r="G23">
        <v>944</v>
      </c>
      <c r="H23">
        <v>2045</v>
      </c>
      <c r="I23">
        <v>575</v>
      </c>
      <c r="J23">
        <v>781</v>
      </c>
      <c r="K23">
        <v>451</v>
      </c>
      <c r="L23">
        <v>1258</v>
      </c>
      <c r="M23">
        <v>575</v>
      </c>
      <c r="N23">
        <v>338</v>
      </c>
      <c r="O23">
        <v>118</v>
      </c>
      <c r="P23">
        <v>480</v>
      </c>
      <c r="Q23">
        <v>729</v>
      </c>
      <c r="R23">
        <v>22</v>
      </c>
    </row>
    <row r="24" spans="1:18">
      <c r="A24" s="1" t="s">
        <v>34</v>
      </c>
      <c r="B24">
        <v>34</v>
      </c>
      <c r="C24">
        <v>21</v>
      </c>
      <c r="D24">
        <v>13</v>
      </c>
      <c r="E24">
        <v>-8.0399999999999991</v>
      </c>
      <c r="F24">
        <v>2241</v>
      </c>
      <c r="G24">
        <v>796</v>
      </c>
      <c r="H24">
        <v>1814</v>
      </c>
      <c r="I24">
        <v>509</v>
      </c>
      <c r="J24">
        <v>719</v>
      </c>
      <c r="K24">
        <v>365</v>
      </c>
      <c r="L24">
        <v>1094</v>
      </c>
      <c r="M24">
        <v>393</v>
      </c>
      <c r="N24">
        <v>242</v>
      </c>
      <c r="O24">
        <v>90</v>
      </c>
      <c r="P24">
        <v>415</v>
      </c>
      <c r="Q24">
        <v>654</v>
      </c>
      <c r="R24">
        <v>23</v>
      </c>
    </row>
    <row r="25" spans="1:18">
      <c r="A25" s="1" t="s">
        <v>303</v>
      </c>
      <c r="B25">
        <v>31</v>
      </c>
      <c r="C25">
        <v>8</v>
      </c>
      <c r="D25">
        <v>23</v>
      </c>
      <c r="E25">
        <v>-5.35</v>
      </c>
      <c r="F25">
        <v>1861</v>
      </c>
      <c r="G25">
        <v>651</v>
      </c>
      <c r="H25">
        <v>1641</v>
      </c>
      <c r="I25">
        <v>326</v>
      </c>
      <c r="J25">
        <v>465</v>
      </c>
      <c r="K25">
        <v>316</v>
      </c>
      <c r="L25">
        <v>959</v>
      </c>
      <c r="M25">
        <v>338</v>
      </c>
      <c r="N25">
        <v>157</v>
      </c>
      <c r="O25">
        <v>102</v>
      </c>
      <c r="P25">
        <v>384</v>
      </c>
      <c r="Q25">
        <v>503</v>
      </c>
      <c r="R25">
        <v>24</v>
      </c>
    </row>
    <row r="26" spans="1:18">
      <c r="A26" s="1" t="s">
        <v>35</v>
      </c>
      <c r="B26">
        <v>35</v>
      </c>
      <c r="C26">
        <v>22</v>
      </c>
      <c r="D26">
        <v>13</v>
      </c>
      <c r="E26">
        <v>0.01</v>
      </c>
      <c r="F26">
        <v>2594</v>
      </c>
      <c r="G26">
        <v>876</v>
      </c>
      <c r="H26">
        <v>2002</v>
      </c>
      <c r="I26">
        <v>605</v>
      </c>
      <c r="J26">
        <v>838</v>
      </c>
      <c r="K26">
        <v>390</v>
      </c>
      <c r="L26">
        <v>1158</v>
      </c>
      <c r="M26">
        <v>449</v>
      </c>
      <c r="N26">
        <v>302</v>
      </c>
      <c r="O26">
        <v>94</v>
      </c>
      <c r="P26">
        <v>425</v>
      </c>
      <c r="Q26">
        <v>661</v>
      </c>
      <c r="R26">
        <v>25</v>
      </c>
    </row>
    <row r="27" spans="1:18">
      <c r="A27" s="1" t="s">
        <v>36</v>
      </c>
      <c r="B27">
        <v>34</v>
      </c>
      <c r="C27">
        <v>21</v>
      </c>
      <c r="D27">
        <v>13</v>
      </c>
      <c r="E27">
        <v>7.31</v>
      </c>
      <c r="F27">
        <v>2440</v>
      </c>
      <c r="G27">
        <v>856</v>
      </c>
      <c r="H27">
        <v>1852</v>
      </c>
      <c r="I27">
        <v>422</v>
      </c>
      <c r="J27">
        <v>583</v>
      </c>
      <c r="K27">
        <v>320</v>
      </c>
      <c r="L27">
        <v>1091</v>
      </c>
      <c r="M27">
        <v>517</v>
      </c>
      <c r="N27">
        <v>167</v>
      </c>
      <c r="O27">
        <v>86</v>
      </c>
      <c r="P27">
        <v>376</v>
      </c>
      <c r="Q27">
        <v>503</v>
      </c>
      <c r="R27">
        <v>26</v>
      </c>
    </row>
    <row r="28" spans="1:18">
      <c r="A28" s="1" t="s">
        <v>37</v>
      </c>
      <c r="B28">
        <v>35</v>
      </c>
      <c r="C28">
        <v>21</v>
      </c>
      <c r="D28">
        <v>14</v>
      </c>
      <c r="E28">
        <v>-3.85</v>
      </c>
      <c r="F28">
        <v>2270</v>
      </c>
      <c r="G28">
        <v>749</v>
      </c>
      <c r="H28">
        <v>1865</v>
      </c>
      <c r="I28">
        <v>507</v>
      </c>
      <c r="J28">
        <v>695</v>
      </c>
      <c r="K28">
        <v>414</v>
      </c>
      <c r="L28">
        <v>1249</v>
      </c>
      <c r="M28">
        <v>345</v>
      </c>
      <c r="N28">
        <v>189</v>
      </c>
      <c r="O28">
        <v>129</v>
      </c>
      <c r="P28">
        <v>418</v>
      </c>
      <c r="Q28">
        <v>635</v>
      </c>
      <c r="R28">
        <v>27</v>
      </c>
    </row>
    <row r="29" spans="1:18">
      <c r="A29" s="1" t="s">
        <v>38</v>
      </c>
      <c r="B29">
        <v>33</v>
      </c>
      <c r="C29">
        <v>14</v>
      </c>
      <c r="D29">
        <v>19</v>
      </c>
      <c r="E29">
        <v>-2.0299999999999998</v>
      </c>
      <c r="F29">
        <v>2116</v>
      </c>
      <c r="G29">
        <v>803</v>
      </c>
      <c r="H29">
        <v>1859</v>
      </c>
      <c r="I29">
        <v>364</v>
      </c>
      <c r="J29">
        <v>567</v>
      </c>
      <c r="K29">
        <v>360</v>
      </c>
      <c r="L29">
        <v>1099</v>
      </c>
      <c r="M29">
        <v>450</v>
      </c>
      <c r="N29">
        <v>283</v>
      </c>
      <c r="O29">
        <v>105</v>
      </c>
      <c r="P29">
        <v>444</v>
      </c>
      <c r="Q29">
        <v>608</v>
      </c>
      <c r="R29">
        <v>28</v>
      </c>
    </row>
    <row r="30" spans="1:18">
      <c r="A30" s="1" t="s">
        <v>39</v>
      </c>
      <c r="B30">
        <v>32</v>
      </c>
      <c r="C30">
        <v>12</v>
      </c>
      <c r="D30">
        <v>20</v>
      </c>
      <c r="E30">
        <v>1.67</v>
      </c>
      <c r="F30">
        <v>2076</v>
      </c>
      <c r="G30">
        <v>748</v>
      </c>
      <c r="H30">
        <v>1751</v>
      </c>
      <c r="I30">
        <v>421</v>
      </c>
      <c r="J30">
        <v>583</v>
      </c>
      <c r="K30">
        <v>294</v>
      </c>
      <c r="L30">
        <v>1048</v>
      </c>
      <c r="M30">
        <v>374</v>
      </c>
      <c r="N30">
        <v>202</v>
      </c>
      <c r="O30">
        <v>79</v>
      </c>
      <c r="P30">
        <v>390</v>
      </c>
      <c r="Q30">
        <v>584</v>
      </c>
      <c r="R30">
        <v>29</v>
      </c>
    </row>
    <row r="31" spans="1:18">
      <c r="A31" s="1" t="s">
        <v>40</v>
      </c>
      <c r="B31">
        <v>37</v>
      </c>
      <c r="C31">
        <v>32</v>
      </c>
      <c r="D31">
        <v>5</v>
      </c>
      <c r="E31">
        <v>5.76</v>
      </c>
      <c r="F31">
        <v>3012</v>
      </c>
      <c r="G31">
        <v>1019</v>
      </c>
      <c r="H31">
        <v>2267</v>
      </c>
      <c r="I31">
        <v>662</v>
      </c>
      <c r="J31">
        <v>865</v>
      </c>
      <c r="K31">
        <v>420</v>
      </c>
      <c r="L31">
        <v>1425</v>
      </c>
      <c r="M31">
        <v>538</v>
      </c>
      <c r="N31">
        <v>298</v>
      </c>
      <c r="O31">
        <v>150</v>
      </c>
      <c r="P31">
        <v>404</v>
      </c>
      <c r="Q31">
        <v>647</v>
      </c>
      <c r="R31">
        <v>30</v>
      </c>
    </row>
    <row r="32" spans="1:18">
      <c r="A32" s="1" t="s">
        <v>41</v>
      </c>
      <c r="B32">
        <v>28</v>
      </c>
      <c r="C32">
        <v>11</v>
      </c>
      <c r="D32">
        <v>17</v>
      </c>
      <c r="E32">
        <v>-4.12</v>
      </c>
      <c r="F32">
        <v>2002</v>
      </c>
      <c r="G32">
        <v>688</v>
      </c>
      <c r="H32">
        <v>1567</v>
      </c>
      <c r="I32">
        <v>417</v>
      </c>
      <c r="J32">
        <v>558</v>
      </c>
      <c r="K32">
        <v>221</v>
      </c>
      <c r="L32">
        <v>959</v>
      </c>
      <c r="M32">
        <v>399</v>
      </c>
      <c r="N32">
        <v>147</v>
      </c>
      <c r="O32">
        <v>76</v>
      </c>
      <c r="P32">
        <v>343</v>
      </c>
      <c r="Q32">
        <v>464</v>
      </c>
      <c r="R32">
        <v>31</v>
      </c>
    </row>
    <row r="33" spans="1:18">
      <c r="A33" s="1" t="s">
        <v>352</v>
      </c>
      <c r="B33">
        <v>30</v>
      </c>
      <c r="C33">
        <v>9</v>
      </c>
      <c r="D33">
        <v>21</v>
      </c>
      <c r="E33">
        <v>-3.12</v>
      </c>
      <c r="F33">
        <v>2001</v>
      </c>
      <c r="G33">
        <v>704</v>
      </c>
      <c r="H33">
        <v>1683</v>
      </c>
      <c r="I33">
        <v>350</v>
      </c>
      <c r="J33">
        <v>537</v>
      </c>
      <c r="K33">
        <v>315</v>
      </c>
      <c r="L33">
        <v>990</v>
      </c>
      <c r="M33">
        <v>400</v>
      </c>
      <c r="N33">
        <v>167</v>
      </c>
      <c r="O33">
        <v>82</v>
      </c>
      <c r="P33">
        <v>409</v>
      </c>
      <c r="Q33">
        <v>565</v>
      </c>
      <c r="R33">
        <v>32</v>
      </c>
    </row>
    <row r="34" spans="1:18">
      <c r="A34" s="1" t="s">
        <v>42</v>
      </c>
      <c r="B34">
        <v>34</v>
      </c>
      <c r="C34">
        <v>25</v>
      </c>
      <c r="D34">
        <v>9</v>
      </c>
      <c r="E34">
        <v>-3.87</v>
      </c>
      <c r="F34">
        <v>2387</v>
      </c>
      <c r="G34">
        <v>827</v>
      </c>
      <c r="H34">
        <v>1855</v>
      </c>
      <c r="I34">
        <v>499</v>
      </c>
      <c r="J34">
        <v>633</v>
      </c>
      <c r="K34">
        <v>270</v>
      </c>
      <c r="L34">
        <v>1149</v>
      </c>
      <c r="M34">
        <v>491</v>
      </c>
      <c r="N34">
        <v>160</v>
      </c>
      <c r="O34">
        <v>106</v>
      </c>
      <c r="P34">
        <v>380</v>
      </c>
      <c r="Q34">
        <v>612</v>
      </c>
      <c r="R34">
        <v>33</v>
      </c>
    </row>
    <row r="35" spans="1:18">
      <c r="A35" s="1" t="s">
        <v>43</v>
      </c>
      <c r="B35">
        <v>34</v>
      </c>
      <c r="C35">
        <v>20</v>
      </c>
      <c r="D35">
        <v>14</v>
      </c>
      <c r="E35">
        <v>-2.2200000000000002</v>
      </c>
      <c r="F35">
        <v>2399</v>
      </c>
      <c r="G35">
        <v>879</v>
      </c>
      <c r="H35">
        <v>1863</v>
      </c>
      <c r="I35">
        <v>435</v>
      </c>
      <c r="J35">
        <v>668</v>
      </c>
      <c r="K35">
        <v>408</v>
      </c>
      <c r="L35">
        <v>1205</v>
      </c>
      <c r="M35">
        <v>478</v>
      </c>
      <c r="N35">
        <v>268</v>
      </c>
      <c r="O35">
        <v>183</v>
      </c>
      <c r="P35">
        <v>524</v>
      </c>
      <c r="Q35">
        <v>645</v>
      </c>
      <c r="R35">
        <v>34</v>
      </c>
    </row>
    <row r="36" spans="1:18">
      <c r="A36" s="1" t="s">
        <v>304</v>
      </c>
      <c r="B36">
        <v>38</v>
      </c>
      <c r="C36">
        <v>28</v>
      </c>
      <c r="D36">
        <v>10</v>
      </c>
      <c r="E36">
        <v>5.0199999999999996</v>
      </c>
      <c r="F36">
        <v>2707</v>
      </c>
      <c r="G36">
        <v>919</v>
      </c>
      <c r="H36">
        <v>2122</v>
      </c>
      <c r="I36">
        <v>580</v>
      </c>
      <c r="J36">
        <v>799</v>
      </c>
      <c r="K36">
        <v>431</v>
      </c>
      <c r="L36">
        <v>1337</v>
      </c>
      <c r="M36">
        <v>452</v>
      </c>
      <c r="N36">
        <v>226</v>
      </c>
      <c r="O36">
        <v>61</v>
      </c>
      <c r="P36">
        <v>416</v>
      </c>
      <c r="Q36">
        <v>718</v>
      </c>
      <c r="R36">
        <v>35</v>
      </c>
    </row>
    <row r="37" spans="1:18">
      <c r="A37" s="1" t="s">
        <v>44</v>
      </c>
      <c r="B37">
        <v>30</v>
      </c>
      <c r="C37">
        <v>15</v>
      </c>
      <c r="D37">
        <v>15</v>
      </c>
      <c r="E37">
        <v>-2.39</v>
      </c>
      <c r="F37">
        <v>1779</v>
      </c>
      <c r="G37">
        <v>603</v>
      </c>
      <c r="H37">
        <v>1551</v>
      </c>
      <c r="I37">
        <v>383</v>
      </c>
      <c r="J37">
        <v>577</v>
      </c>
      <c r="K37">
        <v>343</v>
      </c>
      <c r="L37">
        <v>1020</v>
      </c>
      <c r="M37">
        <v>336</v>
      </c>
      <c r="N37">
        <v>181</v>
      </c>
      <c r="O37">
        <v>62</v>
      </c>
      <c r="P37">
        <v>356</v>
      </c>
      <c r="Q37">
        <v>557</v>
      </c>
      <c r="R37">
        <v>36</v>
      </c>
    </row>
    <row r="38" spans="1:18">
      <c r="A38" s="1" t="s">
        <v>343</v>
      </c>
      <c r="B38">
        <v>28</v>
      </c>
      <c r="C38">
        <v>9</v>
      </c>
      <c r="D38">
        <v>19</v>
      </c>
      <c r="E38">
        <v>-2.16</v>
      </c>
      <c r="F38">
        <v>1907</v>
      </c>
      <c r="G38">
        <v>657</v>
      </c>
      <c r="H38">
        <v>1661</v>
      </c>
      <c r="I38">
        <v>412</v>
      </c>
      <c r="J38">
        <v>598</v>
      </c>
      <c r="K38">
        <v>355</v>
      </c>
      <c r="L38">
        <v>947</v>
      </c>
      <c r="M38">
        <v>329</v>
      </c>
      <c r="N38">
        <v>204</v>
      </c>
      <c r="O38">
        <v>89</v>
      </c>
      <c r="P38">
        <v>382</v>
      </c>
      <c r="Q38">
        <v>535</v>
      </c>
      <c r="R38">
        <v>37</v>
      </c>
    </row>
    <row r="39" spans="1:18">
      <c r="A39" s="1" t="s">
        <v>45</v>
      </c>
      <c r="B39">
        <v>31</v>
      </c>
      <c r="C39">
        <v>11</v>
      </c>
      <c r="D39">
        <v>20</v>
      </c>
      <c r="E39">
        <v>-2.81</v>
      </c>
      <c r="F39">
        <v>2208</v>
      </c>
      <c r="G39">
        <v>752</v>
      </c>
      <c r="H39">
        <v>1675</v>
      </c>
      <c r="I39">
        <v>506</v>
      </c>
      <c r="J39">
        <v>704</v>
      </c>
      <c r="K39">
        <v>325</v>
      </c>
      <c r="L39">
        <v>1036</v>
      </c>
      <c r="M39">
        <v>393</v>
      </c>
      <c r="N39">
        <v>162</v>
      </c>
      <c r="O39">
        <v>44</v>
      </c>
      <c r="P39">
        <v>439</v>
      </c>
      <c r="Q39">
        <v>636</v>
      </c>
      <c r="R39">
        <v>38</v>
      </c>
    </row>
    <row r="40" spans="1:18">
      <c r="A40" s="1" t="s">
        <v>46</v>
      </c>
      <c r="B40">
        <v>32</v>
      </c>
      <c r="C40">
        <v>14</v>
      </c>
      <c r="D40">
        <v>18</v>
      </c>
      <c r="E40">
        <v>-1.55</v>
      </c>
      <c r="F40">
        <v>2232</v>
      </c>
      <c r="G40">
        <v>752</v>
      </c>
      <c r="H40">
        <v>1725</v>
      </c>
      <c r="I40">
        <v>552</v>
      </c>
      <c r="J40">
        <v>820</v>
      </c>
      <c r="K40">
        <v>365</v>
      </c>
      <c r="L40">
        <v>1111</v>
      </c>
      <c r="M40">
        <v>407</v>
      </c>
      <c r="N40">
        <v>208</v>
      </c>
      <c r="O40">
        <v>111</v>
      </c>
      <c r="P40">
        <v>504</v>
      </c>
      <c r="Q40">
        <v>738</v>
      </c>
      <c r="R40">
        <v>39</v>
      </c>
    </row>
    <row r="41" spans="1:18">
      <c r="A41" s="1" t="s">
        <v>330</v>
      </c>
      <c r="B41">
        <v>30</v>
      </c>
      <c r="C41">
        <v>10</v>
      </c>
      <c r="D41">
        <v>20</v>
      </c>
      <c r="E41">
        <v>-1.9</v>
      </c>
      <c r="F41">
        <v>2136</v>
      </c>
      <c r="G41">
        <v>744</v>
      </c>
      <c r="H41">
        <v>1619</v>
      </c>
      <c r="I41">
        <v>407</v>
      </c>
      <c r="J41">
        <v>559</v>
      </c>
      <c r="K41">
        <v>225</v>
      </c>
      <c r="L41">
        <v>920</v>
      </c>
      <c r="M41">
        <v>450</v>
      </c>
      <c r="N41">
        <v>196</v>
      </c>
      <c r="O41">
        <v>76</v>
      </c>
      <c r="P41">
        <v>423</v>
      </c>
      <c r="Q41">
        <v>589</v>
      </c>
      <c r="R41">
        <v>40</v>
      </c>
    </row>
    <row r="42" spans="1:18">
      <c r="A42" s="1" t="s">
        <v>47</v>
      </c>
      <c r="B42">
        <v>32</v>
      </c>
      <c r="C42">
        <v>13</v>
      </c>
      <c r="D42">
        <v>19</v>
      </c>
      <c r="E42">
        <v>-2.36</v>
      </c>
      <c r="F42">
        <v>2411</v>
      </c>
      <c r="G42">
        <v>798</v>
      </c>
      <c r="H42">
        <v>1892</v>
      </c>
      <c r="I42">
        <v>576</v>
      </c>
      <c r="J42">
        <v>784</v>
      </c>
      <c r="K42">
        <v>309</v>
      </c>
      <c r="L42">
        <v>1148</v>
      </c>
      <c r="M42">
        <v>390</v>
      </c>
      <c r="N42">
        <v>213</v>
      </c>
      <c r="O42">
        <v>57</v>
      </c>
      <c r="P42">
        <v>412</v>
      </c>
      <c r="Q42">
        <v>691</v>
      </c>
      <c r="R42">
        <v>41</v>
      </c>
    </row>
    <row r="43" spans="1:18">
      <c r="A43" s="1" t="s">
        <v>305</v>
      </c>
      <c r="B43">
        <v>31</v>
      </c>
      <c r="C43">
        <v>12</v>
      </c>
      <c r="D43">
        <v>19</v>
      </c>
      <c r="E43">
        <v>-1.4</v>
      </c>
      <c r="F43">
        <v>2044</v>
      </c>
      <c r="G43">
        <v>745</v>
      </c>
      <c r="H43">
        <v>1757</v>
      </c>
      <c r="I43">
        <v>393</v>
      </c>
      <c r="J43">
        <v>576</v>
      </c>
      <c r="K43">
        <v>370</v>
      </c>
      <c r="L43">
        <v>1087</v>
      </c>
      <c r="M43">
        <v>374</v>
      </c>
      <c r="N43">
        <v>183</v>
      </c>
      <c r="O43">
        <v>119</v>
      </c>
      <c r="P43">
        <v>432</v>
      </c>
      <c r="Q43">
        <v>581</v>
      </c>
      <c r="R43">
        <v>42</v>
      </c>
    </row>
    <row r="44" spans="1:18">
      <c r="A44" s="1" t="s">
        <v>48</v>
      </c>
      <c r="B44">
        <v>32</v>
      </c>
      <c r="C44">
        <v>18</v>
      </c>
      <c r="D44">
        <v>14</v>
      </c>
      <c r="E44">
        <v>0.12</v>
      </c>
      <c r="F44">
        <v>2170</v>
      </c>
      <c r="G44">
        <v>742</v>
      </c>
      <c r="H44">
        <v>1636</v>
      </c>
      <c r="I44">
        <v>459</v>
      </c>
      <c r="J44">
        <v>610</v>
      </c>
      <c r="K44">
        <v>277</v>
      </c>
      <c r="L44">
        <v>1038</v>
      </c>
      <c r="M44">
        <v>457</v>
      </c>
      <c r="N44">
        <v>233</v>
      </c>
      <c r="O44">
        <v>133</v>
      </c>
      <c r="P44">
        <v>456</v>
      </c>
      <c r="Q44">
        <v>611</v>
      </c>
      <c r="R44">
        <v>43</v>
      </c>
    </row>
    <row r="45" spans="1:18">
      <c r="A45" s="1" t="s">
        <v>49</v>
      </c>
      <c r="B45">
        <v>33</v>
      </c>
      <c r="C45">
        <v>18</v>
      </c>
      <c r="D45">
        <v>15</v>
      </c>
      <c r="E45">
        <v>9.17</v>
      </c>
      <c r="F45">
        <v>2391</v>
      </c>
      <c r="G45">
        <v>820</v>
      </c>
      <c r="H45">
        <v>1779</v>
      </c>
      <c r="I45">
        <v>582</v>
      </c>
      <c r="J45">
        <v>838</v>
      </c>
      <c r="K45">
        <v>325</v>
      </c>
      <c r="L45">
        <v>1153</v>
      </c>
      <c r="M45">
        <v>493</v>
      </c>
      <c r="N45">
        <v>188</v>
      </c>
      <c r="O45">
        <v>84</v>
      </c>
      <c r="P45">
        <v>449</v>
      </c>
      <c r="Q45">
        <v>588</v>
      </c>
      <c r="R45">
        <v>44</v>
      </c>
    </row>
    <row r="46" spans="1:18">
      <c r="A46" s="1" t="s">
        <v>50</v>
      </c>
      <c r="B46">
        <v>31</v>
      </c>
      <c r="C46">
        <v>12</v>
      </c>
      <c r="D46">
        <v>19</v>
      </c>
      <c r="E46">
        <v>-4.2699999999999996</v>
      </c>
      <c r="F46">
        <v>2032</v>
      </c>
      <c r="G46">
        <v>742</v>
      </c>
      <c r="H46">
        <v>1640</v>
      </c>
      <c r="I46">
        <v>425</v>
      </c>
      <c r="J46">
        <v>663</v>
      </c>
      <c r="K46">
        <v>353</v>
      </c>
      <c r="L46">
        <v>1023</v>
      </c>
      <c r="M46">
        <v>425</v>
      </c>
      <c r="N46">
        <v>219</v>
      </c>
      <c r="O46">
        <v>155</v>
      </c>
      <c r="P46">
        <v>446</v>
      </c>
      <c r="Q46">
        <v>680</v>
      </c>
      <c r="R46">
        <v>45</v>
      </c>
    </row>
    <row r="47" spans="1:18">
      <c r="A47" s="1" t="s">
        <v>51</v>
      </c>
      <c r="B47">
        <v>30</v>
      </c>
      <c r="C47">
        <v>15</v>
      </c>
      <c r="D47">
        <v>15</v>
      </c>
      <c r="E47">
        <v>-3.55</v>
      </c>
      <c r="F47">
        <v>2043</v>
      </c>
      <c r="G47">
        <v>739</v>
      </c>
      <c r="H47">
        <v>1742</v>
      </c>
      <c r="I47">
        <v>334</v>
      </c>
      <c r="J47">
        <v>478</v>
      </c>
      <c r="K47">
        <v>364</v>
      </c>
      <c r="L47">
        <v>1063</v>
      </c>
      <c r="M47">
        <v>449</v>
      </c>
      <c r="N47">
        <v>207</v>
      </c>
      <c r="O47">
        <v>145</v>
      </c>
      <c r="P47">
        <v>414</v>
      </c>
      <c r="Q47">
        <v>580</v>
      </c>
      <c r="R47">
        <v>46</v>
      </c>
    </row>
    <row r="48" spans="1:18">
      <c r="A48" s="1" t="s">
        <v>52</v>
      </c>
      <c r="B48">
        <v>30</v>
      </c>
      <c r="C48">
        <v>1</v>
      </c>
      <c r="D48">
        <v>29</v>
      </c>
      <c r="E48">
        <v>-2.85</v>
      </c>
      <c r="F48">
        <v>1775</v>
      </c>
      <c r="G48">
        <v>598</v>
      </c>
      <c r="H48">
        <v>1507</v>
      </c>
      <c r="I48">
        <v>448</v>
      </c>
      <c r="J48">
        <v>715</v>
      </c>
      <c r="K48">
        <v>281</v>
      </c>
      <c r="L48">
        <v>892</v>
      </c>
      <c r="M48">
        <v>294</v>
      </c>
      <c r="N48">
        <v>212</v>
      </c>
      <c r="O48">
        <v>73</v>
      </c>
      <c r="P48">
        <v>543</v>
      </c>
      <c r="Q48">
        <v>656</v>
      </c>
      <c r="R48">
        <v>47</v>
      </c>
    </row>
    <row r="49" spans="1:18">
      <c r="A49" s="1" t="s">
        <v>344</v>
      </c>
      <c r="B49">
        <v>29</v>
      </c>
      <c r="C49">
        <v>5</v>
      </c>
      <c r="D49">
        <v>24</v>
      </c>
      <c r="E49">
        <v>-5.39</v>
      </c>
      <c r="F49">
        <v>1984</v>
      </c>
      <c r="G49">
        <v>690</v>
      </c>
      <c r="H49">
        <v>1657</v>
      </c>
      <c r="I49">
        <v>439</v>
      </c>
      <c r="J49">
        <v>684</v>
      </c>
      <c r="K49">
        <v>344</v>
      </c>
      <c r="L49">
        <v>965</v>
      </c>
      <c r="M49">
        <v>346</v>
      </c>
      <c r="N49">
        <v>221</v>
      </c>
      <c r="O49">
        <v>76</v>
      </c>
      <c r="P49">
        <v>468</v>
      </c>
      <c r="Q49">
        <v>571</v>
      </c>
      <c r="R49">
        <v>48</v>
      </c>
    </row>
    <row r="50" spans="1:18">
      <c r="A50" s="1" t="s">
        <v>274</v>
      </c>
      <c r="B50">
        <v>31</v>
      </c>
      <c r="C50">
        <v>19</v>
      </c>
      <c r="D50">
        <v>12</v>
      </c>
      <c r="E50">
        <v>-5.97</v>
      </c>
      <c r="F50">
        <v>2170</v>
      </c>
      <c r="G50">
        <v>766</v>
      </c>
      <c r="H50">
        <v>1758</v>
      </c>
      <c r="I50">
        <v>486</v>
      </c>
      <c r="J50">
        <v>634</v>
      </c>
      <c r="K50">
        <v>393</v>
      </c>
      <c r="L50">
        <v>1123</v>
      </c>
      <c r="M50">
        <v>452</v>
      </c>
      <c r="N50">
        <v>233</v>
      </c>
      <c r="O50">
        <v>121</v>
      </c>
      <c r="P50">
        <v>447</v>
      </c>
      <c r="Q50">
        <v>548</v>
      </c>
      <c r="R50">
        <v>49</v>
      </c>
    </row>
    <row r="51" spans="1:18">
      <c r="A51" s="1" t="s">
        <v>53</v>
      </c>
      <c r="B51">
        <v>33</v>
      </c>
      <c r="C51">
        <v>21</v>
      </c>
      <c r="D51">
        <v>12</v>
      </c>
      <c r="E51">
        <v>1.97</v>
      </c>
      <c r="F51">
        <v>2271</v>
      </c>
      <c r="G51">
        <v>767</v>
      </c>
      <c r="H51">
        <v>1690</v>
      </c>
      <c r="I51">
        <v>542</v>
      </c>
      <c r="J51">
        <v>785</v>
      </c>
      <c r="K51">
        <v>358</v>
      </c>
      <c r="L51">
        <v>1153</v>
      </c>
      <c r="M51">
        <v>405</v>
      </c>
      <c r="N51">
        <v>200</v>
      </c>
      <c r="O51">
        <v>190</v>
      </c>
      <c r="P51">
        <v>454</v>
      </c>
      <c r="Q51">
        <v>575</v>
      </c>
      <c r="R51">
        <v>50</v>
      </c>
    </row>
    <row r="52" spans="1:18">
      <c r="A52" s="1" t="s">
        <v>54</v>
      </c>
      <c r="B52">
        <v>31</v>
      </c>
      <c r="C52">
        <v>10</v>
      </c>
      <c r="D52">
        <v>21</v>
      </c>
      <c r="E52">
        <v>-2.41</v>
      </c>
      <c r="F52">
        <v>1841</v>
      </c>
      <c r="G52">
        <v>661</v>
      </c>
      <c r="H52">
        <v>1720</v>
      </c>
      <c r="I52">
        <v>363</v>
      </c>
      <c r="J52">
        <v>577</v>
      </c>
      <c r="K52">
        <v>374</v>
      </c>
      <c r="L52">
        <v>1026</v>
      </c>
      <c r="M52">
        <v>272</v>
      </c>
      <c r="N52">
        <v>223</v>
      </c>
      <c r="O52">
        <v>112</v>
      </c>
      <c r="P52">
        <v>419</v>
      </c>
      <c r="Q52">
        <v>665</v>
      </c>
      <c r="R52">
        <v>51</v>
      </c>
    </row>
    <row r="53" spans="1:18">
      <c r="A53" s="1" t="s">
        <v>55</v>
      </c>
      <c r="B53">
        <v>32</v>
      </c>
      <c r="C53">
        <v>16</v>
      </c>
      <c r="D53">
        <v>16</v>
      </c>
      <c r="E53">
        <v>-4.57</v>
      </c>
      <c r="F53">
        <v>2362</v>
      </c>
      <c r="G53">
        <v>849</v>
      </c>
      <c r="H53">
        <v>1898</v>
      </c>
      <c r="I53">
        <v>456</v>
      </c>
      <c r="J53">
        <v>604</v>
      </c>
      <c r="K53">
        <v>422</v>
      </c>
      <c r="L53">
        <v>1177</v>
      </c>
      <c r="M53">
        <v>401</v>
      </c>
      <c r="N53">
        <v>276</v>
      </c>
      <c r="O53">
        <v>98</v>
      </c>
      <c r="P53">
        <v>455</v>
      </c>
      <c r="Q53">
        <v>587</v>
      </c>
      <c r="R53">
        <v>52</v>
      </c>
    </row>
    <row r="54" spans="1:18">
      <c r="A54" s="1" t="s">
        <v>56</v>
      </c>
      <c r="B54">
        <v>30</v>
      </c>
      <c r="C54">
        <v>10</v>
      </c>
      <c r="D54">
        <v>20</v>
      </c>
      <c r="E54">
        <v>1.89</v>
      </c>
      <c r="F54">
        <v>1997</v>
      </c>
      <c r="G54">
        <v>674</v>
      </c>
      <c r="H54">
        <v>1629</v>
      </c>
      <c r="I54">
        <v>447</v>
      </c>
      <c r="J54">
        <v>613</v>
      </c>
      <c r="K54">
        <v>326</v>
      </c>
      <c r="L54">
        <v>1057</v>
      </c>
      <c r="M54">
        <v>353</v>
      </c>
      <c r="N54">
        <v>193</v>
      </c>
      <c r="O54">
        <v>96</v>
      </c>
      <c r="P54">
        <v>447</v>
      </c>
      <c r="Q54">
        <v>529</v>
      </c>
      <c r="R54">
        <v>53</v>
      </c>
    </row>
    <row r="55" spans="1:18">
      <c r="A55" s="1" t="s">
        <v>57</v>
      </c>
      <c r="B55">
        <v>32</v>
      </c>
      <c r="C55">
        <v>16</v>
      </c>
      <c r="D55">
        <v>16</v>
      </c>
      <c r="E55">
        <v>-2.67</v>
      </c>
      <c r="F55">
        <v>2274</v>
      </c>
      <c r="G55">
        <v>761</v>
      </c>
      <c r="H55">
        <v>1827</v>
      </c>
      <c r="I55">
        <v>480</v>
      </c>
      <c r="J55">
        <v>740</v>
      </c>
      <c r="K55">
        <v>373</v>
      </c>
      <c r="L55">
        <v>1232</v>
      </c>
      <c r="M55">
        <v>447</v>
      </c>
      <c r="N55">
        <v>163</v>
      </c>
      <c r="O55">
        <v>47</v>
      </c>
      <c r="P55">
        <v>484</v>
      </c>
      <c r="Q55">
        <v>593</v>
      </c>
      <c r="R55">
        <v>54</v>
      </c>
    </row>
    <row r="56" spans="1:18">
      <c r="A56" s="1" t="s">
        <v>58</v>
      </c>
      <c r="B56">
        <v>32</v>
      </c>
      <c r="C56">
        <v>6</v>
      </c>
      <c r="D56">
        <v>26</v>
      </c>
      <c r="E56">
        <v>-4.88</v>
      </c>
      <c r="F56">
        <v>2128</v>
      </c>
      <c r="G56">
        <v>759</v>
      </c>
      <c r="H56">
        <v>1893</v>
      </c>
      <c r="I56">
        <v>465</v>
      </c>
      <c r="J56">
        <v>718</v>
      </c>
      <c r="K56">
        <v>362</v>
      </c>
      <c r="L56">
        <v>1137</v>
      </c>
      <c r="M56">
        <v>392</v>
      </c>
      <c r="N56">
        <v>206</v>
      </c>
      <c r="O56">
        <v>81</v>
      </c>
      <c r="P56">
        <v>550</v>
      </c>
      <c r="Q56">
        <v>764</v>
      </c>
      <c r="R56">
        <v>55</v>
      </c>
    </row>
    <row r="57" spans="1:18">
      <c r="A57" s="1" t="s">
        <v>335</v>
      </c>
      <c r="B57">
        <v>35</v>
      </c>
      <c r="C57">
        <v>26</v>
      </c>
      <c r="D57">
        <v>9</v>
      </c>
      <c r="E57">
        <v>6.1</v>
      </c>
      <c r="F57">
        <v>2412</v>
      </c>
      <c r="G57">
        <v>848</v>
      </c>
      <c r="H57">
        <v>1939</v>
      </c>
      <c r="I57">
        <v>496</v>
      </c>
      <c r="J57">
        <v>742</v>
      </c>
      <c r="K57">
        <v>454</v>
      </c>
      <c r="L57">
        <v>1237</v>
      </c>
      <c r="M57">
        <v>497</v>
      </c>
      <c r="N57">
        <v>258</v>
      </c>
      <c r="O57">
        <v>129</v>
      </c>
      <c r="P57">
        <v>401</v>
      </c>
      <c r="Q57">
        <v>605</v>
      </c>
      <c r="R57">
        <v>56</v>
      </c>
    </row>
    <row r="58" spans="1:18">
      <c r="A58" s="1" t="s">
        <v>59</v>
      </c>
      <c r="B58">
        <v>32</v>
      </c>
      <c r="C58">
        <v>10</v>
      </c>
      <c r="D58">
        <v>22</v>
      </c>
      <c r="E58">
        <v>-2.84</v>
      </c>
      <c r="F58">
        <v>2049</v>
      </c>
      <c r="G58">
        <v>752</v>
      </c>
      <c r="H58">
        <v>1758</v>
      </c>
      <c r="I58">
        <v>388</v>
      </c>
      <c r="J58">
        <v>542</v>
      </c>
      <c r="K58">
        <v>361</v>
      </c>
      <c r="L58">
        <v>1120</v>
      </c>
      <c r="M58">
        <v>402</v>
      </c>
      <c r="N58">
        <v>151</v>
      </c>
      <c r="O58">
        <v>47</v>
      </c>
      <c r="P58">
        <v>406</v>
      </c>
      <c r="Q58">
        <v>529</v>
      </c>
      <c r="R58">
        <v>57</v>
      </c>
    </row>
    <row r="59" spans="1:18">
      <c r="A59" s="1" t="s">
        <v>60</v>
      </c>
      <c r="B59">
        <v>34</v>
      </c>
      <c r="C59">
        <v>22</v>
      </c>
      <c r="D59">
        <v>12</v>
      </c>
      <c r="E59">
        <v>6.58</v>
      </c>
      <c r="F59">
        <v>2330</v>
      </c>
      <c r="G59">
        <v>810</v>
      </c>
      <c r="H59">
        <v>1827</v>
      </c>
      <c r="I59">
        <v>493</v>
      </c>
      <c r="J59">
        <v>703</v>
      </c>
      <c r="K59">
        <v>384</v>
      </c>
      <c r="L59">
        <v>1177</v>
      </c>
      <c r="M59">
        <v>445</v>
      </c>
      <c r="N59">
        <v>272</v>
      </c>
      <c r="O59">
        <v>161</v>
      </c>
      <c r="P59">
        <v>449</v>
      </c>
      <c r="Q59">
        <v>624</v>
      </c>
      <c r="R59">
        <v>58</v>
      </c>
    </row>
    <row r="60" spans="1:18">
      <c r="A60" s="1" t="s">
        <v>61</v>
      </c>
      <c r="B60">
        <v>36</v>
      </c>
      <c r="C60">
        <v>27</v>
      </c>
      <c r="D60">
        <v>9</v>
      </c>
      <c r="E60">
        <v>1.74</v>
      </c>
      <c r="F60">
        <v>2556</v>
      </c>
      <c r="G60">
        <v>859</v>
      </c>
      <c r="H60">
        <v>1980</v>
      </c>
      <c r="I60">
        <v>601</v>
      </c>
      <c r="J60">
        <v>822</v>
      </c>
      <c r="K60">
        <v>383</v>
      </c>
      <c r="L60">
        <v>1214</v>
      </c>
      <c r="M60">
        <v>427</v>
      </c>
      <c r="N60">
        <v>269</v>
      </c>
      <c r="O60">
        <v>97</v>
      </c>
      <c r="P60">
        <v>412</v>
      </c>
      <c r="Q60">
        <v>718</v>
      </c>
      <c r="R60">
        <v>59</v>
      </c>
    </row>
    <row r="61" spans="1:18">
      <c r="A61" s="1" t="s">
        <v>62</v>
      </c>
      <c r="B61">
        <v>34</v>
      </c>
      <c r="C61">
        <v>28</v>
      </c>
      <c r="D61">
        <v>6</v>
      </c>
      <c r="E61">
        <v>-5.15</v>
      </c>
      <c r="F61">
        <v>2597</v>
      </c>
      <c r="G61">
        <v>930</v>
      </c>
      <c r="H61">
        <v>1915</v>
      </c>
      <c r="I61">
        <v>576</v>
      </c>
      <c r="J61">
        <v>832</v>
      </c>
      <c r="K61">
        <v>413</v>
      </c>
      <c r="L61">
        <v>1339</v>
      </c>
      <c r="M61">
        <v>521</v>
      </c>
      <c r="N61">
        <v>227</v>
      </c>
      <c r="O61">
        <v>153</v>
      </c>
      <c r="P61">
        <v>443</v>
      </c>
      <c r="Q61">
        <v>517</v>
      </c>
      <c r="R61">
        <v>60</v>
      </c>
    </row>
    <row r="62" spans="1:18">
      <c r="A62" s="1" t="s">
        <v>63</v>
      </c>
      <c r="B62">
        <v>30</v>
      </c>
      <c r="C62">
        <v>7</v>
      </c>
      <c r="D62">
        <v>23</v>
      </c>
      <c r="E62">
        <v>-5.03</v>
      </c>
      <c r="F62">
        <v>1947</v>
      </c>
      <c r="G62">
        <v>683</v>
      </c>
      <c r="H62">
        <v>1631</v>
      </c>
      <c r="I62">
        <v>417</v>
      </c>
      <c r="J62">
        <v>611</v>
      </c>
      <c r="K62">
        <v>328</v>
      </c>
      <c r="L62">
        <v>1023</v>
      </c>
      <c r="M62">
        <v>379</v>
      </c>
      <c r="N62">
        <v>173</v>
      </c>
      <c r="O62">
        <v>89</v>
      </c>
      <c r="P62">
        <v>475</v>
      </c>
      <c r="Q62">
        <v>617</v>
      </c>
      <c r="R62">
        <v>61</v>
      </c>
    </row>
    <row r="63" spans="1:18">
      <c r="A63" s="1" t="s">
        <v>64</v>
      </c>
      <c r="B63">
        <v>37</v>
      </c>
      <c r="C63">
        <v>26</v>
      </c>
      <c r="D63">
        <v>11</v>
      </c>
      <c r="E63">
        <v>-1.05</v>
      </c>
      <c r="F63">
        <v>2821</v>
      </c>
      <c r="G63">
        <v>1037</v>
      </c>
      <c r="H63">
        <v>2173</v>
      </c>
      <c r="I63">
        <v>441</v>
      </c>
      <c r="J63">
        <v>595</v>
      </c>
      <c r="K63">
        <v>404</v>
      </c>
      <c r="L63">
        <v>1278</v>
      </c>
      <c r="M63">
        <v>497</v>
      </c>
      <c r="N63">
        <v>214</v>
      </c>
      <c r="O63">
        <v>150</v>
      </c>
      <c r="P63">
        <v>448</v>
      </c>
      <c r="Q63">
        <v>561</v>
      </c>
      <c r="R63">
        <v>62</v>
      </c>
    </row>
    <row r="64" spans="1:18">
      <c r="A64" s="1" t="s">
        <v>65</v>
      </c>
      <c r="B64">
        <v>32</v>
      </c>
      <c r="C64">
        <v>19</v>
      </c>
      <c r="D64">
        <v>13</v>
      </c>
      <c r="E64">
        <v>5.26</v>
      </c>
      <c r="F64">
        <v>2279</v>
      </c>
      <c r="G64">
        <v>798</v>
      </c>
      <c r="H64">
        <v>1707</v>
      </c>
      <c r="I64">
        <v>496</v>
      </c>
      <c r="J64">
        <v>717</v>
      </c>
      <c r="K64">
        <v>332</v>
      </c>
      <c r="L64">
        <v>1093</v>
      </c>
      <c r="M64">
        <v>424</v>
      </c>
      <c r="N64">
        <v>232</v>
      </c>
      <c r="O64">
        <v>82</v>
      </c>
      <c r="P64">
        <v>450</v>
      </c>
      <c r="Q64">
        <v>607</v>
      </c>
      <c r="R64">
        <v>63</v>
      </c>
    </row>
    <row r="65" spans="1:18">
      <c r="A65" s="1" t="s">
        <v>66</v>
      </c>
      <c r="B65">
        <v>38</v>
      </c>
      <c r="C65">
        <v>24</v>
      </c>
      <c r="D65">
        <v>14</v>
      </c>
      <c r="E65">
        <v>5.61</v>
      </c>
      <c r="F65">
        <v>3025</v>
      </c>
      <c r="G65">
        <v>1058</v>
      </c>
      <c r="H65">
        <v>2237</v>
      </c>
      <c r="I65">
        <v>679</v>
      </c>
      <c r="J65">
        <v>873</v>
      </c>
      <c r="K65">
        <v>447</v>
      </c>
      <c r="L65">
        <v>1367</v>
      </c>
      <c r="M65">
        <v>524</v>
      </c>
      <c r="N65">
        <v>259</v>
      </c>
      <c r="O65">
        <v>111</v>
      </c>
      <c r="P65">
        <v>445</v>
      </c>
      <c r="Q65">
        <v>697</v>
      </c>
      <c r="R65">
        <v>64</v>
      </c>
    </row>
    <row r="66" spans="1:18">
      <c r="A66" s="1" t="s">
        <v>67</v>
      </c>
      <c r="B66">
        <v>28</v>
      </c>
      <c r="C66">
        <v>15</v>
      </c>
      <c r="D66">
        <v>13</v>
      </c>
      <c r="E66">
        <v>-4.8099999999999996</v>
      </c>
      <c r="F66">
        <v>1982</v>
      </c>
      <c r="G66">
        <v>702</v>
      </c>
      <c r="H66">
        <v>1642</v>
      </c>
      <c r="I66">
        <v>420</v>
      </c>
      <c r="J66">
        <v>588</v>
      </c>
      <c r="K66">
        <v>353</v>
      </c>
      <c r="L66">
        <v>1026</v>
      </c>
      <c r="M66">
        <v>324</v>
      </c>
      <c r="N66">
        <v>180</v>
      </c>
      <c r="O66">
        <v>84</v>
      </c>
      <c r="P66">
        <v>348</v>
      </c>
      <c r="Q66">
        <v>536</v>
      </c>
      <c r="R66">
        <v>65</v>
      </c>
    </row>
    <row r="67" spans="1:18">
      <c r="A67" s="1" t="s">
        <v>275</v>
      </c>
      <c r="B67">
        <v>41</v>
      </c>
      <c r="C67">
        <v>32</v>
      </c>
      <c r="D67">
        <v>9</v>
      </c>
      <c r="E67">
        <v>10.44</v>
      </c>
      <c r="F67">
        <v>2967</v>
      </c>
      <c r="G67">
        <v>1053</v>
      </c>
      <c r="H67">
        <v>2429</v>
      </c>
      <c r="I67">
        <v>627</v>
      </c>
      <c r="J67">
        <v>822</v>
      </c>
      <c r="K67">
        <v>570</v>
      </c>
      <c r="L67">
        <v>1626</v>
      </c>
      <c r="M67">
        <v>534</v>
      </c>
      <c r="N67">
        <v>259</v>
      </c>
      <c r="O67">
        <v>228</v>
      </c>
      <c r="P67">
        <v>466</v>
      </c>
      <c r="Q67">
        <v>646</v>
      </c>
      <c r="R67">
        <v>66</v>
      </c>
    </row>
    <row r="68" spans="1:18">
      <c r="A68" s="1" t="s">
        <v>68</v>
      </c>
      <c r="B68">
        <v>30</v>
      </c>
      <c r="C68">
        <v>16</v>
      </c>
      <c r="D68">
        <v>14</v>
      </c>
      <c r="E68">
        <v>-7.66</v>
      </c>
      <c r="F68">
        <v>2175</v>
      </c>
      <c r="G68">
        <v>760</v>
      </c>
      <c r="H68">
        <v>1770</v>
      </c>
      <c r="I68">
        <v>423</v>
      </c>
      <c r="J68">
        <v>603</v>
      </c>
      <c r="K68">
        <v>343</v>
      </c>
      <c r="L68">
        <v>1084</v>
      </c>
      <c r="M68">
        <v>344</v>
      </c>
      <c r="N68">
        <v>219</v>
      </c>
      <c r="O68">
        <v>68</v>
      </c>
      <c r="P68">
        <v>410</v>
      </c>
      <c r="Q68">
        <v>540</v>
      </c>
      <c r="R68">
        <v>67</v>
      </c>
    </row>
    <row r="69" spans="1:18">
      <c r="A69" s="1" t="s">
        <v>69</v>
      </c>
      <c r="B69">
        <v>28</v>
      </c>
      <c r="C69">
        <v>10</v>
      </c>
      <c r="D69">
        <v>18</v>
      </c>
      <c r="E69">
        <v>-1.6</v>
      </c>
      <c r="F69">
        <v>1906</v>
      </c>
      <c r="G69">
        <v>658</v>
      </c>
      <c r="H69">
        <v>1580</v>
      </c>
      <c r="I69">
        <v>339</v>
      </c>
      <c r="J69">
        <v>492</v>
      </c>
      <c r="K69">
        <v>301</v>
      </c>
      <c r="L69">
        <v>906</v>
      </c>
      <c r="M69">
        <v>406</v>
      </c>
      <c r="N69">
        <v>186</v>
      </c>
      <c r="O69">
        <v>70</v>
      </c>
      <c r="P69">
        <v>338</v>
      </c>
      <c r="Q69">
        <v>578</v>
      </c>
      <c r="R69">
        <v>68</v>
      </c>
    </row>
    <row r="70" spans="1:18">
      <c r="A70" s="1" t="s">
        <v>326</v>
      </c>
      <c r="B70">
        <v>39</v>
      </c>
      <c r="C70">
        <v>23</v>
      </c>
      <c r="D70">
        <v>16</v>
      </c>
      <c r="E70">
        <v>1.41</v>
      </c>
      <c r="F70">
        <v>2684</v>
      </c>
      <c r="G70">
        <v>935</v>
      </c>
      <c r="H70">
        <v>2034</v>
      </c>
      <c r="I70">
        <v>534</v>
      </c>
      <c r="J70">
        <v>732</v>
      </c>
      <c r="K70">
        <v>372</v>
      </c>
      <c r="L70">
        <v>1350</v>
      </c>
      <c r="M70">
        <v>568</v>
      </c>
      <c r="N70">
        <v>167</v>
      </c>
      <c r="O70">
        <v>122</v>
      </c>
      <c r="P70">
        <v>470</v>
      </c>
      <c r="Q70">
        <v>592</v>
      </c>
      <c r="R70">
        <v>69</v>
      </c>
    </row>
    <row r="71" spans="1:18">
      <c r="A71" s="1" t="s">
        <v>70</v>
      </c>
      <c r="B71">
        <v>28</v>
      </c>
      <c r="C71">
        <v>5</v>
      </c>
      <c r="D71">
        <v>23</v>
      </c>
      <c r="E71">
        <v>-3.39</v>
      </c>
      <c r="F71">
        <v>1667</v>
      </c>
      <c r="G71">
        <v>605</v>
      </c>
      <c r="H71">
        <v>1530</v>
      </c>
      <c r="I71">
        <v>315</v>
      </c>
      <c r="J71">
        <v>452</v>
      </c>
      <c r="K71">
        <v>266</v>
      </c>
      <c r="L71">
        <v>860</v>
      </c>
      <c r="M71">
        <v>257</v>
      </c>
      <c r="N71">
        <v>180</v>
      </c>
      <c r="O71">
        <v>72</v>
      </c>
      <c r="P71">
        <v>383</v>
      </c>
      <c r="Q71">
        <v>530</v>
      </c>
      <c r="R71">
        <v>70</v>
      </c>
    </row>
    <row r="72" spans="1:18">
      <c r="A72" s="1" t="s">
        <v>71</v>
      </c>
      <c r="B72">
        <v>33</v>
      </c>
      <c r="C72">
        <v>18</v>
      </c>
      <c r="D72">
        <v>15</v>
      </c>
      <c r="E72">
        <v>-2.17</v>
      </c>
      <c r="F72">
        <v>2392</v>
      </c>
      <c r="G72">
        <v>819</v>
      </c>
      <c r="H72">
        <v>1887</v>
      </c>
      <c r="I72">
        <v>496</v>
      </c>
      <c r="J72">
        <v>677</v>
      </c>
      <c r="K72">
        <v>419</v>
      </c>
      <c r="L72">
        <v>1214</v>
      </c>
      <c r="M72">
        <v>425</v>
      </c>
      <c r="N72">
        <v>162</v>
      </c>
      <c r="O72">
        <v>98</v>
      </c>
      <c r="P72">
        <v>463</v>
      </c>
      <c r="Q72">
        <v>729</v>
      </c>
      <c r="R72">
        <v>71</v>
      </c>
    </row>
    <row r="73" spans="1:18">
      <c r="A73" s="1" t="s">
        <v>276</v>
      </c>
      <c r="B73">
        <v>36</v>
      </c>
      <c r="C73">
        <v>22</v>
      </c>
      <c r="D73">
        <v>14</v>
      </c>
      <c r="E73">
        <v>3.2</v>
      </c>
      <c r="F73">
        <v>2413</v>
      </c>
      <c r="G73">
        <v>851</v>
      </c>
      <c r="H73">
        <v>2079</v>
      </c>
      <c r="I73">
        <v>468</v>
      </c>
      <c r="J73">
        <v>691</v>
      </c>
      <c r="K73">
        <v>478</v>
      </c>
      <c r="L73">
        <v>1392</v>
      </c>
      <c r="M73">
        <v>525</v>
      </c>
      <c r="N73">
        <v>171</v>
      </c>
      <c r="O73">
        <v>105</v>
      </c>
      <c r="P73">
        <v>477</v>
      </c>
      <c r="Q73">
        <v>699</v>
      </c>
      <c r="R73">
        <v>72</v>
      </c>
    </row>
    <row r="74" spans="1:18">
      <c r="A74" s="1" t="s">
        <v>72</v>
      </c>
      <c r="B74">
        <v>30</v>
      </c>
      <c r="C74">
        <v>9</v>
      </c>
      <c r="D74">
        <v>21</v>
      </c>
      <c r="E74">
        <v>-6.39</v>
      </c>
      <c r="F74">
        <v>1874</v>
      </c>
      <c r="G74">
        <v>674</v>
      </c>
      <c r="H74">
        <v>1576</v>
      </c>
      <c r="I74">
        <v>320</v>
      </c>
      <c r="J74">
        <v>448</v>
      </c>
      <c r="K74">
        <v>269</v>
      </c>
      <c r="L74">
        <v>759</v>
      </c>
      <c r="M74">
        <v>347</v>
      </c>
      <c r="N74">
        <v>253</v>
      </c>
      <c r="O74">
        <v>109</v>
      </c>
      <c r="P74">
        <v>335</v>
      </c>
      <c r="Q74">
        <v>464</v>
      </c>
      <c r="R74">
        <v>73</v>
      </c>
    </row>
    <row r="75" spans="1:18">
      <c r="A75" s="1" t="s">
        <v>73</v>
      </c>
      <c r="B75">
        <v>31</v>
      </c>
      <c r="C75">
        <v>14</v>
      </c>
      <c r="D75">
        <v>17</v>
      </c>
      <c r="E75">
        <v>-0.11</v>
      </c>
      <c r="F75">
        <v>1951</v>
      </c>
      <c r="G75">
        <v>663</v>
      </c>
      <c r="H75">
        <v>1593</v>
      </c>
      <c r="I75">
        <v>443</v>
      </c>
      <c r="J75">
        <v>641</v>
      </c>
      <c r="K75">
        <v>290</v>
      </c>
      <c r="L75">
        <v>1024</v>
      </c>
      <c r="M75">
        <v>323</v>
      </c>
      <c r="N75">
        <v>115</v>
      </c>
      <c r="O75">
        <v>125</v>
      </c>
      <c r="P75">
        <v>365</v>
      </c>
      <c r="Q75">
        <v>615</v>
      </c>
      <c r="R75">
        <v>74</v>
      </c>
    </row>
    <row r="76" spans="1:18">
      <c r="A76" s="1" t="s">
        <v>74</v>
      </c>
      <c r="B76">
        <v>30</v>
      </c>
      <c r="C76">
        <v>13</v>
      </c>
      <c r="D76">
        <v>17</v>
      </c>
      <c r="E76">
        <v>-3.48</v>
      </c>
      <c r="F76">
        <v>1800</v>
      </c>
      <c r="G76">
        <v>601</v>
      </c>
      <c r="H76">
        <v>1324</v>
      </c>
      <c r="I76">
        <v>366</v>
      </c>
      <c r="J76">
        <v>505</v>
      </c>
      <c r="K76">
        <v>158</v>
      </c>
      <c r="L76">
        <v>718</v>
      </c>
      <c r="M76">
        <v>397</v>
      </c>
      <c r="N76">
        <v>166</v>
      </c>
      <c r="O76">
        <v>106</v>
      </c>
      <c r="P76">
        <v>371</v>
      </c>
      <c r="Q76">
        <v>653</v>
      </c>
      <c r="R76">
        <v>75</v>
      </c>
    </row>
    <row r="77" spans="1:18">
      <c r="A77" s="1" t="s">
        <v>277</v>
      </c>
      <c r="B77">
        <v>31</v>
      </c>
      <c r="C77">
        <v>7</v>
      </c>
      <c r="D77">
        <v>24</v>
      </c>
      <c r="E77">
        <v>7.53</v>
      </c>
      <c r="F77">
        <v>2104</v>
      </c>
      <c r="G77">
        <v>766</v>
      </c>
      <c r="H77">
        <v>1800</v>
      </c>
      <c r="I77">
        <v>409</v>
      </c>
      <c r="J77">
        <v>599</v>
      </c>
      <c r="K77">
        <v>340</v>
      </c>
      <c r="L77">
        <v>944</v>
      </c>
      <c r="M77">
        <v>446</v>
      </c>
      <c r="N77">
        <v>231</v>
      </c>
      <c r="O77">
        <v>103</v>
      </c>
      <c r="P77">
        <v>420</v>
      </c>
      <c r="Q77">
        <v>617</v>
      </c>
      <c r="R77">
        <v>76</v>
      </c>
    </row>
    <row r="78" spans="1:18">
      <c r="A78" s="1" t="s">
        <v>75</v>
      </c>
      <c r="B78">
        <v>33</v>
      </c>
      <c r="C78">
        <v>17</v>
      </c>
      <c r="D78">
        <v>16</v>
      </c>
      <c r="E78">
        <v>0.91</v>
      </c>
      <c r="F78">
        <v>2459</v>
      </c>
      <c r="G78">
        <v>849</v>
      </c>
      <c r="H78">
        <v>1832</v>
      </c>
      <c r="I78">
        <v>593</v>
      </c>
      <c r="J78">
        <v>863</v>
      </c>
      <c r="K78">
        <v>400</v>
      </c>
      <c r="L78">
        <v>1237</v>
      </c>
      <c r="M78">
        <v>405</v>
      </c>
      <c r="N78">
        <v>251</v>
      </c>
      <c r="O78">
        <v>165</v>
      </c>
      <c r="P78">
        <v>517</v>
      </c>
      <c r="Q78">
        <v>640</v>
      </c>
      <c r="R78">
        <v>77</v>
      </c>
    </row>
    <row r="79" spans="1:18">
      <c r="A79" s="1" t="s">
        <v>76</v>
      </c>
      <c r="B79">
        <v>31</v>
      </c>
      <c r="C79">
        <v>13</v>
      </c>
      <c r="D79">
        <v>18</v>
      </c>
      <c r="E79">
        <v>0.76</v>
      </c>
      <c r="F79">
        <v>1997</v>
      </c>
      <c r="G79">
        <v>687</v>
      </c>
      <c r="H79">
        <v>1608</v>
      </c>
      <c r="I79">
        <v>420</v>
      </c>
      <c r="J79">
        <v>613</v>
      </c>
      <c r="K79">
        <v>247</v>
      </c>
      <c r="L79">
        <v>931</v>
      </c>
      <c r="M79">
        <v>359</v>
      </c>
      <c r="N79">
        <v>175</v>
      </c>
      <c r="O79">
        <v>87</v>
      </c>
      <c r="P79">
        <v>377</v>
      </c>
      <c r="Q79">
        <v>568</v>
      </c>
      <c r="R79">
        <v>78</v>
      </c>
    </row>
    <row r="80" spans="1:18">
      <c r="A80" s="1" t="s">
        <v>77</v>
      </c>
      <c r="B80">
        <v>31</v>
      </c>
      <c r="C80">
        <v>21</v>
      </c>
      <c r="D80">
        <v>10</v>
      </c>
      <c r="E80">
        <v>-0.01</v>
      </c>
      <c r="F80">
        <v>1975</v>
      </c>
      <c r="G80">
        <v>719</v>
      </c>
      <c r="H80">
        <v>1696</v>
      </c>
      <c r="I80">
        <v>420</v>
      </c>
      <c r="J80">
        <v>683</v>
      </c>
      <c r="K80">
        <v>423</v>
      </c>
      <c r="L80">
        <v>1249</v>
      </c>
      <c r="M80">
        <v>348</v>
      </c>
      <c r="N80">
        <v>127</v>
      </c>
      <c r="O80">
        <v>85</v>
      </c>
      <c r="P80">
        <v>370</v>
      </c>
      <c r="Q80">
        <v>583</v>
      </c>
      <c r="R80">
        <v>79</v>
      </c>
    </row>
    <row r="81" spans="1:18">
      <c r="A81" s="1" t="s">
        <v>373</v>
      </c>
      <c r="B81">
        <v>37</v>
      </c>
      <c r="C81">
        <v>32</v>
      </c>
      <c r="D81">
        <v>5</v>
      </c>
      <c r="E81">
        <v>8.32</v>
      </c>
      <c r="F81">
        <v>2993</v>
      </c>
      <c r="G81">
        <v>1040</v>
      </c>
      <c r="H81">
        <v>2206</v>
      </c>
      <c r="I81">
        <v>622</v>
      </c>
      <c r="J81">
        <v>826</v>
      </c>
      <c r="K81">
        <v>446</v>
      </c>
      <c r="L81">
        <v>1399</v>
      </c>
      <c r="M81">
        <v>529</v>
      </c>
      <c r="N81">
        <v>269</v>
      </c>
      <c r="O81">
        <v>162</v>
      </c>
      <c r="P81">
        <v>447</v>
      </c>
      <c r="Q81">
        <v>657</v>
      </c>
      <c r="R81">
        <v>80</v>
      </c>
    </row>
    <row r="82" spans="1:18">
      <c r="A82" s="1" t="s">
        <v>78</v>
      </c>
      <c r="B82">
        <v>32</v>
      </c>
      <c r="C82">
        <v>19</v>
      </c>
      <c r="D82">
        <v>13</v>
      </c>
      <c r="E82">
        <v>1.49</v>
      </c>
      <c r="F82">
        <v>2494</v>
      </c>
      <c r="G82">
        <v>872</v>
      </c>
      <c r="H82">
        <v>1905</v>
      </c>
      <c r="I82">
        <v>494</v>
      </c>
      <c r="J82">
        <v>794</v>
      </c>
      <c r="K82">
        <v>405</v>
      </c>
      <c r="L82">
        <v>1128</v>
      </c>
      <c r="M82">
        <v>571</v>
      </c>
      <c r="N82">
        <v>317</v>
      </c>
      <c r="O82">
        <v>170</v>
      </c>
      <c r="P82">
        <v>428</v>
      </c>
      <c r="Q82">
        <v>616</v>
      </c>
      <c r="R82">
        <v>81</v>
      </c>
    </row>
    <row r="83" spans="1:18">
      <c r="A83" s="1" t="s">
        <v>79</v>
      </c>
      <c r="B83">
        <v>34</v>
      </c>
      <c r="C83">
        <v>18</v>
      </c>
      <c r="D83">
        <v>16</v>
      </c>
      <c r="E83">
        <v>2.99</v>
      </c>
      <c r="F83">
        <v>2319</v>
      </c>
      <c r="G83">
        <v>735</v>
      </c>
      <c r="H83">
        <v>1728</v>
      </c>
      <c r="I83">
        <v>591</v>
      </c>
      <c r="J83">
        <v>854</v>
      </c>
      <c r="K83">
        <v>357</v>
      </c>
      <c r="L83">
        <v>1139</v>
      </c>
      <c r="M83">
        <v>440</v>
      </c>
      <c r="N83">
        <v>221</v>
      </c>
      <c r="O83">
        <v>95</v>
      </c>
      <c r="P83">
        <v>478</v>
      </c>
      <c r="Q83">
        <v>666</v>
      </c>
      <c r="R83">
        <v>82</v>
      </c>
    </row>
    <row r="84" spans="1:18">
      <c r="A84" s="1" t="s">
        <v>80</v>
      </c>
      <c r="B84">
        <v>36</v>
      </c>
      <c r="C84">
        <v>24</v>
      </c>
      <c r="D84">
        <v>12</v>
      </c>
      <c r="E84">
        <v>-2.12</v>
      </c>
      <c r="F84">
        <v>2515</v>
      </c>
      <c r="G84">
        <v>873</v>
      </c>
      <c r="H84">
        <v>1924</v>
      </c>
      <c r="I84">
        <v>580</v>
      </c>
      <c r="J84">
        <v>856</v>
      </c>
      <c r="K84">
        <v>406</v>
      </c>
      <c r="L84">
        <v>1288</v>
      </c>
      <c r="M84">
        <v>390</v>
      </c>
      <c r="N84">
        <v>243</v>
      </c>
      <c r="O84">
        <v>137</v>
      </c>
      <c r="P84">
        <v>477</v>
      </c>
      <c r="Q84">
        <v>663</v>
      </c>
      <c r="R84">
        <v>83</v>
      </c>
    </row>
    <row r="85" spans="1:18">
      <c r="A85" s="1" t="s">
        <v>81</v>
      </c>
      <c r="B85">
        <v>29</v>
      </c>
      <c r="C85">
        <v>9</v>
      </c>
      <c r="D85">
        <v>20</v>
      </c>
      <c r="E85">
        <v>-4.8899999999999997</v>
      </c>
      <c r="F85">
        <v>1749</v>
      </c>
      <c r="G85">
        <v>640</v>
      </c>
      <c r="H85">
        <v>1519</v>
      </c>
      <c r="I85">
        <v>352</v>
      </c>
      <c r="J85">
        <v>486</v>
      </c>
      <c r="K85">
        <v>309</v>
      </c>
      <c r="L85">
        <v>986</v>
      </c>
      <c r="M85">
        <v>366</v>
      </c>
      <c r="N85">
        <v>173</v>
      </c>
      <c r="O85">
        <v>72</v>
      </c>
      <c r="P85">
        <v>405</v>
      </c>
      <c r="Q85">
        <v>550</v>
      </c>
      <c r="R85">
        <v>84</v>
      </c>
    </row>
    <row r="86" spans="1:18">
      <c r="A86" s="1" t="s">
        <v>82</v>
      </c>
      <c r="B86">
        <v>31</v>
      </c>
      <c r="C86">
        <v>15</v>
      </c>
      <c r="D86">
        <v>16</v>
      </c>
      <c r="E86">
        <v>-6.48</v>
      </c>
      <c r="F86">
        <v>2046</v>
      </c>
      <c r="G86">
        <v>707</v>
      </c>
      <c r="H86">
        <v>1584</v>
      </c>
      <c r="I86">
        <v>385</v>
      </c>
      <c r="J86">
        <v>519</v>
      </c>
      <c r="K86">
        <v>253</v>
      </c>
      <c r="L86">
        <v>889</v>
      </c>
      <c r="M86">
        <v>436</v>
      </c>
      <c r="N86">
        <v>187</v>
      </c>
      <c r="O86">
        <v>85</v>
      </c>
      <c r="P86">
        <v>374</v>
      </c>
      <c r="Q86">
        <v>561</v>
      </c>
      <c r="R86">
        <v>85</v>
      </c>
    </row>
    <row r="87" spans="1:18">
      <c r="A87" s="1" t="s">
        <v>83</v>
      </c>
      <c r="B87">
        <v>31</v>
      </c>
      <c r="C87">
        <v>9</v>
      </c>
      <c r="D87">
        <v>22</v>
      </c>
      <c r="E87">
        <v>-3.11</v>
      </c>
      <c r="F87">
        <v>1906</v>
      </c>
      <c r="G87">
        <v>659</v>
      </c>
      <c r="H87">
        <v>1696</v>
      </c>
      <c r="I87">
        <v>374</v>
      </c>
      <c r="J87">
        <v>599</v>
      </c>
      <c r="K87">
        <v>332</v>
      </c>
      <c r="L87">
        <v>1086</v>
      </c>
      <c r="M87">
        <v>404</v>
      </c>
      <c r="N87">
        <v>203</v>
      </c>
      <c r="O87">
        <v>115</v>
      </c>
      <c r="P87">
        <v>449</v>
      </c>
      <c r="Q87">
        <v>607</v>
      </c>
      <c r="R87">
        <v>86</v>
      </c>
    </row>
    <row r="88" spans="1:18">
      <c r="A88" s="1" t="s">
        <v>84</v>
      </c>
      <c r="B88">
        <v>30</v>
      </c>
      <c r="C88">
        <v>10</v>
      </c>
      <c r="D88">
        <v>20</v>
      </c>
      <c r="E88">
        <v>-2.2200000000000002</v>
      </c>
      <c r="F88">
        <v>2023</v>
      </c>
      <c r="G88">
        <v>688</v>
      </c>
      <c r="H88">
        <v>1685</v>
      </c>
      <c r="I88">
        <v>405</v>
      </c>
      <c r="J88">
        <v>611</v>
      </c>
      <c r="K88">
        <v>370</v>
      </c>
      <c r="L88">
        <v>1032</v>
      </c>
      <c r="M88">
        <v>356</v>
      </c>
      <c r="N88">
        <v>174</v>
      </c>
      <c r="O88">
        <v>120</v>
      </c>
      <c r="P88">
        <v>412</v>
      </c>
      <c r="Q88">
        <v>612</v>
      </c>
      <c r="R88">
        <v>87</v>
      </c>
    </row>
    <row r="89" spans="1:18">
      <c r="A89" s="1" t="s">
        <v>85</v>
      </c>
      <c r="B89">
        <v>31</v>
      </c>
      <c r="C89">
        <v>14</v>
      </c>
      <c r="D89">
        <v>17</v>
      </c>
      <c r="E89">
        <v>-3.32</v>
      </c>
      <c r="F89">
        <v>2301</v>
      </c>
      <c r="G89">
        <v>765</v>
      </c>
      <c r="H89">
        <v>1785</v>
      </c>
      <c r="I89">
        <v>486</v>
      </c>
      <c r="J89">
        <v>681</v>
      </c>
      <c r="K89">
        <v>321</v>
      </c>
      <c r="L89">
        <v>1063</v>
      </c>
      <c r="M89">
        <v>435</v>
      </c>
      <c r="N89">
        <v>171</v>
      </c>
      <c r="O89">
        <v>81</v>
      </c>
      <c r="P89">
        <v>391</v>
      </c>
      <c r="Q89">
        <v>599</v>
      </c>
      <c r="R89">
        <v>88</v>
      </c>
    </row>
    <row r="90" spans="1:18">
      <c r="A90" s="1" t="s">
        <v>86</v>
      </c>
      <c r="B90">
        <v>32</v>
      </c>
      <c r="C90">
        <v>16</v>
      </c>
      <c r="D90">
        <v>16</v>
      </c>
      <c r="E90">
        <v>1.8</v>
      </c>
      <c r="F90">
        <v>2122</v>
      </c>
      <c r="G90">
        <v>723</v>
      </c>
      <c r="H90">
        <v>1606</v>
      </c>
      <c r="I90">
        <v>529</v>
      </c>
      <c r="J90">
        <v>746</v>
      </c>
      <c r="K90">
        <v>255</v>
      </c>
      <c r="L90">
        <v>959</v>
      </c>
      <c r="M90">
        <v>452</v>
      </c>
      <c r="N90">
        <v>177</v>
      </c>
      <c r="O90">
        <v>59</v>
      </c>
      <c r="P90">
        <v>415</v>
      </c>
      <c r="Q90">
        <v>668</v>
      </c>
      <c r="R90">
        <v>89</v>
      </c>
    </row>
    <row r="91" spans="1:18">
      <c r="A91" s="1" t="s">
        <v>87</v>
      </c>
      <c r="B91">
        <v>33</v>
      </c>
      <c r="C91">
        <v>25</v>
      </c>
      <c r="D91">
        <v>8</v>
      </c>
      <c r="E91">
        <v>-3.91</v>
      </c>
      <c r="F91">
        <v>2150</v>
      </c>
      <c r="G91">
        <v>777</v>
      </c>
      <c r="H91">
        <v>1795</v>
      </c>
      <c r="I91">
        <v>457</v>
      </c>
      <c r="J91">
        <v>699</v>
      </c>
      <c r="K91">
        <v>399</v>
      </c>
      <c r="L91">
        <v>1195</v>
      </c>
      <c r="M91">
        <v>452</v>
      </c>
      <c r="N91">
        <v>271</v>
      </c>
      <c r="O91">
        <v>118</v>
      </c>
      <c r="P91">
        <v>457</v>
      </c>
      <c r="Q91">
        <v>577</v>
      </c>
      <c r="R91">
        <v>90</v>
      </c>
    </row>
    <row r="92" spans="1:18">
      <c r="A92" s="1" t="s">
        <v>88</v>
      </c>
      <c r="B92">
        <v>29</v>
      </c>
      <c r="C92">
        <v>5</v>
      </c>
      <c r="D92">
        <v>24</v>
      </c>
      <c r="E92">
        <v>-5</v>
      </c>
      <c r="F92">
        <v>1866</v>
      </c>
      <c r="G92">
        <v>643</v>
      </c>
      <c r="H92">
        <v>1618</v>
      </c>
      <c r="I92">
        <v>430</v>
      </c>
      <c r="J92">
        <v>637</v>
      </c>
      <c r="K92">
        <v>366</v>
      </c>
      <c r="L92">
        <v>1082</v>
      </c>
      <c r="M92">
        <v>338</v>
      </c>
      <c r="N92">
        <v>166</v>
      </c>
      <c r="O92">
        <v>102</v>
      </c>
      <c r="P92">
        <v>439</v>
      </c>
      <c r="Q92">
        <v>555</v>
      </c>
      <c r="R92">
        <v>91</v>
      </c>
    </row>
    <row r="93" spans="1:18">
      <c r="A93" s="1" t="s">
        <v>89</v>
      </c>
      <c r="B93">
        <v>32</v>
      </c>
      <c r="C93">
        <v>12</v>
      </c>
      <c r="D93">
        <v>20</v>
      </c>
      <c r="E93">
        <v>-8.7100000000000009</v>
      </c>
      <c r="F93">
        <v>2055</v>
      </c>
      <c r="G93">
        <v>713</v>
      </c>
      <c r="H93">
        <v>1787</v>
      </c>
      <c r="I93">
        <v>435</v>
      </c>
      <c r="J93">
        <v>718</v>
      </c>
      <c r="K93">
        <v>433</v>
      </c>
      <c r="L93">
        <v>1218</v>
      </c>
      <c r="M93">
        <v>298</v>
      </c>
      <c r="N93">
        <v>247</v>
      </c>
      <c r="O93">
        <v>129</v>
      </c>
      <c r="P93">
        <v>527</v>
      </c>
      <c r="Q93">
        <v>620</v>
      </c>
      <c r="R93">
        <v>92</v>
      </c>
    </row>
    <row r="94" spans="1:18">
      <c r="A94" s="1" t="s">
        <v>90</v>
      </c>
      <c r="B94">
        <v>32</v>
      </c>
      <c r="C94">
        <v>21</v>
      </c>
      <c r="D94">
        <v>11</v>
      </c>
      <c r="E94">
        <v>-2.61</v>
      </c>
      <c r="F94">
        <v>2191</v>
      </c>
      <c r="G94">
        <v>784</v>
      </c>
      <c r="H94">
        <v>1765</v>
      </c>
      <c r="I94">
        <v>456</v>
      </c>
      <c r="J94">
        <v>692</v>
      </c>
      <c r="K94">
        <v>361</v>
      </c>
      <c r="L94">
        <v>1070</v>
      </c>
      <c r="M94">
        <v>396</v>
      </c>
      <c r="N94">
        <v>191</v>
      </c>
      <c r="O94">
        <v>158</v>
      </c>
      <c r="P94">
        <v>360</v>
      </c>
      <c r="Q94">
        <v>587</v>
      </c>
      <c r="R94">
        <v>93</v>
      </c>
    </row>
    <row r="95" spans="1:18">
      <c r="A95" s="1" t="s">
        <v>346</v>
      </c>
      <c r="B95">
        <v>30</v>
      </c>
      <c r="C95">
        <v>10</v>
      </c>
      <c r="D95">
        <v>20</v>
      </c>
      <c r="E95">
        <v>-3.11</v>
      </c>
      <c r="F95">
        <v>1970</v>
      </c>
      <c r="G95">
        <v>667</v>
      </c>
      <c r="H95">
        <v>1662</v>
      </c>
      <c r="I95">
        <v>461</v>
      </c>
      <c r="J95">
        <v>708</v>
      </c>
      <c r="K95">
        <v>397</v>
      </c>
      <c r="L95">
        <v>1098</v>
      </c>
      <c r="M95">
        <v>362</v>
      </c>
      <c r="N95">
        <v>189</v>
      </c>
      <c r="O95">
        <v>65</v>
      </c>
      <c r="P95">
        <v>500</v>
      </c>
      <c r="Q95">
        <v>559</v>
      </c>
      <c r="R95">
        <v>94</v>
      </c>
    </row>
    <row r="96" spans="1:18">
      <c r="A96" s="1" t="s">
        <v>91</v>
      </c>
      <c r="B96">
        <v>30</v>
      </c>
      <c r="C96">
        <v>11</v>
      </c>
      <c r="D96">
        <v>19</v>
      </c>
      <c r="E96">
        <v>-4.2300000000000004</v>
      </c>
      <c r="F96">
        <v>2150</v>
      </c>
      <c r="G96">
        <v>718</v>
      </c>
      <c r="H96">
        <v>1638</v>
      </c>
      <c r="I96">
        <v>550</v>
      </c>
      <c r="J96">
        <v>802</v>
      </c>
      <c r="K96">
        <v>346</v>
      </c>
      <c r="L96">
        <v>1017</v>
      </c>
      <c r="M96">
        <v>320</v>
      </c>
      <c r="N96">
        <v>248</v>
      </c>
      <c r="O96">
        <v>112</v>
      </c>
      <c r="P96">
        <v>441</v>
      </c>
      <c r="Q96">
        <v>625</v>
      </c>
      <c r="R96">
        <v>95</v>
      </c>
    </row>
    <row r="97" spans="1:18">
      <c r="A97" s="1" t="s">
        <v>92</v>
      </c>
      <c r="B97">
        <v>34</v>
      </c>
      <c r="C97">
        <v>23</v>
      </c>
      <c r="D97">
        <v>11</v>
      </c>
      <c r="E97">
        <v>6.45</v>
      </c>
      <c r="F97">
        <v>2348</v>
      </c>
      <c r="G97">
        <v>827</v>
      </c>
      <c r="H97">
        <v>1903</v>
      </c>
      <c r="I97">
        <v>482</v>
      </c>
      <c r="J97">
        <v>725</v>
      </c>
      <c r="K97">
        <v>422</v>
      </c>
      <c r="L97">
        <v>1332</v>
      </c>
      <c r="M97">
        <v>423</v>
      </c>
      <c r="N97">
        <v>288</v>
      </c>
      <c r="O97">
        <v>203</v>
      </c>
      <c r="P97">
        <v>541</v>
      </c>
      <c r="Q97">
        <v>651</v>
      </c>
      <c r="R97">
        <v>96</v>
      </c>
    </row>
    <row r="98" spans="1:18">
      <c r="A98" s="1" t="s">
        <v>347</v>
      </c>
      <c r="B98">
        <v>37</v>
      </c>
      <c r="C98">
        <v>29</v>
      </c>
      <c r="D98">
        <v>8</v>
      </c>
      <c r="E98">
        <v>7.57</v>
      </c>
      <c r="F98">
        <v>2667</v>
      </c>
      <c r="G98">
        <v>968</v>
      </c>
      <c r="H98">
        <v>2083</v>
      </c>
      <c r="I98">
        <v>498</v>
      </c>
      <c r="J98">
        <v>744</v>
      </c>
      <c r="K98">
        <v>467</v>
      </c>
      <c r="L98">
        <v>1384</v>
      </c>
      <c r="M98">
        <v>521</v>
      </c>
      <c r="N98">
        <v>221</v>
      </c>
      <c r="O98">
        <v>131</v>
      </c>
      <c r="P98">
        <v>452</v>
      </c>
      <c r="Q98">
        <v>545</v>
      </c>
      <c r="R98">
        <v>97</v>
      </c>
    </row>
    <row r="99" spans="1:18">
      <c r="A99" s="1" t="s">
        <v>93</v>
      </c>
      <c r="B99">
        <v>28</v>
      </c>
      <c r="C99">
        <v>7</v>
      </c>
      <c r="D99">
        <v>21</v>
      </c>
      <c r="E99">
        <v>1.01</v>
      </c>
      <c r="F99">
        <v>1795</v>
      </c>
      <c r="G99">
        <v>648</v>
      </c>
      <c r="H99">
        <v>1636</v>
      </c>
      <c r="I99">
        <v>317</v>
      </c>
      <c r="J99">
        <v>503</v>
      </c>
      <c r="K99">
        <v>369</v>
      </c>
      <c r="L99">
        <v>1061</v>
      </c>
      <c r="M99">
        <v>350</v>
      </c>
      <c r="N99">
        <v>117</v>
      </c>
      <c r="O99">
        <v>123</v>
      </c>
      <c r="P99">
        <v>393</v>
      </c>
      <c r="Q99">
        <v>514</v>
      </c>
      <c r="R99">
        <v>98</v>
      </c>
    </row>
    <row r="100" spans="1:18">
      <c r="A100" s="1" t="s">
        <v>306</v>
      </c>
      <c r="B100">
        <v>31</v>
      </c>
      <c r="C100">
        <v>14</v>
      </c>
      <c r="D100">
        <v>17</v>
      </c>
      <c r="E100">
        <v>0.57999999999999996</v>
      </c>
      <c r="F100">
        <v>2096</v>
      </c>
      <c r="G100">
        <v>743</v>
      </c>
      <c r="H100">
        <v>1740</v>
      </c>
      <c r="I100">
        <v>427</v>
      </c>
      <c r="J100">
        <v>679</v>
      </c>
      <c r="K100">
        <v>375</v>
      </c>
      <c r="L100">
        <v>1117</v>
      </c>
      <c r="M100">
        <v>441</v>
      </c>
      <c r="N100">
        <v>264</v>
      </c>
      <c r="O100">
        <v>115</v>
      </c>
      <c r="P100">
        <v>430</v>
      </c>
      <c r="Q100">
        <v>566</v>
      </c>
      <c r="R100">
        <v>99</v>
      </c>
    </row>
    <row r="101" spans="1:18">
      <c r="A101" s="1" t="s">
        <v>94</v>
      </c>
      <c r="B101">
        <v>33</v>
      </c>
      <c r="C101">
        <v>22</v>
      </c>
      <c r="D101">
        <v>11</v>
      </c>
      <c r="E101">
        <v>-3.65</v>
      </c>
      <c r="F101">
        <v>2271</v>
      </c>
      <c r="G101">
        <v>765</v>
      </c>
      <c r="H101">
        <v>1712</v>
      </c>
      <c r="I101">
        <v>503</v>
      </c>
      <c r="J101">
        <v>694</v>
      </c>
      <c r="K101">
        <v>368</v>
      </c>
      <c r="L101">
        <v>1135</v>
      </c>
      <c r="M101">
        <v>404</v>
      </c>
      <c r="N101">
        <v>170</v>
      </c>
      <c r="O101">
        <v>114</v>
      </c>
      <c r="P101">
        <v>436</v>
      </c>
      <c r="Q101">
        <v>621</v>
      </c>
      <c r="R101">
        <v>100</v>
      </c>
    </row>
    <row r="102" spans="1:18">
      <c r="A102" s="1" t="s">
        <v>318</v>
      </c>
      <c r="B102">
        <v>32</v>
      </c>
      <c r="C102">
        <v>11</v>
      </c>
      <c r="D102">
        <v>21</v>
      </c>
      <c r="E102">
        <v>-2.72</v>
      </c>
      <c r="F102">
        <v>1985</v>
      </c>
      <c r="G102">
        <v>716</v>
      </c>
      <c r="H102">
        <v>1742</v>
      </c>
      <c r="I102">
        <v>350</v>
      </c>
      <c r="J102">
        <v>545</v>
      </c>
      <c r="K102">
        <v>362</v>
      </c>
      <c r="L102">
        <v>1094</v>
      </c>
      <c r="M102">
        <v>334</v>
      </c>
      <c r="N102">
        <v>224</v>
      </c>
      <c r="O102">
        <v>77</v>
      </c>
      <c r="P102">
        <v>475</v>
      </c>
      <c r="Q102">
        <v>600</v>
      </c>
      <c r="R102">
        <v>101</v>
      </c>
    </row>
    <row r="103" spans="1:18">
      <c r="A103" s="1" t="s">
        <v>95</v>
      </c>
      <c r="B103">
        <v>34</v>
      </c>
      <c r="C103">
        <v>27</v>
      </c>
      <c r="D103">
        <v>7</v>
      </c>
      <c r="E103">
        <v>1.37</v>
      </c>
      <c r="F103">
        <v>2474</v>
      </c>
      <c r="G103">
        <v>876</v>
      </c>
      <c r="H103">
        <v>1861</v>
      </c>
      <c r="I103">
        <v>495</v>
      </c>
      <c r="J103">
        <v>718</v>
      </c>
      <c r="K103">
        <v>364</v>
      </c>
      <c r="L103">
        <v>1188</v>
      </c>
      <c r="M103">
        <v>483</v>
      </c>
      <c r="N103">
        <v>224</v>
      </c>
      <c r="O103">
        <v>110</v>
      </c>
      <c r="P103">
        <v>376</v>
      </c>
      <c r="Q103">
        <v>581</v>
      </c>
      <c r="R103">
        <v>102</v>
      </c>
    </row>
    <row r="104" spans="1:18">
      <c r="A104" s="1" t="s">
        <v>96</v>
      </c>
      <c r="B104">
        <v>31</v>
      </c>
      <c r="C104">
        <v>17</v>
      </c>
      <c r="D104">
        <v>14</v>
      </c>
      <c r="E104">
        <v>0.36</v>
      </c>
      <c r="F104">
        <v>2011</v>
      </c>
      <c r="G104">
        <v>712</v>
      </c>
      <c r="H104">
        <v>1716</v>
      </c>
      <c r="I104">
        <v>405</v>
      </c>
      <c r="J104">
        <v>646</v>
      </c>
      <c r="K104">
        <v>411</v>
      </c>
      <c r="L104">
        <v>1101</v>
      </c>
      <c r="M104">
        <v>371</v>
      </c>
      <c r="N104">
        <v>199</v>
      </c>
      <c r="O104">
        <v>123</v>
      </c>
      <c r="P104">
        <v>396</v>
      </c>
      <c r="Q104">
        <v>569</v>
      </c>
      <c r="R104">
        <v>103</v>
      </c>
    </row>
    <row r="105" spans="1:18">
      <c r="A105" s="1" t="s">
        <v>97</v>
      </c>
      <c r="B105">
        <v>32</v>
      </c>
      <c r="C105">
        <v>21</v>
      </c>
      <c r="D105">
        <v>11</v>
      </c>
      <c r="E105">
        <v>10.39</v>
      </c>
      <c r="F105">
        <v>2258</v>
      </c>
      <c r="G105">
        <v>809</v>
      </c>
      <c r="H105">
        <v>1703</v>
      </c>
      <c r="I105">
        <v>417</v>
      </c>
      <c r="J105">
        <v>568</v>
      </c>
      <c r="K105">
        <v>324</v>
      </c>
      <c r="L105">
        <v>1081</v>
      </c>
      <c r="M105">
        <v>481</v>
      </c>
      <c r="N105">
        <v>193</v>
      </c>
      <c r="O105">
        <v>139</v>
      </c>
      <c r="P105">
        <v>433</v>
      </c>
      <c r="Q105">
        <v>603</v>
      </c>
      <c r="R105">
        <v>104</v>
      </c>
    </row>
    <row r="106" spans="1:18">
      <c r="A106" s="1" t="s">
        <v>98</v>
      </c>
      <c r="B106">
        <v>32</v>
      </c>
      <c r="C106">
        <v>5</v>
      </c>
      <c r="D106">
        <v>27</v>
      </c>
      <c r="E106">
        <v>-3.13</v>
      </c>
      <c r="F106">
        <v>2090</v>
      </c>
      <c r="G106">
        <v>745</v>
      </c>
      <c r="H106">
        <v>1661</v>
      </c>
      <c r="I106">
        <v>458</v>
      </c>
      <c r="J106">
        <v>666</v>
      </c>
      <c r="K106">
        <v>316</v>
      </c>
      <c r="L106">
        <v>971</v>
      </c>
      <c r="M106">
        <v>381</v>
      </c>
      <c r="N106">
        <v>276</v>
      </c>
      <c r="O106">
        <v>88</v>
      </c>
      <c r="P106">
        <v>574</v>
      </c>
      <c r="Q106">
        <v>703</v>
      </c>
      <c r="R106">
        <v>105</v>
      </c>
    </row>
    <row r="107" spans="1:18">
      <c r="A107" s="1" t="s">
        <v>99</v>
      </c>
      <c r="B107">
        <v>31</v>
      </c>
      <c r="C107">
        <v>12</v>
      </c>
      <c r="D107">
        <v>19</v>
      </c>
      <c r="E107">
        <v>-1.92</v>
      </c>
      <c r="F107">
        <v>1919</v>
      </c>
      <c r="G107">
        <v>707</v>
      </c>
      <c r="H107">
        <v>1676</v>
      </c>
      <c r="I107">
        <v>326</v>
      </c>
      <c r="J107">
        <v>549</v>
      </c>
      <c r="K107">
        <v>386</v>
      </c>
      <c r="L107">
        <v>1103</v>
      </c>
      <c r="M107">
        <v>404</v>
      </c>
      <c r="N107">
        <v>201</v>
      </c>
      <c r="O107">
        <v>148</v>
      </c>
      <c r="P107">
        <v>463</v>
      </c>
      <c r="Q107">
        <v>658</v>
      </c>
      <c r="R107">
        <v>106</v>
      </c>
    </row>
    <row r="108" spans="1:18">
      <c r="A108" s="1" t="s">
        <v>100</v>
      </c>
      <c r="B108">
        <v>31</v>
      </c>
      <c r="C108">
        <v>13</v>
      </c>
      <c r="D108">
        <v>18</v>
      </c>
      <c r="E108">
        <v>5.68</v>
      </c>
      <c r="F108">
        <v>2102</v>
      </c>
      <c r="G108">
        <v>752</v>
      </c>
      <c r="H108">
        <v>1855</v>
      </c>
      <c r="I108">
        <v>406</v>
      </c>
      <c r="J108">
        <v>589</v>
      </c>
      <c r="K108">
        <v>394</v>
      </c>
      <c r="L108">
        <v>1101</v>
      </c>
      <c r="M108">
        <v>408</v>
      </c>
      <c r="N108">
        <v>297</v>
      </c>
      <c r="O108">
        <v>126</v>
      </c>
      <c r="P108">
        <v>424</v>
      </c>
      <c r="Q108">
        <v>639</v>
      </c>
      <c r="R108">
        <v>107</v>
      </c>
    </row>
    <row r="109" spans="1:18">
      <c r="A109" s="1" t="s">
        <v>101</v>
      </c>
      <c r="B109">
        <v>33</v>
      </c>
      <c r="C109">
        <v>21</v>
      </c>
      <c r="D109">
        <v>12</v>
      </c>
      <c r="E109">
        <v>6.13</v>
      </c>
      <c r="F109">
        <v>2267</v>
      </c>
      <c r="G109">
        <v>823</v>
      </c>
      <c r="H109">
        <v>1822</v>
      </c>
      <c r="I109">
        <v>465</v>
      </c>
      <c r="J109">
        <v>667</v>
      </c>
      <c r="K109">
        <v>407</v>
      </c>
      <c r="L109">
        <v>1243</v>
      </c>
      <c r="M109">
        <v>495</v>
      </c>
      <c r="N109">
        <v>211</v>
      </c>
      <c r="O109">
        <v>162</v>
      </c>
      <c r="P109">
        <v>444</v>
      </c>
      <c r="Q109">
        <v>541</v>
      </c>
      <c r="R109">
        <v>108</v>
      </c>
    </row>
    <row r="110" spans="1:18">
      <c r="A110" s="1" t="s">
        <v>374</v>
      </c>
      <c r="B110">
        <v>35</v>
      </c>
      <c r="C110">
        <v>25</v>
      </c>
      <c r="D110">
        <v>10</v>
      </c>
      <c r="E110">
        <v>4.01</v>
      </c>
      <c r="F110">
        <v>2684</v>
      </c>
      <c r="G110">
        <v>932</v>
      </c>
      <c r="H110">
        <v>1947</v>
      </c>
      <c r="I110">
        <v>617</v>
      </c>
      <c r="J110">
        <v>810</v>
      </c>
      <c r="K110">
        <v>398</v>
      </c>
      <c r="L110">
        <v>1314</v>
      </c>
      <c r="M110">
        <v>542</v>
      </c>
      <c r="N110">
        <v>254</v>
      </c>
      <c r="O110">
        <v>132</v>
      </c>
      <c r="P110">
        <v>474</v>
      </c>
      <c r="Q110">
        <v>649</v>
      </c>
      <c r="R110">
        <v>109</v>
      </c>
    </row>
    <row r="111" spans="1:18">
      <c r="A111" s="1" t="s">
        <v>102</v>
      </c>
      <c r="B111">
        <v>33</v>
      </c>
      <c r="C111">
        <v>12</v>
      </c>
      <c r="D111">
        <v>21</v>
      </c>
      <c r="E111">
        <v>-10.45</v>
      </c>
      <c r="F111">
        <v>1998</v>
      </c>
      <c r="G111">
        <v>699</v>
      </c>
      <c r="H111">
        <v>1838</v>
      </c>
      <c r="I111">
        <v>434</v>
      </c>
      <c r="J111">
        <v>707</v>
      </c>
      <c r="K111">
        <v>375</v>
      </c>
      <c r="L111">
        <v>1197</v>
      </c>
      <c r="M111">
        <v>338</v>
      </c>
      <c r="N111">
        <v>214</v>
      </c>
      <c r="O111">
        <v>91</v>
      </c>
      <c r="P111">
        <v>506</v>
      </c>
      <c r="Q111">
        <v>690</v>
      </c>
      <c r="R111">
        <v>110</v>
      </c>
    </row>
    <row r="112" spans="1:18">
      <c r="A112" s="1" t="s">
        <v>103</v>
      </c>
      <c r="B112">
        <v>32</v>
      </c>
      <c r="C112">
        <v>14</v>
      </c>
      <c r="D112">
        <v>18</v>
      </c>
      <c r="E112">
        <v>2.1800000000000002</v>
      </c>
      <c r="F112">
        <v>2154</v>
      </c>
      <c r="G112">
        <v>787</v>
      </c>
      <c r="H112">
        <v>1801</v>
      </c>
      <c r="I112">
        <v>428</v>
      </c>
      <c r="J112">
        <v>621</v>
      </c>
      <c r="K112">
        <v>406</v>
      </c>
      <c r="L112">
        <v>1102</v>
      </c>
      <c r="M112">
        <v>377</v>
      </c>
      <c r="N112">
        <v>198</v>
      </c>
      <c r="O112">
        <v>119</v>
      </c>
      <c r="P112">
        <v>421</v>
      </c>
      <c r="Q112">
        <v>650</v>
      </c>
      <c r="R112">
        <v>111</v>
      </c>
    </row>
    <row r="113" spans="1:18">
      <c r="A113" s="1" t="s">
        <v>104</v>
      </c>
      <c r="B113">
        <v>33</v>
      </c>
      <c r="C113">
        <v>24</v>
      </c>
      <c r="D113">
        <v>9</v>
      </c>
      <c r="E113">
        <v>-8.77</v>
      </c>
      <c r="F113">
        <v>2197</v>
      </c>
      <c r="G113">
        <v>746</v>
      </c>
      <c r="H113">
        <v>1843</v>
      </c>
      <c r="I113">
        <v>492</v>
      </c>
      <c r="J113">
        <v>759</v>
      </c>
      <c r="K113">
        <v>367</v>
      </c>
      <c r="L113">
        <v>1170</v>
      </c>
      <c r="M113">
        <v>387</v>
      </c>
      <c r="N113">
        <v>241</v>
      </c>
      <c r="O113">
        <v>185</v>
      </c>
      <c r="P113">
        <v>412</v>
      </c>
      <c r="Q113">
        <v>604</v>
      </c>
      <c r="R113">
        <v>112</v>
      </c>
    </row>
    <row r="114" spans="1:18">
      <c r="A114" s="1" t="s">
        <v>105</v>
      </c>
      <c r="B114">
        <v>31</v>
      </c>
      <c r="C114">
        <v>11</v>
      </c>
      <c r="D114">
        <v>20</v>
      </c>
      <c r="E114">
        <v>-5.55</v>
      </c>
      <c r="F114">
        <v>1857</v>
      </c>
      <c r="G114">
        <v>672</v>
      </c>
      <c r="H114">
        <v>1756</v>
      </c>
      <c r="I114">
        <v>248</v>
      </c>
      <c r="J114">
        <v>413</v>
      </c>
      <c r="K114">
        <v>324</v>
      </c>
      <c r="L114">
        <v>960</v>
      </c>
      <c r="M114">
        <v>367</v>
      </c>
      <c r="N114">
        <v>244</v>
      </c>
      <c r="O114">
        <v>77</v>
      </c>
      <c r="P114">
        <v>388</v>
      </c>
      <c r="Q114">
        <v>573</v>
      </c>
      <c r="R114">
        <v>113</v>
      </c>
    </row>
    <row r="115" spans="1:18">
      <c r="A115" s="1" t="s">
        <v>106</v>
      </c>
      <c r="B115">
        <v>30</v>
      </c>
      <c r="C115">
        <v>23</v>
      </c>
      <c r="D115">
        <v>7</v>
      </c>
      <c r="E115">
        <v>-1.19</v>
      </c>
      <c r="F115">
        <v>2144</v>
      </c>
      <c r="G115">
        <v>708</v>
      </c>
      <c r="H115">
        <v>1492</v>
      </c>
      <c r="I115">
        <v>523</v>
      </c>
      <c r="J115">
        <v>646</v>
      </c>
      <c r="K115">
        <v>270</v>
      </c>
      <c r="L115">
        <v>965</v>
      </c>
      <c r="M115">
        <v>429</v>
      </c>
      <c r="N115">
        <v>178</v>
      </c>
      <c r="O115">
        <v>134</v>
      </c>
      <c r="P115">
        <v>398</v>
      </c>
      <c r="Q115">
        <v>466</v>
      </c>
      <c r="R115">
        <v>114</v>
      </c>
    </row>
    <row r="116" spans="1:18">
      <c r="A116" s="1" t="s">
        <v>107</v>
      </c>
      <c r="B116">
        <v>32</v>
      </c>
      <c r="C116">
        <v>19</v>
      </c>
      <c r="D116">
        <v>13</v>
      </c>
      <c r="E116">
        <v>-0.87</v>
      </c>
      <c r="F116">
        <v>2216</v>
      </c>
      <c r="G116">
        <v>760</v>
      </c>
      <c r="H116">
        <v>1685</v>
      </c>
      <c r="I116">
        <v>503</v>
      </c>
      <c r="J116">
        <v>734</v>
      </c>
      <c r="K116">
        <v>318</v>
      </c>
      <c r="L116">
        <v>1155</v>
      </c>
      <c r="M116">
        <v>380</v>
      </c>
      <c r="N116">
        <v>177</v>
      </c>
      <c r="O116">
        <v>134</v>
      </c>
      <c r="P116">
        <v>497</v>
      </c>
      <c r="Q116">
        <v>622</v>
      </c>
      <c r="R116">
        <v>115</v>
      </c>
    </row>
    <row r="117" spans="1:18">
      <c r="A117" s="1" t="s">
        <v>108</v>
      </c>
      <c r="B117">
        <v>31</v>
      </c>
      <c r="C117">
        <v>12</v>
      </c>
      <c r="D117">
        <v>19</v>
      </c>
      <c r="E117">
        <v>-4.47</v>
      </c>
      <c r="F117">
        <v>2050</v>
      </c>
      <c r="G117">
        <v>705</v>
      </c>
      <c r="H117">
        <v>1711</v>
      </c>
      <c r="I117">
        <v>470</v>
      </c>
      <c r="J117">
        <v>707</v>
      </c>
      <c r="K117">
        <v>369</v>
      </c>
      <c r="L117">
        <v>1055</v>
      </c>
      <c r="M117">
        <v>342</v>
      </c>
      <c r="N117">
        <v>226</v>
      </c>
      <c r="O117">
        <v>88</v>
      </c>
      <c r="P117">
        <v>469</v>
      </c>
      <c r="Q117">
        <v>669</v>
      </c>
      <c r="R117">
        <v>116</v>
      </c>
    </row>
    <row r="118" spans="1:18">
      <c r="A118" s="1" t="s">
        <v>307</v>
      </c>
      <c r="B118">
        <v>33</v>
      </c>
      <c r="C118">
        <v>21</v>
      </c>
      <c r="D118">
        <v>12</v>
      </c>
      <c r="E118">
        <v>0.13</v>
      </c>
      <c r="F118">
        <v>2335</v>
      </c>
      <c r="G118">
        <v>813</v>
      </c>
      <c r="H118">
        <v>1835</v>
      </c>
      <c r="I118">
        <v>501</v>
      </c>
      <c r="J118">
        <v>658</v>
      </c>
      <c r="K118">
        <v>330</v>
      </c>
      <c r="L118">
        <v>1062</v>
      </c>
      <c r="M118">
        <v>448</v>
      </c>
      <c r="N118">
        <v>211</v>
      </c>
      <c r="O118">
        <v>141</v>
      </c>
      <c r="P118">
        <v>346</v>
      </c>
      <c r="Q118">
        <v>595</v>
      </c>
      <c r="R118">
        <v>117</v>
      </c>
    </row>
    <row r="119" spans="1:18">
      <c r="A119" s="1" t="s">
        <v>109</v>
      </c>
      <c r="B119">
        <v>29</v>
      </c>
      <c r="C119">
        <v>8</v>
      </c>
      <c r="D119">
        <v>21</v>
      </c>
      <c r="E119">
        <v>-4.55</v>
      </c>
      <c r="F119">
        <v>1949</v>
      </c>
      <c r="G119">
        <v>713</v>
      </c>
      <c r="H119">
        <v>1618</v>
      </c>
      <c r="I119">
        <v>375</v>
      </c>
      <c r="J119">
        <v>577</v>
      </c>
      <c r="K119">
        <v>340</v>
      </c>
      <c r="L119">
        <v>1065</v>
      </c>
      <c r="M119">
        <v>385</v>
      </c>
      <c r="N119">
        <v>118</v>
      </c>
      <c r="O119">
        <v>109</v>
      </c>
      <c r="P119">
        <v>387</v>
      </c>
      <c r="Q119">
        <v>530</v>
      </c>
      <c r="R119">
        <v>118</v>
      </c>
    </row>
    <row r="120" spans="1:18">
      <c r="A120" s="1" t="s">
        <v>353</v>
      </c>
      <c r="B120">
        <v>31</v>
      </c>
      <c r="C120">
        <v>5</v>
      </c>
      <c r="D120">
        <v>26</v>
      </c>
      <c r="E120">
        <v>-8.7200000000000006</v>
      </c>
      <c r="F120">
        <v>2140</v>
      </c>
      <c r="G120">
        <v>735</v>
      </c>
      <c r="H120">
        <v>1818</v>
      </c>
      <c r="I120">
        <v>490</v>
      </c>
      <c r="J120">
        <v>725</v>
      </c>
      <c r="K120">
        <v>379</v>
      </c>
      <c r="L120">
        <v>1081</v>
      </c>
      <c r="M120">
        <v>362</v>
      </c>
      <c r="N120">
        <v>257</v>
      </c>
      <c r="O120">
        <v>82</v>
      </c>
      <c r="P120">
        <v>513</v>
      </c>
      <c r="Q120">
        <v>681</v>
      </c>
      <c r="R120">
        <v>119</v>
      </c>
    </row>
    <row r="121" spans="1:18">
      <c r="A121" s="1" t="s">
        <v>110</v>
      </c>
      <c r="B121">
        <v>30</v>
      </c>
      <c r="C121">
        <v>12</v>
      </c>
      <c r="D121">
        <v>18</v>
      </c>
      <c r="E121">
        <v>0.55000000000000004</v>
      </c>
      <c r="F121">
        <v>2061</v>
      </c>
      <c r="G121">
        <v>726</v>
      </c>
      <c r="H121">
        <v>1580</v>
      </c>
      <c r="I121">
        <v>433</v>
      </c>
      <c r="J121">
        <v>647</v>
      </c>
      <c r="K121">
        <v>307</v>
      </c>
      <c r="L121">
        <v>1012</v>
      </c>
      <c r="M121">
        <v>404</v>
      </c>
      <c r="N121">
        <v>169</v>
      </c>
      <c r="O121">
        <v>125</v>
      </c>
      <c r="P121">
        <v>456</v>
      </c>
      <c r="Q121">
        <v>605</v>
      </c>
      <c r="R121">
        <v>120</v>
      </c>
    </row>
    <row r="122" spans="1:18">
      <c r="A122" s="1" t="s">
        <v>111</v>
      </c>
      <c r="B122">
        <v>30</v>
      </c>
      <c r="C122">
        <v>6</v>
      </c>
      <c r="D122">
        <v>24</v>
      </c>
      <c r="E122">
        <v>-7.3</v>
      </c>
      <c r="F122">
        <v>1753</v>
      </c>
      <c r="G122">
        <v>593</v>
      </c>
      <c r="H122">
        <v>1576</v>
      </c>
      <c r="I122">
        <v>418</v>
      </c>
      <c r="J122">
        <v>671</v>
      </c>
      <c r="K122">
        <v>396</v>
      </c>
      <c r="L122">
        <v>1037</v>
      </c>
      <c r="M122">
        <v>279</v>
      </c>
      <c r="N122">
        <v>182</v>
      </c>
      <c r="O122">
        <v>64</v>
      </c>
      <c r="P122">
        <v>476</v>
      </c>
      <c r="Q122">
        <v>577</v>
      </c>
      <c r="R122">
        <v>121</v>
      </c>
    </row>
    <row r="123" spans="1:18">
      <c r="A123" s="1" t="s">
        <v>112</v>
      </c>
      <c r="B123">
        <v>29</v>
      </c>
      <c r="C123">
        <v>9</v>
      </c>
      <c r="D123">
        <v>20</v>
      </c>
      <c r="E123">
        <v>-1.87</v>
      </c>
      <c r="F123">
        <v>1878</v>
      </c>
      <c r="G123">
        <v>646</v>
      </c>
      <c r="H123">
        <v>1560</v>
      </c>
      <c r="I123">
        <v>453</v>
      </c>
      <c r="J123">
        <v>646</v>
      </c>
      <c r="K123">
        <v>343</v>
      </c>
      <c r="L123">
        <v>962</v>
      </c>
      <c r="M123">
        <v>277</v>
      </c>
      <c r="N123">
        <v>194</v>
      </c>
      <c r="O123">
        <v>95</v>
      </c>
      <c r="P123">
        <v>383</v>
      </c>
      <c r="Q123">
        <v>545</v>
      </c>
      <c r="R123">
        <v>122</v>
      </c>
    </row>
    <row r="124" spans="1:18">
      <c r="A124" s="1" t="s">
        <v>113</v>
      </c>
      <c r="B124">
        <v>32</v>
      </c>
      <c r="C124">
        <v>18</v>
      </c>
      <c r="D124">
        <v>14</v>
      </c>
      <c r="E124">
        <v>-0.64</v>
      </c>
      <c r="F124">
        <v>2172</v>
      </c>
      <c r="G124">
        <v>758</v>
      </c>
      <c r="H124">
        <v>1644</v>
      </c>
      <c r="I124">
        <v>454</v>
      </c>
      <c r="J124">
        <v>629</v>
      </c>
      <c r="K124">
        <v>299</v>
      </c>
      <c r="L124">
        <v>1057</v>
      </c>
      <c r="M124">
        <v>455</v>
      </c>
      <c r="N124">
        <v>210</v>
      </c>
      <c r="O124">
        <v>98</v>
      </c>
      <c r="P124">
        <v>470</v>
      </c>
      <c r="Q124">
        <v>537</v>
      </c>
      <c r="R124">
        <v>123</v>
      </c>
    </row>
    <row r="125" spans="1:18">
      <c r="A125" s="1" t="s">
        <v>114</v>
      </c>
      <c r="B125">
        <v>31</v>
      </c>
      <c r="C125">
        <v>7</v>
      </c>
      <c r="D125">
        <v>24</v>
      </c>
      <c r="E125">
        <v>1.98</v>
      </c>
      <c r="F125">
        <v>1943</v>
      </c>
      <c r="G125">
        <v>723</v>
      </c>
      <c r="H125">
        <v>1703</v>
      </c>
      <c r="I125">
        <v>351</v>
      </c>
      <c r="J125">
        <v>526</v>
      </c>
      <c r="K125">
        <v>396</v>
      </c>
      <c r="L125">
        <v>1127</v>
      </c>
      <c r="M125">
        <v>361</v>
      </c>
      <c r="N125">
        <v>144</v>
      </c>
      <c r="O125">
        <v>82</v>
      </c>
      <c r="P125">
        <v>497</v>
      </c>
      <c r="Q125">
        <v>554</v>
      </c>
      <c r="R125">
        <v>124</v>
      </c>
    </row>
    <row r="126" spans="1:18">
      <c r="A126" s="1" t="s">
        <v>115</v>
      </c>
      <c r="B126">
        <v>31</v>
      </c>
      <c r="C126">
        <v>12</v>
      </c>
      <c r="D126">
        <v>19</v>
      </c>
      <c r="E126">
        <v>-0.66</v>
      </c>
      <c r="F126">
        <v>1893</v>
      </c>
      <c r="G126">
        <v>680</v>
      </c>
      <c r="H126">
        <v>1599</v>
      </c>
      <c r="I126">
        <v>380</v>
      </c>
      <c r="J126">
        <v>537</v>
      </c>
      <c r="K126">
        <v>312</v>
      </c>
      <c r="L126">
        <v>1055</v>
      </c>
      <c r="M126">
        <v>346</v>
      </c>
      <c r="N126">
        <v>153</v>
      </c>
      <c r="O126">
        <v>124</v>
      </c>
      <c r="P126">
        <v>414</v>
      </c>
      <c r="Q126">
        <v>568</v>
      </c>
      <c r="R126">
        <v>125</v>
      </c>
    </row>
    <row r="127" spans="1:18">
      <c r="A127" s="1" t="s">
        <v>348</v>
      </c>
      <c r="B127">
        <v>34</v>
      </c>
      <c r="C127">
        <v>20</v>
      </c>
      <c r="D127">
        <v>14</v>
      </c>
      <c r="E127">
        <v>11.11</v>
      </c>
      <c r="F127">
        <v>2413</v>
      </c>
      <c r="G127">
        <v>894</v>
      </c>
      <c r="H127">
        <v>1910</v>
      </c>
      <c r="I127">
        <v>393</v>
      </c>
      <c r="J127">
        <v>539</v>
      </c>
      <c r="K127">
        <v>342</v>
      </c>
      <c r="L127">
        <v>1178</v>
      </c>
      <c r="M127">
        <v>568</v>
      </c>
      <c r="N127">
        <v>188</v>
      </c>
      <c r="O127">
        <v>152</v>
      </c>
      <c r="P127">
        <v>434</v>
      </c>
      <c r="Q127">
        <v>597</v>
      </c>
      <c r="R127">
        <v>126</v>
      </c>
    </row>
    <row r="128" spans="1:18">
      <c r="A128" s="1" t="s">
        <v>308</v>
      </c>
      <c r="B128">
        <v>34</v>
      </c>
      <c r="C128">
        <v>20</v>
      </c>
      <c r="D128">
        <v>14</v>
      </c>
      <c r="E128">
        <v>2.9</v>
      </c>
      <c r="F128">
        <v>2253</v>
      </c>
      <c r="G128">
        <v>769</v>
      </c>
      <c r="H128">
        <v>1793</v>
      </c>
      <c r="I128">
        <v>480</v>
      </c>
      <c r="J128">
        <v>676</v>
      </c>
      <c r="K128">
        <v>352</v>
      </c>
      <c r="L128">
        <v>1172</v>
      </c>
      <c r="M128">
        <v>431</v>
      </c>
      <c r="N128">
        <v>212</v>
      </c>
      <c r="O128">
        <v>145</v>
      </c>
      <c r="P128">
        <v>477</v>
      </c>
      <c r="Q128">
        <v>684</v>
      </c>
      <c r="R128">
        <v>127</v>
      </c>
    </row>
    <row r="129" spans="1:18">
      <c r="A129" s="1" t="s">
        <v>327</v>
      </c>
      <c r="B129">
        <v>32</v>
      </c>
      <c r="C129">
        <v>12</v>
      </c>
      <c r="D129">
        <v>20</v>
      </c>
      <c r="E129">
        <v>7.65</v>
      </c>
      <c r="F129">
        <v>2226</v>
      </c>
      <c r="G129">
        <v>789</v>
      </c>
      <c r="H129">
        <v>1713</v>
      </c>
      <c r="I129">
        <v>459</v>
      </c>
      <c r="J129">
        <v>632</v>
      </c>
      <c r="K129">
        <v>339</v>
      </c>
      <c r="L129">
        <v>1049</v>
      </c>
      <c r="M129">
        <v>393</v>
      </c>
      <c r="N129">
        <v>201</v>
      </c>
      <c r="O129">
        <v>84</v>
      </c>
      <c r="P129">
        <v>415</v>
      </c>
      <c r="Q129">
        <v>685</v>
      </c>
      <c r="R129">
        <v>128</v>
      </c>
    </row>
    <row r="130" spans="1:18">
      <c r="A130" s="1" t="s">
        <v>309</v>
      </c>
      <c r="B130">
        <v>37</v>
      </c>
      <c r="C130">
        <v>25</v>
      </c>
      <c r="D130">
        <v>12</v>
      </c>
      <c r="E130">
        <v>-2.2599999999999998</v>
      </c>
      <c r="F130">
        <v>2922</v>
      </c>
      <c r="G130">
        <v>1048</v>
      </c>
      <c r="H130">
        <v>2200</v>
      </c>
      <c r="I130">
        <v>528</v>
      </c>
      <c r="J130">
        <v>804</v>
      </c>
      <c r="K130">
        <v>435</v>
      </c>
      <c r="L130">
        <v>1340</v>
      </c>
      <c r="M130">
        <v>645</v>
      </c>
      <c r="N130">
        <v>278</v>
      </c>
      <c r="O130">
        <v>122</v>
      </c>
      <c r="P130">
        <v>468</v>
      </c>
      <c r="Q130">
        <v>665</v>
      </c>
      <c r="R130">
        <v>129</v>
      </c>
    </row>
    <row r="131" spans="1:18">
      <c r="A131" s="1" t="s">
        <v>310</v>
      </c>
      <c r="B131">
        <v>32</v>
      </c>
      <c r="C131">
        <v>16</v>
      </c>
      <c r="D131">
        <v>16</v>
      </c>
      <c r="E131">
        <v>4.55</v>
      </c>
      <c r="F131">
        <v>2395</v>
      </c>
      <c r="G131">
        <v>870</v>
      </c>
      <c r="H131">
        <v>1993</v>
      </c>
      <c r="I131">
        <v>380</v>
      </c>
      <c r="J131">
        <v>527</v>
      </c>
      <c r="K131">
        <v>352</v>
      </c>
      <c r="L131">
        <v>1171</v>
      </c>
      <c r="M131">
        <v>480</v>
      </c>
      <c r="N131">
        <v>216</v>
      </c>
      <c r="O131">
        <v>118</v>
      </c>
      <c r="P131">
        <v>401</v>
      </c>
      <c r="Q131">
        <v>524</v>
      </c>
      <c r="R131">
        <v>130</v>
      </c>
    </row>
    <row r="132" spans="1:18">
      <c r="A132" s="1" t="s">
        <v>116</v>
      </c>
      <c r="B132">
        <v>31</v>
      </c>
      <c r="C132">
        <v>11</v>
      </c>
      <c r="D132">
        <v>20</v>
      </c>
      <c r="E132">
        <v>8.7899999999999991</v>
      </c>
      <c r="F132">
        <v>2084</v>
      </c>
      <c r="G132">
        <v>766</v>
      </c>
      <c r="H132">
        <v>1743</v>
      </c>
      <c r="I132">
        <v>406</v>
      </c>
      <c r="J132">
        <v>601</v>
      </c>
      <c r="K132">
        <v>371</v>
      </c>
      <c r="L132">
        <v>1085</v>
      </c>
      <c r="M132">
        <v>423</v>
      </c>
      <c r="N132">
        <v>208</v>
      </c>
      <c r="O132">
        <v>89</v>
      </c>
      <c r="P132">
        <v>447</v>
      </c>
      <c r="Q132">
        <v>511</v>
      </c>
      <c r="R132">
        <v>131</v>
      </c>
    </row>
    <row r="133" spans="1:18">
      <c r="A133" s="1" t="s">
        <v>319</v>
      </c>
      <c r="B133">
        <v>30</v>
      </c>
      <c r="C133">
        <v>18</v>
      </c>
      <c r="D133">
        <v>12</v>
      </c>
      <c r="E133">
        <v>-5.17</v>
      </c>
      <c r="F133">
        <v>2230</v>
      </c>
      <c r="G133">
        <v>766</v>
      </c>
      <c r="H133">
        <v>1676</v>
      </c>
      <c r="I133">
        <v>458</v>
      </c>
      <c r="J133">
        <v>593</v>
      </c>
      <c r="K133">
        <v>280</v>
      </c>
      <c r="L133">
        <v>953</v>
      </c>
      <c r="M133">
        <v>436</v>
      </c>
      <c r="N133">
        <v>151</v>
      </c>
      <c r="O133">
        <v>90</v>
      </c>
      <c r="P133">
        <v>365</v>
      </c>
      <c r="Q133">
        <v>646</v>
      </c>
      <c r="R133">
        <v>132</v>
      </c>
    </row>
    <row r="134" spans="1:18">
      <c r="A134" s="1" t="s">
        <v>117</v>
      </c>
      <c r="B134">
        <v>33</v>
      </c>
      <c r="C134">
        <v>19</v>
      </c>
      <c r="D134">
        <v>14</v>
      </c>
      <c r="E134">
        <v>-0.84</v>
      </c>
      <c r="F134">
        <v>2364</v>
      </c>
      <c r="G134">
        <v>854</v>
      </c>
      <c r="H134">
        <v>1806</v>
      </c>
      <c r="I134">
        <v>454</v>
      </c>
      <c r="J134">
        <v>580</v>
      </c>
      <c r="K134">
        <v>347</v>
      </c>
      <c r="L134">
        <v>1047</v>
      </c>
      <c r="M134">
        <v>362</v>
      </c>
      <c r="N134">
        <v>193</v>
      </c>
      <c r="O134">
        <v>88</v>
      </c>
      <c r="P134">
        <v>371</v>
      </c>
      <c r="Q134">
        <v>501</v>
      </c>
      <c r="R134">
        <v>133</v>
      </c>
    </row>
    <row r="135" spans="1:18">
      <c r="A135" s="1" t="s">
        <v>278</v>
      </c>
      <c r="B135">
        <v>32</v>
      </c>
      <c r="C135">
        <v>17</v>
      </c>
      <c r="D135">
        <v>15</v>
      </c>
      <c r="E135">
        <v>-10.86</v>
      </c>
      <c r="F135">
        <v>2096</v>
      </c>
      <c r="G135">
        <v>721</v>
      </c>
      <c r="H135">
        <v>1719</v>
      </c>
      <c r="I135">
        <v>466</v>
      </c>
      <c r="J135">
        <v>731</v>
      </c>
      <c r="K135">
        <v>406</v>
      </c>
      <c r="L135">
        <v>1121</v>
      </c>
      <c r="M135">
        <v>426</v>
      </c>
      <c r="N135">
        <v>250</v>
      </c>
      <c r="O135">
        <v>102</v>
      </c>
      <c r="P135">
        <v>481</v>
      </c>
      <c r="Q135">
        <v>668</v>
      </c>
      <c r="R135">
        <v>134</v>
      </c>
    </row>
    <row r="136" spans="1:18">
      <c r="A136" s="1" t="s">
        <v>118</v>
      </c>
      <c r="B136">
        <v>30</v>
      </c>
      <c r="C136">
        <v>5</v>
      </c>
      <c r="D136">
        <v>25</v>
      </c>
      <c r="E136">
        <v>-5.41</v>
      </c>
      <c r="F136">
        <v>1828</v>
      </c>
      <c r="G136">
        <v>656</v>
      </c>
      <c r="H136">
        <v>1546</v>
      </c>
      <c r="I136">
        <v>342</v>
      </c>
      <c r="J136">
        <v>527</v>
      </c>
      <c r="K136">
        <v>322</v>
      </c>
      <c r="L136">
        <v>886</v>
      </c>
      <c r="M136">
        <v>368</v>
      </c>
      <c r="N136">
        <v>190</v>
      </c>
      <c r="O136">
        <v>106</v>
      </c>
      <c r="P136">
        <v>432</v>
      </c>
      <c r="Q136">
        <v>598</v>
      </c>
      <c r="R136">
        <v>135</v>
      </c>
    </row>
    <row r="137" spans="1:18">
      <c r="A137" s="1" t="s">
        <v>119</v>
      </c>
      <c r="B137">
        <v>32</v>
      </c>
      <c r="C137">
        <v>20</v>
      </c>
      <c r="D137">
        <v>12</v>
      </c>
      <c r="E137">
        <v>-3.68</v>
      </c>
      <c r="F137">
        <v>2176</v>
      </c>
      <c r="G137">
        <v>779</v>
      </c>
      <c r="H137">
        <v>1846</v>
      </c>
      <c r="I137">
        <v>474</v>
      </c>
      <c r="J137">
        <v>708</v>
      </c>
      <c r="K137">
        <v>433</v>
      </c>
      <c r="L137">
        <v>1187</v>
      </c>
      <c r="M137">
        <v>390</v>
      </c>
      <c r="N137">
        <v>274</v>
      </c>
      <c r="O137">
        <v>123</v>
      </c>
      <c r="P137">
        <v>484</v>
      </c>
      <c r="Q137">
        <v>684</v>
      </c>
      <c r="R137">
        <v>136</v>
      </c>
    </row>
    <row r="138" spans="1:18">
      <c r="A138" s="1" t="s">
        <v>120</v>
      </c>
      <c r="B138">
        <v>33</v>
      </c>
      <c r="C138">
        <v>21</v>
      </c>
      <c r="D138">
        <v>12</v>
      </c>
      <c r="E138">
        <v>-0.03</v>
      </c>
      <c r="F138">
        <v>2355</v>
      </c>
      <c r="G138">
        <v>830</v>
      </c>
      <c r="H138">
        <v>1812</v>
      </c>
      <c r="I138">
        <v>496</v>
      </c>
      <c r="J138">
        <v>698</v>
      </c>
      <c r="K138">
        <v>347</v>
      </c>
      <c r="L138">
        <v>1165</v>
      </c>
      <c r="M138">
        <v>455</v>
      </c>
      <c r="N138">
        <v>177</v>
      </c>
      <c r="O138">
        <v>123</v>
      </c>
      <c r="P138">
        <v>421</v>
      </c>
      <c r="Q138">
        <v>591</v>
      </c>
      <c r="R138">
        <v>137</v>
      </c>
    </row>
    <row r="139" spans="1:18">
      <c r="A139" s="1" t="s">
        <v>121</v>
      </c>
      <c r="B139">
        <v>34</v>
      </c>
      <c r="C139">
        <v>23</v>
      </c>
      <c r="D139">
        <v>11</v>
      </c>
      <c r="E139">
        <v>8.41</v>
      </c>
      <c r="F139">
        <v>2477</v>
      </c>
      <c r="G139">
        <v>849</v>
      </c>
      <c r="H139">
        <v>1939</v>
      </c>
      <c r="I139">
        <v>542</v>
      </c>
      <c r="J139">
        <v>828</v>
      </c>
      <c r="K139">
        <v>490</v>
      </c>
      <c r="L139">
        <v>1280</v>
      </c>
      <c r="M139">
        <v>474</v>
      </c>
      <c r="N139">
        <v>208</v>
      </c>
      <c r="O139">
        <v>154</v>
      </c>
      <c r="P139">
        <v>498</v>
      </c>
      <c r="Q139">
        <v>692</v>
      </c>
      <c r="R139">
        <v>138</v>
      </c>
    </row>
    <row r="140" spans="1:18">
      <c r="A140" s="1" t="s">
        <v>375</v>
      </c>
      <c r="B140">
        <v>38</v>
      </c>
      <c r="C140">
        <v>35</v>
      </c>
      <c r="D140">
        <v>3</v>
      </c>
      <c r="E140">
        <v>7.62</v>
      </c>
      <c r="F140">
        <v>3084</v>
      </c>
      <c r="G140">
        <v>1114</v>
      </c>
      <c r="H140">
        <v>2193</v>
      </c>
      <c r="I140">
        <v>585</v>
      </c>
      <c r="J140">
        <v>862</v>
      </c>
      <c r="K140">
        <v>449</v>
      </c>
      <c r="L140">
        <v>1475</v>
      </c>
      <c r="M140">
        <v>674</v>
      </c>
      <c r="N140">
        <v>295</v>
      </c>
      <c r="O140">
        <v>153</v>
      </c>
      <c r="P140">
        <v>507</v>
      </c>
      <c r="Q140">
        <v>666</v>
      </c>
      <c r="R140">
        <v>139</v>
      </c>
    </row>
    <row r="141" spans="1:18">
      <c r="A141" s="1" t="s">
        <v>336</v>
      </c>
      <c r="B141">
        <v>31</v>
      </c>
      <c r="C141">
        <v>8</v>
      </c>
      <c r="D141">
        <v>23</v>
      </c>
      <c r="E141">
        <v>-3.29</v>
      </c>
      <c r="F141">
        <v>2017</v>
      </c>
      <c r="G141">
        <v>720</v>
      </c>
      <c r="H141">
        <v>1731</v>
      </c>
      <c r="I141">
        <v>401</v>
      </c>
      <c r="J141">
        <v>618</v>
      </c>
      <c r="K141">
        <v>384</v>
      </c>
      <c r="L141">
        <v>1057</v>
      </c>
      <c r="M141">
        <v>347</v>
      </c>
      <c r="N141">
        <v>171</v>
      </c>
      <c r="O141">
        <v>119</v>
      </c>
      <c r="P141">
        <v>443</v>
      </c>
      <c r="Q141">
        <v>532</v>
      </c>
      <c r="R141">
        <v>140</v>
      </c>
    </row>
    <row r="142" spans="1:18">
      <c r="A142" s="1" t="s">
        <v>122</v>
      </c>
      <c r="B142">
        <v>37</v>
      </c>
      <c r="C142">
        <v>25</v>
      </c>
      <c r="D142">
        <v>12</v>
      </c>
      <c r="E142">
        <v>0.04</v>
      </c>
      <c r="F142">
        <v>2626</v>
      </c>
      <c r="G142">
        <v>960</v>
      </c>
      <c r="H142">
        <v>2178</v>
      </c>
      <c r="I142">
        <v>504</v>
      </c>
      <c r="J142">
        <v>754</v>
      </c>
      <c r="K142">
        <v>490</v>
      </c>
      <c r="L142">
        <v>1370</v>
      </c>
      <c r="M142">
        <v>513</v>
      </c>
      <c r="N142">
        <v>286</v>
      </c>
      <c r="O142">
        <v>151</v>
      </c>
      <c r="P142">
        <v>476</v>
      </c>
      <c r="Q142">
        <v>642</v>
      </c>
      <c r="R142">
        <v>141</v>
      </c>
    </row>
    <row r="143" spans="1:18">
      <c r="A143" s="1" t="s">
        <v>354</v>
      </c>
      <c r="B143">
        <v>38</v>
      </c>
      <c r="C143">
        <v>29</v>
      </c>
      <c r="D143">
        <v>9</v>
      </c>
      <c r="E143">
        <v>8.91</v>
      </c>
      <c r="F143">
        <v>2845</v>
      </c>
      <c r="G143">
        <v>1002</v>
      </c>
      <c r="H143">
        <v>2183</v>
      </c>
      <c r="I143">
        <v>560</v>
      </c>
      <c r="J143">
        <v>789</v>
      </c>
      <c r="K143">
        <v>445</v>
      </c>
      <c r="L143">
        <v>1420</v>
      </c>
      <c r="M143">
        <v>482</v>
      </c>
      <c r="N143">
        <v>211</v>
      </c>
      <c r="O143">
        <v>239</v>
      </c>
      <c r="P143">
        <v>406</v>
      </c>
      <c r="Q143">
        <v>601</v>
      </c>
      <c r="R143">
        <v>142</v>
      </c>
    </row>
    <row r="144" spans="1:18">
      <c r="A144" s="1" t="s">
        <v>123</v>
      </c>
      <c r="B144">
        <v>33</v>
      </c>
      <c r="C144">
        <v>15</v>
      </c>
      <c r="D144">
        <v>18</v>
      </c>
      <c r="E144">
        <v>1.7</v>
      </c>
      <c r="F144">
        <v>2536</v>
      </c>
      <c r="G144">
        <v>923</v>
      </c>
      <c r="H144">
        <v>2070</v>
      </c>
      <c r="I144">
        <v>482</v>
      </c>
      <c r="J144">
        <v>680</v>
      </c>
      <c r="K144">
        <v>461</v>
      </c>
      <c r="L144">
        <v>1273</v>
      </c>
      <c r="M144">
        <v>496</v>
      </c>
      <c r="N144">
        <v>245</v>
      </c>
      <c r="O144">
        <v>132</v>
      </c>
      <c r="P144">
        <v>513</v>
      </c>
      <c r="Q144">
        <v>616</v>
      </c>
      <c r="R144">
        <v>143</v>
      </c>
    </row>
    <row r="145" spans="1:18">
      <c r="A145" s="1" t="s">
        <v>279</v>
      </c>
      <c r="B145">
        <v>32</v>
      </c>
      <c r="C145">
        <v>13</v>
      </c>
      <c r="D145">
        <v>19</v>
      </c>
      <c r="E145">
        <v>-4.1900000000000004</v>
      </c>
      <c r="F145">
        <v>2237</v>
      </c>
      <c r="G145">
        <v>754</v>
      </c>
      <c r="H145">
        <v>1757</v>
      </c>
      <c r="I145">
        <v>482</v>
      </c>
      <c r="J145">
        <v>633</v>
      </c>
      <c r="K145">
        <v>293</v>
      </c>
      <c r="L145">
        <v>1031</v>
      </c>
      <c r="M145">
        <v>476</v>
      </c>
      <c r="N145">
        <v>196</v>
      </c>
      <c r="O145">
        <v>79</v>
      </c>
      <c r="P145">
        <v>430</v>
      </c>
      <c r="Q145">
        <v>648</v>
      </c>
      <c r="R145">
        <v>144</v>
      </c>
    </row>
    <row r="146" spans="1:18">
      <c r="A146" s="1" t="s">
        <v>280</v>
      </c>
      <c r="B146">
        <v>30</v>
      </c>
      <c r="C146">
        <v>13</v>
      </c>
      <c r="D146">
        <v>17</v>
      </c>
      <c r="E146">
        <v>-5.96</v>
      </c>
      <c r="F146">
        <v>2463</v>
      </c>
      <c r="G146">
        <v>846</v>
      </c>
      <c r="H146">
        <v>1961</v>
      </c>
      <c r="I146">
        <v>537</v>
      </c>
      <c r="J146">
        <v>782</v>
      </c>
      <c r="K146">
        <v>466</v>
      </c>
      <c r="L146">
        <v>1235</v>
      </c>
      <c r="M146">
        <v>437</v>
      </c>
      <c r="N146">
        <v>246</v>
      </c>
      <c r="O146">
        <v>111</v>
      </c>
      <c r="P146">
        <v>458</v>
      </c>
      <c r="Q146">
        <v>692</v>
      </c>
      <c r="R146">
        <v>145</v>
      </c>
    </row>
    <row r="147" spans="1:18">
      <c r="A147" s="1" t="s">
        <v>124</v>
      </c>
      <c r="B147">
        <v>31</v>
      </c>
      <c r="C147">
        <v>16</v>
      </c>
      <c r="D147">
        <v>15</v>
      </c>
      <c r="E147">
        <v>-5.69</v>
      </c>
      <c r="F147">
        <v>2282</v>
      </c>
      <c r="G147">
        <v>743</v>
      </c>
      <c r="H147">
        <v>1781</v>
      </c>
      <c r="I147">
        <v>624</v>
      </c>
      <c r="J147">
        <v>826</v>
      </c>
      <c r="K147">
        <v>351</v>
      </c>
      <c r="L147">
        <v>1137</v>
      </c>
      <c r="M147">
        <v>372</v>
      </c>
      <c r="N147">
        <v>236</v>
      </c>
      <c r="O147">
        <v>119</v>
      </c>
      <c r="P147">
        <v>402</v>
      </c>
      <c r="Q147">
        <v>593</v>
      </c>
      <c r="R147">
        <v>146</v>
      </c>
    </row>
    <row r="148" spans="1:18">
      <c r="A148" s="1" t="s">
        <v>125</v>
      </c>
      <c r="B148">
        <v>32</v>
      </c>
      <c r="C148">
        <v>19</v>
      </c>
      <c r="D148">
        <v>13</v>
      </c>
      <c r="E148">
        <v>-4.8600000000000003</v>
      </c>
      <c r="F148">
        <v>2165</v>
      </c>
      <c r="G148">
        <v>779</v>
      </c>
      <c r="H148">
        <v>1827</v>
      </c>
      <c r="I148">
        <v>441</v>
      </c>
      <c r="J148">
        <v>643</v>
      </c>
      <c r="K148">
        <v>448</v>
      </c>
      <c r="L148">
        <v>1237</v>
      </c>
      <c r="M148">
        <v>402</v>
      </c>
      <c r="N148">
        <v>214</v>
      </c>
      <c r="O148">
        <v>109</v>
      </c>
      <c r="P148">
        <v>486</v>
      </c>
      <c r="Q148">
        <v>615</v>
      </c>
      <c r="R148">
        <v>147</v>
      </c>
    </row>
    <row r="149" spans="1:18">
      <c r="A149" s="1" t="s">
        <v>320</v>
      </c>
      <c r="B149">
        <v>30</v>
      </c>
      <c r="C149">
        <v>17</v>
      </c>
      <c r="D149">
        <v>13</v>
      </c>
      <c r="E149">
        <v>-2.65</v>
      </c>
      <c r="F149">
        <v>2287</v>
      </c>
      <c r="G149">
        <v>793</v>
      </c>
      <c r="H149">
        <v>1750</v>
      </c>
      <c r="I149">
        <v>502</v>
      </c>
      <c r="J149">
        <v>711</v>
      </c>
      <c r="K149">
        <v>364</v>
      </c>
      <c r="L149">
        <v>1123</v>
      </c>
      <c r="M149">
        <v>461</v>
      </c>
      <c r="N149">
        <v>245</v>
      </c>
      <c r="O149">
        <v>63</v>
      </c>
      <c r="P149">
        <v>464</v>
      </c>
      <c r="Q149">
        <v>611</v>
      </c>
      <c r="R149">
        <v>148</v>
      </c>
    </row>
    <row r="150" spans="1:18">
      <c r="A150" s="1" t="s">
        <v>126</v>
      </c>
      <c r="B150">
        <v>34</v>
      </c>
      <c r="C150">
        <v>22</v>
      </c>
      <c r="D150">
        <v>12</v>
      </c>
      <c r="E150">
        <v>1.69</v>
      </c>
      <c r="F150">
        <v>2489</v>
      </c>
      <c r="G150">
        <v>862</v>
      </c>
      <c r="H150">
        <v>1931</v>
      </c>
      <c r="I150">
        <v>546</v>
      </c>
      <c r="J150">
        <v>812</v>
      </c>
      <c r="K150">
        <v>407</v>
      </c>
      <c r="L150">
        <v>1256</v>
      </c>
      <c r="M150">
        <v>453</v>
      </c>
      <c r="N150">
        <v>204</v>
      </c>
      <c r="O150">
        <v>71</v>
      </c>
      <c r="P150">
        <v>488</v>
      </c>
      <c r="Q150">
        <v>550</v>
      </c>
      <c r="R150">
        <v>149</v>
      </c>
    </row>
    <row r="151" spans="1:18">
      <c r="A151" s="1" t="s">
        <v>127</v>
      </c>
      <c r="B151">
        <v>33</v>
      </c>
      <c r="C151">
        <v>27</v>
      </c>
      <c r="D151">
        <v>6</v>
      </c>
      <c r="E151">
        <v>-5.77</v>
      </c>
      <c r="F151">
        <v>2730</v>
      </c>
      <c r="G151">
        <v>928</v>
      </c>
      <c r="H151">
        <v>2009</v>
      </c>
      <c r="I151">
        <v>645</v>
      </c>
      <c r="J151">
        <v>999</v>
      </c>
      <c r="K151">
        <v>479</v>
      </c>
      <c r="L151">
        <v>1378</v>
      </c>
      <c r="M151">
        <v>503</v>
      </c>
      <c r="N151">
        <v>246</v>
      </c>
      <c r="O151">
        <v>111</v>
      </c>
      <c r="P151">
        <v>505</v>
      </c>
      <c r="Q151">
        <v>580</v>
      </c>
      <c r="R151">
        <v>150</v>
      </c>
    </row>
    <row r="152" spans="1:18">
      <c r="A152" s="1" t="s">
        <v>331</v>
      </c>
      <c r="B152">
        <v>31</v>
      </c>
      <c r="C152">
        <v>12</v>
      </c>
      <c r="D152">
        <v>19</v>
      </c>
      <c r="E152">
        <v>-3.62</v>
      </c>
      <c r="F152">
        <v>2364</v>
      </c>
      <c r="G152">
        <v>849</v>
      </c>
      <c r="H152">
        <v>1866</v>
      </c>
      <c r="I152">
        <v>430</v>
      </c>
      <c r="J152">
        <v>615</v>
      </c>
      <c r="K152">
        <v>317</v>
      </c>
      <c r="L152">
        <v>1027</v>
      </c>
      <c r="M152">
        <v>510</v>
      </c>
      <c r="N152">
        <v>183</v>
      </c>
      <c r="O152">
        <v>64</v>
      </c>
      <c r="P152">
        <v>428</v>
      </c>
      <c r="Q152">
        <v>597</v>
      </c>
      <c r="R152">
        <v>151</v>
      </c>
    </row>
    <row r="153" spans="1:18">
      <c r="A153" s="1" t="s">
        <v>281</v>
      </c>
      <c r="B153">
        <v>29</v>
      </c>
      <c r="C153">
        <v>14</v>
      </c>
      <c r="D153">
        <v>15</v>
      </c>
      <c r="E153">
        <v>-4.1900000000000004</v>
      </c>
      <c r="F153">
        <v>2055</v>
      </c>
      <c r="G153">
        <v>715</v>
      </c>
      <c r="H153">
        <v>1639</v>
      </c>
      <c r="I153">
        <v>474</v>
      </c>
      <c r="J153">
        <v>715</v>
      </c>
      <c r="K153">
        <v>381</v>
      </c>
      <c r="L153">
        <v>1085</v>
      </c>
      <c r="M153">
        <v>295</v>
      </c>
      <c r="N153">
        <v>165</v>
      </c>
      <c r="O153">
        <v>126</v>
      </c>
      <c r="P153">
        <v>447</v>
      </c>
      <c r="Q153">
        <v>618</v>
      </c>
      <c r="R153">
        <v>152</v>
      </c>
    </row>
    <row r="154" spans="1:18">
      <c r="A154" s="1" t="s">
        <v>128</v>
      </c>
      <c r="B154">
        <v>31</v>
      </c>
      <c r="C154">
        <v>7</v>
      </c>
      <c r="D154">
        <v>24</v>
      </c>
      <c r="E154">
        <v>-3.96</v>
      </c>
      <c r="F154">
        <v>1859</v>
      </c>
      <c r="G154">
        <v>669</v>
      </c>
      <c r="H154">
        <v>1606</v>
      </c>
      <c r="I154">
        <v>363</v>
      </c>
      <c r="J154">
        <v>560</v>
      </c>
      <c r="K154">
        <v>329</v>
      </c>
      <c r="L154">
        <v>947</v>
      </c>
      <c r="M154">
        <v>311</v>
      </c>
      <c r="N154">
        <v>193</v>
      </c>
      <c r="O154">
        <v>51</v>
      </c>
      <c r="P154">
        <v>441</v>
      </c>
      <c r="Q154">
        <v>588</v>
      </c>
      <c r="R154">
        <v>153</v>
      </c>
    </row>
    <row r="155" spans="1:18">
      <c r="A155" s="1" t="s">
        <v>282</v>
      </c>
      <c r="B155">
        <v>32</v>
      </c>
      <c r="C155">
        <v>11</v>
      </c>
      <c r="D155">
        <v>21</v>
      </c>
      <c r="E155">
        <v>2.2599999999999998</v>
      </c>
      <c r="F155">
        <v>1991</v>
      </c>
      <c r="G155">
        <v>692</v>
      </c>
      <c r="H155">
        <v>1731</v>
      </c>
      <c r="I155">
        <v>432</v>
      </c>
      <c r="J155">
        <v>650</v>
      </c>
      <c r="K155">
        <v>368</v>
      </c>
      <c r="L155">
        <v>1110</v>
      </c>
      <c r="M155">
        <v>364</v>
      </c>
      <c r="N155">
        <v>204</v>
      </c>
      <c r="O155">
        <v>106</v>
      </c>
      <c r="P155">
        <v>461</v>
      </c>
      <c r="Q155">
        <v>622</v>
      </c>
      <c r="R155">
        <v>154</v>
      </c>
    </row>
    <row r="156" spans="1:18">
      <c r="A156" s="1" t="s">
        <v>129</v>
      </c>
      <c r="B156">
        <v>32</v>
      </c>
      <c r="C156">
        <v>12</v>
      </c>
      <c r="D156">
        <v>20</v>
      </c>
      <c r="E156">
        <v>-0.99</v>
      </c>
      <c r="F156">
        <v>2051</v>
      </c>
      <c r="G156">
        <v>721</v>
      </c>
      <c r="H156">
        <v>1721</v>
      </c>
      <c r="I156">
        <v>416</v>
      </c>
      <c r="J156">
        <v>642</v>
      </c>
      <c r="K156">
        <v>358</v>
      </c>
      <c r="L156">
        <v>1152</v>
      </c>
      <c r="M156">
        <v>331</v>
      </c>
      <c r="N156">
        <v>180</v>
      </c>
      <c r="O156">
        <v>76</v>
      </c>
      <c r="P156">
        <v>535</v>
      </c>
      <c r="Q156">
        <v>652</v>
      </c>
      <c r="R156">
        <v>155</v>
      </c>
    </row>
    <row r="157" spans="1:18">
      <c r="A157" s="1" t="s">
        <v>283</v>
      </c>
      <c r="B157">
        <v>35</v>
      </c>
      <c r="C157">
        <v>25</v>
      </c>
      <c r="D157">
        <v>10</v>
      </c>
      <c r="E157">
        <v>8.1999999999999993</v>
      </c>
      <c r="F157">
        <v>2623</v>
      </c>
      <c r="G157">
        <v>949</v>
      </c>
      <c r="H157">
        <v>2097</v>
      </c>
      <c r="I157">
        <v>416</v>
      </c>
      <c r="J157">
        <v>627</v>
      </c>
      <c r="K157">
        <v>434</v>
      </c>
      <c r="L157">
        <v>1272</v>
      </c>
      <c r="M157">
        <v>608</v>
      </c>
      <c r="N157">
        <v>327</v>
      </c>
      <c r="O157">
        <v>175</v>
      </c>
      <c r="P157">
        <v>459</v>
      </c>
      <c r="Q157">
        <v>671</v>
      </c>
      <c r="R157">
        <v>156</v>
      </c>
    </row>
    <row r="158" spans="1:18">
      <c r="A158" s="1" t="s">
        <v>130</v>
      </c>
      <c r="B158">
        <v>31</v>
      </c>
      <c r="C158">
        <v>16</v>
      </c>
      <c r="D158">
        <v>15</v>
      </c>
      <c r="E158">
        <v>-1.1000000000000001</v>
      </c>
      <c r="F158">
        <v>2153</v>
      </c>
      <c r="G158">
        <v>741</v>
      </c>
      <c r="H158">
        <v>1733</v>
      </c>
      <c r="I158">
        <v>471</v>
      </c>
      <c r="J158">
        <v>639</v>
      </c>
      <c r="K158">
        <v>386</v>
      </c>
      <c r="L158">
        <v>1080</v>
      </c>
      <c r="M158">
        <v>383</v>
      </c>
      <c r="N158">
        <v>186</v>
      </c>
      <c r="O158">
        <v>110</v>
      </c>
      <c r="P158">
        <v>396</v>
      </c>
      <c r="Q158">
        <v>541</v>
      </c>
      <c r="R158">
        <v>157</v>
      </c>
    </row>
    <row r="159" spans="1:18">
      <c r="A159" s="1" t="s">
        <v>131</v>
      </c>
      <c r="B159">
        <v>32</v>
      </c>
      <c r="C159">
        <v>11</v>
      </c>
      <c r="D159">
        <v>21</v>
      </c>
      <c r="E159">
        <v>0.27</v>
      </c>
      <c r="F159">
        <v>2265</v>
      </c>
      <c r="G159">
        <v>807</v>
      </c>
      <c r="H159">
        <v>1869</v>
      </c>
      <c r="I159">
        <v>502</v>
      </c>
      <c r="J159">
        <v>723</v>
      </c>
      <c r="K159">
        <v>422</v>
      </c>
      <c r="L159">
        <v>1219</v>
      </c>
      <c r="M159">
        <v>436</v>
      </c>
      <c r="N159">
        <v>216</v>
      </c>
      <c r="O159">
        <v>130</v>
      </c>
      <c r="P159">
        <v>455</v>
      </c>
      <c r="Q159">
        <v>606</v>
      </c>
      <c r="R159">
        <v>158</v>
      </c>
    </row>
    <row r="160" spans="1:18">
      <c r="A160" s="1" t="s">
        <v>132</v>
      </c>
      <c r="B160">
        <v>30</v>
      </c>
      <c r="C160">
        <v>15</v>
      </c>
      <c r="D160">
        <v>15</v>
      </c>
      <c r="E160">
        <v>-3.68</v>
      </c>
      <c r="F160">
        <v>2023</v>
      </c>
      <c r="G160">
        <v>701</v>
      </c>
      <c r="H160">
        <v>1682</v>
      </c>
      <c r="I160">
        <v>441</v>
      </c>
      <c r="J160">
        <v>625</v>
      </c>
      <c r="K160">
        <v>389</v>
      </c>
      <c r="L160">
        <v>1063</v>
      </c>
      <c r="M160">
        <v>357</v>
      </c>
      <c r="N160">
        <v>195</v>
      </c>
      <c r="O160">
        <v>130</v>
      </c>
      <c r="P160">
        <v>396</v>
      </c>
      <c r="Q160">
        <v>582</v>
      </c>
      <c r="R160">
        <v>159</v>
      </c>
    </row>
    <row r="161" spans="1:18">
      <c r="A161" s="1" t="s">
        <v>133</v>
      </c>
      <c r="B161">
        <v>30</v>
      </c>
      <c r="C161">
        <v>15</v>
      </c>
      <c r="D161">
        <v>15</v>
      </c>
      <c r="E161">
        <v>-5.84</v>
      </c>
      <c r="F161">
        <v>2089</v>
      </c>
      <c r="G161">
        <v>726</v>
      </c>
      <c r="H161">
        <v>1576</v>
      </c>
      <c r="I161">
        <v>446</v>
      </c>
      <c r="J161">
        <v>638</v>
      </c>
      <c r="K161">
        <v>297</v>
      </c>
      <c r="L161">
        <v>1010</v>
      </c>
      <c r="M161">
        <v>396</v>
      </c>
      <c r="N161">
        <v>169</v>
      </c>
      <c r="O161">
        <v>102</v>
      </c>
      <c r="P161">
        <v>387</v>
      </c>
      <c r="Q161">
        <v>532</v>
      </c>
      <c r="R161">
        <v>160</v>
      </c>
    </row>
    <row r="162" spans="1:18">
      <c r="A162" s="1" t="s">
        <v>134</v>
      </c>
      <c r="B162">
        <v>31</v>
      </c>
      <c r="C162">
        <v>6</v>
      </c>
      <c r="D162">
        <v>25</v>
      </c>
      <c r="E162">
        <v>-2.0099999999999998</v>
      </c>
      <c r="F162">
        <v>1862</v>
      </c>
      <c r="G162">
        <v>677</v>
      </c>
      <c r="H162">
        <v>1678</v>
      </c>
      <c r="I162">
        <v>395</v>
      </c>
      <c r="J162">
        <v>565</v>
      </c>
      <c r="K162">
        <v>368</v>
      </c>
      <c r="L162">
        <v>1045</v>
      </c>
      <c r="M162">
        <v>300</v>
      </c>
      <c r="N162">
        <v>200</v>
      </c>
      <c r="O162">
        <v>124</v>
      </c>
      <c r="P162">
        <v>419</v>
      </c>
      <c r="Q162">
        <v>521</v>
      </c>
      <c r="R162">
        <v>161</v>
      </c>
    </row>
    <row r="163" spans="1:18">
      <c r="A163" s="1" t="s">
        <v>135</v>
      </c>
      <c r="B163">
        <v>33</v>
      </c>
      <c r="C163">
        <v>6</v>
      </c>
      <c r="D163">
        <v>27</v>
      </c>
      <c r="E163">
        <v>-1.46</v>
      </c>
      <c r="F163">
        <v>1979</v>
      </c>
      <c r="G163">
        <v>662</v>
      </c>
      <c r="H163">
        <v>1734</v>
      </c>
      <c r="I163">
        <v>448</v>
      </c>
      <c r="J163">
        <v>629</v>
      </c>
      <c r="K163">
        <v>326</v>
      </c>
      <c r="L163">
        <v>1106</v>
      </c>
      <c r="M163">
        <v>317</v>
      </c>
      <c r="N163">
        <v>166</v>
      </c>
      <c r="O163">
        <v>87</v>
      </c>
      <c r="P163">
        <v>481</v>
      </c>
      <c r="Q163">
        <v>657</v>
      </c>
      <c r="R163">
        <v>162</v>
      </c>
    </row>
    <row r="164" spans="1:18">
      <c r="A164" s="1" t="s">
        <v>136</v>
      </c>
      <c r="B164">
        <v>37</v>
      </c>
      <c r="C164">
        <v>22</v>
      </c>
      <c r="D164">
        <v>15</v>
      </c>
      <c r="E164">
        <v>8.51</v>
      </c>
      <c r="F164">
        <v>2782</v>
      </c>
      <c r="G164">
        <v>973</v>
      </c>
      <c r="H164">
        <v>2094</v>
      </c>
      <c r="I164">
        <v>645</v>
      </c>
      <c r="J164">
        <v>927</v>
      </c>
      <c r="K164">
        <v>457</v>
      </c>
      <c r="L164">
        <v>1329</v>
      </c>
      <c r="M164">
        <v>574</v>
      </c>
      <c r="N164">
        <v>265</v>
      </c>
      <c r="O164">
        <v>134</v>
      </c>
      <c r="P164">
        <v>455</v>
      </c>
      <c r="Q164">
        <v>622</v>
      </c>
      <c r="R164">
        <v>163</v>
      </c>
    </row>
    <row r="165" spans="1:18">
      <c r="A165" s="1" t="s">
        <v>137</v>
      </c>
      <c r="B165">
        <v>34</v>
      </c>
      <c r="C165">
        <v>22</v>
      </c>
      <c r="D165">
        <v>12</v>
      </c>
      <c r="E165">
        <v>1.94</v>
      </c>
      <c r="F165">
        <v>2499</v>
      </c>
      <c r="G165">
        <v>854</v>
      </c>
      <c r="H165">
        <v>1887</v>
      </c>
      <c r="I165">
        <v>603</v>
      </c>
      <c r="J165">
        <v>888</v>
      </c>
      <c r="K165">
        <v>440</v>
      </c>
      <c r="L165">
        <v>1298</v>
      </c>
      <c r="M165">
        <v>439</v>
      </c>
      <c r="N165">
        <v>166</v>
      </c>
      <c r="O165">
        <v>122</v>
      </c>
      <c r="P165">
        <v>452</v>
      </c>
      <c r="Q165">
        <v>671</v>
      </c>
      <c r="R165">
        <v>164</v>
      </c>
    </row>
    <row r="166" spans="1:18">
      <c r="A166" s="1" t="s">
        <v>138</v>
      </c>
      <c r="B166">
        <v>30</v>
      </c>
      <c r="C166">
        <v>5</v>
      </c>
      <c r="D166">
        <v>25</v>
      </c>
      <c r="E166">
        <v>-4.2699999999999996</v>
      </c>
      <c r="F166">
        <v>1928</v>
      </c>
      <c r="G166">
        <v>700</v>
      </c>
      <c r="H166">
        <v>1746</v>
      </c>
      <c r="I166">
        <v>345</v>
      </c>
      <c r="J166">
        <v>488</v>
      </c>
      <c r="K166">
        <v>330</v>
      </c>
      <c r="L166">
        <v>976</v>
      </c>
      <c r="M166">
        <v>346</v>
      </c>
      <c r="N166">
        <v>178</v>
      </c>
      <c r="O166">
        <v>48</v>
      </c>
      <c r="P166">
        <v>395</v>
      </c>
      <c r="Q166">
        <v>593</v>
      </c>
      <c r="R166">
        <v>165</v>
      </c>
    </row>
    <row r="167" spans="1:18">
      <c r="A167" s="1" t="s">
        <v>139</v>
      </c>
      <c r="B167">
        <v>31</v>
      </c>
      <c r="C167">
        <v>9</v>
      </c>
      <c r="D167">
        <v>22</v>
      </c>
      <c r="E167">
        <v>-7.42</v>
      </c>
      <c r="F167">
        <v>2096</v>
      </c>
      <c r="G167">
        <v>752</v>
      </c>
      <c r="H167">
        <v>1854</v>
      </c>
      <c r="I167">
        <v>427</v>
      </c>
      <c r="J167">
        <v>654</v>
      </c>
      <c r="K167">
        <v>397</v>
      </c>
      <c r="L167">
        <v>1060</v>
      </c>
      <c r="M167">
        <v>382</v>
      </c>
      <c r="N167">
        <v>205</v>
      </c>
      <c r="O167">
        <v>49</v>
      </c>
      <c r="P167">
        <v>450</v>
      </c>
      <c r="Q167">
        <v>667</v>
      </c>
      <c r="R167">
        <v>166</v>
      </c>
    </row>
    <row r="168" spans="1:18">
      <c r="A168" s="1" t="s">
        <v>332</v>
      </c>
      <c r="B168">
        <v>33</v>
      </c>
      <c r="C168">
        <v>19</v>
      </c>
      <c r="D168">
        <v>14</v>
      </c>
      <c r="E168">
        <v>5.76</v>
      </c>
      <c r="F168">
        <v>2536</v>
      </c>
      <c r="G168">
        <v>932</v>
      </c>
      <c r="H168">
        <v>1980</v>
      </c>
      <c r="I168">
        <v>521</v>
      </c>
      <c r="J168">
        <v>770</v>
      </c>
      <c r="K168">
        <v>424</v>
      </c>
      <c r="L168">
        <v>1287</v>
      </c>
      <c r="M168">
        <v>557</v>
      </c>
      <c r="N168">
        <v>222</v>
      </c>
      <c r="O168">
        <v>150</v>
      </c>
      <c r="P168">
        <v>450</v>
      </c>
      <c r="Q168">
        <v>549</v>
      </c>
      <c r="R168">
        <v>167</v>
      </c>
    </row>
    <row r="169" spans="1:18">
      <c r="A169" s="1" t="s">
        <v>140</v>
      </c>
      <c r="B169">
        <v>30</v>
      </c>
      <c r="C169">
        <v>15</v>
      </c>
      <c r="D169">
        <v>15</v>
      </c>
      <c r="E169">
        <v>1.93</v>
      </c>
      <c r="F169">
        <v>1988</v>
      </c>
      <c r="G169">
        <v>698</v>
      </c>
      <c r="H169">
        <v>1742</v>
      </c>
      <c r="I169">
        <v>427</v>
      </c>
      <c r="J169">
        <v>645</v>
      </c>
      <c r="K169">
        <v>398</v>
      </c>
      <c r="L169">
        <v>1137</v>
      </c>
      <c r="M169">
        <v>337</v>
      </c>
      <c r="N169">
        <v>192</v>
      </c>
      <c r="O169">
        <v>115</v>
      </c>
      <c r="P169">
        <v>412</v>
      </c>
      <c r="Q169">
        <v>629</v>
      </c>
      <c r="R169">
        <v>168</v>
      </c>
    </row>
    <row r="170" spans="1:18">
      <c r="A170" s="1" t="s">
        <v>141</v>
      </c>
      <c r="B170">
        <v>33</v>
      </c>
      <c r="C170">
        <v>21</v>
      </c>
      <c r="D170">
        <v>12</v>
      </c>
      <c r="E170">
        <v>-4.3899999999999997</v>
      </c>
      <c r="F170">
        <v>2446</v>
      </c>
      <c r="G170">
        <v>831</v>
      </c>
      <c r="H170">
        <v>1904</v>
      </c>
      <c r="I170">
        <v>558</v>
      </c>
      <c r="J170">
        <v>749</v>
      </c>
      <c r="K170">
        <v>392</v>
      </c>
      <c r="L170">
        <v>1166</v>
      </c>
      <c r="M170">
        <v>370</v>
      </c>
      <c r="N170">
        <v>214</v>
      </c>
      <c r="O170">
        <v>102</v>
      </c>
      <c r="P170">
        <v>403</v>
      </c>
      <c r="Q170">
        <v>643</v>
      </c>
      <c r="R170">
        <v>169</v>
      </c>
    </row>
    <row r="171" spans="1:18">
      <c r="A171" s="1" t="s">
        <v>142</v>
      </c>
      <c r="B171">
        <v>35</v>
      </c>
      <c r="C171">
        <v>25</v>
      </c>
      <c r="D171">
        <v>10</v>
      </c>
      <c r="E171">
        <v>3.14</v>
      </c>
      <c r="F171">
        <v>2524</v>
      </c>
      <c r="G171">
        <v>891</v>
      </c>
      <c r="H171">
        <v>1975</v>
      </c>
      <c r="I171">
        <v>532</v>
      </c>
      <c r="J171">
        <v>782</v>
      </c>
      <c r="K171">
        <v>421</v>
      </c>
      <c r="L171">
        <v>1246</v>
      </c>
      <c r="M171">
        <v>512</v>
      </c>
      <c r="N171">
        <v>297</v>
      </c>
      <c r="O171">
        <v>183</v>
      </c>
      <c r="P171">
        <v>535</v>
      </c>
      <c r="Q171">
        <v>712</v>
      </c>
      <c r="R171">
        <v>170</v>
      </c>
    </row>
    <row r="172" spans="1:18">
      <c r="A172" s="1" t="s">
        <v>143</v>
      </c>
      <c r="B172">
        <v>33</v>
      </c>
      <c r="C172">
        <v>15</v>
      </c>
      <c r="D172">
        <v>18</v>
      </c>
      <c r="E172">
        <v>-2.17</v>
      </c>
      <c r="F172">
        <v>2220</v>
      </c>
      <c r="G172">
        <v>738</v>
      </c>
      <c r="H172">
        <v>1766</v>
      </c>
      <c r="I172">
        <v>532</v>
      </c>
      <c r="J172">
        <v>771</v>
      </c>
      <c r="K172">
        <v>347</v>
      </c>
      <c r="L172">
        <v>1083</v>
      </c>
      <c r="M172">
        <v>395</v>
      </c>
      <c r="N172">
        <v>243</v>
      </c>
      <c r="O172">
        <v>89</v>
      </c>
      <c r="P172">
        <v>469</v>
      </c>
      <c r="Q172">
        <v>692</v>
      </c>
      <c r="R172">
        <v>171</v>
      </c>
    </row>
    <row r="173" spans="1:18">
      <c r="A173" s="1" t="s">
        <v>284</v>
      </c>
      <c r="B173">
        <v>36</v>
      </c>
      <c r="C173">
        <v>21</v>
      </c>
      <c r="D173">
        <v>15</v>
      </c>
      <c r="E173">
        <v>6.42</v>
      </c>
      <c r="F173">
        <v>2579</v>
      </c>
      <c r="G173">
        <v>872</v>
      </c>
      <c r="H173">
        <v>1955</v>
      </c>
      <c r="I173">
        <v>552</v>
      </c>
      <c r="J173">
        <v>761</v>
      </c>
      <c r="K173">
        <v>429</v>
      </c>
      <c r="L173">
        <v>1308</v>
      </c>
      <c r="M173">
        <v>416</v>
      </c>
      <c r="N173">
        <v>203</v>
      </c>
      <c r="O173">
        <v>124</v>
      </c>
      <c r="P173">
        <v>498</v>
      </c>
      <c r="Q173">
        <v>650</v>
      </c>
      <c r="R173">
        <v>172</v>
      </c>
    </row>
    <row r="174" spans="1:18">
      <c r="A174" s="1" t="s">
        <v>144</v>
      </c>
      <c r="B174">
        <v>33</v>
      </c>
      <c r="C174">
        <v>16</v>
      </c>
      <c r="D174">
        <v>17</v>
      </c>
      <c r="E174">
        <v>3.04</v>
      </c>
      <c r="F174">
        <v>2190</v>
      </c>
      <c r="G174">
        <v>743</v>
      </c>
      <c r="H174">
        <v>1722</v>
      </c>
      <c r="I174">
        <v>455</v>
      </c>
      <c r="J174">
        <v>625</v>
      </c>
      <c r="K174">
        <v>308</v>
      </c>
      <c r="L174">
        <v>1086</v>
      </c>
      <c r="M174">
        <v>372</v>
      </c>
      <c r="N174">
        <v>162</v>
      </c>
      <c r="O174">
        <v>92</v>
      </c>
      <c r="P174">
        <v>465</v>
      </c>
      <c r="Q174">
        <v>559</v>
      </c>
      <c r="R174">
        <v>173</v>
      </c>
    </row>
    <row r="175" spans="1:18">
      <c r="A175" s="1" t="s">
        <v>377</v>
      </c>
      <c r="B175">
        <v>34</v>
      </c>
      <c r="C175">
        <v>19</v>
      </c>
      <c r="D175">
        <v>15</v>
      </c>
      <c r="E175">
        <v>11.67</v>
      </c>
      <c r="F175">
        <v>2338</v>
      </c>
      <c r="G175">
        <v>817</v>
      </c>
      <c r="H175">
        <v>1894</v>
      </c>
      <c r="I175">
        <v>484</v>
      </c>
      <c r="J175">
        <v>691</v>
      </c>
      <c r="K175">
        <v>407</v>
      </c>
      <c r="L175">
        <v>1256</v>
      </c>
      <c r="M175">
        <v>509</v>
      </c>
      <c r="N175">
        <v>219</v>
      </c>
      <c r="O175">
        <v>167</v>
      </c>
      <c r="P175">
        <v>454</v>
      </c>
      <c r="Q175">
        <v>648</v>
      </c>
      <c r="R175">
        <v>174</v>
      </c>
    </row>
    <row r="176" spans="1:18">
      <c r="A176" s="1" t="s">
        <v>145</v>
      </c>
      <c r="B176">
        <v>35</v>
      </c>
      <c r="C176">
        <v>21</v>
      </c>
      <c r="D176">
        <v>14</v>
      </c>
      <c r="E176">
        <v>10.68</v>
      </c>
      <c r="F176">
        <v>2328</v>
      </c>
      <c r="G176">
        <v>847</v>
      </c>
      <c r="H176">
        <v>1889</v>
      </c>
      <c r="I176">
        <v>351</v>
      </c>
      <c r="J176">
        <v>502</v>
      </c>
      <c r="K176">
        <v>289</v>
      </c>
      <c r="L176">
        <v>1115</v>
      </c>
      <c r="M176">
        <v>480</v>
      </c>
      <c r="N176">
        <v>168</v>
      </c>
      <c r="O176">
        <v>69</v>
      </c>
      <c r="P176">
        <v>351</v>
      </c>
      <c r="Q176">
        <v>587</v>
      </c>
      <c r="R176">
        <v>175</v>
      </c>
    </row>
    <row r="177" spans="1:18">
      <c r="A177" s="1" t="s">
        <v>146</v>
      </c>
      <c r="B177">
        <v>32</v>
      </c>
      <c r="C177">
        <v>16</v>
      </c>
      <c r="D177">
        <v>16</v>
      </c>
      <c r="E177">
        <v>-4.45</v>
      </c>
      <c r="F177">
        <v>2218</v>
      </c>
      <c r="G177">
        <v>733</v>
      </c>
      <c r="H177">
        <v>1719</v>
      </c>
      <c r="I177">
        <v>584</v>
      </c>
      <c r="J177">
        <v>823</v>
      </c>
      <c r="K177">
        <v>392</v>
      </c>
      <c r="L177">
        <v>1126</v>
      </c>
      <c r="M177">
        <v>339</v>
      </c>
      <c r="N177">
        <v>277</v>
      </c>
      <c r="O177">
        <v>114</v>
      </c>
      <c r="P177">
        <v>485</v>
      </c>
      <c r="Q177">
        <v>756</v>
      </c>
      <c r="R177">
        <v>176</v>
      </c>
    </row>
    <row r="178" spans="1:18">
      <c r="A178" s="1" t="s">
        <v>147</v>
      </c>
      <c r="B178">
        <v>33</v>
      </c>
      <c r="C178">
        <v>19</v>
      </c>
      <c r="D178">
        <v>14</v>
      </c>
      <c r="E178">
        <v>2.5099999999999998</v>
      </c>
      <c r="F178">
        <v>2266</v>
      </c>
      <c r="G178">
        <v>755</v>
      </c>
      <c r="H178">
        <v>1753</v>
      </c>
      <c r="I178">
        <v>506</v>
      </c>
      <c r="J178">
        <v>773</v>
      </c>
      <c r="K178">
        <v>361</v>
      </c>
      <c r="L178">
        <v>1120</v>
      </c>
      <c r="M178">
        <v>422</v>
      </c>
      <c r="N178">
        <v>164</v>
      </c>
      <c r="O178">
        <v>72</v>
      </c>
      <c r="P178">
        <v>459</v>
      </c>
      <c r="Q178">
        <v>582</v>
      </c>
      <c r="R178">
        <v>177</v>
      </c>
    </row>
    <row r="179" spans="1:18">
      <c r="A179" s="1" t="s">
        <v>148</v>
      </c>
      <c r="B179">
        <v>31</v>
      </c>
      <c r="C179">
        <v>17</v>
      </c>
      <c r="D179">
        <v>14</v>
      </c>
      <c r="E179">
        <v>9.7899999999999991</v>
      </c>
      <c r="F179">
        <v>2137</v>
      </c>
      <c r="G179">
        <v>753</v>
      </c>
      <c r="H179">
        <v>1660</v>
      </c>
      <c r="I179">
        <v>479</v>
      </c>
      <c r="J179">
        <v>726</v>
      </c>
      <c r="K179">
        <v>397</v>
      </c>
      <c r="L179">
        <v>1180</v>
      </c>
      <c r="M179">
        <v>487</v>
      </c>
      <c r="N179">
        <v>211</v>
      </c>
      <c r="O179">
        <v>169</v>
      </c>
      <c r="P179">
        <v>413</v>
      </c>
      <c r="Q179">
        <v>504</v>
      </c>
      <c r="R179">
        <v>178</v>
      </c>
    </row>
    <row r="180" spans="1:18">
      <c r="A180" s="1" t="s">
        <v>149</v>
      </c>
      <c r="B180">
        <v>31</v>
      </c>
      <c r="C180">
        <v>17</v>
      </c>
      <c r="D180">
        <v>14</v>
      </c>
      <c r="E180">
        <v>3.77</v>
      </c>
      <c r="F180">
        <v>2165</v>
      </c>
      <c r="G180">
        <v>739</v>
      </c>
      <c r="H180">
        <v>1701</v>
      </c>
      <c r="I180">
        <v>441</v>
      </c>
      <c r="J180">
        <v>610</v>
      </c>
      <c r="K180">
        <v>306</v>
      </c>
      <c r="L180">
        <v>1119</v>
      </c>
      <c r="M180">
        <v>393</v>
      </c>
      <c r="N180">
        <v>163</v>
      </c>
      <c r="O180">
        <v>129</v>
      </c>
      <c r="P180">
        <v>413</v>
      </c>
      <c r="Q180">
        <v>471</v>
      </c>
      <c r="R180">
        <v>179</v>
      </c>
    </row>
    <row r="181" spans="1:18">
      <c r="A181" s="1" t="s">
        <v>150</v>
      </c>
      <c r="B181">
        <v>32</v>
      </c>
      <c r="C181">
        <v>13</v>
      </c>
      <c r="D181">
        <v>19</v>
      </c>
      <c r="E181">
        <v>-7.48</v>
      </c>
      <c r="F181">
        <v>2186</v>
      </c>
      <c r="G181">
        <v>752</v>
      </c>
      <c r="H181">
        <v>1855</v>
      </c>
      <c r="I181">
        <v>478</v>
      </c>
      <c r="J181">
        <v>719</v>
      </c>
      <c r="K181">
        <v>392</v>
      </c>
      <c r="L181">
        <v>1206</v>
      </c>
      <c r="M181">
        <v>393</v>
      </c>
      <c r="N181">
        <v>227</v>
      </c>
      <c r="O181">
        <v>91</v>
      </c>
      <c r="P181">
        <v>555</v>
      </c>
      <c r="Q181">
        <v>729</v>
      </c>
      <c r="R181">
        <v>180</v>
      </c>
    </row>
    <row r="182" spans="1:18">
      <c r="A182" s="1" t="s">
        <v>151</v>
      </c>
      <c r="B182">
        <v>34</v>
      </c>
      <c r="C182">
        <v>20</v>
      </c>
      <c r="D182">
        <v>14</v>
      </c>
      <c r="E182">
        <v>3.92</v>
      </c>
      <c r="F182">
        <v>2513</v>
      </c>
      <c r="G182">
        <v>868</v>
      </c>
      <c r="H182">
        <v>1964</v>
      </c>
      <c r="I182">
        <v>517</v>
      </c>
      <c r="J182">
        <v>684</v>
      </c>
      <c r="K182">
        <v>418</v>
      </c>
      <c r="L182">
        <v>1229</v>
      </c>
      <c r="M182">
        <v>415</v>
      </c>
      <c r="N182">
        <v>180</v>
      </c>
      <c r="O182">
        <v>180</v>
      </c>
      <c r="P182">
        <v>435</v>
      </c>
      <c r="Q182">
        <v>638</v>
      </c>
      <c r="R182">
        <v>181</v>
      </c>
    </row>
    <row r="183" spans="1:18">
      <c r="A183" s="1" t="s">
        <v>152</v>
      </c>
      <c r="B183">
        <v>30</v>
      </c>
      <c r="C183">
        <v>16</v>
      </c>
      <c r="D183">
        <v>14</v>
      </c>
      <c r="E183">
        <v>-4.46</v>
      </c>
      <c r="F183">
        <v>2100</v>
      </c>
      <c r="G183">
        <v>710</v>
      </c>
      <c r="H183">
        <v>1629</v>
      </c>
      <c r="I183">
        <v>448</v>
      </c>
      <c r="J183">
        <v>677</v>
      </c>
      <c r="K183">
        <v>327</v>
      </c>
      <c r="L183">
        <v>976</v>
      </c>
      <c r="M183">
        <v>321</v>
      </c>
      <c r="N183">
        <v>186</v>
      </c>
      <c r="O183">
        <v>78</v>
      </c>
      <c r="P183">
        <v>419</v>
      </c>
      <c r="Q183">
        <v>590</v>
      </c>
      <c r="R183">
        <v>182</v>
      </c>
    </row>
    <row r="184" spans="1:18">
      <c r="A184" s="1" t="s">
        <v>153</v>
      </c>
      <c r="B184">
        <v>35</v>
      </c>
      <c r="C184">
        <v>26</v>
      </c>
      <c r="D184">
        <v>9</v>
      </c>
      <c r="E184">
        <v>1.35</v>
      </c>
      <c r="F184">
        <v>2444</v>
      </c>
      <c r="G184">
        <v>842</v>
      </c>
      <c r="H184">
        <v>1858</v>
      </c>
      <c r="I184">
        <v>518</v>
      </c>
      <c r="J184">
        <v>710</v>
      </c>
      <c r="K184">
        <v>373</v>
      </c>
      <c r="L184">
        <v>1161</v>
      </c>
      <c r="M184">
        <v>464</v>
      </c>
      <c r="N184">
        <v>171</v>
      </c>
      <c r="O184">
        <v>103</v>
      </c>
      <c r="P184">
        <v>362</v>
      </c>
      <c r="Q184">
        <v>607</v>
      </c>
      <c r="R184">
        <v>183</v>
      </c>
    </row>
    <row r="185" spans="1:18">
      <c r="A185" s="1" t="s">
        <v>328</v>
      </c>
      <c r="B185">
        <v>34</v>
      </c>
      <c r="C185">
        <v>23</v>
      </c>
      <c r="D185">
        <v>11</v>
      </c>
      <c r="E185">
        <v>6.5</v>
      </c>
      <c r="F185">
        <v>2748</v>
      </c>
      <c r="G185">
        <v>983</v>
      </c>
      <c r="H185">
        <v>2145</v>
      </c>
      <c r="I185">
        <v>537</v>
      </c>
      <c r="J185">
        <v>727</v>
      </c>
      <c r="K185">
        <v>425</v>
      </c>
      <c r="L185">
        <v>1197</v>
      </c>
      <c r="M185">
        <v>558</v>
      </c>
      <c r="N185">
        <v>329</v>
      </c>
      <c r="O185">
        <v>171</v>
      </c>
      <c r="P185">
        <v>431</v>
      </c>
      <c r="Q185">
        <v>689</v>
      </c>
      <c r="R185">
        <v>184</v>
      </c>
    </row>
    <row r="186" spans="1:18">
      <c r="A186" s="1" t="s">
        <v>154</v>
      </c>
      <c r="B186">
        <v>30</v>
      </c>
      <c r="C186">
        <v>9</v>
      </c>
      <c r="D186">
        <v>21</v>
      </c>
      <c r="E186">
        <v>-4.4000000000000004</v>
      </c>
      <c r="F186">
        <v>1818</v>
      </c>
      <c r="G186">
        <v>632</v>
      </c>
      <c r="H186">
        <v>1551</v>
      </c>
      <c r="I186">
        <v>376</v>
      </c>
      <c r="J186">
        <v>588</v>
      </c>
      <c r="K186">
        <v>325</v>
      </c>
      <c r="L186">
        <v>1024</v>
      </c>
      <c r="M186">
        <v>376</v>
      </c>
      <c r="N186">
        <v>203</v>
      </c>
      <c r="O186">
        <v>63</v>
      </c>
      <c r="P186">
        <v>439</v>
      </c>
      <c r="Q186">
        <v>520</v>
      </c>
      <c r="R186">
        <v>185</v>
      </c>
    </row>
    <row r="187" spans="1:18">
      <c r="A187" s="1" t="s">
        <v>155</v>
      </c>
      <c r="B187">
        <v>31</v>
      </c>
      <c r="C187">
        <v>13</v>
      </c>
      <c r="D187">
        <v>18</v>
      </c>
      <c r="E187">
        <v>-3.22</v>
      </c>
      <c r="F187">
        <v>2079</v>
      </c>
      <c r="G187">
        <v>716</v>
      </c>
      <c r="H187">
        <v>1730</v>
      </c>
      <c r="I187">
        <v>412</v>
      </c>
      <c r="J187">
        <v>637</v>
      </c>
      <c r="K187">
        <v>362</v>
      </c>
      <c r="L187">
        <v>1053</v>
      </c>
      <c r="M187">
        <v>374</v>
      </c>
      <c r="N187">
        <v>179</v>
      </c>
      <c r="O187">
        <v>75</v>
      </c>
      <c r="P187">
        <v>373</v>
      </c>
      <c r="Q187">
        <v>578</v>
      </c>
      <c r="R187">
        <v>186</v>
      </c>
    </row>
    <row r="188" spans="1:18">
      <c r="A188" s="1" t="s">
        <v>156</v>
      </c>
      <c r="B188">
        <v>32</v>
      </c>
      <c r="C188">
        <v>21</v>
      </c>
      <c r="D188">
        <v>11</v>
      </c>
      <c r="E188">
        <v>-2.4700000000000002</v>
      </c>
      <c r="F188">
        <v>2151</v>
      </c>
      <c r="G188">
        <v>766</v>
      </c>
      <c r="H188">
        <v>1657</v>
      </c>
      <c r="I188">
        <v>471</v>
      </c>
      <c r="J188">
        <v>705</v>
      </c>
      <c r="K188">
        <v>325</v>
      </c>
      <c r="L188">
        <v>1111</v>
      </c>
      <c r="M188">
        <v>421</v>
      </c>
      <c r="N188">
        <v>219</v>
      </c>
      <c r="O188">
        <v>153</v>
      </c>
      <c r="P188">
        <v>402</v>
      </c>
      <c r="Q188">
        <v>553</v>
      </c>
      <c r="R188">
        <v>187</v>
      </c>
    </row>
    <row r="189" spans="1:18">
      <c r="A189" s="1" t="s">
        <v>157</v>
      </c>
      <c r="B189">
        <v>35</v>
      </c>
      <c r="C189">
        <v>25</v>
      </c>
      <c r="D189">
        <v>10</v>
      </c>
      <c r="E189">
        <v>-3.13</v>
      </c>
      <c r="F189">
        <v>2412</v>
      </c>
      <c r="G189">
        <v>851</v>
      </c>
      <c r="H189">
        <v>1874</v>
      </c>
      <c r="I189">
        <v>506</v>
      </c>
      <c r="J189">
        <v>751</v>
      </c>
      <c r="K189">
        <v>484</v>
      </c>
      <c r="L189">
        <v>1311</v>
      </c>
      <c r="M189">
        <v>424</v>
      </c>
      <c r="N189">
        <v>300</v>
      </c>
      <c r="O189">
        <v>110</v>
      </c>
      <c r="P189">
        <v>525</v>
      </c>
      <c r="Q189">
        <v>653</v>
      </c>
      <c r="R189">
        <v>188</v>
      </c>
    </row>
    <row r="190" spans="1:18">
      <c r="A190" s="1" t="s">
        <v>158</v>
      </c>
      <c r="B190">
        <v>31</v>
      </c>
      <c r="C190">
        <v>17</v>
      </c>
      <c r="D190">
        <v>14</v>
      </c>
      <c r="E190">
        <v>-7.72</v>
      </c>
      <c r="F190">
        <v>2061</v>
      </c>
      <c r="G190">
        <v>708</v>
      </c>
      <c r="H190">
        <v>1687</v>
      </c>
      <c r="I190">
        <v>522</v>
      </c>
      <c r="J190">
        <v>766</v>
      </c>
      <c r="K190">
        <v>405</v>
      </c>
      <c r="L190">
        <v>1139</v>
      </c>
      <c r="M190">
        <v>372</v>
      </c>
      <c r="N190">
        <v>192</v>
      </c>
      <c r="O190">
        <v>118</v>
      </c>
      <c r="P190">
        <v>470</v>
      </c>
      <c r="Q190">
        <v>625</v>
      </c>
      <c r="R190">
        <v>189</v>
      </c>
    </row>
    <row r="191" spans="1:18">
      <c r="A191" s="1" t="s">
        <v>159</v>
      </c>
      <c r="B191">
        <v>32</v>
      </c>
      <c r="C191">
        <v>11</v>
      </c>
      <c r="D191">
        <v>21</v>
      </c>
      <c r="E191">
        <v>-3.47</v>
      </c>
      <c r="F191">
        <v>1940</v>
      </c>
      <c r="G191">
        <v>689</v>
      </c>
      <c r="H191">
        <v>1645</v>
      </c>
      <c r="I191">
        <v>412</v>
      </c>
      <c r="J191">
        <v>606</v>
      </c>
      <c r="K191">
        <v>305</v>
      </c>
      <c r="L191">
        <v>1024</v>
      </c>
      <c r="M191">
        <v>378</v>
      </c>
      <c r="N191">
        <v>187</v>
      </c>
      <c r="O191">
        <v>112</v>
      </c>
      <c r="P191">
        <v>476</v>
      </c>
      <c r="Q191">
        <v>616</v>
      </c>
      <c r="R191">
        <v>190</v>
      </c>
    </row>
    <row r="192" spans="1:18">
      <c r="A192" s="1" t="s">
        <v>160</v>
      </c>
      <c r="B192">
        <v>32</v>
      </c>
      <c r="C192">
        <v>23</v>
      </c>
      <c r="D192">
        <v>9</v>
      </c>
      <c r="E192">
        <v>-4.8499999999999996</v>
      </c>
      <c r="F192">
        <v>2194</v>
      </c>
      <c r="G192">
        <v>737</v>
      </c>
      <c r="H192">
        <v>1606</v>
      </c>
      <c r="I192">
        <v>528</v>
      </c>
      <c r="J192">
        <v>755</v>
      </c>
      <c r="K192">
        <v>347</v>
      </c>
      <c r="L192">
        <v>1031</v>
      </c>
      <c r="M192">
        <v>433</v>
      </c>
      <c r="N192">
        <v>242</v>
      </c>
      <c r="O192">
        <v>93</v>
      </c>
      <c r="P192">
        <v>448</v>
      </c>
      <c r="Q192">
        <v>596</v>
      </c>
      <c r="R192">
        <v>191</v>
      </c>
    </row>
    <row r="193" spans="1:18">
      <c r="A193" s="1" t="s">
        <v>161</v>
      </c>
      <c r="B193">
        <v>31</v>
      </c>
      <c r="C193">
        <v>11</v>
      </c>
      <c r="D193">
        <v>20</v>
      </c>
      <c r="E193">
        <v>-5.56</v>
      </c>
      <c r="F193">
        <v>2113</v>
      </c>
      <c r="G193">
        <v>694</v>
      </c>
      <c r="H193">
        <v>1765</v>
      </c>
      <c r="I193">
        <v>489</v>
      </c>
      <c r="J193">
        <v>690</v>
      </c>
      <c r="K193">
        <v>269</v>
      </c>
      <c r="L193">
        <v>980</v>
      </c>
      <c r="M193">
        <v>387</v>
      </c>
      <c r="N193">
        <v>284</v>
      </c>
      <c r="O193">
        <v>82</v>
      </c>
      <c r="P193">
        <v>474</v>
      </c>
      <c r="Q193">
        <v>648</v>
      </c>
      <c r="R193">
        <v>192</v>
      </c>
    </row>
    <row r="194" spans="1:18">
      <c r="A194" s="1" t="s">
        <v>162</v>
      </c>
      <c r="B194">
        <v>32</v>
      </c>
      <c r="C194">
        <v>19</v>
      </c>
      <c r="D194">
        <v>13</v>
      </c>
      <c r="E194">
        <v>4.67</v>
      </c>
      <c r="F194">
        <v>2124</v>
      </c>
      <c r="G194">
        <v>773</v>
      </c>
      <c r="H194">
        <v>1677</v>
      </c>
      <c r="I194">
        <v>414</v>
      </c>
      <c r="J194">
        <v>590</v>
      </c>
      <c r="K194">
        <v>303</v>
      </c>
      <c r="L194">
        <v>1131</v>
      </c>
      <c r="M194">
        <v>415</v>
      </c>
      <c r="N194">
        <v>208</v>
      </c>
      <c r="O194">
        <v>115</v>
      </c>
      <c r="P194">
        <v>431</v>
      </c>
      <c r="Q194">
        <v>550</v>
      </c>
      <c r="R194">
        <v>193</v>
      </c>
    </row>
    <row r="195" spans="1:18">
      <c r="A195" s="1" t="s">
        <v>285</v>
      </c>
      <c r="B195">
        <v>33</v>
      </c>
      <c r="C195">
        <v>24</v>
      </c>
      <c r="D195">
        <v>9</v>
      </c>
      <c r="E195">
        <v>6</v>
      </c>
      <c r="F195">
        <v>2363</v>
      </c>
      <c r="G195">
        <v>842</v>
      </c>
      <c r="H195">
        <v>1836</v>
      </c>
      <c r="I195">
        <v>495</v>
      </c>
      <c r="J195">
        <v>718</v>
      </c>
      <c r="K195">
        <v>368</v>
      </c>
      <c r="L195">
        <v>1151</v>
      </c>
      <c r="M195">
        <v>509</v>
      </c>
      <c r="N195">
        <v>268</v>
      </c>
      <c r="O195">
        <v>124</v>
      </c>
      <c r="P195">
        <v>414</v>
      </c>
      <c r="Q195">
        <v>635</v>
      </c>
      <c r="R195">
        <v>194</v>
      </c>
    </row>
    <row r="196" spans="1:18">
      <c r="A196" s="1" t="s">
        <v>163</v>
      </c>
      <c r="B196">
        <v>32</v>
      </c>
      <c r="C196">
        <v>13</v>
      </c>
      <c r="D196">
        <v>19</v>
      </c>
      <c r="E196">
        <v>1.88</v>
      </c>
      <c r="F196">
        <v>2245</v>
      </c>
      <c r="G196">
        <v>753</v>
      </c>
      <c r="H196">
        <v>1782</v>
      </c>
      <c r="I196">
        <v>529</v>
      </c>
      <c r="J196">
        <v>771</v>
      </c>
      <c r="K196">
        <v>390</v>
      </c>
      <c r="L196">
        <v>1178</v>
      </c>
      <c r="M196">
        <v>356</v>
      </c>
      <c r="N196">
        <v>154</v>
      </c>
      <c r="O196">
        <v>117</v>
      </c>
      <c r="P196">
        <v>459</v>
      </c>
      <c r="Q196">
        <v>653</v>
      </c>
      <c r="R196">
        <v>195</v>
      </c>
    </row>
    <row r="197" spans="1:18">
      <c r="A197" s="1" t="s">
        <v>164</v>
      </c>
      <c r="B197">
        <v>30</v>
      </c>
      <c r="C197">
        <v>12</v>
      </c>
      <c r="D197">
        <v>18</v>
      </c>
      <c r="E197">
        <v>-6.32</v>
      </c>
      <c r="F197">
        <v>1749</v>
      </c>
      <c r="G197">
        <v>609</v>
      </c>
      <c r="H197">
        <v>1628</v>
      </c>
      <c r="I197">
        <v>340</v>
      </c>
      <c r="J197">
        <v>555</v>
      </c>
      <c r="K197">
        <v>363</v>
      </c>
      <c r="L197">
        <v>1059</v>
      </c>
      <c r="M197">
        <v>292</v>
      </c>
      <c r="N197">
        <v>134</v>
      </c>
      <c r="O197">
        <v>92</v>
      </c>
      <c r="P197">
        <v>360</v>
      </c>
      <c r="Q197">
        <v>546</v>
      </c>
      <c r="R197">
        <v>196</v>
      </c>
    </row>
    <row r="198" spans="1:18">
      <c r="A198" s="1" t="s">
        <v>165</v>
      </c>
      <c r="B198">
        <v>33</v>
      </c>
      <c r="C198">
        <v>16</v>
      </c>
      <c r="D198">
        <v>17</v>
      </c>
      <c r="E198">
        <v>2.66</v>
      </c>
      <c r="F198">
        <v>2364</v>
      </c>
      <c r="G198">
        <v>793</v>
      </c>
      <c r="H198">
        <v>1780</v>
      </c>
      <c r="I198">
        <v>594</v>
      </c>
      <c r="J198">
        <v>879</v>
      </c>
      <c r="K198">
        <v>373</v>
      </c>
      <c r="L198">
        <v>1157</v>
      </c>
      <c r="M198">
        <v>410</v>
      </c>
      <c r="N198">
        <v>215</v>
      </c>
      <c r="O198">
        <v>124</v>
      </c>
      <c r="P198">
        <v>487</v>
      </c>
      <c r="Q198">
        <v>612</v>
      </c>
      <c r="R198">
        <v>197</v>
      </c>
    </row>
    <row r="199" spans="1:18">
      <c r="A199" s="1" t="s">
        <v>166</v>
      </c>
      <c r="B199">
        <v>35</v>
      </c>
      <c r="C199">
        <v>22</v>
      </c>
      <c r="D199">
        <v>13</v>
      </c>
      <c r="E199">
        <v>4.9000000000000004</v>
      </c>
      <c r="F199">
        <v>2562</v>
      </c>
      <c r="G199">
        <v>877</v>
      </c>
      <c r="H199">
        <v>1920</v>
      </c>
      <c r="I199">
        <v>582</v>
      </c>
      <c r="J199">
        <v>817</v>
      </c>
      <c r="K199">
        <v>410</v>
      </c>
      <c r="L199">
        <v>1300</v>
      </c>
      <c r="M199">
        <v>535</v>
      </c>
      <c r="N199">
        <v>211</v>
      </c>
      <c r="O199">
        <v>116</v>
      </c>
      <c r="P199">
        <v>471</v>
      </c>
      <c r="Q199">
        <v>671</v>
      </c>
      <c r="R199">
        <v>198</v>
      </c>
    </row>
    <row r="200" spans="1:18">
      <c r="A200" s="1" t="s">
        <v>168</v>
      </c>
      <c r="B200">
        <v>32</v>
      </c>
      <c r="C200">
        <v>9</v>
      </c>
      <c r="D200">
        <v>23</v>
      </c>
      <c r="E200">
        <v>-3.02</v>
      </c>
      <c r="F200">
        <v>1966</v>
      </c>
      <c r="G200">
        <v>663</v>
      </c>
      <c r="H200">
        <v>1781</v>
      </c>
      <c r="I200">
        <v>466</v>
      </c>
      <c r="J200">
        <v>706</v>
      </c>
      <c r="K200">
        <v>371</v>
      </c>
      <c r="L200">
        <v>1061</v>
      </c>
      <c r="M200">
        <v>335</v>
      </c>
      <c r="N200">
        <v>256</v>
      </c>
      <c r="O200">
        <v>110</v>
      </c>
      <c r="P200">
        <v>449</v>
      </c>
      <c r="Q200">
        <v>616</v>
      </c>
      <c r="R200">
        <v>199</v>
      </c>
    </row>
    <row r="201" spans="1:18">
      <c r="A201" s="1" t="s">
        <v>169</v>
      </c>
      <c r="B201">
        <v>28</v>
      </c>
      <c r="C201">
        <v>14</v>
      </c>
      <c r="D201">
        <v>14</v>
      </c>
      <c r="E201">
        <v>-4.5199999999999996</v>
      </c>
      <c r="F201">
        <v>1836</v>
      </c>
      <c r="G201">
        <v>634</v>
      </c>
      <c r="H201">
        <v>1432</v>
      </c>
      <c r="I201">
        <v>378</v>
      </c>
      <c r="J201">
        <v>550</v>
      </c>
      <c r="K201">
        <v>255</v>
      </c>
      <c r="L201">
        <v>807</v>
      </c>
      <c r="M201">
        <v>395</v>
      </c>
      <c r="N201">
        <v>223</v>
      </c>
      <c r="O201">
        <v>28</v>
      </c>
      <c r="P201">
        <v>358</v>
      </c>
      <c r="Q201">
        <v>544</v>
      </c>
      <c r="R201">
        <v>200</v>
      </c>
    </row>
    <row r="202" spans="1:18">
      <c r="A202" s="1" t="s">
        <v>337</v>
      </c>
      <c r="B202">
        <v>30</v>
      </c>
      <c r="C202">
        <v>15</v>
      </c>
      <c r="D202">
        <v>15</v>
      </c>
      <c r="E202">
        <v>-9.64</v>
      </c>
      <c r="F202">
        <v>2065</v>
      </c>
      <c r="G202">
        <v>743</v>
      </c>
      <c r="H202">
        <v>1734</v>
      </c>
      <c r="I202">
        <v>357</v>
      </c>
      <c r="J202">
        <v>578</v>
      </c>
      <c r="K202">
        <v>331</v>
      </c>
      <c r="L202">
        <v>1074</v>
      </c>
      <c r="M202">
        <v>390</v>
      </c>
      <c r="N202">
        <v>179</v>
      </c>
      <c r="O202">
        <v>110</v>
      </c>
      <c r="P202">
        <v>408</v>
      </c>
      <c r="Q202">
        <v>632</v>
      </c>
      <c r="R202">
        <v>201</v>
      </c>
    </row>
    <row r="203" spans="1:18">
      <c r="A203" s="1" t="s">
        <v>170</v>
      </c>
      <c r="B203">
        <v>32</v>
      </c>
      <c r="C203">
        <v>12</v>
      </c>
      <c r="D203">
        <v>20</v>
      </c>
      <c r="E203">
        <v>-7.45</v>
      </c>
      <c r="F203">
        <v>2238</v>
      </c>
      <c r="G203">
        <v>782</v>
      </c>
      <c r="H203">
        <v>1791</v>
      </c>
      <c r="I203">
        <v>498</v>
      </c>
      <c r="J203">
        <v>735</v>
      </c>
      <c r="K203">
        <v>363</v>
      </c>
      <c r="L203">
        <v>1143</v>
      </c>
      <c r="M203">
        <v>412</v>
      </c>
      <c r="N203">
        <v>204</v>
      </c>
      <c r="O203">
        <v>183</v>
      </c>
      <c r="P203">
        <v>515</v>
      </c>
      <c r="Q203">
        <v>694</v>
      </c>
      <c r="R203">
        <v>202</v>
      </c>
    </row>
    <row r="204" spans="1:18">
      <c r="A204" s="1" t="s">
        <v>171</v>
      </c>
      <c r="B204">
        <v>34</v>
      </c>
      <c r="C204">
        <v>20</v>
      </c>
      <c r="D204">
        <v>14</v>
      </c>
      <c r="E204">
        <v>-2.89</v>
      </c>
      <c r="F204">
        <v>2506</v>
      </c>
      <c r="G204">
        <v>881</v>
      </c>
      <c r="H204">
        <v>1950</v>
      </c>
      <c r="I204">
        <v>576</v>
      </c>
      <c r="J204">
        <v>810</v>
      </c>
      <c r="K204">
        <v>400</v>
      </c>
      <c r="L204">
        <v>1213</v>
      </c>
      <c r="M204">
        <v>492</v>
      </c>
      <c r="N204">
        <v>310</v>
      </c>
      <c r="O204">
        <v>152</v>
      </c>
      <c r="P204">
        <v>506</v>
      </c>
      <c r="Q204">
        <v>664</v>
      </c>
      <c r="R204">
        <v>203</v>
      </c>
    </row>
    <row r="205" spans="1:18">
      <c r="A205" s="1" t="s">
        <v>172</v>
      </c>
      <c r="B205">
        <v>32</v>
      </c>
      <c r="C205">
        <v>15</v>
      </c>
      <c r="D205">
        <v>17</v>
      </c>
      <c r="E205">
        <v>-6.26</v>
      </c>
      <c r="F205">
        <v>2282</v>
      </c>
      <c r="G205">
        <v>779</v>
      </c>
      <c r="H205">
        <v>1806</v>
      </c>
      <c r="I205">
        <v>519</v>
      </c>
      <c r="J205">
        <v>780</v>
      </c>
      <c r="K205">
        <v>374</v>
      </c>
      <c r="L205">
        <v>1179</v>
      </c>
      <c r="M205">
        <v>385</v>
      </c>
      <c r="N205">
        <v>207</v>
      </c>
      <c r="O205">
        <v>150</v>
      </c>
      <c r="P205">
        <v>477</v>
      </c>
      <c r="Q205">
        <v>531</v>
      </c>
      <c r="R205">
        <v>204</v>
      </c>
    </row>
    <row r="206" spans="1:18">
      <c r="A206" s="1" t="s">
        <v>349</v>
      </c>
      <c r="B206">
        <v>30</v>
      </c>
      <c r="C206">
        <v>15</v>
      </c>
      <c r="D206">
        <v>15</v>
      </c>
      <c r="E206">
        <v>-8.0299999999999994</v>
      </c>
      <c r="F206">
        <v>2062</v>
      </c>
      <c r="G206">
        <v>722</v>
      </c>
      <c r="H206">
        <v>1606</v>
      </c>
      <c r="I206">
        <v>419</v>
      </c>
      <c r="J206">
        <v>607</v>
      </c>
      <c r="K206">
        <v>307</v>
      </c>
      <c r="L206">
        <v>964</v>
      </c>
      <c r="M206">
        <v>353</v>
      </c>
      <c r="N206">
        <v>234</v>
      </c>
      <c r="O206">
        <v>93</v>
      </c>
      <c r="P206">
        <v>466</v>
      </c>
      <c r="Q206">
        <v>624</v>
      </c>
      <c r="R206">
        <v>205</v>
      </c>
    </row>
    <row r="207" spans="1:18">
      <c r="A207" s="1" t="s">
        <v>173</v>
      </c>
      <c r="B207">
        <v>31</v>
      </c>
      <c r="C207">
        <v>7</v>
      </c>
      <c r="D207">
        <v>24</v>
      </c>
      <c r="E207">
        <v>-0.37</v>
      </c>
      <c r="F207">
        <v>2204</v>
      </c>
      <c r="G207">
        <v>780</v>
      </c>
      <c r="H207">
        <v>1820</v>
      </c>
      <c r="I207">
        <v>458</v>
      </c>
      <c r="J207">
        <v>664</v>
      </c>
      <c r="K207">
        <v>363</v>
      </c>
      <c r="L207">
        <v>1056</v>
      </c>
      <c r="M207">
        <v>353</v>
      </c>
      <c r="N207">
        <v>204</v>
      </c>
      <c r="O207">
        <v>76</v>
      </c>
      <c r="P207">
        <v>475</v>
      </c>
      <c r="Q207">
        <v>660</v>
      </c>
      <c r="R207">
        <v>206</v>
      </c>
    </row>
    <row r="208" spans="1:18">
      <c r="A208" s="1" t="s">
        <v>174</v>
      </c>
      <c r="B208">
        <v>31</v>
      </c>
      <c r="C208">
        <v>15</v>
      </c>
      <c r="D208">
        <v>16</v>
      </c>
      <c r="E208">
        <v>6.8</v>
      </c>
      <c r="F208">
        <v>2191</v>
      </c>
      <c r="G208">
        <v>799</v>
      </c>
      <c r="H208">
        <v>1818</v>
      </c>
      <c r="I208">
        <v>454</v>
      </c>
      <c r="J208">
        <v>654</v>
      </c>
      <c r="K208">
        <v>400</v>
      </c>
      <c r="L208">
        <v>1152</v>
      </c>
      <c r="M208">
        <v>442</v>
      </c>
      <c r="N208">
        <v>191</v>
      </c>
      <c r="O208">
        <v>138</v>
      </c>
      <c r="P208">
        <v>376</v>
      </c>
      <c r="Q208">
        <v>533</v>
      </c>
      <c r="R208">
        <v>207</v>
      </c>
    </row>
    <row r="209" spans="1:18">
      <c r="A209" s="1" t="s">
        <v>286</v>
      </c>
      <c r="B209">
        <v>31</v>
      </c>
      <c r="C209">
        <v>13</v>
      </c>
      <c r="D209">
        <v>18</v>
      </c>
      <c r="E209">
        <v>-0.44</v>
      </c>
      <c r="F209">
        <v>1975</v>
      </c>
      <c r="G209">
        <v>714</v>
      </c>
      <c r="H209">
        <v>1646</v>
      </c>
      <c r="I209">
        <v>326</v>
      </c>
      <c r="J209">
        <v>473</v>
      </c>
      <c r="K209">
        <v>345</v>
      </c>
      <c r="L209">
        <v>1031</v>
      </c>
      <c r="M209">
        <v>350</v>
      </c>
      <c r="N209">
        <v>169</v>
      </c>
      <c r="O209">
        <v>105</v>
      </c>
      <c r="P209">
        <v>424</v>
      </c>
      <c r="Q209">
        <v>492</v>
      </c>
      <c r="R209">
        <v>208</v>
      </c>
    </row>
    <row r="210" spans="1:18">
      <c r="A210" s="1" t="s">
        <v>312</v>
      </c>
      <c r="B210">
        <v>37</v>
      </c>
      <c r="C210">
        <v>29</v>
      </c>
      <c r="D210">
        <v>8</v>
      </c>
      <c r="E210">
        <v>10.15</v>
      </c>
      <c r="F210">
        <v>2868</v>
      </c>
      <c r="G210">
        <v>1044</v>
      </c>
      <c r="H210">
        <v>2317</v>
      </c>
      <c r="I210">
        <v>590</v>
      </c>
      <c r="J210">
        <v>878</v>
      </c>
      <c r="K210">
        <v>525</v>
      </c>
      <c r="L210">
        <v>1578</v>
      </c>
      <c r="M210">
        <v>573</v>
      </c>
      <c r="N210">
        <v>232</v>
      </c>
      <c r="O210">
        <v>204</v>
      </c>
      <c r="P210">
        <v>493</v>
      </c>
      <c r="Q210">
        <v>597</v>
      </c>
      <c r="R210">
        <v>209</v>
      </c>
    </row>
    <row r="211" spans="1:18">
      <c r="A211" s="1" t="s">
        <v>338</v>
      </c>
      <c r="B211">
        <v>29</v>
      </c>
      <c r="C211">
        <v>14</v>
      </c>
      <c r="D211">
        <v>15</v>
      </c>
      <c r="E211">
        <v>-3.5</v>
      </c>
      <c r="F211">
        <v>2188</v>
      </c>
      <c r="G211">
        <v>778</v>
      </c>
      <c r="H211">
        <v>1651</v>
      </c>
      <c r="I211">
        <v>467</v>
      </c>
      <c r="J211">
        <v>674</v>
      </c>
      <c r="K211">
        <v>341</v>
      </c>
      <c r="L211">
        <v>1037</v>
      </c>
      <c r="M211">
        <v>396</v>
      </c>
      <c r="N211">
        <v>170</v>
      </c>
      <c r="O211">
        <v>76</v>
      </c>
      <c r="P211">
        <v>381</v>
      </c>
      <c r="Q211">
        <v>566</v>
      </c>
      <c r="R211">
        <v>210</v>
      </c>
    </row>
    <row r="212" spans="1:18">
      <c r="A212" s="1" t="s">
        <v>357</v>
      </c>
      <c r="B212">
        <v>34</v>
      </c>
      <c r="C212">
        <v>19</v>
      </c>
      <c r="D212">
        <v>15</v>
      </c>
      <c r="E212">
        <v>-8.6999999999999993</v>
      </c>
      <c r="F212">
        <v>2319</v>
      </c>
      <c r="G212">
        <v>779</v>
      </c>
      <c r="H212">
        <v>1826</v>
      </c>
      <c r="I212">
        <v>546</v>
      </c>
      <c r="J212">
        <v>804</v>
      </c>
      <c r="K212">
        <v>334</v>
      </c>
      <c r="L212">
        <v>1204</v>
      </c>
      <c r="M212">
        <v>420</v>
      </c>
      <c r="N212">
        <v>209</v>
      </c>
      <c r="O212">
        <v>130</v>
      </c>
      <c r="P212">
        <v>480</v>
      </c>
      <c r="Q212">
        <v>671</v>
      </c>
      <c r="R212">
        <v>211</v>
      </c>
    </row>
    <row r="213" spans="1:18">
      <c r="A213" s="1" t="s">
        <v>339</v>
      </c>
      <c r="B213">
        <v>34</v>
      </c>
      <c r="C213">
        <v>15</v>
      </c>
      <c r="D213">
        <v>19</v>
      </c>
      <c r="E213">
        <v>0.31</v>
      </c>
      <c r="F213">
        <v>2208</v>
      </c>
      <c r="G213">
        <v>758</v>
      </c>
      <c r="H213">
        <v>1741</v>
      </c>
      <c r="I213">
        <v>489</v>
      </c>
      <c r="J213">
        <v>740</v>
      </c>
      <c r="K213">
        <v>350</v>
      </c>
      <c r="L213">
        <v>1087</v>
      </c>
      <c r="M213">
        <v>404</v>
      </c>
      <c r="N213">
        <v>201</v>
      </c>
      <c r="O213">
        <v>106</v>
      </c>
      <c r="P213">
        <v>569</v>
      </c>
      <c r="Q213">
        <v>697</v>
      </c>
      <c r="R213">
        <v>212</v>
      </c>
    </row>
    <row r="214" spans="1:18">
      <c r="A214" s="1" t="s">
        <v>175</v>
      </c>
      <c r="B214">
        <v>33</v>
      </c>
      <c r="C214">
        <v>22</v>
      </c>
      <c r="D214">
        <v>11</v>
      </c>
      <c r="E214">
        <v>-5.07</v>
      </c>
      <c r="F214">
        <v>2516</v>
      </c>
      <c r="G214">
        <v>831</v>
      </c>
      <c r="H214">
        <v>1735</v>
      </c>
      <c r="I214">
        <v>675</v>
      </c>
      <c r="J214">
        <v>900</v>
      </c>
      <c r="K214">
        <v>323</v>
      </c>
      <c r="L214">
        <v>1165</v>
      </c>
      <c r="M214">
        <v>407</v>
      </c>
      <c r="N214">
        <v>139</v>
      </c>
      <c r="O214">
        <v>77</v>
      </c>
      <c r="P214">
        <v>439</v>
      </c>
      <c r="Q214">
        <v>598</v>
      </c>
      <c r="R214">
        <v>213</v>
      </c>
    </row>
    <row r="215" spans="1:18">
      <c r="A215" s="1" t="s">
        <v>176</v>
      </c>
      <c r="B215">
        <v>31</v>
      </c>
      <c r="C215">
        <v>11</v>
      </c>
      <c r="D215">
        <v>20</v>
      </c>
      <c r="E215">
        <v>1.17</v>
      </c>
      <c r="F215">
        <v>2064</v>
      </c>
      <c r="G215">
        <v>719</v>
      </c>
      <c r="H215">
        <v>1610</v>
      </c>
      <c r="I215">
        <v>433</v>
      </c>
      <c r="J215">
        <v>577</v>
      </c>
      <c r="K215">
        <v>294</v>
      </c>
      <c r="L215">
        <v>897</v>
      </c>
      <c r="M215">
        <v>427</v>
      </c>
      <c r="N215">
        <v>211</v>
      </c>
      <c r="O215">
        <v>70</v>
      </c>
      <c r="P215">
        <v>389</v>
      </c>
      <c r="Q215">
        <v>595</v>
      </c>
      <c r="R215">
        <v>214</v>
      </c>
    </row>
    <row r="216" spans="1:18">
      <c r="A216" s="1" t="s">
        <v>287</v>
      </c>
      <c r="B216">
        <v>32</v>
      </c>
      <c r="C216">
        <v>19</v>
      </c>
      <c r="D216">
        <v>13</v>
      </c>
      <c r="E216">
        <v>-3.72</v>
      </c>
      <c r="F216">
        <v>2299</v>
      </c>
      <c r="G216">
        <v>850</v>
      </c>
      <c r="H216">
        <v>1747</v>
      </c>
      <c r="I216">
        <v>394</v>
      </c>
      <c r="J216">
        <v>593</v>
      </c>
      <c r="K216">
        <v>313</v>
      </c>
      <c r="L216">
        <v>1078</v>
      </c>
      <c r="M216">
        <v>546</v>
      </c>
      <c r="N216">
        <v>202</v>
      </c>
      <c r="O216">
        <v>133</v>
      </c>
      <c r="P216">
        <v>417</v>
      </c>
      <c r="Q216">
        <v>609</v>
      </c>
      <c r="R216">
        <v>215</v>
      </c>
    </row>
    <row r="217" spans="1:18">
      <c r="A217" s="1" t="s">
        <v>333</v>
      </c>
      <c r="B217">
        <v>32</v>
      </c>
      <c r="C217">
        <v>21</v>
      </c>
      <c r="D217">
        <v>11</v>
      </c>
      <c r="E217">
        <v>-2.2400000000000002</v>
      </c>
      <c r="F217">
        <v>2287</v>
      </c>
      <c r="G217">
        <v>731</v>
      </c>
      <c r="H217">
        <v>1708</v>
      </c>
      <c r="I217">
        <v>571</v>
      </c>
      <c r="J217">
        <v>742</v>
      </c>
      <c r="K217">
        <v>376</v>
      </c>
      <c r="L217">
        <v>1150</v>
      </c>
      <c r="M217">
        <v>371</v>
      </c>
      <c r="N217">
        <v>191</v>
      </c>
      <c r="O217">
        <v>62</v>
      </c>
      <c r="P217">
        <v>454</v>
      </c>
      <c r="Q217">
        <v>609</v>
      </c>
      <c r="R217">
        <v>216</v>
      </c>
    </row>
    <row r="218" spans="1:18">
      <c r="A218" s="1" t="s">
        <v>177</v>
      </c>
      <c r="B218">
        <v>30</v>
      </c>
      <c r="C218">
        <v>9</v>
      </c>
      <c r="D218">
        <v>21</v>
      </c>
      <c r="E218">
        <v>-2.2599999999999998</v>
      </c>
      <c r="F218">
        <v>2055</v>
      </c>
      <c r="G218">
        <v>713</v>
      </c>
      <c r="H218">
        <v>1694</v>
      </c>
      <c r="I218">
        <v>455</v>
      </c>
      <c r="J218">
        <v>653</v>
      </c>
      <c r="K218">
        <v>341</v>
      </c>
      <c r="L218">
        <v>1100</v>
      </c>
      <c r="M218">
        <v>361</v>
      </c>
      <c r="N218">
        <v>168</v>
      </c>
      <c r="O218">
        <v>73</v>
      </c>
      <c r="P218">
        <v>428</v>
      </c>
      <c r="Q218">
        <v>606</v>
      </c>
      <c r="R218">
        <v>217</v>
      </c>
    </row>
    <row r="219" spans="1:18">
      <c r="A219" s="1" t="s">
        <v>178</v>
      </c>
      <c r="B219">
        <v>34</v>
      </c>
      <c r="C219">
        <v>20</v>
      </c>
      <c r="D219">
        <v>14</v>
      </c>
      <c r="E219">
        <v>2.04</v>
      </c>
      <c r="F219">
        <v>2167</v>
      </c>
      <c r="G219">
        <v>728</v>
      </c>
      <c r="H219">
        <v>1702</v>
      </c>
      <c r="I219">
        <v>461</v>
      </c>
      <c r="J219">
        <v>605</v>
      </c>
      <c r="K219">
        <v>268</v>
      </c>
      <c r="L219">
        <v>1010</v>
      </c>
      <c r="M219">
        <v>359</v>
      </c>
      <c r="N219">
        <v>171</v>
      </c>
      <c r="O219">
        <v>57</v>
      </c>
      <c r="P219">
        <v>314</v>
      </c>
      <c r="Q219">
        <v>583</v>
      </c>
      <c r="R219">
        <v>218</v>
      </c>
    </row>
    <row r="220" spans="1:18">
      <c r="A220" s="1" t="s">
        <v>179</v>
      </c>
      <c r="B220">
        <v>32</v>
      </c>
      <c r="C220">
        <v>18</v>
      </c>
      <c r="D220">
        <v>14</v>
      </c>
      <c r="E220">
        <v>-7.02</v>
      </c>
      <c r="F220">
        <v>2462</v>
      </c>
      <c r="G220">
        <v>832</v>
      </c>
      <c r="H220">
        <v>1877</v>
      </c>
      <c r="I220">
        <v>587</v>
      </c>
      <c r="J220">
        <v>922</v>
      </c>
      <c r="K220">
        <v>439</v>
      </c>
      <c r="L220">
        <v>1162</v>
      </c>
      <c r="M220">
        <v>426</v>
      </c>
      <c r="N220">
        <v>293</v>
      </c>
      <c r="O220">
        <v>225</v>
      </c>
      <c r="P220">
        <v>542</v>
      </c>
      <c r="Q220">
        <v>735</v>
      </c>
      <c r="R220">
        <v>219</v>
      </c>
    </row>
    <row r="221" spans="1:18">
      <c r="A221" s="1" t="s">
        <v>180</v>
      </c>
      <c r="B221">
        <v>34</v>
      </c>
      <c r="C221">
        <v>20</v>
      </c>
      <c r="D221">
        <v>14</v>
      </c>
      <c r="E221">
        <v>7.54</v>
      </c>
      <c r="F221">
        <v>2441</v>
      </c>
      <c r="G221">
        <v>853</v>
      </c>
      <c r="H221">
        <v>1897</v>
      </c>
      <c r="I221">
        <v>416</v>
      </c>
      <c r="J221">
        <v>570</v>
      </c>
      <c r="K221">
        <v>309</v>
      </c>
      <c r="L221">
        <v>1025</v>
      </c>
      <c r="M221">
        <v>568</v>
      </c>
      <c r="N221">
        <v>227</v>
      </c>
      <c r="O221">
        <v>109</v>
      </c>
      <c r="P221">
        <v>335</v>
      </c>
      <c r="Q221">
        <v>584</v>
      </c>
      <c r="R221">
        <v>220</v>
      </c>
    </row>
    <row r="222" spans="1:18">
      <c r="A222" s="1" t="s">
        <v>181</v>
      </c>
      <c r="B222">
        <v>34</v>
      </c>
      <c r="C222">
        <v>27</v>
      </c>
      <c r="D222">
        <v>7</v>
      </c>
      <c r="E222">
        <v>8.43</v>
      </c>
      <c r="F222">
        <v>2558</v>
      </c>
      <c r="G222">
        <v>843</v>
      </c>
      <c r="H222">
        <v>1832</v>
      </c>
      <c r="I222">
        <v>599</v>
      </c>
      <c r="J222">
        <v>827</v>
      </c>
      <c r="K222">
        <v>371</v>
      </c>
      <c r="L222">
        <v>1261</v>
      </c>
      <c r="M222">
        <v>563</v>
      </c>
      <c r="N222">
        <v>156</v>
      </c>
      <c r="O222">
        <v>128</v>
      </c>
      <c r="P222">
        <v>364</v>
      </c>
      <c r="Q222">
        <v>517</v>
      </c>
      <c r="R222">
        <v>221</v>
      </c>
    </row>
    <row r="223" spans="1:18">
      <c r="A223" s="1" t="s">
        <v>182</v>
      </c>
      <c r="B223">
        <v>35</v>
      </c>
      <c r="C223">
        <v>25</v>
      </c>
      <c r="D223">
        <v>10</v>
      </c>
      <c r="E223">
        <v>0.1</v>
      </c>
      <c r="F223">
        <v>2992</v>
      </c>
      <c r="G223">
        <v>1052</v>
      </c>
      <c r="H223">
        <v>2137</v>
      </c>
      <c r="I223">
        <v>601</v>
      </c>
      <c r="J223">
        <v>834</v>
      </c>
      <c r="K223">
        <v>451</v>
      </c>
      <c r="L223">
        <v>1366</v>
      </c>
      <c r="M223">
        <v>568</v>
      </c>
      <c r="N223">
        <v>216</v>
      </c>
      <c r="O223">
        <v>192</v>
      </c>
      <c r="P223">
        <v>473</v>
      </c>
      <c r="Q223">
        <v>644</v>
      </c>
      <c r="R223">
        <v>222</v>
      </c>
    </row>
    <row r="224" spans="1:18">
      <c r="A224" s="1" t="s">
        <v>321</v>
      </c>
      <c r="B224">
        <v>37</v>
      </c>
      <c r="C224">
        <v>34</v>
      </c>
      <c r="D224">
        <v>3</v>
      </c>
      <c r="E224">
        <v>8.3800000000000008</v>
      </c>
      <c r="F224">
        <v>2854</v>
      </c>
      <c r="G224">
        <v>1017</v>
      </c>
      <c r="H224">
        <v>2059</v>
      </c>
      <c r="I224">
        <v>535</v>
      </c>
      <c r="J224">
        <v>763</v>
      </c>
      <c r="K224">
        <v>419</v>
      </c>
      <c r="L224">
        <v>1277</v>
      </c>
      <c r="M224">
        <v>587</v>
      </c>
      <c r="N224">
        <v>263</v>
      </c>
      <c r="O224">
        <v>118</v>
      </c>
      <c r="P224">
        <v>375</v>
      </c>
      <c r="Q224">
        <v>519</v>
      </c>
      <c r="R224">
        <v>223</v>
      </c>
    </row>
    <row r="225" spans="1:18">
      <c r="A225" s="1" t="s">
        <v>183</v>
      </c>
      <c r="B225">
        <v>35</v>
      </c>
      <c r="C225">
        <v>19</v>
      </c>
      <c r="D225">
        <v>16</v>
      </c>
      <c r="E225">
        <v>-1.01</v>
      </c>
      <c r="F225">
        <v>2604</v>
      </c>
      <c r="G225">
        <v>896</v>
      </c>
      <c r="H225">
        <v>2060</v>
      </c>
      <c r="I225">
        <v>552</v>
      </c>
      <c r="J225">
        <v>769</v>
      </c>
      <c r="K225">
        <v>432</v>
      </c>
      <c r="L225">
        <v>1265</v>
      </c>
      <c r="M225">
        <v>533</v>
      </c>
      <c r="N225">
        <v>277</v>
      </c>
      <c r="O225">
        <v>88</v>
      </c>
      <c r="P225">
        <v>471</v>
      </c>
      <c r="Q225">
        <v>726</v>
      </c>
      <c r="R225">
        <v>224</v>
      </c>
    </row>
    <row r="226" spans="1:18">
      <c r="A226" s="1" t="s">
        <v>340</v>
      </c>
      <c r="B226">
        <v>34</v>
      </c>
      <c r="C226">
        <v>20</v>
      </c>
      <c r="D226">
        <v>14</v>
      </c>
      <c r="E226">
        <v>6.94</v>
      </c>
      <c r="F226">
        <v>2318</v>
      </c>
      <c r="G226">
        <v>791</v>
      </c>
      <c r="H226">
        <v>1814</v>
      </c>
      <c r="I226">
        <v>593</v>
      </c>
      <c r="J226">
        <v>818</v>
      </c>
      <c r="K226">
        <v>377</v>
      </c>
      <c r="L226">
        <v>1177</v>
      </c>
      <c r="M226">
        <v>338</v>
      </c>
      <c r="N226">
        <v>228</v>
      </c>
      <c r="O226">
        <v>99</v>
      </c>
      <c r="P226">
        <v>456</v>
      </c>
      <c r="Q226">
        <v>707</v>
      </c>
      <c r="R226">
        <v>225</v>
      </c>
    </row>
    <row r="227" spans="1:18">
      <c r="A227" s="1" t="s">
        <v>329</v>
      </c>
      <c r="B227">
        <v>32</v>
      </c>
      <c r="C227">
        <v>14</v>
      </c>
      <c r="D227">
        <v>18</v>
      </c>
      <c r="E227">
        <v>6.42</v>
      </c>
      <c r="F227">
        <v>2111</v>
      </c>
      <c r="G227">
        <v>738</v>
      </c>
      <c r="H227">
        <v>1648</v>
      </c>
      <c r="I227">
        <v>437</v>
      </c>
      <c r="J227">
        <v>592</v>
      </c>
      <c r="K227">
        <v>272</v>
      </c>
      <c r="L227">
        <v>969</v>
      </c>
      <c r="M227">
        <v>400</v>
      </c>
      <c r="N227">
        <v>179</v>
      </c>
      <c r="O227">
        <v>89</v>
      </c>
      <c r="P227">
        <v>434</v>
      </c>
      <c r="Q227">
        <v>585</v>
      </c>
      <c r="R227">
        <v>226</v>
      </c>
    </row>
    <row r="228" spans="1:18">
      <c r="A228" s="1" t="s">
        <v>184</v>
      </c>
      <c r="B228">
        <v>34</v>
      </c>
      <c r="C228">
        <v>27</v>
      </c>
      <c r="D228">
        <v>7</v>
      </c>
      <c r="E228">
        <v>1.76</v>
      </c>
      <c r="F228">
        <v>2231</v>
      </c>
      <c r="G228">
        <v>803</v>
      </c>
      <c r="H228">
        <v>1828</v>
      </c>
      <c r="I228">
        <v>459</v>
      </c>
      <c r="J228">
        <v>687</v>
      </c>
      <c r="K228">
        <v>524</v>
      </c>
      <c r="L228">
        <v>1355</v>
      </c>
      <c r="M228">
        <v>485</v>
      </c>
      <c r="N228">
        <v>234</v>
      </c>
      <c r="O228">
        <v>146</v>
      </c>
      <c r="P228">
        <v>424</v>
      </c>
      <c r="Q228">
        <v>503</v>
      </c>
      <c r="R228">
        <v>227</v>
      </c>
    </row>
    <row r="229" spans="1:18">
      <c r="A229" s="1" t="s">
        <v>185</v>
      </c>
      <c r="B229">
        <v>35</v>
      </c>
      <c r="C229">
        <v>19</v>
      </c>
      <c r="D229">
        <v>16</v>
      </c>
      <c r="E229">
        <v>-1.17</v>
      </c>
      <c r="F229">
        <v>2615</v>
      </c>
      <c r="G229">
        <v>925</v>
      </c>
      <c r="H229">
        <v>1950</v>
      </c>
      <c r="I229">
        <v>572</v>
      </c>
      <c r="J229">
        <v>798</v>
      </c>
      <c r="K229">
        <v>419</v>
      </c>
      <c r="L229">
        <v>1202</v>
      </c>
      <c r="M229">
        <v>446</v>
      </c>
      <c r="N229">
        <v>195</v>
      </c>
      <c r="O229">
        <v>100</v>
      </c>
      <c r="P229">
        <v>452</v>
      </c>
      <c r="Q229">
        <v>712</v>
      </c>
      <c r="R229">
        <v>228</v>
      </c>
    </row>
    <row r="230" spans="1:18">
      <c r="A230" s="1" t="s">
        <v>186</v>
      </c>
      <c r="B230">
        <v>31</v>
      </c>
      <c r="C230">
        <v>11</v>
      </c>
      <c r="D230">
        <v>20</v>
      </c>
      <c r="E230">
        <v>5.03</v>
      </c>
      <c r="F230">
        <v>2147</v>
      </c>
      <c r="G230">
        <v>737</v>
      </c>
      <c r="H230">
        <v>1727</v>
      </c>
      <c r="I230">
        <v>513</v>
      </c>
      <c r="J230">
        <v>753</v>
      </c>
      <c r="K230">
        <v>381</v>
      </c>
      <c r="L230">
        <v>1064</v>
      </c>
      <c r="M230">
        <v>374</v>
      </c>
      <c r="N230">
        <v>293</v>
      </c>
      <c r="O230">
        <v>68</v>
      </c>
      <c r="P230">
        <v>472</v>
      </c>
      <c r="Q230">
        <v>575</v>
      </c>
      <c r="R230">
        <v>229</v>
      </c>
    </row>
    <row r="231" spans="1:18">
      <c r="A231" s="1" t="s">
        <v>288</v>
      </c>
      <c r="B231">
        <v>39</v>
      </c>
      <c r="C231">
        <v>21</v>
      </c>
      <c r="D231">
        <v>18</v>
      </c>
      <c r="E231">
        <v>6.92</v>
      </c>
      <c r="F231">
        <v>2737</v>
      </c>
      <c r="G231">
        <v>972</v>
      </c>
      <c r="H231">
        <v>2287</v>
      </c>
      <c r="I231">
        <v>520</v>
      </c>
      <c r="J231">
        <v>704</v>
      </c>
      <c r="K231">
        <v>420</v>
      </c>
      <c r="L231">
        <v>1270</v>
      </c>
      <c r="M231">
        <v>545</v>
      </c>
      <c r="N231">
        <v>321</v>
      </c>
      <c r="O231">
        <v>103</v>
      </c>
      <c r="P231">
        <v>477</v>
      </c>
      <c r="Q231">
        <v>711</v>
      </c>
      <c r="R231">
        <v>230</v>
      </c>
    </row>
    <row r="232" spans="1:18">
      <c r="A232" s="1" t="s">
        <v>187</v>
      </c>
      <c r="B232">
        <v>31</v>
      </c>
      <c r="C232">
        <v>16</v>
      </c>
      <c r="D232">
        <v>15</v>
      </c>
      <c r="E232">
        <v>-0.88</v>
      </c>
      <c r="F232">
        <v>2038</v>
      </c>
      <c r="G232">
        <v>705</v>
      </c>
      <c r="H232">
        <v>1606</v>
      </c>
      <c r="I232">
        <v>392</v>
      </c>
      <c r="J232">
        <v>558</v>
      </c>
      <c r="K232">
        <v>309</v>
      </c>
      <c r="L232">
        <v>1037</v>
      </c>
      <c r="M232">
        <v>436</v>
      </c>
      <c r="N232">
        <v>141</v>
      </c>
      <c r="O232">
        <v>65</v>
      </c>
      <c r="P232">
        <v>356</v>
      </c>
      <c r="Q232">
        <v>460</v>
      </c>
      <c r="R232">
        <v>231</v>
      </c>
    </row>
    <row r="233" spans="1:18">
      <c r="A233" s="1" t="s">
        <v>188</v>
      </c>
      <c r="B233">
        <v>34</v>
      </c>
      <c r="C233">
        <v>19</v>
      </c>
      <c r="D233">
        <v>15</v>
      </c>
      <c r="E233">
        <v>11.45</v>
      </c>
      <c r="F233">
        <v>2144</v>
      </c>
      <c r="G233">
        <v>767</v>
      </c>
      <c r="H233">
        <v>1748</v>
      </c>
      <c r="I233">
        <v>394</v>
      </c>
      <c r="J233">
        <v>544</v>
      </c>
      <c r="K233">
        <v>337</v>
      </c>
      <c r="L233">
        <v>1068</v>
      </c>
      <c r="M233">
        <v>413</v>
      </c>
      <c r="N233">
        <v>151</v>
      </c>
      <c r="O233">
        <v>82</v>
      </c>
      <c r="P233">
        <v>358</v>
      </c>
      <c r="Q233">
        <v>530</v>
      </c>
      <c r="R233">
        <v>232</v>
      </c>
    </row>
    <row r="234" spans="1:18">
      <c r="A234" s="1" t="s">
        <v>289</v>
      </c>
      <c r="B234">
        <v>28</v>
      </c>
      <c r="C234">
        <v>13</v>
      </c>
      <c r="D234">
        <v>15</v>
      </c>
      <c r="E234">
        <v>-1.64</v>
      </c>
      <c r="F234">
        <v>1868</v>
      </c>
      <c r="G234">
        <v>644</v>
      </c>
      <c r="H234">
        <v>1417</v>
      </c>
      <c r="I234">
        <v>395</v>
      </c>
      <c r="J234">
        <v>536</v>
      </c>
      <c r="K234">
        <v>223</v>
      </c>
      <c r="L234">
        <v>832</v>
      </c>
      <c r="M234">
        <v>378</v>
      </c>
      <c r="N234">
        <v>171</v>
      </c>
      <c r="O234">
        <v>65</v>
      </c>
      <c r="P234">
        <v>388</v>
      </c>
      <c r="Q234">
        <v>506</v>
      </c>
      <c r="R234">
        <v>233</v>
      </c>
    </row>
    <row r="235" spans="1:18">
      <c r="A235" s="1" t="s">
        <v>290</v>
      </c>
      <c r="B235">
        <v>33</v>
      </c>
      <c r="C235">
        <v>12</v>
      </c>
      <c r="D235">
        <v>21</v>
      </c>
      <c r="E235">
        <v>1.43</v>
      </c>
      <c r="F235">
        <v>2289</v>
      </c>
      <c r="G235">
        <v>787</v>
      </c>
      <c r="H235">
        <v>1855</v>
      </c>
      <c r="I235">
        <v>538</v>
      </c>
      <c r="J235">
        <v>749</v>
      </c>
      <c r="K235">
        <v>404</v>
      </c>
      <c r="L235">
        <v>1178</v>
      </c>
      <c r="M235">
        <v>416</v>
      </c>
      <c r="N235">
        <v>193</v>
      </c>
      <c r="O235">
        <v>97</v>
      </c>
      <c r="P235">
        <v>440</v>
      </c>
      <c r="Q235">
        <v>627</v>
      </c>
      <c r="R235">
        <v>234</v>
      </c>
    </row>
    <row r="236" spans="1:18">
      <c r="A236" s="1" t="s">
        <v>189</v>
      </c>
      <c r="B236">
        <v>34</v>
      </c>
      <c r="C236">
        <v>28</v>
      </c>
      <c r="D236">
        <v>6</v>
      </c>
      <c r="E236">
        <v>7.85</v>
      </c>
      <c r="F236">
        <v>2514</v>
      </c>
      <c r="G236">
        <v>886</v>
      </c>
      <c r="H236">
        <v>1866</v>
      </c>
      <c r="I236">
        <v>540</v>
      </c>
      <c r="J236">
        <v>805</v>
      </c>
      <c r="K236">
        <v>484</v>
      </c>
      <c r="L236">
        <v>1359</v>
      </c>
      <c r="M236">
        <v>595</v>
      </c>
      <c r="N236">
        <v>160</v>
      </c>
      <c r="O236">
        <v>111</v>
      </c>
      <c r="P236">
        <v>397</v>
      </c>
      <c r="Q236">
        <v>610</v>
      </c>
      <c r="R236">
        <v>235</v>
      </c>
    </row>
    <row r="237" spans="1:18">
      <c r="A237" s="1" t="s">
        <v>190</v>
      </c>
      <c r="B237">
        <v>30</v>
      </c>
      <c r="C237">
        <v>14</v>
      </c>
      <c r="D237">
        <v>16</v>
      </c>
      <c r="E237">
        <v>-4.47</v>
      </c>
      <c r="F237">
        <v>2169</v>
      </c>
      <c r="G237">
        <v>745</v>
      </c>
      <c r="H237">
        <v>1697</v>
      </c>
      <c r="I237">
        <v>468</v>
      </c>
      <c r="J237">
        <v>645</v>
      </c>
      <c r="K237">
        <v>309</v>
      </c>
      <c r="L237">
        <v>983</v>
      </c>
      <c r="M237">
        <v>390</v>
      </c>
      <c r="N237">
        <v>181</v>
      </c>
      <c r="O237">
        <v>69</v>
      </c>
      <c r="P237">
        <v>374</v>
      </c>
      <c r="Q237">
        <v>506</v>
      </c>
      <c r="R237">
        <v>236</v>
      </c>
    </row>
    <row r="238" spans="1:18">
      <c r="A238" s="1" t="s">
        <v>191</v>
      </c>
      <c r="B238">
        <v>32</v>
      </c>
      <c r="C238">
        <v>20</v>
      </c>
      <c r="D238">
        <v>12</v>
      </c>
      <c r="E238">
        <v>2.2000000000000002</v>
      </c>
      <c r="F238">
        <v>2272</v>
      </c>
      <c r="G238">
        <v>800</v>
      </c>
      <c r="H238">
        <v>1749</v>
      </c>
      <c r="I238">
        <v>429</v>
      </c>
      <c r="J238">
        <v>577</v>
      </c>
      <c r="K238">
        <v>347</v>
      </c>
      <c r="L238">
        <v>1108</v>
      </c>
      <c r="M238">
        <v>447</v>
      </c>
      <c r="N238">
        <v>171</v>
      </c>
      <c r="O238">
        <v>99</v>
      </c>
      <c r="P238">
        <v>413</v>
      </c>
      <c r="Q238">
        <v>560</v>
      </c>
      <c r="R238">
        <v>237</v>
      </c>
    </row>
    <row r="239" spans="1:18">
      <c r="A239" s="1" t="s">
        <v>192</v>
      </c>
      <c r="B239">
        <v>32</v>
      </c>
      <c r="C239">
        <v>10</v>
      </c>
      <c r="D239">
        <v>22</v>
      </c>
      <c r="E239">
        <v>-8.77</v>
      </c>
      <c r="F239">
        <v>2011</v>
      </c>
      <c r="G239">
        <v>733</v>
      </c>
      <c r="H239">
        <v>1920</v>
      </c>
      <c r="I239">
        <v>343</v>
      </c>
      <c r="J239">
        <v>596</v>
      </c>
      <c r="K239">
        <v>434</v>
      </c>
      <c r="L239">
        <v>1228</v>
      </c>
      <c r="M239">
        <v>366</v>
      </c>
      <c r="N239">
        <v>213</v>
      </c>
      <c r="O239">
        <v>119</v>
      </c>
      <c r="P239">
        <v>477</v>
      </c>
      <c r="Q239">
        <v>640</v>
      </c>
      <c r="R239">
        <v>238</v>
      </c>
    </row>
    <row r="240" spans="1:18">
      <c r="A240" s="1" t="s">
        <v>350</v>
      </c>
      <c r="B240">
        <v>31</v>
      </c>
      <c r="C240">
        <v>13</v>
      </c>
      <c r="D240">
        <v>18</v>
      </c>
      <c r="E240">
        <v>-2.85</v>
      </c>
      <c r="F240">
        <v>1915</v>
      </c>
      <c r="G240">
        <v>679</v>
      </c>
      <c r="H240">
        <v>1530</v>
      </c>
      <c r="I240">
        <v>339</v>
      </c>
      <c r="J240">
        <v>466</v>
      </c>
      <c r="K240">
        <v>252</v>
      </c>
      <c r="L240">
        <v>924</v>
      </c>
      <c r="M240">
        <v>367</v>
      </c>
      <c r="N240">
        <v>126</v>
      </c>
      <c r="O240">
        <v>54</v>
      </c>
      <c r="P240">
        <v>428</v>
      </c>
      <c r="Q240">
        <v>454</v>
      </c>
      <c r="R240">
        <v>239</v>
      </c>
    </row>
    <row r="241" spans="1:18">
      <c r="A241" s="1" t="s">
        <v>193</v>
      </c>
      <c r="B241">
        <v>32</v>
      </c>
      <c r="C241">
        <v>25</v>
      </c>
      <c r="D241">
        <v>7</v>
      </c>
      <c r="E241">
        <v>-1.61</v>
      </c>
      <c r="F241">
        <v>2215</v>
      </c>
      <c r="G241">
        <v>788</v>
      </c>
      <c r="H241">
        <v>1696</v>
      </c>
      <c r="I241">
        <v>446</v>
      </c>
      <c r="J241">
        <v>609</v>
      </c>
      <c r="K241">
        <v>315</v>
      </c>
      <c r="L241">
        <v>1105</v>
      </c>
      <c r="M241">
        <v>427</v>
      </c>
      <c r="N241">
        <v>191</v>
      </c>
      <c r="O241">
        <v>134</v>
      </c>
      <c r="P241">
        <v>389</v>
      </c>
      <c r="Q241">
        <v>551</v>
      </c>
      <c r="R241">
        <v>240</v>
      </c>
    </row>
    <row r="242" spans="1:18">
      <c r="A242" s="1" t="s">
        <v>194</v>
      </c>
      <c r="B242">
        <v>32</v>
      </c>
      <c r="C242">
        <v>15</v>
      </c>
      <c r="D242">
        <v>17</v>
      </c>
      <c r="E242">
        <v>6.44</v>
      </c>
      <c r="F242">
        <v>2426</v>
      </c>
      <c r="G242">
        <v>854</v>
      </c>
      <c r="H242">
        <v>2012</v>
      </c>
      <c r="I242">
        <v>506</v>
      </c>
      <c r="J242">
        <v>756</v>
      </c>
      <c r="K242">
        <v>465</v>
      </c>
      <c r="L242">
        <v>1231</v>
      </c>
      <c r="M242">
        <v>399</v>
      </c>
      <c r="N242">
        <v>250</v>
      </c>
      <c r="O242">
        <v>142</v>
      </c>
      <c r="P242">
        <v>407</v>
      </c>
      <c r="Q242">
        <v>543</v>
      </c>
      <c r="R242">
        <v>241</v>
      </c>
    </row>
    <row r="243" spans="1:18">
      <c r="A243" s="1" t="s">
        <v>291</v>
      </c>
      <c r="B243">
        <v>34</v>
      </c>
      <c r="C243">
        <v>26</v>
      </c>
      <c r="D243">
        <v>8</v>
      </c>
      <c r="E243">
        <v>8.69</v>
      </c>
      <c r="F243">
        <v>2466</v>
      </c>
      <c r="G243">
        <v>875</v>
      </c>
      <c r="H243">
        <v>1957</v>
      </c>
      <c r="I243">
        <v>481</v>
      </c>
      <c r="J243">
        <v>673</v>
      </c>
      <c r="K243">
        <v>380</v>
      </c>
      <c r="L243">
        <v>1207</v>
      </c>
      <c r="M243">
        <v>538</v>
      </c>
      <c r="N243">
        <v>211</v>
      </c>
      <c r="O243">
        <v>141</v>
      </c>
      <c r="P243">
        <v>354</v>
      </c>
      <c r="Q243">
        <v>605</v>
      </c>
      <c r="R243">
        <v>242</v>
      </c>
    </row>
    <row r="244" spans="1:18">
      <c r="A244" s="1" t="s">
        <v>195</v>
      </c>
      <c r="B244">
        <v>32</v>
      </c>
      <c r="C244">
        <v>22</v>
      </c>
      <c r="D244">
        <v>10</v>
      </c>
      <c r="E244">
        <v>-6.39</v>
      </c>
      <c r="F244">
        <v>2295</v>
      </c>
      <c r="G244">
        <v>847</v>
      </c>
      <c r="H244">
        <v>1979</v>
      </c>
      <c r="I244">
        <v>426</v>
      </c>
      <c r="J244">
        <v>697</v>
      </c>
      <c r="K244">
        <v>520</v>
      </c>
      <c r="L244">
        <v>1360</v>
      </c>
      <c r="M244">
        <v>498</v>
      </c>
      <c r="N244">
        <v>161</v>
      </c>
      <c r="O244">
        <v>112</v>
      </c>
      <c r="P244">
        <v>400</v>
      </c>
      <c r="Q244">
        <v>665</v>
      </c>
      <c r="R244">
        <v>243</v>
      </c>
    </row>
    <row r="245" spans="1:18">
      <c r="A245" s="1" t="s">
        <v>196</v>
      </c>
      <c r="B245">
        <v>29</v>
      </c>
      <c r="C245">
        <v>5</v>
      </c>
      <c r="D245">
        <v>24</v>
      </c>
      <c r="E245">
        <v>-2.52</v>
      </c>
      <c r="F245">
        <v>1734</v>
      </c>
      <c r="G245">
        <v>598</v>
      </c>
      <c r="H245">
        <v>1560</v>
      </c>
      <c r="I245">
        <v>404</v>
      </c>
      <c r="J245">
        <v>645</v>
      </c>
      <c r="K245">
        <v>353</v>
      </c>
      <c r="L245">
        <v>1021</v>
      </c>
      <c r="M245">
        <v>294</v>
      </c>
      <c r="N245">
        <v>229</v>
      </c>
      <c r="O245">
        <v>88</v>
      </c>
      <c r="P245">
        <v>475</v>
      </c>
      <c r="Q245">
        <v>561</v>
      </c>
      <c r="R245">
        <v>244</v>
      </c>
    </row>
    <row r="246" spans="1:18">
      <c r="A246" s="1" t="s">
        <v>197</v>
      </c>
      <c r="B246">
        <v>34</v>
      </c>
      <c r="C246">
        <v>20</v>
      </c>
      <c r="D246">
        <v>14</v>
      </c>
      <c r="E246">
        <v>1.9</v>
      </c>
      <c r="F246">
        <v>2316</v>
      </c>
      <c r="G246">
        <v>828</v>
      </c>
      <c r="H246">
        <v>1960</v>
      </c>
      <c r="I246">
        <v>417</v>
      </c>
      <c r="J246">
        <v>595</v>
      </c>
      <c r="K246">
        <v>386</v>
      </c>
      <c r="L246">
        <v>1192</v>
      </c>
      <c r="M246">
        <v>415</v>
      </c>
      <c r="N246">
        <v>223</v>
      </c>
      <c r="O246">
        <v>131</v>
      </c>
      <c r="P246">
        <v>416</v>
      </c>
      <c r="Q246">
        <v>606</v>
      </c>
      <c r="R246">
        <v>245</v>
      </c>
    </row>
    <row r="247" spans="1:18">
      <c r="A247" s="1" t="s">
        <v>198</v>
      </c>
      <c r="B247">
        <v>32</v>
      </c>
      <c r="C247">
        <v>14</v>
      </c>
      <c r="D247">
        <v>18</v>
      </c>
      <c r="E247">
        <v>2.67</v>
      </c>
      <c r="F247">
        <v>2148</v>
      </c>
      <c r="G247">
        <v>725</v>
      </c>
      <c r="H247">
        <v>1696</v>
      </c>
      <c r="I247">
        <v>530</v>
      </c>
      <c r="J247">
        <v>733</v>
      </c>
      <c r="K247">
        <v>351</v>
      </c>
      <c r="L247">
        <v>1082</v>
      </c>
      <c r="M247">
        <v>411</v>
      </c>
      <c r="N247">
        <v>217</v>
      </c>
      <c r="O247">
        <v>76</v>
      </c>
      <c r="P247">
        <v>393</v>
      </c>
      <c r="Q247">
        <v>603</v>
      </c>
      <c r="R247">
        <v>246</v>
      </c>
    </row>
    <row r="248" spans="1:18">
      <c r="A248" s="1" t="s">
        <v>199</v>
      </c>
      <c r="B248">
        <v>37</v>
      </c>
      <c r="C248">
        <v>29</v>
      </c>
      <c r="D248">
        <v>8</v>
      </c>
      <c r="E248">
        <v>2.79</v>
      </c>
      <c r="F248">
        <v>2577</v>
      </c>
      <c r="G248">
        <v>922</v>
      </c>
      <c r="H248">
        <v>2007</v>
      </c>
      <c r="I248">
        <v>446</v>
      </c>
      <c r="J248">
        <v>649</v>
      </c>
      <c r="K248">
        <v>344</v>
      </c>
      <c r="L248">
        <v>1222</v>
      </c>
      <c r="M248">
        <v>548</v>
      </c>
      <c r="N248">
        <v>220</v>
      </c>
      <c r="O248">
        <v>155</v>
      </c>
      <c r="P248">
        <v>383</v>
      </c>
      <c r="Q248">
        <v>587</v>
      </c>
      <c r="R248">
        <v>247</v>
      </c>
    </row>
    <row r="249" spans="1:18">
      <c r="A249" s="1" t="s">
        <v>200</v>
      </c>
      <c r="B249">
        <v>34</v>
      </c>
      <c r="C249">
        <v>23</v>
      </c>
      <c r="D249">
        <v>11</v>
      </c>
      <c r="E249">
        <v>-2.67</v>
      </c>
      <c r="F249">
        <v>2486</v>
      </c>
      <c r="G249">
        <v>894</v>
      </c>
      <c r="H249">
        <v>1916</v>
      </c>
      <c r="I249">
        <v>435</v>
      </c>
      <c r="J249">
        <v>670</v>
      </c>
      <c r="K249">
        <v>351</v>
      </c>
      <c r="L249">
        <v>1221</v>
      </c>
      <c r="M249">
        <v>481</v>
      </c>
      <c r="N249">
        <v>205</v>
      </c>
      <c r="O249">
        <v>151</v>
      </c>
      <c r="P249">
        <v>469</v>
      </c>
      <c r="Q249">
        <v>598</v>
      </c>
      <c r="R249">
        <v>248</v>
      </c>
    </row>
    <row r="250" spans="1:18">
      <c r="A250" s="1" t="s">
        <v>201</v>
      </c>
      <c r="B250">
        <v>32</v>
      </c>
      <c r="C250">
        <v>18</v>
      </c>
      <c r="D250">
        <v>14</v>
      </c>
      <c r="E250">
        <v>-2.61</v>
      </c>
      <c r="F250">
        <v>2153</v>
      </c>
      <c r="G250">
        <v>752</v>
      </c>
      <c r="H250">
        <v>1792</v>
      </c>
      <c r="I250">
        <v>434</v>
      </c>
      <c r="J250">
        <v>634</v>
      </c>
      <c r="K250">
        <v>395</v>
      </c>
      <c r="L250">
        <v>1124</v>
      </c>
      <c r="M250">
        <v>436</v>
      </c>
      <c r="N250">
        <v>241</v>
      </c>
      <c r="O250">
        <v>66</v>
      </c>
      <c r="P250">
        <v>422</v>
      </c>
      <c r="Q250">
        <v>718</v>
      </c>
      <c r="R250">
        <v>249</v>
      </c>
    </row>
    <row r="251" spans="1:18">
      <c r="A251" s="1" t="s">
        <v>202</v>
      </c>
      <c r="B251">
        <v>32</v>
      </c>
      <c r="C251">
        <v>15</v>
      </c>
      <c r="D251">
        <v>17</v>
      </c>
      <c r="E251">
        <v>7.22</v>
      </c>
      <c r="F251">
        <v>2122</v>
      </c>
      <c r="G251">
        <v>783</v>
      </c>
      <c r="H251">
        <v>1778</v>
      </c>
      <c r="I251">
        <v>381</v>
      </c>
      <c r="J251">
        <v>563</v>
      </c>
      <c r="K251">
        <v>349</v>
      </c>
      <c r="L251">
        <v>1062</v>
      </c>
      <c r="M251">
        <v>434</v>
      </c>
      <c r="N251">
        <v>252</v>
      </c>
      <c r="O251">
        <v>143</v>
      </c>
      <c r="P251">
        <v>389</v>
      </c>
      <c r="Q251">
        <v>634</v>
      </c>
      <c r="R251">
        <v>250</v>
      </c>
    </row>
    <row r="252" spans="1:18">
      <c r="A252" s="1" t="s">
        <v>203</v>
      </c>
      <c r="B252">
        <v>28</v>
      </c>
      <c r="C252">
        <v>7</v>
      </c>
      <c r="D252">
        <v>21</v>
      </c>
      <c r="E252">
        <v>-4.05</v>
      </c>
      <c r="F252">
        <v>1729</v>
      </c>
      <c r="G252">
        <v>593</v>
      </c>
      <c r="H252">
        <v>1479</v>
      </c>
      <c r="I252">
        <v>388</v>
      </c>
      <c r="J252">
        <v>570</v>
      </c>
      <c r="K252">
        <v>327</v>
      </c>
      <c r="L252">
        <v>993</v>
      </c>
      <c r="M252">
        <v>344</v>
      </c>
      <c r="N252">
        <v>172</v>
      </c>
      <c r="O252">
        <v>96</v>
      </c>
      <c r="P252">
        <v>413</v>
      </c>
      <c r="Q252">
        <v>510</v>
      </c>
      <c r="R252">
        <v>251</v>
      </c>
    </row>
    <row r="253" spans="1:18">
      <c r="A253" s="1" t="s">
        <v>204</v>
      </c>
      <c r="B253">
        <v>29</v>
      </c>
      <c r="C253">
        <v>11</v>
      </c>
      <c r="D253">
        <v>18</v>
      </c>
      <c r="E253">
        <v>-6.12</v>
      </c>
      <c r="F253">
        <v>1922</v>
      </c>
      <c r="G253">
        <v>672</v>
      </c>
      <c r="H253">
        <v>1565</v>
      </c>
      <c r="I253">
        <v>413</v>
      </c>
      <c r="J253">
        <v>588</v>
      </c>
      <c r="K253">
        <v>322</v>
      </c>
      <c r="L253">
        <v>958</v>
      </c>
      <c r="M253">
        <v>344</v>
      </c>
      <c r="N253">
        <v>224</v>
      </c>
      <c r="O253">
        <v>89</v>
      </c>
      <c r="P253">
        <v>449</v>
      </c>
      <c r="Q253">
        <v>574</v>
      </c>
      <c r="R253">
        <v>252</v>
      </c>
    </row>
    <row r="254" spans="1:18">
      <c r="A254" s="1" t="s">
        <v>205</v>
      </c>
      <c r="B254">
        <v>30</v>
      </c>
      <c r="C254">
        <v>9</v>
      </c>
      <c r="D254">
        <v>21</v>
      </c>
      <c r="E254">
        <v>-3.84</v>
      </c>
      <c r="F254">
        <v>1957</v>
      </c>
      <c r="G254">
        <v>684</v>
      </c>
      <c r="H254">
        <v>1588</v>
      </c>
      <c r="I254">
        <v>419</v>
      </c>
      <c r="J254">
        <v>576</v>
      </c>
      <c r="K254">
        <v>291</v>
      </c>
      <c r="L254">
        <v>950</v>
      </c>
      <c r="M254">
        <v>402</v>
      </c>
      <c r="N254">
        <v>168</v>
      </c>
      <c r="O254">
        <v>92</v>
      </c>
      <c r="P254">
        <v>463</v>
      </c>
      <c r="Q254">
        <v>645</v>
      </c>
      <c r="R254">
        <v>253</v>
      </c>
    </row>
    <row r="255" spans="1:18">
      <c r="A255" s="1" t="s">
        <v>206</v>
      </c>
      <c r="B255">
        <v>33</v>
      </c>
      <c r="C255">
        <v>11</v>
      </c>
      <c r="D255">
        <v>22</v>
      </c>
      <c r="E255">
        <v>3.46</v>
      </c>
      <c r="F255">
        <v>2129</v>
      </c>
      <c r="G255">
        <v>745</v>
      </c>
      <c r="H255">
        <v>1795</v>
      </c>
      <c r="I255">
        <v>432</v>
      </c>
      <c r="J255">
        <v>611</v>
      </c>
      <c r="K255">
        <v>323</v>
      </c>
      <c r="L255">
        <v>1068</v>
      </c>
      <c r="M255">
        <v>412</v>
      </c>
      <c r="N255">
        <v>168</v>
      </c>
      <c r="O255">
        <v>181</v>
      </c>
      <c r="P255">
        <v>363</v>
      </c>
      <c r="Q255">
        <v>531</v>
      </c>
      <c r="R255">
        <v>254</v>
      </c>
    </row>
    <row r="256" spans="1:18">
      <c r="A256" s="1" t="s">
        <v>292</v>
      </c>
      <c r="B256">
        <v>31</v>
      </c>
      <c r="C256">
        <v>12</v>
      </c>
      <c r="D256">
        <v>19</v>
      </c>
      <c r="E256">
        <v>3.06</v>
      </c>
      <c r="F256">
        <v>1953</v>
      </c>
      <c r="G256">
        <v>715</v>
      </c>
      <c r="H256">
        <v>1638</v>
      </c>
      <c r="I256">
        <v>353</v>
      </c>
      <c r="J256">
        <v>538</v>
      </c>
      <c r="K256">
        <v>292</v>
      </c>
      <c r="L256">
        <v>978</v>
      </c>
      <c r="M256">
        <v>421</v>
      </c>
      <c r="N256">
        <v>198</v>
      </c>
      <c r="O256">
        <v>109</v>
      </c>
      <c r="P256">
        <v>414</v>
      </c>
      <c r="Q256">
        <v>589</v>
      </c>
      <c r="R256">
        <v>255</v>
      </c>
    </row>
    <row r="257" spans="1:18">
      <c r="A257" s="1" t="s">
        <v>207</v>
      </c>
      <c r="B257">
        <v>34</v>
      </c>
      <c r="C257">
        <v>25</v>
      </c>
      <c r="D257">
        <v>9</v>
      </c>
      <c r="E257">
        <v>1.95</v>
      </c>
      <c r="F257">
        <v>2684</v>
      </c>
      <c r="G257">
        <v>946</v>
      </c>
      <c r="H257">
        <v>1951</v>
      </c>
      <c r="I257">
        <v>501</v>
      </c>
      <c r="J257">
        <v>660</v>
      </c>
      <c r="K257">
        <v>361</v>
      </c>
      <c r="L257">
        <v>1179</v>
      </c>
      <c r="M257">
        <v>561</v>
      </c>
      <c r="N257">
        <v>243</v>
      </c>
      <c r="O257">
        <v>112</v>
      </c>
      <c r="P257">
        <v>381</v>
      </c>
      <c r="Q257">
        <v>598</v>
      </c>
      <c r="R257">
        <v>256</v>
      </c>
    </row>
    <row r="258" spans="1:18">
      <c r="A258" s="1" t="s">
        <v>208</v>
      </c>
      <c r="B258">
        <v>34</v>
      </c>
      <c r="C258">
        <v>20</v>
      </c>
      <c r="D258">
        <v>14</v>
      </c>
      <c r="E258">
        <v>-1.08</v>
      </c>
      <c r="F258">
        <v>2069</v>
      </c>
      <c r="G258">
        <v>713</v>
      </c>
      <c r="H258">
        <v>1782</v>
      </c>
      <c r="I258">
        <v>446</v>
      </c>
      <c r="J258">
        <v>693</v>
      </c>
      <c r="K258">
        <v>384</v>
      </c>
      <c r="L258">
        <v>1209</v>
      </c>
      <c r="M258">
        <v>383</v>
      </c>
      <c r="N258">
        <v>263</v>
      </c>
      <c r="O258">
        <v>154</v>
      </c>
      <c r="P258">
        <v>511</v>
      </c>
      <c r="Q258">
        <v>662</v>
      </c>
      <c r="R258">
        <v>257</v>
      </c>
    </row>
    <row r="259" spans="1:18">
      <c r="A259" s="1" t="s">
        <v>209</v>
      </c>
      <c r="B259">
        <v>31</v>
      </c>
      <c r="C259">
        <v>18</v>
      </c>
      <c r="D259">
        <v>13</v>
      </c>
      <c r="E259">
        <v>-3.9</v>
      </c>
      <c r="F259">
        <v>2161</v>
      </c>
      <c r="G259">
        <v>769</v>
      </c>
      <c r="H259">
        <v>1747</v>
      </c>
      <c r="I259">
        <v>438</v>
      </c>
      <c r="J259">
        <v>663</v>
      </c>
      <c r="K259">
        <v>382</v>
      </c>
      <c r="L259">
        <v>1156</v>
      </c>
      <c r="M259">
        <v>538</v>
      </c>
      <c r="N259">
        <v>245</v>
      </c>
      <c r="O259">
        <v>69</v>
      </c>
      <c r="P259">
        <v>447</v>
      </c>
      <c r="Q259">
        <v>634</v>
      </c>
      <c r="R259">
        <v>258</v>
      </c>
    </row>
    <row r="260" spans="1:18">
      <c r="A260" s="1" t="s">
        <v>293</v>
      </c>
      <c r="B260">
        <v>31</v>
      </c>
      <c r="C260">
        <v>12</v>
      </c>
      <c r="D260">
        <v>19</v>
      </c>
      <c r="E260">
        <v>-4.22</v>
      </c>
      <c r="F260">
        <v>1880</v>
      </c>
      <c r="G260">
        <v>627</v>
      </c>
      <c r="H260">
        <v>1464</v>
      </c>
      <c r="I260">
        <v>351</v>
      </c>
      <c r="J260">
        <v>520</v>
      </c>
      <c r="K260">
        <v>190</v>
      </c>
      <c r="L260">
        <v>840</v>
      </c>
      <c r="M260">
        <v>409</v>
      </c>
      <c r="N260">
        <v>182</v>
      </c>
      <c r="O260">
        <v>49</v>
      </c>
      <c r="P260">
        <v>418</v>
      </c>
      <c r="Q260">
        <v>523</v>
      </c>
      <c r="R260">
        <v>259</v>
      </c>
    </row>
    <row r="261" spans="1:18">
      <c r="A261" s="1" t="s">
        <v>210</v>
      </c>
      <c r="B261">
        <v>37</v>
      </c>
      <c r="C261">
        <v>34</v>
      </c>
      <c r="D261">
        <v>3</v>
      </c>
      <c r="E261">
        <v>6.36</v>
      </c>
      <c r="F261">
        <v>2660</v>
      </c>
      <c r="G261">
        <v>991</v>
      </c>
      <c r="H261">
        <v>2141</v>
      </c>
      <c r="I261">
        <v>455</v>
      </c>
      <c r="J261">
        <v>653</v>
      </c>
      <c r="K261">
        <v>472</v>
      </c>
      <c r="L261">
        <v>1396</v>
      </c>
      <c r="M261">
        <v>499</v>
      </c>
      <c r="N261">
        <v>227</v>
      </c>
      <c r="O261">
        <v>170</v>
      </c>
      <c r="P261">
        <v>402</v>
      </c>
      <c r="Q261">
        <v>542</v>
      </c>
      <c r="R261">
        <v>260</v>
      </c>
    </row>
    <row r="262" spans="1:18">
      <c r="A262" s="1" t="s">
        <v>211</v>
      </c>
      <c r="B262">
        <v>30</v>
      </c>
      <c r="C262">
        <v>6</v>
      </c>
      <c r="D262">
        <v>24</v>
      </c>
      <c r="E262">
        <v>3.18</v>
      </c>
      <c r="F262">
        <v>1826</v>
      </c>
      <c r="G262">
        <v>641</v>
      </c>
      <c r="H262">
        <v>1519</v>
      </c>
      <c r="I262">
        <v>381</v>
      </c>
      <c r="J262">
        <v>561</v>
      </c>
      <c r="K262">
        <v>251</v>
      </c>
      <c r="L262">
        <v>871</v>
      </c>
      <c r="M262">
        <v>338</v>
      </c>
      <c r="N262">
        <v>155</v>
      </c>
      <c r="O262">
        <v>87</v>
      </c>
      <c r="P262">
        <v>440</v>
      </c>
      <c r="Q262">
        <v>589</v>
      </c>
      <c r="R262">
        <v>261</v>
      </c>
    </row>
    <row r="263" spans="1:18">
      <c r="A263" s="1" t="s">
        <v>212</v>
      </c>
      <c r="B263">
        <v>34</v>
      </c>
      <c r="C263">
        <v>19</v>
      </c>
      <c r="D263">
        <v>15</v>
      </c>
      <c r="E263">
        <v>3.06</v>
      </c>
      <c r="F263">
        <v>2384</v>
      </c>
      <c r="G263">
        <v>828</v>
      </c>
      <c r="H263">
        <v>1889</v>
      </c>
      <c r="I263">
        <v>501</v>
      </c>
      <c r="J263">
        <v>728</v>
      </c>
      <c r="K263">
        <v>368</v>
      </c>
      <c r="L263">
        <v>1302</v>
      </c>
      <c r="M263">
        <v>430</v>
      </c>
      <c r="N263">
        <v>182</v>
      </c>
      <c r="O263">
        <v>83</v>
      </c>
      <c r="P263">
        <v>493</v>
      </c>
      <c r="Q263">
        <v>663</v>
      </c>
      <c r="R263">
        <v>262</v>
      </c>
    </row>
    <row r="264" spans="1:18">
      <c r="A264" s="1" t="s">
        <v>213</v>
      </c>
      <c r="B264">
        <v>33</v>
      </c>
      <c r="C264">
        <v>17</v>
      </c>
      <c r="D264">
        <v>16</v>
      </c>
      <c r="E264">
        <v>-0.08</v>
      </c>
      <c r="F264">
        <v>2391</v>
      </c>
      <c r="G264">
        <v>808</v>
      </c>
      <c r="H264">
        <v>1999</v>
      </c>
      <c r="I264">
        <v>568</v>
      </c>
      <c r="J264">
        <v>753</v>
      </c>
      <c r="K264">
        <v>407</v>
      </c>
      <c r="L264">
        <v>1231</v>
      </c>
      <c r="M264">
        <v>406</v>
      </c>
      <c r="N264">
        <v>179</v>
      </c>
      <c r="O264">
        <v>82</v>
      </c>
      <c r="P264">
        <v>363</v>
      </c>
      <c r="Q264">
        <v>629</v>
      </c>
      <c r="R264">
        <v>263</v>
      </c>
    </row>
    <row r="265" spans="1:18">
      <c r="A265" s="1" t="s">
        <v>214</v>
      </c>
      <c r="B265">
        <v>38</v>
      </c>
      <c r="C265">
        <v>24</v>
      </c>
      <c r="D265">
        <v>14</v>
      </c>
      <c r="E265">
        <v>1.25</v>
      </c>
      <c r="F265">
        <v>2810</v>
      </c>
      <c r="G265">
        <v>909</v>
      </c>
      <c r="H265">
        <v>2112</v>
      </c>
      <c r="I265">
        <v>719</v>
      </c>
      <c r="J265">
        <v>990</v>
      </c>
      <c r="K265">
        <v>499</v>
      </c>
      <c r="L265">
        <v>1379</v>
      </c>
      <c r="M265">
        <v>487</v>
      </c>
      <c r="N265">
        <v>275</v>
      </c>
      <c r="O265">
        <v>116</v>
      </c>
      <c r="P265">
        <v>532</v>
      </c>
      <c r="Q265">
        <v>787</v>
      </c>
      <c r="R265">
        <v>264</v>
      </c>
    </row>
    <row r="266" spans="1:18">
      <c r="A266" s="1" t="s">
        <v>322</v>
      </c>
      <c r="B266">
        <v>30</v>
      </c>
      <c r="C266">
        <v>12</v>
      </c>
      <c r="D266">
        <v>18</v>
      </c>
      <c r="E266">
        <v>-2.44</v>
      </c>
      <c r="F266">
        <v>1818</v>
      </c>
      <c r="G266">
        <v>640</v>
      </c>
      <c r="H266">
        <v>1562</v>
      </c>
      <c r="I266">
        <v>372</v>
      </c>
      <c r="J266">
        <v>563</v>
      </c>
      <c r="K266">
        <v>314</v>
      </c>
      <c r="L266">
        <v>1001</v>
      </c>
      <c r="M266">
        <v>316</v>
      </c>
      <c r="N266">
        <v>217</v>
      </c>
      <c r="O266">
        <v>105</v>
      </c>
      <c r="P266">
        <v>448</v>
      </c>
      <c r="Q266">
        <v>572</v>
      </c>
      <c r="R266">
        <v>265</v>
      </c>
    </row>
    <row r="267" spans="1:18">
      <c r="A267" s="1" t="s">
        <v>358</v>
      </c>
      <c r="B267">
        <v>31</v>
      </c>
      <c r="C267">
        <v>11</v>
      </c>
      <c r="D267">
        <v>20</v>
      </c>
      <c r="E267">
        <v>-2.36</v>
      </c>
      <c r="F267">
        <v>2138</v>
      </c>
      <c r="G267">
        <v>758</v>
      </c>
      <c r="H267">
        <v>1897</v>
      </c>
      <c r="I267">
        <v>447</v>
      </c>
      <c r="J267">
        <v>680</v>
      </c>
      <c r="K267">
        <v>450</v>
      </c>
      <c r="L267">
        <v>1167</v>
      </c>
      <c r="M267">
        <v>358</v>
      </c>
      <c r="N267">
        <v>259</v>
      </c>
      <c r="O267">
        <v>60</v>
      </c>
      <c r="P267">
        <v>541</v>
      </c>
      <c r="Q267">
        <v>678</v>
      </c>
      <c r="R267">
        <v>266</v>
      </c>
    </row>
    <row r="268" spans="1:18">
      <c r="A268" s="1" t="s">
        <v>294</v>
      </c>
      <c r="B268">
        <v>31</v>
      </c>
      <c r="C268">
        <v>13</v>
      </c>
      <c r="D268">
        <v>18</v>
      </c>
      <c r="E268">
        <v>9.33</v>
      </c>
      <c r="F268">
        <v>2092</v>
      </c>
      <c r="G268">
        <v>759</v>
      </c>
      <c r="H268">
        <v>1838</v>
      </c>
      <c r="I268">
        <v>387</v>
      </c>
      <c r="J268">
        <v>576</v>
      </c>
      <c r="K268">
        <v>348</v>
      </c>
      <c r="L268">
        <v>1100</v>
      </c>
      <c r="M268">
        <v>422</v>
      </c>
      <c r="N268">
        <v>227</v>
      </c>
      <c r="O268">
        <v>110</v>
      </c>
      <c r="P268">
        <v>381</v>
      </c>
      <c r="Q268">
        <v>588</v>
      </c>
      <c r="R268">
        <v>267</v>
      </c>
    </row>
    <row r="269" spans="1:18">
      <c r="A269" s="1" t="s">
        <v>215</v>
      </c>
      <c r="B269">
        <v>31</v>
      </c>
      <c r="C269">
        <v>13</v>
      </c>
      <c r="D269">
        <v>18</v>
      </c>
      <c r="E269">
        <v>-1.71</v>
      </c>
      <c r="F269">
        <v>2103</v>
      </c>
      <c r="G269">
        <v>762</v>
      </c>
      <c r="H269">
        <v>1841</v>
      </c>
      <c r="I269">
        <v>419</v>
      </c>
      <c r="J269">
        <v>617</v>
      </c>
      <c r="K269">
        <v>433</v>
      </c>
      <c r="L269">
        <v>1183</v>
      </c>
      <c r="M269">
        <v>378</v>
      </c>
      <c r="N269">
        <v>205</v>
      </c>
      <c r="O269">
        <v>116</v>
      </c>
      <c r="P269">
        <v>444</v>
      </c>
      <c r="Q269">
        <v>516</v>
      </c>
      <c r="R269">
        <v>268</v>
      </c>
    </row>
    <row r="270" spans="1:18">
      <c r="A270" s="1" t="s">
        <v>216</v>
      </c>
      <c r="B270">
        <v>28</v>
      </c>
      <c r="C270">
        <v>12</v>
      </c>
      <c r="D270">
        <v>16</v>
      </c>
      <c r="E270">
        <v>-4.34</v>
      </c>
      <c r="F270">
        <v>1969</v>
      </c>
      <c r="G270">
        <v>684</v>
      </c>
      <c r="H270">
        <v>1618</v>
      </c>
      <c r="I270">
        <v>443</v>
      </c>
      <c r="J270">
        <v>666</v>
      </c>
      <c r="K270">
        <v>375</v>
      </c>
      <c r="L270">
        <v>1024</v>
      </c>
      <c r="M270">
        <v>341</v>
      </c>
      <c r="N270">
        <v>196</v>
      </c>
      <c r="O270">
        <v>138</v>
      </c>
      <c r="P270">
        <v>396</v>
      </c>
      <c r="Q270">
        <v>506</v>
      </c>
      <c r="R270">
        <v>269</v>
      </c>
    </row>
    <row r="271" spans="1:18">
      <c r="A271" s="1" t="s">
        <v>295</v>
      </c>
      <c r="B271">
        <v>32</v>
      </c>
      <c r="C271">
        <v>10</v>
      </c>
      <c r="D271">
        <v>22</v>
      </c>
      <c r="E271">
        <v>-8.57</v>
      </c>
      <c r="F271">
        <v>2119</v>
      </c>
      <c r="G271">
        <v>764</v>
      </c>
      <c r="H271">
        <v>1781</v>
      </c>
      <c r="I271">
        <v>413</v>
      </c>
      <c r="J271">
        <v>612</v>
      </c>
      <c r="K271">
        <v>398</v>
      </c>
      <c r="L271">
        <v>1102</v>
      </c>
      <c r="M271">
        <v>385</v>
      </c>
      <c r="N271">
        <v>193</v>
      </c>
      <c r="O271">
        <v>116</v>
      </c>
      <c r="P271">
        <v>536</v>
      </c>
      <c r="Q271">
        <v>655</v>
      </c>
      <c r="R271">
        <v>270</v>
      </c>
    </row>
    <row r="272" spans="1:18">
      <c r="A272" s="1" t="s">
        <v>351</v>
      </c>
      <c r="B272">
        <v>30</v>
      </c>
      <c r="C272">
        <v>5</v>
      </c>
      <c r="D272">
        <v>25</v>
      </c>
      <c r="E272">
        <v>-0.94</v>
      </c>
      <c r="F272">
        <v>1746</v>
      </c>
      <c r="G272">
        <v>625</v>
      </c>
      <c r="H272">
        <v>1680</v>
      </c>
      <c r="I272">
        <v>282</v>
      </c>
      <c r="J272">
        <v>470</v>
      </c>
      <c r="K272">
        <v>378</v>
      </c>
      <c r="L272">
        <v>1020</v>
      </c>
      <c r="M272">
        <v>341</v>
      </c>
      <c r="N272">
        <v>174</v>
      </c>
      <c r="O272">
        <v>110</v>
      </c>
      <c r="P272">
        <v>440</v>
      </c>
      <c r="Q272">
        <v>554</v>
      </c>
      <c r="R272">
        <v>271</v>
      </c>
    </row>
    <row r="273" spans="1:18">
      <c r="A273" s="1" t="s">
        <v>217</v>
      </c>
      <c r="B273">
        <v>30</v>
      </c>
      <c r="C273">
        <v>14</v>
      </c>
      <c r="D273">
        <v>16</v>
      </c>
      <c r="E273">
        <v>5.6</v>
      </c>
      <c r="F273">
        <v>2027</v>
      </c>
      <c r="G273">
        <v>741</v>
      </c>
      <c r="H273">
        <v>1878</v>
      </c>
      <c r="I273">
        <v>338</v>
      </c>
      <c r="J273">
        <v>510</v>
      </c>
      <c r="K273">
        <v>441</v>
      </c>
      <c r="L273">
        <v>1144</v>
      </c>
      <c r="M273">
        <v>327</v>
      </c>
      <c r="N273">
        <v>208</v>
      </c>
      <c r="O273">
        <v>186</v>
      </c>
      <c r="P273">
        <v>402</v>
      </c>
      <c r="Q273">
        <v>562</v>
      </c>
      <c r="R273">
        <v>272</v>
      </c>
    </row>
    <row r="274" spans="1:18">
      <c r="A274" s="1" t="s">
        <v>341</v>
      </c>
      <c r="B274">
        <v>31</v>
      </c>
      <c r="C274">
        <v>19</v>
      </c>
      <c r="D274">
        <v>12</v>
      </c>
      <c r="E274">
        <v>-4.04</v>
      </c>
      <c r="F274">
        <v>2533</v>
      </c>
      <c r="G274">
        <v>884</v>
      </c>
      <c r="H274">
        <v>1901</v>
      </c>
      <c r="I274">
        <v>489</v>
      </c>
      <c r="J274">
        <v>672</v>
      </c>
      <c r="K274">
        <v>377</v>
      </c>
      <c r="L274">
        <v>1095</v>
      </c>
      <c r="M274">
        <v>471</v>
      </c>
      <c r="N274">
        <v>189</v>
      </c>
      <c r="O274">
        <v>82</v>
      </c>
      <c r="P274">
        <v>308</v>
      </c>
      <c r="Q274">
        <v>567</v>
      </c>
      <c r="R274">
        <v>273</v>
      </c>
    </row>
    <row r="275" spans="1:18">
      <c r="A275" s="1" t="s">
        <v>359</v>
      </c>
      <c r="B275">
        <v>33</v>
      </c>
      <c r="C275">
        <v>18</v>
      </c>
      <c r="D275">
        <v>15</v>
      </c>
      <c r="E275">
        <v>-10.48</v>
      </c>
      <c r="F275">
        <v>2632</v>
      </c>
      <c r="G275">
        <v>939</v>
      </c>
      <c r="H275">
        <v>2063</v>
      </c>
      <c r="I275">
        <v>502</v>
      </c>
      <c r="J275">
        <v>752</v>
      </c>
      <c r="K275">
        <v>374</v>
      </c>
      <c r="L275">
        <v>1268</v>
      </c>
      <c r="M275">
        <v>487</v>
      </c>
      <c r="N275">
        <v>221</v>
      </c>
      <c r="O275">
        <v>94</v>
      </c>
      <c r="P275">
        <v>417</v>
      </c>
      <c r="Q275">
        <v>577</v>
      </c>
      <c r="R275">
        <v>274</v>
      </c>
    </row>
    <row r="276" spans="1:18">
      <c r="A276" s="1" t="s">
        <v>218</v>
      </c>
      <c r="B276">
        <v>33</v>
      </c>
      <c r="C276">
        <v>10</v>
      </c>
      <c r="D276">
        <v>23</v>
      </c>
      <c r="E276">
        <v>8.89</v>
      </c>
      <c r="F276">
        <v>2044</v>
      </c>
      <c r="G276">
        <v>711</v>
      </c>
      <c r="H276">
        <v>1710</v>
      </c>
      <c r="I276">
        <v>463</v>
      </c>
      <c r="J276">
        <v>652</v>
      </c>
      <c r="K276">
        <v>405</v>
      </c>
      <c r="L276">
        <v>1169</v>
      </c>
      <c r="M276">
        <v>407</v>
      </c>
      <c r="N276">
        <v>162</v>
      </c>
      <c r="O276">
        <v>122</v>
      </c>
      <c r="P276">
        <v>496</v>
      </c>
      <c r="Q276">
        <v>632</v>
      </c>
      <c r="R276">
        <v>275</v>
      </c>
    </row>
    <row r="277" spans="1:18">
      <c r="A277" s="1" t="s">
        <v>296</v>
      </c>
      <c r="B277">
        <v>32</v>
      </c>
      <c r="C277">
        <v>10</v>
      </c>
      <c r="D277">
        <v>22</v>
      </c>
      <c r="E277">
        <v>-5.4</v>
      </c>
      <c r="F277">
        <v>2117</v>
      </c>
      <c r="G277">
        <v>731</v>
      </c>
      <c r="H277">
        <v>1678</v>
      </c>
      <c r="I277">
        <v>492</v>
      </c>
      <c r="J277">
        <v>794</v>
      </c>
      <c r="K277">
        <v>346</v>
      </c>
      <c r="L277">
        <v>1112</v>
      </c>
      <c r="M277">
        <v>389</v>
      </c>
      <c r="N277">
        <v>146</v>
      </c>
      <c r="O277">
        <v>120</v>
      </c>
      <c r="P277">
        <v>463</v>
      </c>
      <c r="Q277">
        <v>677</v>
      </c>
      <c r="R277">
        <v>276</v>
      </c>
    </row>
    <row r="278" spans="1:18">
      <c r="A278" s="1" t="s">
        <v>219</v>
      </c>
      <c r="B278">
        <v>29</v>
      </c>
      <c r="C278">
        <v>15</v>
      </c>
      <c r="D278">
        <v>14</v>
      </c>
      <c r="E278">
        <v>-5.4</v>
      </c>
      <c r="F278">
        <v>2031</v>
      </c>
      <c r="G278">
        <v>705</v>
      </c>
      <c r="H278">
        <v>1614</v>
      </c>
      <c r="I278">
        <v>440</v>
      </c>
      <c r="J278">
        <v>610</v>
      </c>
      <c r="K278">
        <v>326</v>
      </c>
      <c r="L278">
        <v>984</v>
      </c>
      <c r="M278">
        <v>415</v>
      </c>
      <c r="N278">
        <v>181</v>
      </c>
      <c r="O278">
        <v>112</v>
      </c>
      <c r="P278">
        <v>389</v>
      </c>
      <c r="Q278">
        <v>570</v>
      </c>
      <c r="R278">
        <v>277</v>
      </c>
    </row>
    <row r="279" spans="1:18">
      <c r="A279" s="1" t="s">
        <v>220</v>
      </c>
      <c r="B279">
        <v>34</v>
      </c>
      <c r="C279">
        <v>19</v>
      </c>
      <c r="D279">
        <v>15</v>
      </c>
      <c r="E279">
        <v>7.97</v>
      </c>
      <c r="F279">
        <v>2252</v>
      </c>
      <c r="G279">
        <v>813</v>
      </c>
      <c r="H279">
        <v>1832</v>
      </c>
      <c r="I279">
        <v>422</v>
      </c>
      <c r="J279">
        <v>648</v>
      </c>
      <c r="K279">
        <v>340</v>
      </c>
      <c r="L279">
        <v>1153</v>
      </c>
      <c r="M279">
        <v>402</v>
      </c>
      <c r="N279">
        <v>199</v>
      </c>
      <c r="O279">
        <v>104</v>
      </c>
      <c r="P279">
        <v>390</v>
      </c>
      <c r="Q279">
        <v>589</v>
      </c>
      <c r="R279">
        <v>278</v>
      </c>
    </row>
    <row r="280" spans="1:18">
      <c r="A280" s="1" t="s">
        <v>355</v>
      </c>
      <c r="B280">
        <v>29</v>
      </c>
      <c r="C280">
        <v>8</v>
      </c>
      <c r="D280">
        <v>21</v>
      </c>
      <c r="E280">
        <v>-3.67</v>
      </c>
      <c r="F280">
        <v>1879</v>
      </c>
      <c r="G280">
        <v>668</v>
      </c>
      <c r="H280">
        <v>1584</v>
      </c>
      <c r="I280">
        <v>346</v>
      </c>
      <c r="J280">
        <v>517</v>
      </c>
      <c r="K280">
        <v>246</v>
      </c>
      <c r="L280">
        <v>895</v>
      </c>
      <c r="M280">
        <v>386</v>
      </c>
      <c r="N280">
        <v>167</v>
      </c>
      <c r="O280">
        <v>83</v>
      </c>
      <c r="P280">
        <v>489</v>
      </c>
      <c r="Q280">
        <v>589</v>
      </c>
      <c r="R280">
        <v>279</v>
      </c>
    </row>
    <row r="281" spans="1:18">
      <c r="A281" s="1" t="s">
        <v>221</v>
      </c>
      <c r="B281">
        <v>32</v>
      </c>
      <c r="C281">
        <v>13</v>
      </c>
      <c r="D281">
        <v>19</v>
      </c>
      <c r="E281">
        <v>1.48</v>
      </c>
      <c r="F281">
        <v>1953</v>
      </c>
      <c r="G281">
        <v>691</v>
      </c>
      <c r="H281">
        <v>1618</v>
      </c>
      <c r="I281">
        <v>430</v>
      </c>
      <c r="J281">
        <v>621</v>
      </c>
      <c r="K281">
        <v>316</v>
      </c>
      <c r="L281">
        <v>1059</v>
      </c>
      <c r="M281">
        <v>365</v>
      </c>
      <c r="N281">
        <v>179</v>
      </c>
      <c r="O281">
        <v>82</v>
      </c>
      <c r="P281">
        <v>456</v>
      </c>
      <c r="Q281">
        <v>634</v>
      </c>
      <c r="R281">
        <v>280</v>
      </c>
    </row>
    <row r="282" spans="1:18">
      <c r="A282" s="1" t="s">
        <v>222</v>
      </c>
      <c r="B282">
        <v>35</v>
      </c>
      <c r="C282">
        <v>20</v>
      </c>
      <c r="D282">
        <v>15</v>
      </c>
      <c r="E282">
        <v>-0.39</v>
      </c>
      <c r="F282">
        <v>2262</v>
      </c>
      <c r="G282">
        <v>788</v>
      </c>
      <c r="H282">
        <v>1634</v>
      </c>
      <c r="I282">
        <v>409</v>
      </c>
      <c r="J282">
        <v>551</v>
      </c>
      <c r="K282">
        <v>222</v>
      </c>
      <c r="L282">
        <v>966</v>
      </c>
      <c r="M282">
        <v>488</v>
      </c>
      <c r="N282">
        <v>217</v>
      </c>
      <c r="O282">
        <v>107</v>
      </c>
      <c r="P282">
        <v>490</v>
      </c>
      <c r="Q282">
        <v>572</v>
      </c>
      <c r="R282">
        <v>281</v>
      </c>
    </row>
    <row r="283" spans="1:18">
      <c r="A283" s="1" t="s">
        <v>223</v>
      </c>
      <c r="B283">
        <v>32</v>
      </c>
      <c r="C283">
        <v>22</v>
      </c>
      <c r="D283">
        <v>10</v>
      </c>
      <c r="E283">
        <v>1.9</v>
      </c>
      <c r="F283">
        <v>2371</v>
      </c>
      <c r="G283">
        <v>825</v>
      </c>
      <c r="H283">
        <v>1821</v>
      </c>
      <c r="I283">
        <v>549</v>
      </c>
      <c r="J283">
        <v>752</v>
      </c>
      <c r="K283">
        <v>439</v>
      </c>
      <c r="L283">
        <v>1228</v>
      </c>
      <c r="M283">
        <v>380</v>
      </c>
      <c r="N283">
        <v>178</v>
      </c>
      <c r="O283">
        <v>114</v>
      </c>
      <c r="P283">
        <v>379</v>
      </c>
      <c r="Q283">
        <v>614</v>
      </c>
      <c r="R283">
        <v>282</v>
      </c>
    </row>
    <row r="284" spans="1:18">
      <c r="A284" s="1" t="s">
        <v>224</v>
      </c>
      <c r="B284">
        <v>30</v>
      </c>
      <c r="C284">
        <v>11</v>
      </c>
      <c r="D284">
        <v>19</v>
      </c>
      <c r="E284">
        <v>-3.44</v>
      </c>
      <c r="F284">
        <v>2077</v>
      </c>
      <c r="G284">
        <v>736</v>
      </c>
      <c r="H284">
        <v>1572</v>
      </c>
      <c r="I284">
        <v>508</v>
      </c>
      <c r="J284">
        <v>716</v>
      </c>
      <c r="K284">
        <v>340</v>
      </c>
      <c r="L284">
        <v>1011</v>
      </c>
      <c r="M284">
        <v>423</v>
      </c>
      <c r="N284">
        <v>161</v>
      </c>
      <c r="O284">
        <v>135</v>
      </c>
      <c r="P284">
        <v>479</v>
      </c>
      <c r="Q284">
        <v>651</v>
      </c>
      <c r="R284">
        <v>283</v>
      </c>
    </row>
    <row r="285" spans="1:18">
      <c r="A285" s="1" t="s">
        <v>225</v>
      </c>
      <c r="B285">
        <v>30</v>
      </c>
      <c r="C285">
        <v>4</v>
      </c>
      <c r="D285">
        <v>26</v>
      </c>
      <c r="E285">
        <v>-9.4700000000000006</v>
      </c>
      <c r="F285">
        <v>1701</v>
      </c>
      <c r="G285">
        <v>610</v>
      </c>
      <c r="H285">
        <v>1597</v>
      </c>
      <c r="I285">
        <v>328</v>
      </c>
      <c r="J285">
        <v>550</v>
      </c>
      <c r="K285">
        <v>318</v>
      </c>
      <c r="L285">
        <v>988</v>
      </c>
      <c r="M285">
        <v>350</v>
      </c>
      <c r="N285">
        <v>165</v>
      </c>
      <c r="O285">
        <v>100</v>
      </c>
      <c r="P285">
        <v>498</v>
      </c>
      <c r="Q285">
        <v>507</v>
      </c>
      <c r="R285">
        <v>284</v>
      </c>
    </row>
    <row r="286" spans="1:18">
      <c r="A286" s="1" t="s">
        <v>297</v>
      </c>
      <c r="B286">
        <v>31</v>
      </c>
      <c r="C286">
        <v>16</v>
      </c>
      <c r="D286">
        <v>15</v>
      </c>
      <c r="E286">
        <v>1.73</v>
      </c>
      <c r="F286">
        <v>2156</v>
      </c>
      <c r="G286">
        <v>744</v>
      </c>
      <c r="H286">
        <v>1632</v>
      </c>
      <c r="I286">
        <v>499</v>
      </c>
      <c r="J286">
        <v>714</v>
      </c>
      <c r="K286">
        <v>339</v>
      </c>
      <c r="L286">
        <v>1109</v>
      </c>
      <c r="M286">
        <v>398</v>
      </c>
      <c r="N286">
        <v>156</v>
      </c>
      <c r="O286">
        <v>106</v>
      </c>
      <c r="P286">
        <v>459</v>
      </c>
      <c r="Q286">
        <v>562</v>
      </c>
      <c r="R286">
        <v>285</v>
      </c>
    </row>
    <row r="287" spans="1:18">
      <c r="A287" s="1" t="s">
        <v>226</v>
      </c>
      <c r="B287">
        <v>30</v>
      </c>
      <c r="C287">
        <v>15</v>
      </c>
      <c r="D287">
        <v>15</v>
      </c>
      <c r="E287">
        <v>-5.85</v>
      </c>
      <c r="F287">
        <v>2002</v>
      </c>
      <c r="G287">
        <v>673</v>
      </c>
      <c r="H287">
        <v>1685</v>
      </c>
      <c r="I287">
        <v>447</v>
      </c>
      <c r="J287">
        <v>675</v>
      </c>
      <c r="K287">
        <v>363</v>
      </c>
      <c r="L287">
        <v>989</v>
      </c>
      <c r="M287">
        <v>349</v>
      </c>
      <c r="N287">
        <v>234</v>
      </c>
      <c r="O287">
        <v>72</v>
      </c>
      <c r="P287">
        <v>399</v>
      </c>
      <c r="Q287">
        <v>641</v>
      </c>
      <c r="R287">
        <v>286</v>
      </c>
    </row>
    <row r="288" spans="1:18">
      <c r="A288" s="1" t="s">
        <v>298</v>
      </c>
      <c r="B288">
        <v>33</v>
      </c>
      <c r="C288">
        <v>21</v>
      </c>
      <c r="D288">
        <v>12</v>
      </c>
      <c r="E288">
        <v>10.01</v>
      </c>
      <c r="F288">
        <v>2313</v>
      </c>
      <c r="G288">
        <v>807</v>
      </c>
      <c r="H288">
        <v>1773</v>
      </c>
      <c r="I288">
        <v>556</v>
      </c>
      <c r="J288">
        <v>783</v>
      </c>
      <c r="K288">
        <v>354</v>
      </c>
      <c r="L288">
        <v>1068</v>
      </c>
      <c r="M288">
        <v>417</v>
      </c>
      <c r="N288">
        <v>266</v>
      </c>
      <c r="O288">
        <v>94</v>
      </c>
      <c r="P288">
        <v>408</v>
      </c>
      <c r="Q288">
        <v>626</v>
      </c>
      <c r="R288">
        <v>287</v>
      </c>
    </row>
    <row r="289" spans="1:18">
      <c r="A289" s="1" t="s">
        <v>342</v>
      </c>
      <c r="B289">
        <v>31</v>
      </c>
      <c r="C289">
        <v>15</v>
      </c>
      <c r="D289">
        <v>16</v>
      </c>
      <c r="E289">
        <v>5.17</v>
      </c>
      <c r="F289">
        <v>2058</v>
      </c>
      <c r="G289">
        <v>722</v>
      </c>
      <c r="H289">
        <v>1676</v>
      </c>
      <c r="I289">
        <v>416</v>
      </c>
      <c r="J289">
        <v>632</v>
      </c>
      <c r="K289">
        <v>341</v>
      </c>
      <c r="L289">
        <v>1056</v>
      </c>
      <c r="M289">
        <v>360</v>
      </c>
      <c r="N289">
        <v>149</v>
      </c>
      <c r="O289">
        <v>106</v>
      </c>
      <c r="P289">
        <v>416</v>
      </c>
      <c r="Q289">
        <v>572</v>
      </c>
      <c r="R289">
        <v>288</v>
      </c>
    </row>
    <row r="290" spans="1:18">
      <c r="A290" s="1" t="s">
        <v>227</v>
      </c>
      <c r="B290">
        <v>29</v>
      </c>
      <c r="C290">
        <v>18</v>
      </c>
      <c r="D290">
        <v>11</v>
      </c>
      <c r="E290">
        <v>-7.73</v>
      </c>
      <c r="F290">
        <v>1926</v>
      </c>
      <c r="G290">
        <v>703</v>
      </c>
      <c r="H290">
        <v>1536</v>
      </c>
      <c r="I290">
        <v>408</v>
      </c>
      <c r="J290">
        <v>566</v>
      </c>
      <c r="K290">
        <v>358</v>
      </c>
      <c r="L290">
        <v>1029</v>
      </c>
      <c r="M290">
        <v>424</v>
      </c>
      <c r="N290">
        <v>200</v>
      </c>
      <c r="O290">
        <v>40</v>
      </c>
      <c r="P290">
        <v>404</v>
      </c>
      <c r="Q290">
        <v>511</v>
      </c>
      <c r="R290">
        <v>289</v>
      </c>
    </row>
    <row r="291" spans="1:18">
      <c r="A291" s="1" t="s">
        <v>228</v>
      </c>
      <c r="B291">
        <v>31</v>
      </c>
      <c r="C291">
        <v>8</v>
      </c>
      <c r="D291">
        <v>23</v>
      </c>
      <c r="E291">
        <v>-2.86</v>
      </c>
      <c r="F291">
        <v>1986</v>
      </c>
      <c r="G291">
        <v>701</v>
      </c>
      <c r="H291">
        <v>1641</v>
      </c>
      <c r="I291">
        <v>420</v>
      </c>
      <c r="J291">
        <v>677</v>
      </c>
      <c r="K291">
        <v>365</v>
      </c>
      <c r="L291">
        <v>1025</v>
      </c>
      <c r="M291">
        <v>295</v>
      </c>
      <c r="N291">
        <v>235</v>
      </c>
      <c r="O291">
        <v>90</v>
      </c>
      <c r="P291">
        <v>501</v>
      </c>
      <c r="Q291">
        <v>660</v>
      </c>
      <c r="R291">
        <v>290</v>
      </c>
    </row>
    <row r="292" spans="1:18">
      <c r="A292" s="1" t="s">
        <v>229</v>
      </c>
      <c r="B292">
        <v>32</v>
      </c>
      <c r="C292">
        <v>15</v>
      </c>
      <c r="D292">
        <v>17</v>
      </c>
      <c r="E292">
        <v>-6.2</v>
      </c>
      <c r="F292">
        <v>1951</v>
      </c>
      <c r="G292">
        <v>679</v>
      </c>
      <c r="H292">
        <v>1777</v>
      </c>
      <c r="I292">
        <v>372</v>
      </c>
      <c r="J292">
        <v>565</v>
      </c>
      <c r="K292">
        <v>375</v>
      </c>
      <c r="L292">
        <v>1168</v>
      </c>
      <c r="M292">
        <v>305</v>
      </c>
      <c r="N292">
        <v>172</v>
      </c>
      <c r="O292">
        <v>89</v>
      </c>
      <c r="P292">
        <v>395</v>
      </c>
      <c r="Q292">
        <v>568</v>
      </c>
      <c r="R292">
        <v>291</v>
      </c>
    </row>
    <row r="293" spans="1:18">
      <c r="A293" s="1" t="s">
        <v>313</v>
      </c>
      <c r="B293">
        <v>35</v>
      </c>
      <c r="C293">
        <v>27</v>
      </c>
      <c r="D293">
        <v>8</v>
      </c>
      <c r="E293">
        <v>8.7899999999999991</v>
      </c>
      <c r="F293">
        <v>2568</v>
      </c>
      <c r="G293">
        <v>936</v>
      </c>
      <c r="H293">
        <v>1983</v>
      </c>
      <c r="I293">
        <v>474</v>
      </c>
      <c r="J293">
        <v>713</v>
      </c>
      <c r="K293">
        <v>429</v>
      </c>
      <c r="L293">
        <v>1308</v>
      </c>
      <c r="M293">
        <v>566</v>
      </c>
      <c r="N293">
        <v>304</v>
      </c>
      <c r="O293">
        <v>231</v>
      </c>
      <c r="P293">
        <v>433</v>
      </c>
      <c r="Q293">
        <v>544</v>
      </c>
      <c r="R293">
        <v>292</v>
      </c>
    </row>
    <row r="294" spans="1:18">
      <c r="A294" s="1" t="s">
        <v>314</v>
      </c>
      <c r="B294">
        <v>34</v>
      </c>
      <c r="C294">
        <v>26</v>
      </c>
      <c r="D294">
        <v>8</v>
      </c>
      <c r="E294">
        <v>4.2300000000000004</v>
      </c>
      <c r="F294">
        <v>2400</v>
      </c>
      <c r="G294">
        <v>868</v>
      </c>
      <c r="H294">
        <v>1943</v>
      </c>
      <c r="I294">
        <v>458</v>
      </c>
      <c r="J294">
        <v>656</v>
      </c>
      <c r="K294">
        <v>374</v>
      </c>
      <c r="L294">
        <v>1218</v>
      </c>
      <c r="M294">
        <v>511</v>
      </c>
      <c r="N294">
        <v>231</v>
      </c>
      <c r="O294">
        <v>156</v>
      </c>
      <c r="P294">
        <v>368</v>
      </c>
      <c r="Q294">
        <v>538</v>
      </c>
      <c r="R294">
        <v>293</v>
      </c>
    </row>
    <row r="295" spans="1:18">
      <c r="A295" s="1" t="s">
        <v>230</v>
      </c>
      <c r="B295">
        <v>33</v>
      </c>
      <c r="C295">
        <v>12</v>
      </c>
      <c r="D295">
        <v>21</v>
      </c>
      <c r="E295">
        <v>-5</v>
      </c>
      <c r="F295">
        <v>2264</v>
      </c>
      <c r="G295">
        <v>777</v>
      </c>
      <c r="H295">
        <v>1836</v>
      </c>
      <c r="I295">
        <v>529</v>
      </c>
      <c r="J295">
        <v>715</v>
      </c>
      <c r="K295">
        <v>358</v>
      </c>
      <c r="L295">
        <v>1088</v>
      </c>
      <c r="M295">
        <v>362</v>
      </c>
      <c r="N295">
        <v>221</v>
      </c>
      <c r="O295">
        <v>87</v>
      </c>
      <c r="P295">
        <v>504</v>
      </c>
      <c r="Q295">
        <v>673</v>
      </c>
      <c r="R295">
        <v>294</v>
      </c>
    </row>
    <row r="296" spans="1:18">
      <c r="A296" s="1" t="s">
        <v>231</v>
      </c>
      <c r="B296">
        <v>30</v>
      </c>
      <c r="C296">
        <v>14</v>
      </c>
      <c r="D296">
        <v>16</v>
      </c>
      <c r="E296">
        <v>-4.7300000000000004</v>
      </c>
      <c r="F296">
        <v>2044</v>
      </c>
      <c r="G296">
        <v>676</v>
      </c>
      <c r="H296">
        <v>1587</v>
      </c>
      <c r="I296">
        <v>476</v>
      </c>
      <c r="J296">
        <v>625</v>
      </c>
      <c r="K296">
        <v>331</v>
      </c>
      <c r="L296">
        <v>994</v>
      </c>
      <c r="M296">
        <v>373</v>
      </c>
      <c r="N296">
        <v>197</v>
      </c>
      <c r="O296">
        <v>104</v>
      </c>
      <c r="P296">
        <v>451</v>
      </c>
      <c r="Q296">
        <v>559</v>
      </c>
      <c r="R296">
        <v>295</v>
      </c>
    </row>
    <row r="297" spans="1:18">
      <c r="A297" s="1" t="s">
        <v>232</v>
      </c>
      <c r="B297">
        <v>33</v>
      </c>
      <c r="C297">
        <v>20</v>
      </c>
      <c r="D297">
        <v>13</v>
      </c>
      <c r="E297">
        <v>-5.77</v>
      </c>
      <c r="F297">
        <v>2462</v>
      </c>
      <c r="G297">
        <v>890</v>
      </c>
      <c r="H297">
        <v>1863</v>
      </c>
      <c r="I297">
        <v>530</v>
      </c>
      <c r="J297">
        <v>799</v>
      </c>
      <c r="K297">
        <v>390</v>
      </c>
      <c r="L297">
        <v>1214</v>
      </c>
      <c r="M297">
        <v>462</v>
      </c>
      <c r="N297">
        <v>279</v>
      </c>
      <c r="O297">
        <v>72</v>
      </c>
      <c r="P297">
        <v>537</v>
      </c>
      <c r="Q297">
        <v>666</v>
      </c>
      <c r="R297">
        <v>296</v>
      </c>
    </row>
    <row r="298" spans="1:18">
      <c r="A298" s="1" t="s">
        <v>315</v>
      </c>
      <c r="B298">
        <v>34</v>
      </c>
      <c r="C298">
        <v>19</v>
      </c>
      <c r="D298">
        <v>15</v>
      </c>
      <c r="E298">
        <v>8.73</v>
      </c>
      <c r="F298">
        <v>2376</v>
      </c>
      <c r="G298">
        <v>837</v>
      </c>
      <c r="H298">
        <v>1941</v>
      </c>
      <c r="I298">
        <v>527</v>
      </c>
      <c r="J298">
        <v>770</v>
      </c>
      <c r="K298">
        <v>464</v>
      </c>
      <c r="L298">
        <v>1279</v>
      </c>
      <c r="M298">
        <v>443</v>
      </c>
      <c r="N298">
        <v>250</v>
      </c>
      <c r="O298">
        <v>126</v>
      </c>
      <c r="P298">
        <v>454</v>
      </c>
      <c r="Q298">
        <v>662</v>
      </c>
      <c r="R298">
        <v>297</v>
      </c>
    </row>
    <row r="299" spans="1:18">
      <c r="A299" s="1" t="s">
        <v>323</v>
      </c>
      <c r="B299">
        <v>31</v>
      </c>
      <c r="C299">
        <v>10</v>
      </c>
      <c r="D299">
        <v>21</v>
      </c>
      <c r="E299">
        <v>-2.09</v>
      </c>
      <c r="F299">
        <v>1943</v>
      </c>
      <c r="G299">
        <v>684</v>
      </c>
      <c r="H299">
        <v>1583</v>
      </c>
      <c r="I299">
        <v>430</v>
      </c>
      <c r="J299">
        <v>668</v>
      </c>
      <c r="K299">
        <v>363</v>
      </c>
      <c r="L299">
        <v>1045</v>
      </c>
      <c r="M299">
        <v>350</v>
      </c>
      <c r="N299">
        <v>199</v>
      </c>
      <c r="O299">
        <v>109</v>
      </c>
      <c r="P299">
        <v>540</v>
      </c>
      <c r="Q299">
        <v>555</v>
      </c>
      <c r="R299">
        <v>298</v>
      </c>
    </row>
    <row r="300" spans="1:18">
      <c r="A300" s="1" t="s">
        <v>233</v>
      </c>
      <c r="B300">
        <v>33</v>
      </c>
      <c r="C300">
        <v>24</v>
      </c>
      <c r="D300">
        <v>9</v>
      </c>
      <c r="E300">
        <v>5.94</v>
      </c>
      <c r="F300">
        <v>2254</v>
      </c>
      <c r="G300">
        <v>758</v>
      </c>
      <c r="H300">
        <v>1719</v>
      </c>
      <c r="I300">
        <v>557</v>
      </c>
      <c r="J300">
        <v>799</v>
      </c>
      <c r="K300">
        <v>412</v>
      </c>
      <c r="L300">
        <v>1193</v>
      </c>
      <c r="M300">
        <v>444</v>
      </c>
      <c r="N300">
        <v>215</v>
      </c>
      <c r="O300">
        <v>51</v>
      </c>
      <c r="P300">
        <v>426</v>
      </c>
      <c r="Q300">
        <v>602</v>
      </c>
      <c r="R300">
        <v>299</v>
      </c>
    </row>
    <row r="301" spans="1:18">
      <c r="A301" s="1" t="s">
        <v>234</v>
      </c>
      <c r="B301">
        <v>29</v>
      </c>
      <c r="C301">
        <v>13</v>
      </c>
      <c r="D301">
        <v>16</v>
      </c>
      <c r="E301">
        <v>-5.47</v>
      </c>
      <c r="F301">
        <v>2055</v>
      </c>
      <c r="G301">
        <v>712</v>
      </c>
      <c r="H301">
        <v>1616</v>
      </c>
      <c r="I301">
        <v>419</v>
      </c>
      <c r="J301">
        <v>594</v>
      </c>
      <c r="K301">
        <v>327</v>
      </c>
      <c r="L301">
        <v>1050</v>
      </c>
      <c r="M301">
        <v>362</v>
      </c>
      <c r="N301">
        <v>199</v>
      </c>
      <c r="O301">
        <v>77</v>
      </c>
      <c r="P301">
        <v>510</v>
      </c>
      <c r="Q301">
        <v>624</v>
      </c>
      <c r="R301">
        <v>300</v>
      </c>
    </row>
    <row r="302" spans="1:18">
      <c r="A302" s="1" t="s">
        <v>235</v>
      </c>
      <c r="B302">
        <v>33</v>
      </c>
      <c r="C302">
        <v>11</v>
      </c>
      <c r="D302">
        <v>22</v>
      </c>
      <c r="E302">
        <v>3.93</v>
      </c>
      <c r="F302">
        <v>2220</v>
      </c>
      <c r="G302">
        <v>821</v>
      </c>
      <c r="H302">
        <v>1883</v>
      </c>
      <c r="I302">
        <v>364</v>
      </c>
      <c r="J302">
        <v>540</v>
      </c>
      <c r="K302">
        <v>315</v>
      </c>
      <c r="L302">
        <v>1084</v>
      </c>
      <c r="M302">
        <v>474</v>
      </c>
      <c r="N302">
        <v>208</v>
      </c>
      <c r="O302">
        <v>74</v>
      </c>
      <c r="P302">
        <v>418</v>
      </c>
      <c r="Q302">
        <v>634</v>
      </c>
      <c r="R302">
        <v>301</v>
      </c>
    </row>
    <row r="303" spans="1:18">
      <c r="A303" s="1" t="s">
        <v>236</v>
      </c>
      <c r="B303">
        <v>35</v>
      </c>
      <c r="C303">
        <v>25</v>
      </c>
      <c r="D303">
        <v>10</v>
      </c>
      <c r="E303">
        <v>2.4700000000000002</v>
      </c>
      <c r="F303">
        <v>2470</v>
      </c>
      <c r="G303">
        <v>878</v>
      </c>
      <c r="H303">
        <v>1886</v>
      </c>
      <c r="I303">
        <v>515</v>
      </c>
      <c r="J303">
        <v>769</v>
      </c>
      <c r="K303">
        <v>289</v>
      </c>
      <c r="L303">
        <v>1182</v>
      </c>
      <c r="M303">
        <v>538</v>
      </c>
      <c r="N303">
        <v>237</v>
      </c>
      <c r="O303">
        <v>133</v>
      </c>
      <c r="P303">
        <v>438</v>
      </c>
      <c r="Q303">
        <v>651</v>
      </c>
      <c r="R303">
        <v>302</v>
      </c>
    </row>
    <row r="304" spans="1:18">
      <c r="A304" s="1" t="s">
        <v>237</v>
      </c>
      <c r="B304">
        <v>31</v>
      </c>
      <c r="C304">
        <v>6</v>
      </c>
      <c r="D304">
        <v>25</v>
      </c>
      <c r="E304">
        <v>-6.41</v>
      </c>
      <c r="F304">
        <v>2114</v>
      </c>
      <c r="G304">
        <v>695</v>
      </c>
      <c r="H304">
        <v>1638</v>
      </c>
      <c r="I304">
        <v>481</v>
      </c>
      <c r="J304">
        <v>710</v>
      </c>
      <c r="K304">
        <v>311</v>
      </c>
      <c r="L304">
        <v>984</v>
      </c>
      <c r="M304">
        <v>380</v>
      </c>
      <c r="N304">
        <v>178</v>
      </c>
      <c r="O304">
        <v>54</v>
      </c>
      <c r="P304">
        <v>475</v>
      </c>
      <c r="Q304">
        <v>641</v>
      </c>
      <c r="R304">
        <v>303</v>
      </c>
    </row>
    <row r="305" spans="1:18">
      <c r="A305" s="1" t="s">
        <v>238</v>
      </c>
      <c r="B305">
        <v>34</v>
      </c>
      <c r="C305">
        <v>20</v>
      </c>
      <c r="D305">
        <v>14</v>
      </c>
      <c r="E305">
        <v>-4.93</v>
      </c>
      <c r="F305">
        <v>2384</v>
      </c>
      <c r="G305">
        <v>802</v>
      </c>
      <c r="H305">
        <v>1871</v>
      </c>
      <c r="I305">
        <v>546</v>
      </c>
      <c r="J305">
        <v>774</v>
      </c>
      <c r="K305">
        <v>362</v>
      </c>
      <c r="L305">
        <v>1186</v>
      </c>
      <c r="M305">
        <v>430</v>
      </c>
      <c r="N305">
        <v>240</v>
      </c>
      <c r="O305">
        <v>76</v>
      </c>
      <c r="P305">
        <v>461</v>
      </c>
      <c r="Q305">
        <v>657</v>
      </c>
      <c r="R305">
        <v>304</v>
      </c>
    </row>
    <row r="306" spans="1:18">
      <c r="A306" s="1" t="s">
        <v>239</v>
      </c>
      <c r="B306">
        <v>32</v>
      </c>
      <c r="C306">
        <v>19</v>
      </c>
      <c r="D306">
        <v>13</v>
      </c>
      <c r="E306">
        <v>-9.02</v>
      </c>
      <c r="F306">
        <v>2056</v>
      </c>
      <c r="G306">
        <v>691</v>
      </c>
      <c r="H306">
        <v>1622</v>
      </c>
      <c r="I306">
        <v>489</v>
      </c>
      <c r="J306">
        <v>774</v>
      </c>
      <c r="K306">
        <v>328</v>
      </c>
      <c r="L306">
        <v>1106</v>
      </c>
      <c r="M306">
        <v>392</v>
      </c>
      <c r="N306">
        <v>258</v>
      </c>
      <c r="O306">
        <v>111</v>
      </c>
      <c r="P306">
        <v>527</v>
      </c>
      <c r="Q306">
        <v>598</v>
      </c>
      <c r="R306">
        <v>305</v>
      </c>
    </row>
    <row r="307" spans="1:18">
      <c r="A307" s="1" t="s">
        <v>240</v>
      </c>
      <c r="B307">
        <v>32</v>
      </c>
      <c r="C307">
        <v>16</v>
      </c>
      <c r="D307">
        <v>16</v>
      </c>
      <c r="E307">
        <v>-5.89</v>
      </c>
      <c r="F307">
        <v>2506</v>
      </c>
      <c r="G307">
        <v>866</v>
      </c>
      <c r="H307">
        <v>1930</v>
      </c>
      <c r="I307">
        <v>589</v>
      </c>
      <c r="J307">
        <v>877</v>
      </c>
      <c r="K307">
        <v>400</v>
      </c>
      <c r="L307">
        <v>1194</v>
      </c>
      <c r="M307">
        <v>440</v>
      </c>
      <c r="N307">
        <v>247</v>
      </c>
      <c r="O307">
        <v>104</v>
      </c>
      <c r="P307">
        <v>489</v>
      </c>
      <c r="Q307">
        <v>699</v>
      </c>
      <c r="R307">
        <v>306</v>
      </c>
    </row>
    <row r="308" spans="1:18">
      <c r="A308" s="1" t="s">
        <v>241</v>
      </c>
      <c r="B308">
        <v>32</v>
      </c>
      <c r="C308">
        <v>13</v>
      </c>
      <c r="D308">
        <v>19</v>
      </c>
      <c r="E308">
        <v>6.18</v>
      </c>
      <c r="F308">
        <v>2342</v>
      </c>
      <c r="G308">
        <v>824</v>
      </c>
      <c r="H308">
        <v>1853</v>
      </c>
      <c r="I308">
        <v>515</v>
      </c>
      <c r="J308">
        <v>706</v>
      </c>
      <c r="K308">
        <v>361</v>
      </c>
      <c r="L308">
        <v>1080</v>
      </c>
      <c r="M308">
        <v>426</v>
      </c>
      <c r="N308">
        <v>190</v>
      </c>
      <c r="O308">
        <v>138</v>
      </c>
      <c r="P308">
        <v>442</v>
      </c>
      <c r="Q308">
        <v>640</v>
      </c>
      <c r="R308">
        <v>307</v>
      </c>
    </row>
    <row r="309" spans="1:18">
      <c r="A309" s="1" t="s">
        <v>362</v>
      </c>
      <c r="B309">
        <v>36</v>
      </c>
      <c r="C309">
        <v>28</v>
      </c>
      <c r="D309">
        <v>8</v>
      </c>
      <c r="E309">
        <v>7.96</v>
      </c>
      <c r="F309">
        <v>2701</v>
      </c>
      <c r="G309">
        <v>954</v>
      </c>
      <c r="H309">
        <v>2099</v>
      </c>
      <c r="I309">
        <v>592</v>
      </c>
      <c r="J309">
        <v>905</v>
      </c>
      <c r="K309">
        <v>494</v>
      </c>
      <c r="L309">
        <v>1452</v>
      </c>
      <c r="M309">
        <v>485</v>
      </c>
      <c r="N309">
        <v>207</v>
      </c>
      <c r="O309">
        <v>183</v>
      </c>
      <c r="P309">
        <v>425</v>
      </c>
      <c r="Q309">
        <v>616</v>
      </c>
      <c r="R309">
        <v>308</v>
      </c>
    </row>
    <row r="310" spans="1:18">
      <c r="A310" s="1" t="s">
        <v>242</v>
      </c>
      <c r="B310">
        <v>32</v>
      </c>
      <c r="C310">
        <v>4</v>
      </c>
      <c r="D310">
        <v>28</v>
      </c>
      <c r="E310">
        <v>-0.88</v>
      </c>
      <c r="F310">
        <v>1853</v>
      </c>
      <c r="G310">
        <v>635</v>
      </c>
      <c r="H310">
        <v>1557</v>
      </c>
      <c r="I310">
        <v>413</v>
      </c>
      <c r="J310">
        <v>658</v>
      </c>
      <c r="K310">
        <v>304</v>
      </c>
      <c r="L310">
        <v>1002</v>
      </c>
      <c r="M310">
        <v>392</v>
      </c>
      <c r="N310">
        <v>174</v>
      </c>
      <c r="O310">
        <v>47</v>
      </c>
      <c r="P310">
        <v>509</v>
      </c>
      <c r="Q310">
        <v>538</v>
      </c>
      <c r="R310">
        <v>309</v>
      </c>
    </row>
    <row r="311" spans="1:18">
      <c r="A311" s="1" t="s">
        <v>243</v>
      </c>
      <c r="B311">
        <v>30</v>
      </c>
      <c r="C311">
        <v>4</v>
      </c>
      <c r="D311">
        <v>26</v>
      </c>
      <c r="E311">
        <v>-0.52</v>
      </c>
      <c r="F311">
        <v>2053</v>
      </c>
      <c r="G311">
        <v>715</v>
      </c>
      <c r="H311">
        <v>1633</v>
      </c>
      <c r="I311">
        <v>444</v>
      </c>
      <c r="J311">
        <v>614</v>
      </c>
      <c r="K311">
        <v>306</v>
      </c>
      <c r="L311">
        <v>934</v>
      </c>
      <c r="M311">
        <v>342</v>
      </c>
      <c r="N311">
        <v>174</v>
      </c>
      <c r="O311">
        <v>87</v>
      </c>
      <c r="P311">
        <v>361</v>
      </c>
      <c r="Q311">
        <v>517</v>
      </c>
      <c r="R311">
        <v>310</v>
      </c>
    </row>
    <row r="312" spans="1:18">
      <c r="A312" s="1" t="s">
        <v>244</v>
      </c>
      <c r="B312">
        <v>29</v>
      </c>
      <c r="C312">
        <v>8</v>
      </c>
      <c r="D312">
        <v>21</v>
      </c>
      <c r="E312">
        <v>-2.0499999999999998</v>
      </c>
      <c r="F312">
        <v>2076</v>
      </c>
      <c r="G312">
        <v>733</v>
      </c>
      <c r="H312">
        <v>1796</v>
      </c>
      <c r="I312">
        <v>355</v>
      </c>
      <c r="J312">
        <v>536</v>
      </c>
      <c r="K312">
        <v>358</v>
      </c>
      <c r="L312">
        <v>1094</v>
      </c>
      <c r="M312">
        <v>395</v>
      </c>
      <c r="N312">
        <v>193</v>
      </c>
      <c r="O312">
        <v>104</v>
      </c>
      <c r="P312">
        <v>414</v>
      </c>
      <c r="Q312">
        <v>509</v>
      </c>
      <c r="R312">
        <v>311</v>
      </c>
    </row>
    <row r="313" spans="1:18">
      <c r="A313" s="1" t="s">
        <v>245</v>
      </c>
      <c r="B313">
        <v>30</v>
      </c>
      <c r="C313">
        <v>13</v>
      </c>
      <c r="D313">
        <v>17</v>
      </c>
      <c r="E313">
        <v>-0.68</v>
      </c>
      <c r="F313">
        <v>2057</v>
      </c>
      <c r="G313">
        <v>708</v>
      </c>
      <c r="H313">
        <v>1646</v>
      </c>
      <c r="I313">
        <v>411</v>
      </c>
      <c r="J313">
        <v>597</v>
      </c>
      <c r="K313">
        <v>324</v>
      </c>
      <c r="L313">
        <v>956</v>
      </c>
      <c r="M313">
        <v>403</v>
      </c>
      <c r="N313">
        <v>208</v>
      </c>
      <c r="O313">
        <v>82</v>
      </c>
      <c r="P313">
        <v>367</v>
      </c>
      <c r="Q313">
        <v>516</v>
      </c>
      <c r="R313">
        <v>312</v>
      </c>
    </row>
    <row r="314" spans="1:18">
      <c r="A314" s="1" t="s">
        <v>299</v>
      </c>
      <c r="B314">
        <v>32</v>
      </c>
      <c r="C314">
        <v>19</v>
      </c>
      <c r="D314">
        <v>13</v>
      </c>
      <c r="E314">
        <v>3.25</v>
      </c>
      <c r="F314">
        <v>2255</v>
      </c>
      <c r="G314">
        <v>753</v>
      </c>
      <c r="H314">
        <v>1717</v>
      </c>
      <c r="I314">
        <v>535</v>
      </c>
      <c r="J314">
        <v>763</v>
      </c>
      <c r="K314">
        <v>366</v>
      </c>
      <c r="L314">
        <v>1184</v>
      </c>
      <c r="M314">
        <v>365</v>
      </c>
      <c r="N314">
        <v>142</v>
      </c>
      <c r="O314">
        <v>119</v>
      </c>
      <c r="P314">
        <v>441</v>
      </c>
      <c r="Q314">
        <v>636</v>
      </c>
      <c r="R314">
        <v>313</v>
      </c>
    </row>
    <row r="315" spans="1:18">
      <c r="A315" s="1" t="s">
        <v>324</v>
      </c>
      <c r="B315">
        <v>34</v>
      </c>
      <c r="C315">
        <v>23</v>
      </c>
      <c r="D315">
        <v>11</v>
      </c>
      <c r="E315">
        <v>7.93</v>
      </c>
      <c r="F315">
        <v>2382</v>
      </c>
      <c r="G315">
        <v>830</v>
      </c>
      <c r="H315">
        <v>1824</v>
      </c>
      <c r="I315">
        <v>549</v>
      </c>
      <c r="J315">
        <v>808</v>
      </c>
      <c r="K315">
        <v>405</v>
      </c>
      <c r="L315">
        <v>1265</v>
      </c>
      <c r="M315">
        <v>493</v>
      </c>
      <c r="N315">
        <v>186</v>
      </c>
      <c r="O315">
        <v>198</v>
      </c>
      <c r="P315">
        <v>502</v>
      </c>
      <c r="Q315">
        <v>594</v>
      </c>
      <c r="R315">
        <v>314</v>
      </c>
    </row>
    <row r="316" spans="1:18">
      <c r="A316" s="1" t="s">
        <v>316</v>
      </c>
      <c r="B316">
        <v>34</v>
      </c>
      <c r="C316">
        <v>30</v>
      </c>
      <c r="D316">
        <v>4</v>
      </c>
      <c r="E316">
        <v>0.5</v>
      </c>
      <c r="F316">
        <v>2449</v>
      </c>
      <c r="G316">
        <v>840</v>
      </c>
      <c r="H316">
        <v>1788</v>
      </c>
      <c r="I316">
        <v>563</v>
      </c>
      <c r="J316">
        <v>764</v>
      </c>
      <c r="K316">
        <v>363</v>
      </c>
      <c r="L316">
        <v>1266</v>
      </c>
      <c r="M316">
        <v>500</v>
      </c>
      <c r="N316">
        <v>162</v>
      </c>
      <c r="O316">
        <v>110</v>
      </c>
      <c r="P316">
        <v>402</v>
      </c>
      <c r="Q316">
        <v>591</v>
      </c>
      <c r="R316">
        <v>315</v>
      </c>
    </row>
    <row r="317" spans="1:18">
      <c r="A317" s="1" t="s">
        <v>334</v>
      </c>
      <c r="B317">
        <v>30</v>
      </c>
      <c r="C317">
        <v>19</v>
      </c>
      <c r="D317">
        <v>11</v>
      </c>
      <c r="E317">
        <v>-9.9700000000000006</v>
      </c>
      <c r="F317">
        <v>2276</v>
      </c>
      <c r="G317">
        <v>744</v>
      </c>
      <c r="H317">
        <v>1682</v>
      </c>
      <c r="I317">
        <v>591</v>
      </c>
      <c r="J317">
        <v>780</v>
      </c>
      <c r="K317">
        <v>342</v>
      </c>
      <c r="L317">
        <v>1192</v>
      </c>
      <c r="M317">
        <v>416</v>
      </c>
      <c r="N317">
        <v>151</v>
      </c>
      <c r="O317">
        <v>92</v>
      </c>
      <c r="P317">
        <v>414</v>
      </c>
      <c r="Q317">
        <v>568</v>
      </c>
      <c r="R317">
        <v>316</v>
      </c>
    </row>
    <row r="318" spans="1:18">
      <c r="A318" s="1" t="s">
        <v>300</v>
      </c>
      <c r="B318">
        <v>31</v>
      </c>
      <c r="C318">
        <v>13</v>
      </c>
      <c r="D318">
        <v>18</v>
      </c>
      <c r="E318">
        <v>6.56</v>
      </c>
      <c r="F318">
        <v>2078</v>
      </c>
      <c r="G318">
        <v>734</v>
      </c>
      <c r="H318">
        <v>1724</v>
      </c>
      <c r="I318">
        <v>429</v>
      </c>
      <c r="J318">
        <v>618</v>
      </c>
      <c r="K318">
        <v>320</v>
      </c>
      <c r="L318">
        <v>1106</v>
      </c>
      <c r="M318">
        <v>298</v>
      </c>
      <c r="N318">
        <v>141</v>
      </c>
      <c r="O318">
        <v>160</v>
      </c>
      <c r="P318">
        <v>425</v>
      </c>
      <c r="Q318">
        <v>598</v>
      </c>
      <c r="R318">
        <v>317</v>
      </c>
    </row>
    <row r="319" spans="1:18">
      <c r="A319" s="1" t="s">
        <v>301</v>
      </c>
      <c r="B319">
        <v>35</v>
      </c>
      <c r="C319">
        <v>23</v>
      </c>
      <c r="D319">
        <v>12</v>
      </c>
      <c r="E319">
        <v>1.69</v>
      </c>
      <c r="F319">
        <v>2564</v>
      </c>
      <c r="G319">
        <v>948</v>
      </c>
      <c r="H319">
        <v>2001</v>
      </c>
      <c r="I319">
        <v>448</v>
      </c>
      <c r="J319">
        <v>674</v>
      </c>
      <c r="K319">
        <v>394</v>
      </c>
      <c r="L319">
        <v>1218</v>
      </c>
      <c r="M319">
        <v>553</v>
      </c>
      <c r="N319">
        <v>272</v>
      </c>
      <c r="O319">
        <v>95</v>
      </c>
      <c r="P319">
        <v>481</v>
      </c>
      <c r="Q319">
        <v>673</v>
      </c>
      <c r="R319">
        <v>318</v>
      </c>
    </row>
    <row r="320" spans="1:18">
      <c r="A320" s="1" t="s">
        <v>246</v>
      </c>
      <c r="B320">
        <v>34</v>
      </c>
      <c r="C320">
        <v>23</v>
      </c>
      <c r="D320">
        <v>11</v>
      </c>
      <c r="E320">
        <v>6.86</v>
      </c>
      <c r="F320">
        <v>2581</v>
      </c>
      <c r="G320">
        <v>848</v>
      </c>
      <c r="H320">
        <v>1853</v>
      </c>
      <c r="I320">
        <v>622</v>
      </c>
      <c r="J320">
        <v>837</v>
      </c>
      <c r="K320">
        <v>370</v>
      </c>
      <c r="L320">
        <v>1255</v>
      </c>
      <c r="M320">
        <v>454</v>
      </c>
      <c r="N320">
        <v>175</v>
      </c>
      <c r="O320">
        <v>162</v>
      </c>
      <c r="P320">
        <v>441</v>
      </c>
      <c r="Q320">
        <v>552</v>
      </c>
      <c r="R320">
        <v>319</v>
      </c>
    </row>
    <row r="321" spans="1:18">
      <c r="A321" s="1" t="s">
        <v>247</v>
      </c>
      <c r="B321">
        <v>32</v>
      </c>
      <c r="C321">
        <v>23</v>
      </c>
      <c r="D321">
        <v>9</v>
      </c>
      <c r="E321">
        <v>-5.33</v>
      </c>
      <c r="F321">
        <v>2147</v>
      </c>
      <c r="G321">
        <v>779</v>
      </c>
      <c r="H321">
        <v>1741</v>
      </c>
      <c r="I321">
        <v>438</v>
      </c>
      <c r="J321">
        <v>648</v>
      </c>
      <c r="K321">
        <v>401</v>
      </c>
      <c r="L321">
        <v>1230</v>
      </c>
      <c r="M321">
        <v>395</v>
      </c>
      <c r="N321">
        <v>160</v>
      </c>
      <c r="O321">
        <v>105</v>
      </c>
      <c r="P321">
        <v>430</v>
      </c>
      <c r="Q321">
        <v>527</v>
      </c>
      <c r="R321">
        <v>320</v>
      </c>
    </row>
    <row r="322" spans="1:18">
      <c r="A322" s="1" t="s">
        <v>248</v>
      </c>
      <c r="B322">
        <v>33</v>
      </c>
      <c r="C322">
        <v>21</v>
      </c>
      <c r="D322">
        <v>12</v>
      </c>
      <c r="E322">
        <v>8.23</v>
      </c>
      <c r="F322">
        <v>2384</v>
      </c>
      <c r="G322">
        <v>796</v>
      </c>
      <c r="H322">
        <v>1819</v>
      </c>
      <c r="I322">
        <v>582</v>
      </c>
      <c r="J322">
        <v>769</v>
      </c>
      <c r="K322">
        <v>402</v>
      </c>
      <c r="L322">
        <v>1223</v>
      </c>
      <c r="M322">
        <v>450</v>
      </c>
      <c r="N322">
        <v>208</v>
      </c>
      <c r="O322">
        <v>125</v>
      </c>
      <c r="P322">
        <v>392</v>
      </c>
      <c r="Q322">
        <v>578</v>
      </c>
      <c r="R322">
        <v>321</v>
      </c>
    </row>
    <row r="323" spans="1:18">
      <c r="A323" s="1" t="s">
        <v>249</v>
      </c>
      <c r="B323">
        <v>40</v>
      </c>
      <c r="C323">
        <v>28</v>
      </c>
      <c r="D323">
        <v>12</v>
      </c>
      <c r="E323">
        <v>3.78</v>
      </c>
      <c r="F323">
        <v>2864</v>
      </c>
      <c r="G323">
        <v>968</v>
      </c>
      <c r="H323">
        <v>2228</v>
      </c>
      <c r="I323">
        <v>589</v>
      </c>
      <c r="J323">
        <v>824</v>
      </c>
      <c r="K323">
        <v>428</v>
      </c>
      <c r="L323">
        <v>1292</v>
      </c>
      <c r="M323">
        <v>583</v>
      </c>
      <c r="N323">
        <v>328</v>
      </c>
      <c r="O323">
        <v>140</v>
      </c>
      <c r="P323">
        <v>452</v>
      </c>
      <c r="Q323">
        <v>735</v>
      </c>
      <c r="R323">
        <v>322</v>
      </c>
    </row>
    <row r="324" spans="1:18">
      <c r="A324" s="1" t="s">
        <v>250</v>
      </c>
      <c r="B324">
        <v>31</v>
      </c>
      <c r="C324">
        <v>18</v>
      </c>
      <c r="D324">
        <v>13</v>
      </c>
      <c r="E324">
        <v>-5.45</v>
      </c>
      <c r="F324">
        <v>2726</v>
      </c>
      <c r="G324">
        <v>935</v>
      </c>
      <c r="H324">
        <v>2082</v>
      </c>
      <c r="I324">
        <v>505</v>
      </c>
      <c r="J324">
        <v>712</v>
      </c>
      <c r="K324">
        <v>380</v>
      </c>
      <c r="L324">
        <v>1163</v>
      </c>
      <c r="M324">
        <v>462</v>
      </c>
      <c r="N324">
        <v>269</v>
      </c>
      <c r="O324">
        <v>141</v>
      </c>
      <c r="P324">
        <v>411</v>
      </c>
      <c r="Q324">
        <v>609</v>
      </c>
      <c r="R324">
        <v>323</v>
      </c>
    </row>
    <row r="325" spans="1:18">
      <c r="A325" s="1" t="s">
        <v>251</v>
      </c>
      <c r="B325">
        <v>34</v>
      </c>
      <c r="C325">
        <v>22</v>
      </c>
      <c r="D325">
        <v>12</v>
      </c>
      <c r="E325">
        <v>6.29</v>
      </c>
      <c r="F325">
        <v>2390</v>
      </c>
      <c r="G325">
        <v>834</v>
      </c>
      <c r="H325">
        <v>1845</v>
      </c>
      <c r="I325">
        <v>533</v>
      </c>
      <c r="J325">
        <v>751</v>
      </c>
      <c r="K325">
        <v>362</v>
      </c>
      <c r="L325">
        <v>1168</v>
      </c>
      <c r="M325">
        <v>425</v>
      </c>
      <c r="N325">
        <v>224</v>
      </c>
      <c r="O325">
        <v>125</v>
      </c>
      <c r="P325">
        <v>419</v>
      </c>
      <c r="Q325">
        <v>579</v>
      </c>
      <c r="R325">
        <v>324</v>
      </c>
    </row>
    <row r="326" spans="1:18">
      <c r="A326" s="1" t="s">
        <v>252</v>
      </c>
      <c r="B326">
        <v>31</v>
      </c>
      <c r="C326">
        <v>16</v>
      </c>
      <c r="D326">
        <v>15</v>
      </c>
      <c r="E326">
        <v>6.55</v>
      </c>
      <c r="F326">
        <v>1918</v>
      </c>
      <c r="G326">
        <v>668</v>
      </c>
      <c r="H326">
        <v>1611</v>
      </c>
      <c r="I326">
        <v>356</v>
      </c>
      <c r="J326">
        <v>516</v>
      </c>
      <c r="K326">
        <v>272</v>
      </c>
      <c r="L326">
        <v>974</v>
      </c>
      <c r="M326">
        <v>354</v>
      </c>
      <c r="N326">
        <v>179</v>
      </c>
      <c r="O326">
        <v>92</v>
      </c>
      <c r="P326">
        <v>339</v>
      </c>
      <c r="Q326">
        <v>498</v>
      </c>
      <c r="R326">
        <v>325</v>
      </c>
    </row>
    <row r="327" spans="1:18">
      <c r="A327" s="1" t="s">
        <v>253</v>
      </c>
      <c r="B327">
        <v>30</v>
      </c>
      <c r="C327">
        <v>13</v>
      </c>
      <c r="D327">
        <v>17</v>
      </c>
      <c r="E327">
        <v>-3.67</v>
      </c>
      <c r="F327">
        <v>2029</v>
      </c>
      <c r="G327">
        <v>671</v>
      </c>
      <c r="H327">
        <v>1544</v>
      </c>
      <c r="I327">
        <v>491</v>
      </c>
      <c r="J327">
        <v>636</v>
      </c>
      <c r="K327">
        <v>238</v>
      </c>
      <c r="L327">
        <v>886</v>
      </c>
      <c r="M327">
        <v>418</v>
      </c>
      <c r="N327">
        <v>177</v>
      </c>
      <c r="O327">
        <v>119</v>
      </c>
      <c r="P327">
        <v>459</v>
      </c>
      <c r="Q327">
        <v>749</v>
      </c>
      <c r="R327">
        <v>326</v>
      </c>
    </row>
    <row r="328" spans="1:18">
      <c r="A328" s="1" t="s">
        <v>254</v>
      </c>
      <c r="B328">
        <v>32</v>
      </c>
      <c r="C328">
        <v>8</v>
      </c>
      <c r="D328">
        <v>24</v>
      </c>
      <c r="E328">
        <v>5.51</v>
      </c>
      <c r="F328">
        <v>2151</v>
      </c>
      <c r="G328">
        <v>734</v>
      </c>
      <c r="H328">
        <v>1736</v>
      </c>
      <c r="I328">
        <v>497</v>
      </c>
      <c r="J328">
        <v>666</v>
      </c>
      <c r="K328">
        <v>285</v>
      </c>
      <c r="L328">
        <v>1041</v>
      </c>
      <c r="M328">
        <v>362</v>
      </c>
      <c r="N328">
        <v>170</v>
      </c>
      <c r="O328">
        <v>174</v>
      </c>
      <c r="P328">
        <v>494</v>
      </c>
      <c r="Q328">
        <v>594</v>
      </c>
      <c r="R328">
        <v>327</v>
      </c>
    </row>
    <row r="329" spans="1:18">
      <c r="A329" s="1" t="s">
        <v>255</v>
      </c>
      <c r="B329">
        <v>35</v>
      </c>
      <c r="C329">
        <v>22</v>
      </c>
      <c r="D329">
        <v>13</v>
      </c>
      <c r="E329">
        <v>6.81</v>
      </c>
      <c r="F329">
        <v>2550</v>
      </c>
      <c r="G329">
        <v>902</v>
      </c>
      <c r="H329">
        <v>1982</v>
      </c>
      <c r="I329">
        <v>506</v>
      </c>
      <c r="J329">
        <v>714</v>
      </c>
      <c r="K329">
        <v>332</v>
      </c>
      <c r="L329">
        <v>1209</v>
      </c>
      <c r="M329">
        <v>466</v>
      </c>
      <c r="N329">
        <v>239</v>
      </c>
      <c r="O329">
        <v>136</v>
      </c>
      <c r="P329">
        <v>445</v>
      </c>
      <c r="Q329">
        <v>612</v>
      </c>
      <c r="R329">
        <v>328</v>
      </c>
    </row>
    <row r="330" spans="1:18">
      <c r="A330" s="1" t="s">
        <v>256</v>
      </c>
      <c r="B330">
        <v>35</v>
      </c>
      <c r="C330">
        <v>24</v>
      </c>
      <c r="D330">
        <v>11</v>
      </c>
      <c r="E330">
        <v>7.74</v>
      </c>
      <c r="F330">
        <v>2907</v>
      </c>
      <c r="G330">
        <v>1061</v>
      </c>
      <c r="H330">
        <v>2260</v>
      </c>
      <c r="I330">
        <v>480</v>
      </c>
      <c r="J330">
        <v>712</v>
      </c>
      <c r="K330">
        <v>488</v>
      </c>
      <c r="L330">
        <v>1367</v>
      </c>
      <c r="M330">
        <v>593</v>
      </c>
      <c r="N330">
        <v>234</v>
      </c>
      <c r="O330">
        <v>179</v>
      </c>
      <c r="P330">
        <v>426</v>
      </c>
      <c r="Q330">
        <v>718</v>
      </c>
      <c r="R330">
        <v>329</v>
      </c>
    </row>
    <row r="331" spans="1:18">
      <c r="A331" s="1" t="s">
        <v>257</v>
      </c>
      <c r="B331">
        <v>32</v>
      </c>
      <c r="C331">
        <v>18</v>
      </c>
      <c r="D331">
        <v>14</v>
      </c>
      <c r="E331">
        <v>-1.74</v>
      </c>
      <c r="F331">
        <v>2243</v>
      </c>
      <c r="G331">
        <v>766</v>
      </c>
      <c r="H331">
        <v>1707</v>
      </c>
      <c r="I331">
        <v>455</v>
      </c>
      <c r="J331">
        <v>602</v>
      </c>
      <c r="K331">
        <v>279</v>
      </c>
      <c r="L331">
        <v>1072</v>
      </c>
      <c r="M331">
        <v>401</v>
      </c>
      <c r="N331">
        <v>177</v>
      </c>
      <c r="O331">
        <v>91</v>
      </c>
      <c r="P331">
        <v>408</v>
      </c>
      <c r="Q331">
        <v>635</v>
      </c>
      <c r="R331">
        <v>330</v>
      </c>
    </row>
    <row r="332" spans="1:18">
      <c r="A332" s="1" t="s">
        <v>258</v>
      </c>
      <c r="B332">
        <v>33</v>
      </c>
      <c r="C332">
        <v>21</v>
      </c>
      <c r="D332">
        <v>12</v>
      </c>
      <c r="E332">
        <v>11.03</v>
      </c>
      <c r="F332">
        <v>2303</v>
      </c>
      <c r="G332">
        <v>783</v>
      </c>
      <c r="H332">
        <v>1826</v>
      </c>
      <c r="I332">
        <v>531</v>
      </c>
      <c r="J332">
        <v>747</v>
      </c>
      <c r="K332">
        <v>469</v>
      </c>
      <c r="L332">
        <v>1227</v>
      </c>
      <c r="M332">
        <v>491</v>
      </c>
      <c r="N332">
        <v>154</v>
      </c>
      <c r="O332">
        <v>136</v>
      </c>
      <c r="P332">
        <v>397</v>
      </c>
      <c r="Q332">
        <v>598</v>
      </c>
      <c r="R332">
        <v>331</v>
      </c>
    </row>
    <row r="333" spans="1:18">
      <c r="A333" s="1" t="s">
        <v>259</v>
      </c>
      <c r="B333">
        <v>33</v>
      </c>
      <c r="C333">
        <v>18</v>
      </c>
      <c r="D333">
        <v>15</v>
      </c>
      <c r="E333">
        <v>-2.86</v>
      </c>
      <c r="F333">
        <v>2303</v>
      </c>
      <c r="G333">
        <v>857</v>
      </c>
      <c r="H333">
        <v>1991</v>
      </c>
      <c r="I333">
        <v>399</v>
      </c>
      <c r="J333">
        <v>613</v>
      </c>
      <c r="K333">
        <v>428</v>
      </c>
      <c r="L333">
        <v>1189</v>
      </c>
      <c r="M333">
        <v>432</v>
      </c>
      <c r="N333">
        <v>299</v>
      </c>
      <c r="O333">
        <v>102</v>
      </c>
      <c r="P333">
        <v>453</v>
      </c>
      <c r="Q333">
        <v>683</v>
      </c>
      <c r="R333">
        <v>332</v>
      </c>
    </row>
    <row r="334" spans="1:18">
      <c r="A334" s="1" t="s">
        <v>260</v>
      </c>
      <c r="B334">
        <v>30</v>
      </c>
      <c r="C334">
        <v>7</v>
      </c>
      <c r="D334">
        <v>23</v>
      </c>
      <c r="E334">
        <v>-4.43</v>
      </c>
      <c r="F334">
        <v>1719</v>
      </c>
      <c r="G334">
        <v>595</v>
      </c>
      <c r="H334">
        <v>1439</v>
      </c>
      <c r="I334">
        <v>369</v>
      </c>
      <c r="J334">
        <v>558</v>
      </c>
      <c r="K334">
        <v>217</v>
      </c>
      <c r="L334">
        <v>893</v>
      </c>
      <c r="M334">
        <v>313</v>
      </c>
      <c r="N334">
        <v>153</v>
      </c>
      <c r="O334">
        <v>74</v>
      </c>
      <c r="P334">
        <v>402</v>
      </c>
      <c r="Q334">
        <v>571</v>
      </c>
      <c r="R334">
        <v>333</v>
      </c>
    </row>
    <row r="335" spans="1:18">
      <c r="A335" s="1" t="s">
        <v>261</v>
      </c>
      <c r="B335">
        <v>32</v>
      </c>
      <c r="C335">
        <v>16</v>
      </c>
      <c r="D335">
        <v>16</v>
      </c>
      <c r="E335">
        <v>-3.15</v>
      </c>
      <c r="F335">
        <v>2242</v>
      </c>
      <c r="G335">
        <v>809</v>
      </c>
      <c r="H335">
        <v>1855</v>
      </c>
      <c r="I335">
        <v>445</v>
      </c>
      <c r="J335">
        <v>693</v>
      </c>
      <c r="K335">
        <v>427</v>
      </c>
      <c r="L335">
        <v>1187</v>
      </c>
      <c r="M335">
        <v>392</v>
      </c>
      <c r="N335">
        <v>185</v>
      </c>
      <c r="O335">
        <v>124</v>
      </c>
      <c r="P335">
        <v>475</v>
      </c>
      <c r="Q335">
        <v>582</v>
      </c>
      <c r="R335">
        <v>334</v>
      </c>
    </row>
    <row r="336" spans="1:18">
      <c r="A336" s="1" t="s">
        <v>262</v>
      </c>
      <c r="B336">
        <v>34</v>
      </c>
      <c r="C336">
        <v>21</v>
      </c>
      <c r="D336">
        <v>13</v>
      </c>
      <c r="E336">
        <v>-2.52</v>
      </c>
      <c r="F336">
        <v>2440</v>
      </c>
      <c r="G336">
        <v>875</v>
      </c>
      <c r="H336">
        <v>1974</v>
      </c>
      <c r="I336">
        <v>495</v>
      </c>
      <c r="J336">
        <v>708</v>
      </c>
      <c r="K336">
        <v>448</v>
      </c>
      <c r="L336">
        <v>1280</v>
      </c>
      <c r="M336">
        <v>442</v>
      </c>
      <c r="N336">
        <v>199</v>
      </c>
      <c r="O336">
        <v>118</v>
      </c>
      <c r="P336">
        <v>465</v>
      </c>
      <c r="Q336">
        <v>659</v>
      </c>
      <c r="R336">
        <v>335</v>
      </c>
    </row>
    <row r="337" spans="1:18">
      <c r="A337" s="1" t="s">
        <v>263</v>
      </c>
      <c r="B337">
        <v>37</v>
      </c>
      <c r="C337">
        <v>29</v>
      </c>
      <c r="D337">
        <v>8</v>
      </c>
      <c r="E337">
        <v>1.79</v>
      </c>
      <c r="F337">
        <v>2690</v>
      </c>
      <c r="G337">
        <v>954</v>
      </c>
      <c r="H337">
        <v>2037</v>
      </c>
      <c r="I337">
        <v>522</v>
      </c>
      <c r="J337">
        <v>700</v>
      </c>
      <c r="K337">
        <v>421</v>
      </c>
      <c r="L337">
        <v>1389</v>
      </c>
      <c r="M337">
        <v>572</v>
      </c>
      <c r="N337">
        <v>212</v>
      </c>
      <c r="O337">
        <v>144</v>
      </c>
      <c r="P337">
        <v>462</v>
      </c>
      <c r="Q337">
        <v>672</v>
      </c>
      <c r="R337">
        <v>336</v>
      </c>
    </row>
    <row r="338" spans="1:18">
      <c r="A338" s="1" t="s">
        <v>264</v>
      </c>
      <c r="B338">
        <v>32</v>
      </c>
      <c r="C338">
        <v>10</v>
      </c>
      <c r="D338">
        <v>22</v>
      </c>
      <c r="E338">
        <v>0.49</v>
      </c>
      <c r="F338">
        <v>2051</v>
      </c>
      <c r="G338">
        <v>701</v>
      </c>
      <c r="H338">
        <v>1584</v>
      </c>
      <c r="I338">
        <v>399</v>
      </c>
      <c r="J338">
        <v>572</v>
      </c>
      <c r="K338">
        <v>241</v>
      </c>
      <c r="L338">
        <v>1021</v>
      </c>
      <c r="M338">
        <v>426</v>
      </c>
      <c r="N338">
        <v>134</v>
      </c>
      <c r="O338">
        <v>95</v>
      </c>
      <c r="P338">
        <v>423</v>
      </c>
      <c r="Q338">
        <v>526</v>
      </c>
      <c r="R338">
        <v>337</v>
      </c>
    </row>
    <row r="339" spans="1:18">
      <c r="A339" s="1" t="s">
        <v>325</v>
      </c>
      <c r="B339">
        <v>30</v>
      </c>
      <c r="C339">
        <v>13</v>
      </c>
      <c r="D339">
        <v>17</v>
      </c>
      <c r="E339">
        <v>-3.2</v>
      </c>
      <c r="F339">
        <v>1973</v>
      </c>
      <c r="G339">
        <v>719</v>
      </c>
      <c r="H339">
        <v>1732</v>
      </c>
      <c r="I339">
        <v>409</v>
      </c>
      <c r="J339">
        <v>636</v>
      </c>
      <c r="K339">
        <v>371</v>
      </c>
      <c r="L339">
        <v>1121</v>
      </c>
      <c r="M339">
        <v>352</v>
      </c>
      <c r="N339">
        <v>223</v>
      </c>
      <c r="O339">
        <v>98</v>
      </c>
      <c r="P339">
        <v>394</v>
      </c>
      <c r="Q339">
        <v>572</v>
      </c>
      <c r="R339">
        <v>338</v>
      </c>
    </row>
    <row r="340" spans="1:18">
      <c r="A340" s="1" t="s">
        <v>367</v>
      </c>
      <c r="B340">
        <v>34</v>
      </c>
      <c r="C340">
        <v>25</v>
      </c>
      <c r="D340">
        <v>9</v>
      </c>
      <c r="E340">
        <v>9.42</v>
      </c>
      <c r="F340">
        <v>2310</v>
      </c>
      <c r="G340">
        <v>798</v>
      </c>
      <c r="H340">
        <v>1808</v>
      </c>
      <c r="I340">
        <v>436</v>
      </c>
      <c r="J340">
        <v>533</v>
      </c>
      <c r="K340">
        <v>355</v>
      </c>
      <c r="L340">
        <v>1088</v>
      </c>
      <c r="M340">
        <v>442</v>
      </c>
      <c r="N340">
        <v>121</v>
      </c>
      <c r="O340">
        <v>105</v>
      </c>
      <c r="P340">
        <v>258</v>
      </c>
      <c r="Q340">
        <v>522</v>
      </c>
      <c r="R340">
        <v>339</v>
      </c>
    </row>
    <row r="341" spans="1:18">
      <c r="A341" s="1" t="s">
        <v>265</v>
      </c>
      <c r="B341">
        <v>34</v>
      </c>
      <c r="C341">
        <v>21</v>
      </c>
      <c r="D341">
        <v>13</v>
      </c>
      <c r="E341">
        <v>-1.21</v>
      </c>
      <c r="F341">
        <v>2502</v>
      </c>
      <c r="G341">
        <v>883</v>
      </c>
      <c r="H341">
        <v>1853</v>
      </c>
      <c r="I341">
        <v>539</v>
      </c>
      <c r="J341">
        <v>778</v>
      </c>
      <c r="K341">
        <v>372</v>
      </c>
      <c r="L341">
        <v>1108</v>
      </c>
      <c r="M341">
        <v>487</v>
      </c>
      <c r="N341">
        <v>227</v>
      </c>
      <c r="O341">
        <v>86</v>
      </c>
      <c r="P341">
        <v>404</v>
      </c>
      <c r="Q341">
        <v>654</v>
      </c>
      <c r="R341">
        <v>340</v>
      </c>
    </row>
    <row r="342" spans="1:18">
      <c r="A342" s="1" t="s">
        <v>266</v>
      </c>
      <c r="B342">
        <v>33</v>
      </c>
      <c r="C342">
        <v>19</v>
      </c>
      <c r="D342">
        <v>14</v>
      </c>
      <c r="E342">
        <v>1.45</v>
      </c>
      <c r="F342">
        <v>2123</v>
      </c>
      <c r="G342">
        <v>710</v>
      </c>
      <c r="H342">
        <v>1648</v>
      </c>
      <c r="I342">
        <v>486</v>
      </c>
      <c r="J342">
        <v>649</v>
      </c>
      <c r="K342">
        <v>257</v>
      </c>
      <c r="L342">
        <v>898</v>
      </c>
      <c r="M342">
        <v>337</v>
      </c>
      <c r="N342">
        <v>205</v>
      </c>
      <c r="O342">
        <v>35</v>
      </c>
      <c r="P342">
        <v>356</v>
      </c>
      <c r="Q342">
        <v>621</v>
      </c>
      <c r="R342">
        <v>341</v>
      </c>
    </row>
    <row r="343" spans="1:18">
      <c r="A343" s="1" t="s">
        <v>267</v>
      </c>
      <c r="B343">
        <v>31</v>
      </c>
      <c r="C343">
        <v>10</v>
      </c>
      <c r="D343">
        <v>21</v>
      </c>
      <c r="E343">
        <v>3.53</v>
      </c>
      <c r="F343">
        <v>2044</v>
      </c>
      <c r="G343">
        <v>720</v>
      </c>
      <c r="H343">
        <v>1671</v>
      </c>
      <c r="I343">
        <v>449</v>
      </c>
      <c r="J343">
        <v>667</v>
      </c>
      <c r="K343">
        <v>310</v>
      </c>
      <c r="L343">
        <v>1002</v>
      </c>
      <c r="M343">
        <v>324</v>
      </c>
      <c r="N343">
        <v>233</v>
      </c>
      <c r="O343">
        <v>117</v>
      </c>
      <c r="P343">
        <v>436</v>
      </c>
      <c r="Q343">
        <v>567</v>
      </c>
      <c r="R343">
        <v>342</v>
      </c>
    </row>
    <row r="344" spans="1:18">
      <c r="A344" s="1" t="s">
        <v>268</v>
      </c>
      <c r="B344">
        <v>32</v>
      </c>
      <c r="C344">
        <v>24</v>
      </c>
      <c r="D344">
        <v>8</v>
      </c>
      <c r="E344">
        <v>4.41</v>
      </c>
      <c r="F344">
        <v>2306</v>
      </c>
      <c r="G344">
        <v>784</v>
      </c>
      <c r="H344">
        <v>1700</v>
      </c>
      <c r="I344">
        <v>565</v>
      </c>
      <c r="J344">
        <v>756</v>
      </c>
      <c r="K344">
        <v>328</v>
      </c>
      <c r="L344">
        <v>1130</v>
      </c>
      <c r="M344">
        <v>424</v>
      </c>
      <c r="N344">
        <v>174</v>
      </c>
      <c r="O344">
        <v>98</v>
      </c>
      <c r="P344">
        <v>386</v>
      </c>
      <c r="Q344">
        <v>551</v>
      </c>
      <c r="R344">
        <v>343</v>
      </c>
    </row>
    <row r="345" spans="1:18">
      <c r="A345" s="1" t="s">
        <v>269</v>
      </c>
      <c r="B345">
        <v>28</v>
      </c>
      <c r="C345">
        <v>15</v>
      </c>
      <c r="D345">
        <v>13</v>
      </c>
      <c r="E345">
        <v>-2.72</v>
      </c>
      <c r="F345">
        <v>1908</v>
      </c>
      <c r="G345">
        <v>654</v>
      </c>
      <c r="H345">
        <v>1483</v>
      </c>
      <c r="I345">
        <v>433</v>
      </c>
      <c r="J345">
        <v>589</v>
      </c>
      <c r="K345">
        <v>249</v>
      </c>
      <c r="L345">
        <v>961</v>
      </c>
      <c r="M345">
        <v>355</v>
      </c>
      <c r="N345">
        <v>133</v>
      </c>
      <c r="O345">
        <v>129</v>
      </c>
      <c r="P345">
        <v>380</v>
      </c>
      <c r="Q345">
        <v>522</v>
      </c>
      <c r="R345">
        <v>344</v>
      </c>
    </row>
    <row r="346" spans="1:18">
      <c r="A346" s="1" t="s">
        <v>270</v>
      </c>
      <c r="B346">
        <v>30</v>
      </c>
      <c r="C346">
        <v>9</v>
      </c>
      <c r="D346">
        <v>21</v>
      </c>
      <c r="E346">
        <v>0.93</v>
      </c>
      <c r="F346">
        <v>2072</v>
      </c>
      <c r="G346">
        <v>756</v>
      </c>
      <c r="H346">
        <v>1823</v>
      </c>
      <c r="I346">
        <v>325</v>
      </c>
      <c r="J346">
        <v>533</v>
      </c>
      <c r="K346">
        <v>323</v>
      </c>
      <c r="L346">
        <v>1032</v>
      </c>
      <c r="M346">
        <v>454</v>
      </c>
      <c r="N346">
        <v>186</v>
      </c>
      <c r="O346">
        <v>148</v>
      </c>
      <c r="P346">
        <v>359</v>
      </c>
      <c r="Q346">
        <v>607</v>
      </c>
      <c r="R346">
        <v>345</v>
      </c>
    </row>
    <row r="347" spans="1:18">
      <c r="R347">
        <v>346</v>
      </c>
    </row>
    <row r="348" spans="1:18">
      <c r="R348">
        <v>347</v>
      </c>
    </row>
    <row r="349" spans="1:18">
      <c r="R349">
        <v>348</v>
      </c>
    </row>
    <row r="350" spans="1:18">
      <c r="R350">
        <v>349</v>
      </c>
    </row>
    <row r="351" spans="1:18">
      <c r="R351">
        <v>350</v>
      </c>
    </row>
    <row r="352" spans="1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B542-5DA8-49EE-9D19-ECC07983A02F}">
  <sheetPr codeName="Sheet13"/>
  <dimension ref="A1:R357"/>
  <sheetViews>
    <sheetView topLeftCell="A52" workbookViewId="0">
      <selection activeCell="R52" sqref="R1:R1048576"/>
    </sheetView>
  </sheetViews>
  <sheetFormatPr defaultColWidth="8.85546875" defaultRowHeight="15"/>
  <cols>
    <col min="1" max="1" width="29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29</v>
      </c>
      <c r="C2">
        <v>13</v>
      </c>
      <c r="D2">
        <v>16</v>
      </c>
      <c r="E2">
        <v>2.14</v>
      </c>
      <c r="F2">
        <v>1786</v>
      </c>
      <c r="G2">
        <v>616</v>
      </c>
      <c r="H2">
        <v>1383</v>
      </c>
      <c r="I2">
        <v>362</v>
      </c>
      <c r="J2">
        <v>537</v>
      </c>
      <c r="K2">
        <v>178</v>
      </c>
      <c r="L2">
        <v>767</v>
      </c>
      <c r="M2">
        <v>403</v>
      </c>
      <c r="N2">
        <v>194</v>
      </c>
      <c r="O2">
        <v>90</v>
      </c>
      <c r="P2">
        <v>371</v>
      </c>
      <c r="Q2">
        <v>491</v>
      </c>
      <c r="R2">
        <v>1</v>
      </c>
    </row>
    <row r="3" spans="1:18">
      <c r="A3" s="1" t="s">
        <v>18</v>
      </c>
      <c r="B3">
        <v>34</v>
      </c>
      <c r="C3">
        <v>22</v>
      </c>
      <c r="D3">
        <v>12</v>
      </c>
      <c r="E3">
        <v>0.72</v>
      </c>
      <c r="F3">
        <v>2456</v>
      </c>
      <c r="G3">
        <v>868</v>
      </c>
      <c r="H3">
        <v>1879</v>
      </c>
      <c r="I3">
        <v>513</v>
      </c>
      <c r="J3">
        <v>741</v>
      </c>
      <c r="K3">
        <v>398</v>
      </c>
      <c r="L3">
        <v>1098</v>
      </c>
      <c r="M3">
        <v>475</v>
      </c>
      <c r="N3">
        <v>247</v>
      </c>
      <c r="O3">
        <v>141</v>
      </c>
      <c r="P3">
        <v>480</v>
      </c>
      <c r="Q3">
        <v>616</v>
      </c>
      <c r="R3">
        <v>2</v>
      </c>
    </row>
    <row r="4" spans="1:18">
      <c r="A4" s="1" t="s">
        <v>19</v>
      </c>
      <c r="B4">
        <v>28</v>
      </c>
      <c r="C4">
        <v>7</v>
      </c>
      <c r="D4">
        <v>21</v>
      </c>
      <c r="E4">
        <v>-10.79</v>
      </c>
      <c r="F4">
        <v>1764</v>
      </c>
      <c r="G4">
        <v>629</v>
      </c>
      <c r="H4">
        <v>1538</v>
      </c>
      <c r="I4">
        <v>359</v>
      </c>
      <c r="J4">
        <v>555</v>
      </c>
      <c r="K4">
        <v>316</v>
      </c>
      <c r="L4">
        <v>849</v>
      </c>
      <c r="M4">
        <v>314</v>
      </c>
      <c r="N4">
        <v>178</v>
      </c>
      <c r="O4">
        <v>119</v>
      </c>
      <c r="P4">
        <v>463</v>
      </c>
      <c r="Q4">
        <v>617</v>
      </c>
      <c r="R4">
        <v>3</v>
      </c>
    </row>
    <row r="5" spans="1:18">
      <c r="A5" s="1" t="s">
        <v>20</v>
      </c>
      <c r="B5">
        <v>31</v>
      </c>
      <c r="C5">
        <v>15</v>
      </c>
      <c r="D5">
        <v>16</v>
      </c>
      <c r="E5">
        <v>3.64</v>
      </c>
      <c r="F5">
        <v>1875</v>
      </c>
      <c r="G5">
        <v>654</v>
      </c>
      <c r="H5">
        <v>1559</v>
      </c>
      <c r="I5">
        <v>388</v>
      </c>
      <c r="J5">
        <v>566</v>
      </c>
      <c r="K5">
        <v>350</v>
      </c>
      <c r="L5">
        <v>997</v>
      </c>
      <c r="M5">
        <v>352</v>
      </c>
      <c r="N5">
        <v>136</v>
      </c>
      <c r="O5">
        <v>110</v>
      </c>
      <c r="P5">
        <v>439</v>
      </c>
      <c r="Q5">
        <v>494</v>
      </c>
      <c r="R5">
        <v>4</v>
      </c>
    </row>
    <row r="6" spans="1:18">
      <c r="A6" s="1" t="s">
        <v>21</v>
      </c>
      <c r="B6">
        <v>31</v>
      </c>
      <c r="C6">
        <v>12</v>
      </c>
      <c r="D6">
        <v>19</v>
      </c>
      <c r="E6">
        <v>-9.9600000000000009</v>
      </c>
      <c r="F6">
        <v>1840</v>
      </c>
      <c r="G6">
        <v>648</v>
      </c>
      <c r="H6">
        <v>1714</v>
      </c>
      <c r="I6">
        <v>354</v>
      </c>
      <c r="J6">
        <v>606</v>
      </c>
      <c r="K6">
        <v>400</v>
      </c>
      <c r="L6">
        <v>982</v>
      </c>
      <c r="M6">
        <v>357</v>
      </c>
      <c r="N6">
        <v>236</v>
      </c>
      <c r="O6">
        <v>95</v>
      </c>
      <c r="P6">
        <v>470</v>
      </c>
      <c r="Q6">
        <v>614</v>
      </c>
      <c r="R6">
        <v>5</v>
      </c>
    </row>
    <row r="7" spans="1:18">
      <c r="A7" s="1" t="s">
        <v>22</v>
      </c>
      <c r="B7">
        <v>33</v>
      </c>
      <c r="C7">
        <v>21</v>
      </c>
      <c r="D7">
        <v>12</v>
      </c>
      <c r="E7">
        <v>7.18</v>
      </c>
      <c r="F7">
        <v>2135</v>
      </c>
      <c r="G7">
        <v>778</v>
      </c>
      <c r="H7">
        <v>1722</v>
      </c>
      <c r="I7">
        <v>443</v>
      </c>
      <c r="J7">
        <v>623</v>
      </c>
      <c r="K7">
        <v>352</v>
      </c>
      <c r="L7">
        <v>1066</v>
      </c>
      <c r="M7">
        <v>402</v>
      </c>
      <c r="N7">
        <v>239</v>
      </c>
      <c r="O7">
        <v>137</v>
      </c>
      <c r="P7">
        <v>423</v>
      </c>
      <c r="Q7">
        <v>607</v>
      </c>
      <c r="R7">
        <v>6</v>
      </c>
    </row>
    <row r="8" spans="1:18">
      <c r="A8" s="1" t="s">
        <v>23</v>
      </c>
      <c r="B8">
        <v>34</v>
      </c>
      <c r="C8">
        <v>19</v>
      </c>
      <c r="D8">
        <v>15</v>
      </c>
      <c r="E8">
        <v>-6.92</v>
      </c>
      <c r="F8">
        <v>2453</v>
      </c>
      <c r="G8">
        <v>842</v>
      </c>
      <c r="H8">
        <v>1889</v>
      </c>
      <c r="I8">
        <v>524</v>
      </c>
      <c r="J8">
        <v>694</v>
      </c>
      <c r="K8">
        <v>400</v>
      </c>
      <c r="L8">
        <v>1072</v>
      </c>
      <c r="M8">
        <v>424</v>
      </c>
      <c r="N8">
        <v>193</v>
      </c>
      <c r="O8">
        <v>95</v>
      </c>
      <c r="P8">
        <v>429</v>
      </c>
      <c r="Q8">
        <v>578</v>
      </c>
      <c r="R8">
        <v>7</v>
      </c>
    </row>
    <row r="9" spans="1:18">
      <c r="A9" s="1" t="s">
        <v>24</v>
      </c>
      <c r="B9">
        <v>32</v>
      </c>
      <c r="C9">
        <v>10</v>
      </c>
      <c r="D9">
        <v>22</v>
      </c>
      <c r="E9">
        <v>-10.61</v>
      </c>
      <c r="F9">
        <v>1926</v>
      </c>
      <c r="G9">
        <v>689</v>
      </c>
      <c r="H9">
        <v>1669</v>
      </c>
      <c r="I9">
        <v>420</v>
      </c>
      <c r="J9">
        <v>606</v>
      </c>
      <c r="K9">
        <v>291</v>
      </c>
      <c r="L9">
        <v>872</v>
      </c>
      <c r="M9">
        <v>290</v>
      </c>
      <c r="N9">
        <v>199</v>
      </c>
      <c r="O9">
        <v>104</v>
      </c>
      <c r="P9">
        <v>482</v>
      </c>
      <c r="Q9">
        <v>606</v>
      </c>
      <c r="R9">
        <v>8</v>
      </c>
    </row>
    <row r="10" spans="1:18">
      <c r="A10" s="1" t="s">
        <v>25</v>
      </c>
      <c r="B10">
        <v>32</v>
      </c>
      <c r="C10">
        <v>20</v>
      </c>
      <c r="D10">
        <v>12</v>
      </c>
      <c r="E10">
        <v>-5.24</v>
      </c>
      <c r="F10">
        <v>2059</v>
      </c>
      <c r="G10">
        <v>713</v>
      </c>
      <c r="H10">
        <v>1678</v>
      </c>
      <c r="I10">
        <v>406</v>
      </c>
      <c r="J10">
        <v>567</v>
      </c>
      <c r="K10">
        <v>281</v>
      </c>
      <c r="L10">
        <v>948</v>
      </c>
      <c r="M10">
        <v>404</v>
      </c>
      <c r="N10">
        <v>146</v>
      </c>
      <c r="O10">
        <v>92</v>
      </c>
      <c r="P10">
        <v>355</v>
      </c>
      <c r="Q10">
        <v>544</v>
      </c>
      <c r="R10">
        <v>9</v>
      </c>
    </row>
    <row r="11" spans="1:18">
      <c r="A11" s="1" t="s">
        <v>271</v>
      </c>
      <c r="B11">
        <v>31</v>
      </c>
      <c r="C11">
        <v>13</v>
      </c>
      <c r="D11">
        <v>18</v>
      </c>
      <c r="E11">
        <v>-3.28</v>
      </c>
      <c r="F11">
        <v>2121</v>
      </c>
      <c r="G11">
        <v>746</v>
      </c>
      <c r="H11">
        <v>1693</v>
      </c>
      <c r="I11">
        <v>426</v>
      </c>
      <c r="J11">
        <v>656</v>
      </c>
      <c r="K11">
        <v>333</v>
      </c>
      <c r="L11">
        <v>1009</v>
      </c>
      <c r="M11">
        <v>379</v>
      </c>
      <c r="N11">
        <v>187</v>
      </c>
      <c r="O11">
        <v>125</v>
      </c>
      <c r="P11">
        <v>444</v>
      </c>
      <c r="Q11">
        <v>609</v>
      </c>
      <c r="R11">
        <v>10</v>
      </c>
    </row>
    <row r="12" spans="1:18">
      <c r="A12" s="1" t="s">
        <v>26</v>
      </c>
      <c r="B12">
        <v>31</v>
      </c>
      <c r="C12">
        <v>10</v>
      </c>
      <c r="D12">
        <v>21</v>
      </c>
      <c r="E12">
        <v>4.3099999999999996</v>
      </c>
      <c r="F12">
        <v>1891</v>
      </c>
      <c r="G12">
        <v>654</v>
      </c>
      <c r="H12">
        <v>1439</v>
      </c>
      <c r="I12">
        <v>402</v>
      </c>
      <c r="J12">
        <v>594</v>
      </c>
      <c r="K12">
        <v>262</v>
      </c>
      <c r="L12">
        <v>898</v>
      </c>
      <c r="M12">
        <v>377</v>
      </c>
      <c r="N12">
        <v>173</v>
      </c>
      <c r="O12">
        <v>123</v>
      </c>
      <c r="P12">
        <v>505</v>
      </c>
      <c r="Q12">
        <v>548</v>
      </c>
      <c r="R12">
        <v>11</v>
      </c>
    </row>
    <row r="13" spans="1:18">
      <c r="A13" s="1" t="s">
        <v>356</v>
      </c>
      <c r="B13">
        <v>35</v>
      </c>
      <c r="C13">
        <v>23</v>
      </c>
      <c r="D13">
        <v>12</v>
      </c>
      <c r="E13">
        <v>4.62</v>
      </c>
      <c r="F13">
        <v>2416</v>
      </c>
      <c r="G13">
        <v>795</v>
      </c>
      <c r="H13">
        <v>1812</v>
      </c>
      <c r="I13">
        <v>568</v>
      </c>
      <c r="J13">
        <v>806</v>
      </c>
      <c r="K13">
        <v>365</v>
      </c>
      <c r="L13">
        <v>1130</v>
      </c>
      <c r="M13">
        <v>473</v>
      </c>
      <c r="N13">
        <v>195</v>
      </c>
      <c r="O13">
        <v>122</v>
      </c>
      <c r="P13">
        <v>446</v>
      </c>
      <c r="Q13">
        <v>588</v>
      </c>
      <c r="R13">
        <v>12</v>
      </c>
    </row>
    <row r="14" spans="1:18">
      <c r="A14" s="1" t="s">
        <v>27</v>
      </c>
      <c r="B14">
        <v>31</v>
      </c>
      <c r="C14">
        <v>15</v>
      </c>
      <c r="D14">
        <v>16</v>
      </c>
      <c r="E14">
        <v>0.03</v>
      </c>
      <c r="F14">
        <v>1974</v>
      </c>
      <c r="G14">
        <v>672</v>
      </c>
      <c r="H14">
        <v>1655</v>
      </c>
      <c r="I14">
        <v>469</v>
      </c>
      <c r="J14">
        <v>672</v>
      </c>
      <c r="K14">
        <v>302</v>
      </c>
      <c r="L14">
        <v>928</v>
      </c>
      <c r="M14">
        <v>324</v>
      </c>
      <c r="N14">
        <v>198</v>
      </c>
      <c r="O14">
        <v>94</v>
      </c>
      <c r="P14">
        <v>387</v>
      </c>
      <c r="Q14">
        <v>609</v>
      </c>
      <c r="R14">
        <v>13</v>
      </c>
    </row>
    <row r="15" spans="1:18">
      <c r="A15" s="1" t="s">
        <v>28</v>
      </c>
      <c r="B15">
        <v>33</v>
      </c>
      <c r="C15">
        <v>11</v>
      </c>
      <c r="D15">
        <v>22</v>
      </c>
      <c r="E15">
        <v>-8.34</v>
      </c>
      <c r="F15">
        <v>2013</v>
      </c>
      <c r="G15">
        <v>705</v>
      </c>
      <c r="H15">
        <v>1707</v>
      </c>
      <c r="I15">
        <v>458</v>
      </c>
      <c r="J15">
        <v>719</v>
      </c>
      <c r="K15">
        <v>364</v>
      </c>
      <c r="L15">
        <v>1003</v>
      </c>
      <c r="M15">
        <v>367</v>
      </c>
      <c r="N15">
        <v>230</v>
      </c>
      <c r="O15">
        <v>132</v>
      </c>
      <c r="P15">
        <v>491</v>
      </c>
      <c r="Q15">
        <v>601</v>
      </c>
      <c r="R15">
        <v>14</v>
      </c>
    </row>
    <row r="16" spans="1:18">
      <c r="A16" s="1" t="s">
        <v>29</v>
      </c>
      <c r="B16">
        <v>34</v>
      </c>
      <c r="C16">
        <v>14</v>
      </c>
      <c r="D16">
        <v>20</v>
      </c>
      <c r="E16">
        <v>-0.52</v>
      </c>
      <c r="F16">
        <v>2198</v>
      </c>
      <c r="G16">
        <v>765</v>
      </c>
      <c r="H16">
        <v>1771</v>
      </c>
      <c r="I16">
        <v>492</v>
      </c>
      <c r="J16">
        <v>737</v>
      </c>
      <c r="K16">
        <v>392</v>
      </c>
      <c r="L16">
        <v>1030</v>
      </c>
      <c r="M16">
        <v>329</v>
      </c>
      <c r="N16">
        <v>210</v>
      </c>
      <c r="O16">
        <v>78</v>
      </c>
      <c r="P16">
        <v>460</v>
      </c>
      <c r="Q16">
        <v>533</v>
      </c>
      <c r="R16">
        <v>15</v>
      </c>
    </row>
    <row r="17" spans="1:18">
      <c r="A17" s="1" t="s">
        <v>302</v>
      </c>
      <c r="B17">
        <v>32</v>
      </c>
      <c r="C17">
        <v>18</v>
      </c>
      <c r="D17">
        <v>14</v>
      </c>
      <c r="E17">
        <v>3.63</v>
      </c>
      <c r="F17">
        <v>2299</v>
      </c>
      <c r="G17">
        <v>808</v>
      </c>
      <c r="H17">
        <v>1860</v>
      </c>
      <c r="I17">
        <v>478</v>
      </c>
      <c r="J17">
        <v>692</v>
      </c>
      <c r="K17">
        <v>363</v>
      </c>
      <c r="L17">
        <v>971</v>
      </c>
      <c r="M17">
        <v>433</v>
      </c>
      <c r="N17">
        <v>265</v>
      </c>
      <c r="O17">
        <v>159</v>
      </c>
      <c r="P17">
        <v>415</v>
      </c>
      <c r="Q17">
        <v>618</v>
      </c>
      <c r="R17">
        <v>16</v>
      </c>
    </row>
    <row r="18" spans="1:18">
      <c r="A18" s="1" t="s">
        <v>30</v>
      </c>
      <c r="B18">
        <v>30</v>
      </c>
      <c r="C18">
        <v>12</v>
      </c>
      <c r="D18">
        <v>18</v>
      </c>
      <c r="E18">
        <v>-7.16</v>
      </c>
      <c r="F18">
        <v>2027</v>
      </c>
      <c r="G18">
        <v>678</v>
      </c>
      <c r="H18">
        <v>1608</v>
      </c>
      <c r="I18">
        <v>433</v>
      </c>
      <c r="J18">
        <v>596</v>
      </c>
      <c r="K18">
        <v>247</v>
      </c>
      <c r="L18">
        <v>860</v>
      </c>
      <c r="M18">
        <v>403</v>
      </c>
      <c r="N18">
        <v>185</v>
      </c>
      <c r="O18">
        <v>54</v>
      </c>
      <c r="P18">
        <v>467</v>
      </c>
      <c r="Q18">
        <v>581</v>
      </c>
      <c r="R18">
        <v>17</v>
      </c>
    </row>
    <row r="19" spans="1:18">
      <c r="A19" s="1" t="s">
        <v>272</v>
      </c>
      <c r="B19">
        <v>31</v>
      </c>
      <c r="C19">
        <v>15</v>
      </c>
      <c r="D19">
        <v>16</v>
      </c>
      <c r="E19">
        <v>3.84</v>
      </c>
      <c r="F19">
        <v>1942</v>
      </c>
      <c r="G19">
        <v>696</v>
      </c>
      <c r="H19">
        <v>1669</v>
      </c>
      <c r="I19">
        <v>394</v>
      </c>
      <c r="J19">
        <v>608</v>
      </c>
      <c r="K19">
        <v>345</v>
      </c>
      <c r="L19">
        <v>985</v>
      </c>
      <c r="M19">
        <v>386</v>
      </c>
      <c r="N19">
        <v>199</v>
      </c>
      <c r="O19">
        <v>149</v>
      </c>
      <c r="P19">
        <v>433</v>
      </c>
      <c r="Q19">
        <v>573</v>
      </c>
      <c r="R19">
        <v>18</v>
      </c>
    </row>
    <row r="20" spans="1:18">
      <c r="A20" s="1" t="s">
        <v>31</v>
      </c>
      <c r="B20">
        <v>32</v>
      </c>
      <c r="C20">
        <v>12</v>
      </c>
      <c r="D20">
        <v>20</v>
      </c>
      <c r="E20">
        <v>-0.66</v>
      </c>
      <c r="F20">
        <v>2216</v>
      </c>
      <c r="G20">
        <v>792</v>
      </c>
      <c r="H20">
        <v>1781</v>
      </c>
      <c r="I20">
        <v>493</v>
      </c>
      <c r="J20">
        <v>735</v>
      </c>
      <c r="K20">
        <v>388</v>
      </c>
      <c r="L20">
        <v>982</v>
      </c>
      <c r="M20">
        <v>388</v>
      </c>
      <c r="N20">
        <v>230</v>
      </c>
      <c r="O20">
        <v>115</v>
      </c>
      <c r="P20">
        <v>466</v>
      </c>
      <c r="Q20">
        <v>574</v>
      </c>
      <c r="R20">
        <v>19</v>
      </c>
    </row>
    <row r="21" spans="1:18">
      <c r="A21" s="1" t="s">
        <v>273</v>
      </c>
      <c r="B21">
        <v>30</v>
      </c>
      <c r="C21">
        <v>15</v>
      </c>
      <c r="D21">
        <v>15</v>
      </c>
      <c r="E21">
        <v>-4.45</v>
      </c>
      <c r="F21">
        <v>1901</v>
      </c>
      <c r="G21">
        <v>647</v>
      </c>
      <c r="H21">
        <v>1536</v>
      </c>
      <c r="I21">
        <v>416</v>
      </c>
      <c r="J21">
        <v>604</v>
      </c>
      <c r="K21">
        <v>336</v>
      </c>
      <c r="L21">
        <v>941</v>
      </c>
      <c r="M21">
        <v>400</v>
      </c>
      <c r="N21">
        <v>182</v>
      </c>
      <c r="O21">
        <v>79</v>
      </c>
      <c r="P21">
        <v>388</v>
      </c>
      <c r="Q21">
        <v>501</v>
      </c>
      <c r="R21">
        <v>20</v>
      </c>
    </row>
    <row r="22" spans="1:18">
      <c r="A22" s="1" t="s">
        <v>32</v>
      </c>
      <c r="B22">
        <v>38</v>
      </c>
      <c r="C22">
        <v>30</v>
      </c>
      <c r="D22">
        <v>8</v>
      </c>
      <c r="E22">
        <v>8.0299999999999994</v>
      </c>
      <c r="F22">
        <v>2839</v>
      </c>
      <c r="G22">
        <v>1004</v>
      </c>
      <c r="H22">
        <v>2148</v>
      </c>
      <c r="I22">
        <v>572</v>
      </c>
      <c r="J22">
        <v>759</v>
      </c>
      <c r="K22">
        <v>470</v>
      </c>
      <c r="L22">
        <v>1280</v>
      </c>
      <c r="M22">
        <v>570</v>
      </c>
      <c r="N22">
        <v>286</v>
      </c>
      <c r="O22">
        <v>178</v>
      </c>
      <c r="P22">
        <v>522</v>
      </c>
      <c r="Q22">
        <v>674</v>
      </c>
      <c r="R22">
        <v>21</v>
      </c>
    </row>
    <row r="23" spans="1:18">
      <c r="A23" s="1" t="s">
        <v>33</v>
      </c>
      <c r="B23">
        <v>35</v>
      </c>
      <c r="C23">
        <v>27</v>
      </c>
      <c r="D23">
        <v>8</v>
      </c>
      <c r="E23">
        <v>-1.22</v>
      </c>
      <c r="F23">
        <v>2831</v>
      </c>
      <c r="G23">
        <v>975</v>
      </c>
      <c r="H23">
        <v>2026</v>
      </c>
      <c r="I23">
        <v>572</v>
      </c>
      <c r="J23">
        <v>779</v>
      </c>
      <c r="K23">
        <v>401</v>
      </c>
      <c r="L23">
        <v>1151</v>
      </c>
      <c r="M23">
        <v>606</v>
      </c>
      <c r="N23">
        <v>255</v>
      </c>
      <c r="O23">
        <v>78</v>
      </c>
      <c r="P23">
        <v>430</v>
      </c>
      <c r="Q23">
        <v>631</v>
      </c>
      <c r="R23">
        <v>22</v>
      </c>
    </row>
    <row r="24" spans="1:18">
      <c r="A24" s="1" t="s">
        <v>34</v>
      </c>
      <c r="B24">
        <v>35</v>
      </c>
      <c r="C24">
        <v>18</v>
      </c>
      <c r="D24">
        <v>17</v>
      </c>
      <c r="E24">
        <v>-7.05</v>
      </c>
      <c r="F24">
        <v>2276</v>
      </c>
      <c r="G24">
        <v>818</v>
      </c>
      <c r="H24">
        <v>1890</v>
      </c>
      <c r="I24">
        <v>462</v>
      </c>
      <c r="J24">
        <v>702</v>
      </c>
      <c r="K24">
        <v>414</v>
      </c>
      <c r="L24">
        <v>974</v>
      </c>
      <c r="M24">
        <v>416</v>
      </c>
      <c r="N24">
        <v>241</v>
      </c>
      <c r="O24">
        <v>95</v>
      </c>
      <c r="P24">
        <v>471</v>
      </c>
      <c r="Q24">
        <v>663</v>
      </c>
      <c r="R24">
        <v>23</v>
      </c>
    </row>
    <row r="25" spans="1:18">
      <c r="A25" s="1" t="s">
        <v>303</v>
      </c>
      <c r="B25">
        <v>31</v>
      </c>
      <c r="C25">
        <v>2</v>
      </c>
      <c r="D25">
        <v>29</v>
      </c>
      <c r="E25">
        <v>-6.24</v>
      </c>
      <c r="F25">
        <v>1762</v>
      </c>
      <c r="G25">
        <v>627</v>
      </c>
      <c r="H25">
        <v>1579</v>
      </c>
      <c r="I25">
        <v>376</v>
      </c>
      <c r="J25">
        <v>538</v>
      </c>
      <c r="K25">
        <v>278</v>
      </c>
      <c r="L25">
        <v>832</v>
      </c>
      <c r="M25">
        <v>346</v>
      </c>
      <c r="N25">
        <v>187</v>
      </c>
      <c r="O25">
        <v>67</v>
      </c>
      <c r="P25">
        <v>462</v>
      </c>
      <c r="Q25">
        <v>554</v>
      </c>
      <c r="R25">
        <v>24</v>
      </c>
    </row>
    <row r="26" spans="1:18">
      <c r="A26" s="1" t="s">
        <v>35</v>
      </c>
      <c r="B26">
        <v>30</v>
      </c>
      <c r="C26">
        <v>13</v>
      </c>
      <c r="D26">
        <v>17</v>
      </c>
      <c r="E26">
        <v>3.14</v>
      </c>
      <c r="F26">
        <v>2050</v>
      </c>
      <c r="G26">
        <v>708</v>
      </c>
      <c r="H26">
        <v>1653</v>
      </c>
      <c r="I26">
        <v>407</v>
      </c>
      <c r="J26">
        <v>589</v>
      </c>
      <c r="K26">
        <v>328</v>
      </c>
      <c r="L26">
        <v>917</v>
      </c>
      <c r="M26">
        <v>346</v>
      </c>
      <c r="N26">
        <v>183</v>
      </c>
      <c r="O26">
        <v>56</v>
      </c>
      <c r="P26">
        <v>366</v>
      </c>
      <c r="Q26">
        <v>544</v>
      </c>
      <c r="R26">
        <v>25</v>
      </c>
    </row>
    <row r="27" spans="1:18">
      <c r="A27" s="1" t="s">
        <v>36</v>
      </c>
      <c r="B27">
        <v>31</v>
      </c>
      <c r="C27">
        <v>9</v>
      </c>
      <c r="D27">
        <v>22</v>
      </c>
      <c r="E27">
        <v>4.8899999999999997</v>
      </c>
      <c r="F27">
        <v>1833</v>
      </c>
      <c r="G27">
        <v>629</v>
      </c>
      <c r="H27">
        <v>1543</v>
      </c>
      <c r="I27">
        <v>350</v>
      </c>
      <c r="J27">
        <v>520</v>
      </c>
      <c r="K27">
        <v>222</v>
      </c>
      <c r="L27">
        <v>836</v>
      </c>
      <c r="M27">
        <v>354</v>
      </c>
      <c r="N27">
        <v>153</v>
      </c>
      <c r="O27">
        <v>89</v>
      </c>
      <c r="P27">
        <v>454</v>
      </c>
      <c r="Q27">
        <v>491</v>
      </c>
      <c r="R27">
        <v>26</v>
      </c>
    </row>
    <row r="28" spans="1:18">
      <c r="A28" s="1" t="s">
        <v>37</v>
      </c>
      <c r="B28">
        <v>32</v>
      </c>
      <c r="C28">
        <v>16</v>
      </c>
      <c r="D28">
        <v>16</v>
      </c>
      <c r="E28">
        <v>-4.09</v>
      </c>
      <c r="F28">
        <v>2045</v>
      </c>
      <c r="G28">
        <v>725</v>
      </c>
      <c r="H28">
        <v>1717</v>
      </c>
      <c r="I28">
        <v>393</v>
      </c>
      <c r="J28">
        <v>583</v>
      </c>
      <c r="K28">
        <v>351</v>
      </c>
      <c r="L28">
        <v>1012</v>
      </c>
      <c r="M28">
        <v>371</v>
      </c>
      <c r="N28">
        <v>187</v>
      </c>
      <c r="O28">
        <v>98</v>
      </c>
      <c r="P28">
        <v>434</v>
      </c>
      <c r="Q28">
        <v>537</v>
      </c>
      <c r="R28">
        <v>27</v>
      </c>
    </row>
    <row r="29" spans="1:18">
      <c r="A29" s="1" t="s">
        <v>38</v>
      </c>
      <c r="B29">
        <v>32</v>
      </c>
      <c r="C29">
        <v>16</v>
      </c>
      <c r="D29">
        <v>16</v>
      </c>
      <c r="E29">
        <v>7.0000000000000007E-2</v>
      </c>
      <c r="F29">
        <v>2125</v>
      </c>
      <c r="G29">
        <v>823</v>
      </c>
      <c r="H29">
        <v>1795</v>
      </c>
      <c r="I29">
        <v>323</v>
      </c>
      <c r="J29">
        <v>474</v>
      </c>
      <c r="K29">
        <v>363</v>
      </c>
      <c r="L29">
        <v>984</v>
      </c>
      <c r="M29">
        <v>438</v>
      </c>
      <c r="N29">
        <v>247</v>
      </c>
      <c r="O29">
        <v>103</v>
      </c>
      <c r="P29">
        <v>425</v>
      </c>
      <c r="Q29">
        <v>538</v>
      </c>
      <c r="R29">
        <v>28</v>
      </c>
    </row>
    <row r="30" spans="1:18">
      <c r="A30" s="1" t="s">
        <v>39</v>
      </c>
      <c r="B30">
        <v>32</v>
      </c>
      <c r="C30">
        <v>7</v>
      </c>
      <c r="D30">
        <v>25</v>
      </c>
      <c r="E30">
        <v>3.62</v>
      </c>
      <c r="F30">
        <v>1955</v>
      </c>
      <c r="G30">
        <v>689</v>
      </c>
      <c r="H30">
        <v>1720</v>
      </c>
      <c r="I30">
        <v>426</v>
      </c>
      <c r="J30">
        <v>625</v>
      </c>
      <c r="K30">
        <v>302</v>
      </c>
      <c r="L30">
        <v>985</v>
      </c>
      <c r="M30">
        <v>343</v>
      </c>
      <c r="N30">
        <v>204</v>
      </c>
      <c r="O30">
        <v>99</v>
      </c>
      <c r="P30">
        <v>438</v>
      </c>
      <c r="Q30">
        <v>550</v>
      </c>
      <c r="R30">
        <v>29</v>
      </c>
    </row>
    <row r="31" spans="1:18">
      <c r="A31" s="1" t="s">
        <v>40</v>
      </c>
      <c r="B31">
        <v>35</v>
      </c>
      <c r="C31">
        <v>26</v>
      </c>
      <c r="D31">
        <v>9</v>
      </c>
      <c r="E31">
        <v>1.55</v>
      </c>
      <c r="F31">
        <v>2727</v>
      </c>
      <c r="G31">
        <v>977</v>
      </c>
      <c r="H31">
        <v>2099</v>
      </c>
      <c r="I31">
        <v>540</v>
      </c>
      <c r="J31">
        <v>771</v>
      </c>
      <c r="K31">
        <v>381</v>
      </c>
      <c r="L31">
        <v>1223</v>
      </c>
      <c r="M31">
        <v>599</v>
      </c>
      <c r="N31">
        <v>296</v>
      </c>
      <c r="O31">
        <v>154</v>
      </c>
      <c r="P31">
        <v>473</v>
      </c>
      <c r="Q31">
        <v>637</v>
      </c>
      <c r="R31">
        <v>30</v>
      </c>
    </row>
    <row r="32" spans="1:18">
      <c r="A32" s="1" t="s">
        <v>41</v>
      </c>
      <c r="B32">
        <v>31</v>
      </c>
      <c r="C32">
        <v>8</v>
      </c>
      <c r="D32">
        <v>23</v>
      </c>
      <c r="E32">
        <v>-3.62</v>
      </c>
      <c r="F32">
        <v>1907</v>
      </c>
      <c r="G32">
        <v>685</v>
      </c>
      <c r="H32">
        <v>1695</v>
      </c>
      <c r="I32">
        <v>303</v>
      </c>
      <c r="J32">
        <v>483</v>
      </c>
      <c r="K32">
        <v>280</v>
      </c>
      <c r="L32">
        <v>928</v>
      </c>
      <c r="M32">
        <v>413</v>
      </c>
      <c r="N32">
        <v>162</v>
      </c>
      <c r="O32">
        <v>79</v>
      </c>
      <c r="P32">
        <v>382</v>
      </c>
      <c r="Q32">
        <v>497</v>
      </c>
      <c r="R32">
        <v>31</v>
      </c>
    </row>
    <row r="33" spans="1:18">
      <c r="A33" s="1" t="s">
        <v>352</v>
      </c>
      <c r="B33">
        <v>30</v>
      </c>
      <c r="C33">
        <v>2</v>
      </c>
      <c r="D33">
        <v>28</v>
      </c>
      <c r="E33">
        <v>-4.2699999999999996</v>
      </c>
      <c r="F33">
        <v>1852</v>
      </c>
      <c r="G33">
        <v>656</v>
      </c>
      <c r="H33">
        <v>1626</v>
      </c>
      <c r="I33">
        <v>331</v>
      </c>
      <c r="J33">
        <v>480</v>
      </c>
      <c r="K33">
        <v>293</v>
      </c>
      <c r="L33">
        <v>854</v>
      </c>
      <c r="M33">
        <v>376</v>
      </c>
      <c r="N33">
        <v>133</v>
      </c>
      <c r="O33">
        <v>64</v>
      </c>
      <c r="P33">
        <v>441</v>
      </c>
      <c r="Q33">
        <v>552</v>
      </c>
      <c r="R33">
        <v>32</v>
      </c>
    </row>
    <row r="34" spans="1:18">
      <c r="A34" s="1" t="s">
        <v>42</v>
      </c>
      <c r="B34">
        <v>35</v>
      </c>
      <c r="C34">
        <v>25</v>
      </c>
      <c r="D34">
        <v>10</v>
      </c>
      <c r="E34">
        <v>-3.08</v>
      </c>
      <c r="F34">
        <v>2410</v>
      </c>
      <c r="G34">
        <v>836</v>
      </c>
      <c r="H34">
        <v>1813</v>
      </c>
      <c r="I34">
        <v>532</v>
      </c>
      <c r="J34">
        <v>687</v>
      </c>
      <c r="K34">
        <v>314</v>
      </c>
      <c r="L34">
        <v>1135</v>
      </c>
      <c r="M34">
        <v>478</v>
      </c>
      <c r="N34">
        <v>152</v>
      </c>
      <c r="O34">
        <v>112</v>
      </c>
      <c r="P34">
        <v>416</v>
      </c>
      <c r="Q34">
        <v>595</v>
      </c>
      <c r="R34">
        <v>33</v>
      </c>
    </row>
    <row r="35" spans="1:18">
      <c r="A35" s="1" t="s">
        <v>43</v>
      </c>
      <c r="B35">
        <v>31</v>
      </c>
      <c r="C35">
        <v>20</v>
      </c>
      <c r="D35">
        <v>11</v>
      </c>
      <c r="E35">
        <v>0.15</v>
      </c>
      <c r="F35">
        <v>2262</v>
      </c>
      <c r="G35">
        <v>806</v>
      </c>
      <c r="H35">
        <v>1734</v>
      </c>
      <c r="I35">
        <v>438</v>
      </c>
      <c r="J35">
        <v>665</v>
      </c>
      <c r="K35">
        <v>374</v>
      </c>
      <c r="L35">
        <v>1128</v>
      </c>
      <c r="M35">
        <v>511</v>
      </c>
      <c r="N35">
        <v>174</v>
      </c>
      <c r="O35">
        <v>157</v>
      </c>
      <c r="P35">
        <v>465</v>
      </c>
      <c r="Q35">
        <v>549</v>
      </c>
      <c r="R35">
        <v>34</v>
      </c>
    </row>
    <row r="36" spans="1:18">
      <c r="A36" s="1" t="s">
        <v>304</v>
      </c>
      <c r="B36">
        <v>37</v>
      </c>
      <c r="C36">
        <v>22</v>
      </c>
      <c r="D36">
        <v>15</v>
      </c>
      <c r="E36">
        <v>1.1399999999999999</v>
      </c>
      <c r="F36">
        <v>2352</v>
      </c>
      <c r="G36">
        <v>823</v>
      </c>
      <c r="H36">
        <v>2014</v>
      </c>
      <c r="I36">
        <v>523</v>
      </c>
      <c r="J36">
        <v>806</v>
      </c>
      <c r="K36">
        <v>468</v>
      </c>
      <c r="L36">
        <v>1201</v>
      </c>
      <c r="M36">
        <v>454</v>
      </c>
      <c r="N36">
        <v>239</v>
      </c>
      <c r="O36">
        <v>123</v>
      </c>
      <c r="P36">
        <v>485</v>
      </c>
      <c r="Q36">
        <v>715</v>
      </c>
      <c r="R36">
        <v>35</v>
      </c>
    </row>
    <row r="37" spans="1:18">
      <c r="A37" s="1" t="s">
        <v>44</v>
      </c>
      <c r="B37">
        <v>33</v>
      </c>
      <c r="C37">
        <v>18</v>
      </c>
      <c r="D37">
        <v>15</v>
      </c>
      <c r="E37">
        <v>-3.78</v>
      </c>
      <c r="F37">
        <v>2136</v>
      </c>
      <c r="G37">
        <v>772</v>
      </c>
      <c r="H37">
        <v>1800</v>
      </c>
      <c r="I37">
        <v>366</v>
      </c>
      <c r="J37">
        <v>524</v>
      </c>
      <c r="K37">
        <v>407</v>
      </c>
      <c r="L37">
        <v>1033</v>
      </c>
      <c r="M37">
        <v>417</v>
      </c>
      <c r="N37">
        <v>188</v>
      </c>
      <c r="O37">
        <v>51</v>
      </c>
      <c r="P37">
        <v>351</v>
      </c>
      <c r="Q37">
        <v>594</v>
      </c>
      <c r="R37">
        <v>36</v>
      </c>
    </row>
    <row r="38" spans="1:18">
      <c r="A38" s="1" t="s">
        <v>343</v>
      </c>
      <c r="B38">
        <v>31</v>
      </c>
      <c r="C38">
        <v>16</v>
      </c>
      <c r="D38">
        <v>15</v>
      </c>
      <c r="E38">
        <v>-3.65</v>
      </c>
      <c r="F38">
        <v>2121</v>
      </c>
      <c r="G38">
        <v>761</v>
      </c>
      <c r="H38">
        <v>1676</v>
      </c>
      <c r="I38">
        <v>401</v>
      </c>
      <c r="J38">
        <v>587</v>
      </c>
      <c r="K38">
        <v>352</v>
      </c>
      <c r="L38">
        <v>883</v>
      </c>
      <c r="M38">
        <v>439</v>
      </c>
      <c r="N38">
        <v>248</v>
      </c>
      <c r="O38">
        <v>107</v>
      </c>
      <c r="P38">
        <v>457</v>
      </c>
      <c r="Q38">
        <v>614</v>
      </c>
      <c r="R38">
        <v>37</v>
      </c>
    </row>
    <row r="39" spans="1:18">
      <c r="A39" s="1" t="s">
        <v>45</v>
      </c>
      <c r="B39">
        <v>31</v>
      </c>
      <c r="C39">
        <v>21</v>
      </c>
      <c r="D39">
        <v>10</v>
      </c>
      <c r="E39">
        <v>-5.32</v>
      </c>
      <c r="F39">
        <v>2417</v>
      </c>
      <c r="G39">
        <v>833</v>
      </c>
      <c r="H39">
        <v>1763</v>
      </c>
      <c r="I39">
        <v>485</v>
      </c>
      <c r="J39">
        <v>699</v>
      </c>
      <c r="K39">
        <v>385</v>
      </c>
      <c r="L39">
        <v>1053</v>
      </c>
      <c r="M39">
        <v>464</v>
      </c>
      <c r="N39">
        <v>174</v>
      </c>
      <c r="O39">
        <v>84</v>
      </c>
      <c r="P39">
        <v>476</v>
      </c>
      <c r="Q39">
        <v>603</v>
      </c>
      <c r="R39">
        <v>38</v>
      </c>
    </row>
    <row r="40" spans="1:18">
      <c r="A40" s="1" t="s">
        <v>46</v>
      </c>
      <c r="B40">
        <v>28</v>
      </c>
      <c r="C40">
        <v>7</v>
      </c>
      <c r="D40">
        <v>21</v>
      </c>
      <c r="E40">
        <v>-2.61</v>
      </c>
      <c r="F40">
        <v>1908</v>
      </c>
      <c r="G40">
        <v>641</v>
      </c>
      <c r="H40">
        <v>1671</v>
      </c>
      <c r="I40">
        <v>456</v>
      </c>
      <c r="J40">
        <v>604</v>
      </c>
      <c r="K40">
        <v>397</v>
      </c>
      <c r="L40">
        <v>879</v>
      </c>
      <c r="M40">
        <v>375</v>
      </c>
      <c r="N40">
        <v>175</v>
      </c>
      <c r="O40">
        <v>67</v>
      </c>
      <c r="P40">
        <v>384</v>
      </c>
      <c r="Q40">
        <v>627</v>
      </c>
      <c r="R40">
        <v>39</v>
      </c>
    </row>
    <row r="41" spans="1:18">
      <c r="A41" s="1" t="s">
        <v>330</v>
      </c>
      <c r="B41">
        <v>31</v>
      </c>
      <c r="C41">
        <v>5</v>
      </c>
      <c r="D41">
        <v>26</v>
      </c>
      <c r="E41">
        <v>-2.63</v>
      </c>
      <c r="F41">
        <v>1924</v>
      </c>
      <c r="G41">
        <v>661</v>
      </c>
      <c r="H41">
        <v>1614</v>
      </c>
      <c r="I41">
        <v>362</v>
      </c>
      <c r="J41">
        <v>529</v>
      </c>
      <c r="K41">
        <v>278</v>
      </c>
      <c r="L41">
        <v>868</v>
      </c>
      <c r="M41">
        <v>371</v>
      </c>
      <c r="N41">
        <v>151</v>
      </c>
      <c r="O41">
        <v>70</v>
      </c>
      <c r="P41">
        <v>479</v>
      </c>
      <c r="Q41">
        <v>574</v>
      </c>
      <c r="R41">
        <v>40</v>
      </c>
    </row>
    <row r="42" spans="1:18">
      <c r="A42" s="1" t="s">
        <v>47</v>
      </c>
      <c r="B42">
        <v>32</v>
      </c>
      <c r="C42">
        <v>12</v>
      </c>
      <c r="D42">
        <v>20</v>
      </c>
      <c r="E42">
        <v>-1.24</v>
      </c>
      <c r="F42">
        <v>2179</v>
      </c>
      <c r="G42">
        <v>776</v>
      </c>
      <c r="H42">
        <v>1861</v>
      </c>
      <c r="I42">
        <v>377</v>
      </c>
      <c r="J42">
        <v>592</v>
      </c>
      <c r="K42">
        <v>375</v>
      </c>
      <c r="L42">
        <v>1071</v>
      </c>
      <c r="M42">
        <v>493</v>
      </c>
      <c r="N42">
        <v>156</v>
      </c>
      <c r="O42">
        <v>131</v>
      </c>
      <c r="P42">
        <v>489</v>
      </c>
      <c r="Q42">
        <v>598</v>
      </c>
      <c r="R42">
        <v>41</v>
      </c>
    </row>
    <row r="43" spans="1:18">
      <c r="A43" s="1" t="s">
        <v>305</v>
      </c>
      <c r="B43">
        <v>31</v>
      </c>
      <c r="C43">
        <v>14</v>
      </c>
      <c r="D43">
        <v>17</v>
      </c>
      <c r="E43">
        <v>-2.2200000000000002</v>
      </c>
      <c r="F43">
        <v>1841</v>
      </c>
      <c r="G43">
        <v>684</v>
      </c>
      <c r="H43">
        <v>1669</v>
      </c>
      <c r="I43">
        <v>343</v>
      </c>
      <c r="J43">
        <v>498</v>
      </c>
      <c r="K43">
        <v>308</v>
      </c>
      <c r="L43">
        <v>933</v>
      </c>
      <c r="M43">
        <v>308</v>
      </c>
      <c r="N43">
        <v>148</v>
      </c>
      <c r="O43">
        <v>123</v>
      </c>
      <c r="P43">
        <v>411</v>
      </c>
      <c r="Q43">
        <v>536</v>
      </c>
      <c r="R43">
        <v>42</v>
      </c>
    </row>
    <row r="44" spans="1:18">
      <c r="A44" s="1" t="s">
        <v>48</v>
      </c>
      <c r="B44">
        <v>31</v>
      </c>
      <c r="C44">
        <v>20</v>
      </c>
      <c r="D44">
        <v>11</v>
      </c>
      <c r="E44">
        <v>-1.38</v>
      </c>
      <c r="F44">
        <v>2262</v>
      </c>
      <c r="G44">
        <v>809</v>
      </c>
      <c r="H44">
        <v>1757</v>
      </c>
      <c r="I44">
        <v>417</v>
      </c>
      <c r="J44">
        <v>601</v>
      </c>
      <c r="K44">
        <v>383</v>
      </c>
      <c r="L44">
        <v>1096</v>
      </c>
      <c r="M44">
        <v>464</v>
      </c>
      <c r="N44">
        <v>172</v>
      </c>
      <c r="O44">
        <v>155</v>
      </c>
      <c r="P44">
        <v>367</v>
      </c>
      <c r="Q44">
        <v>539</v>
      </c>
      <c r="R44">
        <v>43</v>
      </c>
    </row>
    <row r="45" spans="1:18">
      <c r="A45" s="1" t="s">
        <v>49</v>
      </c>
      <c r="B45">
        <v>34</v>
      </c>
      <c r="C45">
        <v>24</v>
      </c>
      <c r="D45">
        <v>10</v>
      </c>
      <c r="E45">
        <v>4.53</v>
      </c>
      <c r="F45">
        <v>2419</v>
      </c>
      <c r="G45">
        <v>893</v>
      </c>
      <c r="H45">
        <v>1878</v>
      </c>
      <c r="I45">
        <v>477</v>
      </c>
      <c r="J45">
        <v>641</v>
      </c>
      <c r="K45">
        <v>341</v>
      </c>
      <c r="L45">
        <v>1095</v>
      </c>
      <c r="M45">
        <v>540</v>
      </c>
      <c r="N45">
        <v>159</v>
      </c>
      <c r="O45">
        <v>106</v>
      </c>
      <c r="P45">
        <v>411</v>
      </c>
      <c r="Q45">
        <v>489</v>
      </c>
      <c r="R45">
        <v>44</v>
      </c>
    </row>
    <row r="46" spans="1:18">
      <c r="A46" s="1" t="s">
        <v>50</v>
      </c>
      <c r="B46">
        <v>32</v>
      </c>
      <c r="C46">
        <v>17</v>
      </c>
      <c r="D46">
        <v>15</v>
      </c>
      <c r="E46">
        <v>-4.8</v>
      </c>
      <c r="F46">
        <v>2370</v>
      </c>
      <c r="G46">
        <v>846</v>
      </c>
      <c r="H46">
        <v>1748</v>
      </c>
      <c r="I46">
        <v>509</v>
      </c>
      <c r="J46">
        <v>761</v>
      </c>
      <c r="K46">
        <v>329</v>
      </c>
      <c r="L46">
        <v>1044</v>
      </c>
      <c r="M46">
        <v>496</v>
      </c>
      <c r="N46">
        <v>196</v>
      </c>
      <c r="O46">
        <v>167</v>
      </c>
      <c r="P46">
        <v>454</v>
      </c>
      <c r="Q46">
        <v>648</v>
      </c>
      <c r="R46">
        <v>45</v>
      </c>
    </row>
    <row r="47" spans="1:18">
      <c r="A47" s="1" t="s">
        <v>51</v>
      </c>
      <c r="B47">
        <v>30</v>
      </c>
      <c r="C47">
        <v>5</v>
      </c>
      <c r="D47">
        <v>25</v>
      </c>
      <c r="E47">
        <v>-4.53</v>
      </c>
      <c r="F47">
        <v>1965</v>
      </c>
      <c r="G47">
        <v>704</v>
      </c>
      <c r="H47">
        <v>1731</v>
      </c>
      <c r="I47">
        <v>366</v>
      </c>
      <c r="J47">
        <v>503</v>
      </c>
      <c r="K47">
        <v>371</v>
      </c>
      <c r="L47">
        <v>938</v>
      </c>
      <c r="M47">
        <v>327</v>
      </c>
      <c r="N47">
        <v>192</v>
      </c>
      <c r="O47">
        <v>76</v>
      </c>
      <c r="P47">
        <v>442</v>
      </c>
      <c r="Q47">
        <v>539</v>
      </c>
      <c r="R47">
        <v>46</v>
      </c>
    </row>
    <row r="48" spans="1:18">
      <c r="A48" s="1" t="s">
        <v>344</v>
      </c>
      <c r="B48">
        <v>29</v>
      </c>
      <c r="C48">
        <v>8</v>
      </c>
      <c r="D48">
        <v>21</v>
      </c>
      <c r="E48">
        <v>-4.83</v>
      </c>
      <c r="F48">
        <v>2058</v>
      </c>
      <c r="G48">
        <v>786</v>
      </c>
      <c r="H48">
        <v>1884</v>
      </c>
      <c r="I48">
        <v>336</v>
      </c>
      <c r="J48">
        <v>605</v>
      </c>
      <c r="K48">
        <v>425</v>
      </c>
      <c r="L48">
        <v>984</v>
      </c>
      <c r="M48">
        <v>426</v>
      </c>
      <c r="N48">
        <v>235</v>
      </c>
      <c r="O48">
        <v>92</v>
      </c>
      <c r="P48">
        <v>445</v>
      </c>
      <c r="Q48">
        <v>588</v>
      </c>
      <c r="R48">
        <v>47</v>
      </c>
    </row>
    <row r="49" spans="1:18">
      <c r="A49" s="1" t="s">
        <v>274</v>
      </c>
      <c r="B49">
        <v>29</v>
      </c>
      <c r="C49">
        <v>13</v>
      </c>
      <c r="D49">
        <v>16</v>
      </c>
      <c r="E49">
        <v>-5.05</v>
      </c>
      <c r="F49">
        <v>2029</v>
      </c>
      <c r="G49">
        <v>717</v>
      </c>
      <c r="H49">
        <v>1689</v>
      </c>
      <c r="I49">
        <v>415</v>
      </c>
      <c r="J49">
        <v>547</v>
      </c>
      <c r="K49">
        <v>345</v>
      </c>
      <c r="L49">
        <v>859</v>
      </c>
      <c r="M49">
        <v>393</v>
      </c>
      <c r="N49">
        <v>235</v>
      </c>
      <c r="O49">
        <v>103</v>
      </c>
      <c r="P49">
        <v>424</v>
      </c>
      <c r="Q49">
        <v>541</v>
      </c>
      <c r="R49">
        <v>48</v>
      </c>
    </row>
    <row r="50" spans="1:18">
      <c r="A50" s="1" t="s">
        <v>53</v>
      </c>
      <c r="B50">
        <v>33</v>
      </c>
      <c r="C50">
        <v>22</v>
      </c>
      <c r="D50">
        <v>11</v>
      </c>
      <c r="E50">
        <v>2.98</v>
      </c>
      <c r="F50">
        <v>2166</v>
      </c>
      <c r="G50">
        <v>768</v>
      </c>
      <c r="H50">
        <v>1777</v>
      </c>
      <c r="I50">
        <v>452</v>
      </c>
      <c r="J50">
        <v>722</v>
      </c>
      <c r="K50">
        <v>423</v>
      </c>
      <c r="L50">
        <v>1083</v>
      </c>
      <c r="M50">
        <v>375</v>
      </c>
      <c r="N50">
        <v>208</v>
      </c>
      <c r="O50">
        <v>142</v>
      </c>
      <c r="P50">
        <v>417</v>
      </c>
      <c r="Q50">
        <v>552</v>
      </c>
      <c r="R50">
        <v>49</v>
      </c>
    </row>
    <row r="51" spans="1:18">
      <c r="A51" s="1" t="s">
        <v>54</v>
      </c>
      <c r="B51">
        <v>32</v>
      </c>
      <c r="C51">
        <v>11</v>
      </c>
      <c r="D51">
        <v>21</v>
      </c>
      <c r="E51">
        <v>-1.62</v>
      </c>
      <c r="F51">
        <v>1980</v>
      </c>
      <c r="G51">
        <v>700</v>
      </c>
      <c r="H51">
        <v>1772</v>
      </c>
      <c r="I51">
        <v>377</v>
      </c>
      <c r="J51">
        <v>594</v>
      </c>
      <c r="K51">
        <v>378</v>
      </c>
      <c r="L51">
        <v>968</v>
      </c>
      <c r="M51">
        <v>329</v>
      </c>
      <c r="N51">
        <v>214</v>
      </c>
      <c r="O51">
        <v>105</v>
      </c>
      <c r="P51">
        <v>393</v>
      </c>
      <c r="Q51">
        <v>631</v>
      </c>
      <c r="R51">
        <v>50</v>
      </c>
    </row>
    <row r="52" spans="1:18">
      <c r="A52" s="1" t="s">
        <v>55</v>
      </c>
      <c r="B52">
        <v>31</v>
      </c>
      <c r="C52">
        <v>19</v>
      </c>
      <c r="D52">
        <v>12</v>
      </c>
      <c r="E52">
        <v>-4.33</v>
      </c>
      <c r="F52">
        <v>2383</v>
      </c>
      <c r="G52">
        <v>835</v>
      </c>
      <c r="H52">
        <v>1866</v>
      </c>
      <c r="I52">
        <v>454</v>
      </c>
      <c r="J52">
        <v>658</v>
      </c>
      <c r="K52">
        <v>393</v>
      </c>
      <c r="L52">
        <v>996</v>
      </c>
      <c r="M52">
        <v>396</v>
      </c>
      <c r="N52">
        <v>251</v>
      </c>
      <c r="O52">
        <v>82</v>
      </c>
      <c r="P52">
        <v>416</v>
      </c>
      <c r="Q52">
        <v>563</v>
      </c>
      <c r="R52">
        <v>51</v>
      </c>
    </row>
    <row r="53" spans="1:18">
      <c r="A53" s="1" t="s">
        <v>56</v>
      </c>
      <c r="B53">
        <v>30</v>
      </c>
      <c r="C53">
        <v>13</v>
      </c>
      <c r="D53">
        <v>17</v>
      </c>
      <c r="E53">
        <v>2.86</v>
      </c>
      <c r="F53">
        <v>2010</v>
      </c>
      <c r="G53">
        <v>693</v>
      </c>
      <c r="H53">
        <v>1683</v>
      </c>
      <c r="I53">
        <v>432</v>
      </c>
      <c r="J53">
        <v>656</v>
      </c>
      <c r="K53">
        <v>334</v>
      </c>
      <c r="L53">
        <v>982</v>
      </c>
      <c r="M53">
        <v>392</v>
      </c>
      <c r="N53">
        <v>243</v>
      </c>
      <c r="O53">
        <v>85</v>
      </c>
      <c r="P53">
        <v>421</v>
      </c>
      <c r="Q53">
        <v>548</v>
      </c>
      <c r="R53">
        <v>52</v>
      </c>
    </row>
    <row r="54" spans="1:18">
      <c r="A54" s="1" t="s">
        <v>57</v>
      </c>
      <c r="B54">
        <v>32</v>
      </c>
      <c r="C54">
        <v>11</v>
      </c>
      <c r="D54">
        <v>21</v>
      </c>
      <c r="E54">
        <v>-3.54</v>
      </c>
      <c r="F54">
        <v>2260</v>
      </c>
      <c r="G54">
        <v>765</v>
      </c>
      <c r="H54">
        <v>1849</v>
      </c>
      <c r="I54">
        <v>490</v>
      </c>
      <c r="J54">
        <v>714</v>
      </c>
      <c r="K54">
        <v>377</v>
      </c>
      <c r="L54">
        <v>1147</v>
      </c>
      <c r="M54">
        <v>456</v>
      </c>
      <c r="N54">
        <v>202</v>
      </c>
      <c r="O54">
        <v>36</v>
      </c>
      <c r="P54">
        <v>443</v>
      </c>
      <c r="Q54">
        <v>555</v>
      </c>
      <c r="R54">
        <v>53</v>
      </c>
    </row>
    <row r="55" spans="1:18">
      <c r="A55" s="1" t="s">
        <v>58</v>
      </c>
      <c r="B55">
        <v>30</v>
      </c>
      <c r="C55">
        <v>4</v>
      </c>
      <c r="D55">
        <v>26</v>
      </c>
      <c r="E55">
        <v>-3.13</v>
      </c>
      <c r="F55">
        <v>1884</v>
      </c>
      <c r="G55">
        <v>688</v>
      </c>
      <c r="H55">
        <v>1732</v>
      </c>
      <c r="I55">
        <v>353</v>
      </c>
      <c r="J55">
        <v>541</v>
      </c>
      <c r="K55">
        <v>345</v>
      </c>
      <c r="L55">
        <v>944</v>
      </c>
      <c r="M55">
        <v>320</v>
      </c>
      <c r="N55">
        <v>214</v>
      </c>
      <c r="O55">
        <v>99</v>
      </c>
      <c r="P55">
        <v>507</v>
      </c>
      <c r="Q55">
        <v>626</v>
      </c>
      <c r="R55">
        <v>54</v>
      </c>
    </row>
    <row r="56" spans="1:18">
      <c r="A56" s="1" t="s">
        <v>335</v>
      </c>
      <c r="B56">
        <v>37</v>
      </c>
      <c r="C56">
        <v>26</v>
      </c>
      <c r="D56">
        <v>11</v>
      </c>
      <c r="E56">
        <v>6.28</v>
      </c>
      <c r="F56">
        <v>2522</v>
      </c>
      <c r="G56">
        <v>924</v>
      </c>
      <c r="H56">
        <v>2194</v>
      </c>
      <c r="I56">
        <v>414</v>
      </c>
      <c r="J56">
        <v>643</v>
      </c>
      <c r="K56">
        <v>489</v>
      </c>
      <c r="L56">
        <v>1225</v>
      </c>
      <c r="M56">
        <v>479</v>
      </c>
      <c r="N56">
        <v>298</v>
      </c>
      <c r="O56">
        <v>170</v>
      </c>
      <c r="P56">
        <v>403</v>
      </c>
      <c r="Q56">
        <v>570</v>
      </c>
      <c r="R56">
        <v>55</v>
      </c>
    </row>
    <row r="57" spans="1:18">
      <c r="A57" s="1" t="s">
        <v>59</v>
      </c>
      <c r="B57">
        <v>30</v>
      </c>
      <c r="C57">
        <v>6</v>
      </c>
      <c r="D57">
        <v>24</v>
      </c>
      <c r="E57">
        <v>-3.67</v>
      </c>
      <c r="F57">
        <v>1925</v>
      </c>
      <c r="G57">
        <v>704</v>
      </c>
      <c r="H57">
        <v>1610</v>
      </c>
      <c r="I57">
        <v>355</v>
      </c>
      <c r="J57">
        <v>537</v>
      </c>
      <c r="K57">
        <v>299</v>
      </c>
      <c r="L57">
        <v>870</v>
      </c>
      <c r="M57">
        <v>400</v>
      </c>
      <c r="N57">
        <v>180</v>
      </c>
      <c r="O57">
        <v>50</v>
      </c>
      <c r="P57">
        <v>441</v>
      </c>
      <c r="Q57">
        <v>497</v>
      </c>
      <c r="R57">
        <v>56</v>
      </c>
    </row>
    <row r="58" spans="1:18">
      <c r="A58" s="1" t="s">
        <v>60</v>
      </c>
      <c r="B58">
        <v>31</v>
      </c>
      <c r="C58">
        <v>16</v>
      </c>
      <c r="D58">
        <v>15</v>
      </c>
      <c r="E58">
        <v>3.41</v>
      </c>
      <c r="F58">
        <v>2001</v>
      </c>
      <c r="G58">
        <v>736</v>
      </c>
      <c r="H58">
        <v>1701</v>
      </c>
      <c r="I58">
        <v>358</v>
      </c>
      <c r="J58">
        <v>534</v>
      </c>
      <c r="K58">
        <v>345</v>
      </c>
      <c r="L58">
        <v>946</v>
      </c>
      <c r="M58">
        <v>392</v>
      </c>
      <c r="N58">
        <v>231</v>
      </c>
      <c r="O58">
        <v>117</v>
      </c>
      <c r="P58">
        <v>375</v>
      </c>
      <c r="Q58">
        <v>499</v>
      </c>
      <c r="R58">
        <v>57</v>
      </c>
    </row>
    <row r="59" spans="1:18">
      <c r="A59" s="1" t="s">
        <v>61</v>
      </c>
      <c r="B59">
        <v>33</v>
      </c>
      <c r="C59">
        <v>22</v>
      </c>
      <c r="D59">
        <v>11</v>
      </c>
      <c r="E59">
        <v>0.12</v>
      </c>
      <c r="F59">
        <v>2177</v>
      </c>
      <c r="G59">
        <v>804</v>
      </c>
      <c r="H59">
        <v>1798</v>
      </c>
      <c r="I59">
        <v>352</v>
      </c>
      <c r="J59">
        <v>496</v>
      </c>
      <c r="K59">
        <v>371</v>
      </c>
      <c r="L59">
        <v>967</v>
      </c>
      <c r="M59">
        <v>451</v>
      </c>
      <c r="N59">
        <v>279</v>
      </c>
      <c r="O59">
        <v>110</v>
      </c>
      <c r="P59">
        <v>458</v>
      </c>
      <c r="Q59">
        <v>693</v>
      </c>
      <c r="R59">
        <v>58</v>
      </c>
    </row>
    <row r="60" spans="1:18">
      <c r="A60" s="1" t="s">
        <v>62</v>
      </c>
      <c r="B60">
        <v>31</v>
      </c>
      <c r="C60">
        <v>19</v>
      </c>
      <c r="D60">
        <v>12</v>
      </c>
      <c r="E60">
        <v>-4.5599999999999996</v>
      </c>
      <c r="F60">
        <v>2248</v>
      </c>
      <c r="G60">
        <v>853</v>
      </c>
      <c r="H60">
        <v>1753</v>
      </c>
      <c r="I60">
        <v>392</v>
      </c>
      <c r="J60">
        <v>582</v>
      </c>
      <c r="K60">
        <v>357</v>
      </c>
      <c r="L60">
        <v>1089</v>
      </c>
      <c r="M60">
        <v>407</v>
      </c>
      <c r="N60">
        <v>203</v>
      </c>
      <c r="O60">
        <v>120</v>
      </c>
      <c r="P60">
        <v>428</v>
      </c>
      <c r="Q60">
        <v>538</v>
      </c>
      <c r="R60">
        <v>59</v>
      </c>
    </row>
    <row r="61" spans="1:18">
      <c r="A61" s="1" t="s">
        <v>63</v>
      </c>
      <c r="B61">
        <v>30</v>
      </c>
      <c r="C61">
        <v>8</v>
      </c>
      <c r="D61">
        <v>22</v>
      </c>
      <c r="E61">
        <v>-4.38</v>
      </c>
      <c r="F61">
        <v>1893</v>
      </c>
      <c r="G61">
        <v>660</v>
      </c>
      <c r="H61">
        <v>1532</v>
      </c>
      <c r="I61">
        <v>375</v>
      </c>
      <c r="J61">
        <v>544</v>
      </c>
      <c r="K61">
        <v>250</v>
      </c>
      <c r="L61">
        <v>873</v>
      </c>
      <c r="M61">
        <v>363</v>
      </c>
      <c r="N61">
        <v>111</v>
      </c>
      <c r="O61">
        <v>68</v>
      </c>
      <c r="P61">
        <v>439</v>
      </c>
      <c r="Q61">
        <v>570</v>
      </c>
      <c r="R61">
        <v>60</v>
      </c>
    </row>
    <row r="62" spans="1:18">
      <c r="A62" s="1" t="s">
        <v>64</v>
      </c>
      <c r="B62">
        <v>31</v>
      </c>
      <c r="C62">
        <v>19</v>
      </c>
      <c r="D62">
        <v>12</v>
      </c>
      <c r="E62">
        <v>-2.54</v>
      </c>
      <c r="F62">
        <v>2191</v>
      </c>
      <c r="G62">
        <v>754</v>
      </c>
      <c r="H62">
        <v>1769</v>
      </c>
      <c r="I62">
        <v>438</v>
      </c>
      <c r="J62">
        <v>683</v>
      </c>
      <c r="K62">
        <v>345</v>
      </c>
      <c r="L62">
        <v>1007</v>
      </c>
      <c r="M62">
        <v>370</v>
      </c>
      <c r="N62">
        <v>229</v>
      </c>
      <c r="O62">
        <v>115</v>
      </c>
      <c r="P62">
        <v>411</v>
      </c>
      <c r="Q62">
        <v>497</v>
      </c>
      <c r="R62">
        <v>61</v>
      </c>
    </row>
    <row r="63" spans="1:18">
      <c r="A63" s="1" t="s">
        <v>65</v>
      </c>
      <c r="B63">
        <v>32</v>
      </c>
      <c r="C63">
        <v>20</v>
      </c>
      <c r="D63">
        <v>12</v>
      </c>
      <c r="E63">
        <v>5.23</v>
      </c>
      <c r="F63">
        <v>2243</v>
      </c>
      <c r="G63">
        <v>764</v>
      </c>
      <c r="H63">
        <v>1621</v>
      </c>
      <c r="I63">
        <v>526</v>
      </c>
      <c r="J63">
        <v>685</v>
      </c>
      <c r="K63">
        <v>266</v>
      </c>
      <c r="L63">
        <v>939</v>
      </c>
      <c r="M63">
        <v>389</v>
      </c>
      <c r="N63">
        <v>172</v>
      </c>
      <c r="O63">
        <v>60</v>
      </c>
      <c r="P63">
        <v>408</v>
      </c>
      <c r="Q63">
        <v>606</v>
      </c>
      <c r="R63">
        <v>62</v>
      </c>
    </row>
    <row r="64" spans="1:18">
      <c r="A64" s="1" t="s">
        <v>66</v>
      </c>
      <c r="B64">
        <v>36</v>
      </c>
      <c r="C64">
        <v>24</v>
      </c>
      <c r="D64">
        <v>12</v>
      </c>
      <c r="E64">
        <v>5.73</v>
      </c>
      <c r="F64">
        <v>2429</v>
      </c>
      <c r="G64">
        <v>835</v>
      </c>
      <c r="H64">
        <v>1874</v>
      </c>
      <c r="I64">
        <v>560</v>
      </c>
      <c r="J64">
        <v>810</v>
      </c>
      <c r="K64">
        <v>351</v>
      </c>
      <c r="L64">
        <v>1192</v>
      </c>
      <c r="M64">
        <v>422</v>
      </c>
      <c r="N64">
        <v>210</v>
      </c>
      <c r="O64">
        <v>117</v>
      </c>
      <c r="P64">
        <v>468</v>
      </c>
      <c r="Q64">
        <v>614</v>
      </c>
      <c r="R64">
        <v>63</v>
      </c>
    </row>
    <row r="65" spans="1:18">
      <c r="A65" s="1" t="s">
        <v>67</v>
      </c>
      <c r="B65">
        <v>30</v>
      </c>
      <c r="C65">
        <v>15</v>
      </c>
      <c r="D65">
        <v>15</v>
      </c>
      <c r="E65">
        <v>-3.18</v>
      </c>
      <c r="F65">
        <v>1955</v>
      </c>
      <c r="G65">
        <v>683</v>
      </c>
      <c r="H65">
        <v>1586</v>
      </c>
      <c r="I65">
        <v>378</v>
      </c>
      <c r="J65">
        <v>509</v>
      </c>
      <c r="K65">
        <v>286</v>
      </c>
      <c r="L65">
        <v>943</v>
      </c>
      <c r="M65">
        <v>380</v>
      </c>
      <c r="N65">
        <v>182</v>
      </c>
      <c r="O65">
        <v>70</v>
      </c>
      <c r="P65">
        <v>365</v>
      </c>
      <c r="Q65">
        <v>511</v>
      </c>
      <c r="R65">
        <v>64</v>
      </c>
    </row>
    <row r="66" spans="1:18">
      <c r="A66" s="1" t="s">
        <v>275</v>
      </c>
      <c r="B66">
        <v>34</v>
      </c>
      <c r="C66">
        <v>20</v>
      </c>
      <c r="D66">
        <v>14</v>
      </c>
      <c r="E66">
        <v>8.07</v>
      </c>
      <c r="F66">
        <v>2336</v>
      </c>
      <c r="G66">
        <v>858</v>
      </c>
      <c r="H66">
        <v>1900</v>
      </c>
      <c r="I66">
        <v>435</v>
      </c>
      <c r="J66">
        <v>657</v>
      </c>
      <c r="K66">
        <v>415</v>
      </c>
      <c r="L66">
        <v>1151</v>
      </c>
      <c r="M66">
        <v>457</v>
      </c>
      <c r="N66">
        <v>199</v>
      </c>
      <c r="O66">
        <v>233</v>
      </c>
      <c r="P66">
        <v>418</v>
      </c>
      <c r="Q66">
        <v>492</v>
      </c>
      <c r="R66">
        <v>65</v>
      </c>
    </row>
    <row r="67" spans="1:18">
      <c r="A67" s="1" t="s">
        <v>68</v>
      </c>
      <c r="B67">
        <v>30</v>
      </c>
      <c r="C67">
        <v>14</v>
      </c>
      <c r="D67">
        <v>16</v>
      </c>
      <c r="E67">
        <v>-5.96</v>
      </c>
      <c r="F67">
        <v>2213</v>
      </c>
      <c r="G67">
        <v>756</v>
      </c>
      <c r="H67">
        <v>1749</v>
      </c>
      <c r="I67">
        <v>412</v>
      </c>
      <c r="J67">
        <v>596</v>
      </c>
      <c r="K67">
        <v>326</v>
      </c>
      <c r="L67">
        <v>924</v>
      </c>
      <c r="M67">
        <v>443</v>
      </c>
      <c r="N67">
        <v>173</v>
      </c>
      <c r="O67">
        <v>53</v>
      </c>
      <c r="P67">
        <v>387</v>
      </c>
      <c r="Q67">
        <v>501</v>
      </c>
      <c r="R67">
        <v>66</v>
      </c>
    </row>
    <row r="68" spans="1:18">
      <c r="A68" s="1" t="s">
        <v>69</v>
      </c>
      <c r="B68">
        <v>28</v>
      </c>
      <c r="C68">
        <v>12</v>
      </c>
      <c r="D68">
        <v>16</v>
      </c>
      <c r="E68">
        <v>-0.98</v>
      </c>
      <c r="F68">
        <v>1833</v>
      </c>
      <c r="G68">
        <v>639</v>
      </c>
      <c r="H68">
        <v>1567</v>
      </c>
      <c r="I68">
        <v>338</v>
      </c>
      <c r="J68">
        <v>494</v>
      </c>
      <c r="K68">
        <v>256</v>
      </c>
      <c r="L68">
        <v>832</v>
      </c>
      <c r="M68">
        <v>379</v>
      </c>
      <c r="N68">
        <v>218</v>
      </c>
      <c r="O68">
        <v>85</v>
      </c>
      <c r="P68">
        <v>377</v>
      </c>
      <c r="Q68">
        <v>558</v>
      </c>
      <c r="R68">
        <v>67</v>
      </c>
    </row>
    <row r="69" spans="1:18">
      <c r="A69" s="1" t="s">
        <v>326</v>
      </c>
      <c r="B69">
        <v>35</v>
      </c>
      <c r="C69">
        <v>29</v>
      </c>
      <c r="D69">
        <v>6</v>
      </c>
      <c r="E69">
        <v>3.41</v>
      </c>
      <c r="F69">
        <v>2772</v>
      </c>
      <c r="G69">
        <v>975</v>
      </c>
      <c r="H69">
        <v>1935</v>
      </c>
      <c r="I69">
        <v>535</v>
      </c>
      <c r="J69">
        <v>737</v>
      </c>
      <c r="K69">
        <v>330</v>
      </c>
      <c r="L69">
        <v>1163</v>
      </c>
      <c r="M69">
        <v>616</v>
      </c>
      <c r="N69">
        <v>169</v>
      </c>
      <c r="O69">
        <v>82</v>
      </c>
      <c r="P69">
        <v>421</v>
      </c>
      <c r="Q69">
        <v>592</v>
      </c>
      <c r="R69">
        <v>68</v>
      </c>
    </row>
    <row r="70" spans="1:18">
      <c r="A70" s="1" t="s">
        <v>70</v>
      </c>
      <c r="B70">
        <v>30</v>
      </c>
      <c r="C70">
        <v>5</v>
      </c>
      <c r="D70">
        <v>25</v>
      </c>
      <c r="E70">
        <v>-3.56</v>
      </c>
      <c r="F70">
        <v>1727</v>
      </c>
      <c r="G70">
        <v>592</v>
      </c>
      <c r="H70">
        <v>1504</v>
      </c>
      <c r="I70">
        <v>389</v>
      </c>
      <c r="J70">
        <v>552</v>
      </c>
      <c r="K70">
        <v>272</v>
      </c>
      <c r="L70">
        <v>908</v>
      </c>
      <c r="M70">
        <v>291</v>
      </c>
      <c r="N70">
        <v>163</v>
      </c>
      <c r="O70">
        <v>73</v>
      </c>
      <c r="P70">
        <v>418</v>
      </c>
      <c r="Q70">
        <v>557</v>
      </c>
      <c r="R70">
        <v>69</v>
      </c>
    </row>
    <row r="71" spans="1:18">
      <c r="A71" s="1" t="s">
        <v>71</v>
      </c>
      <c r="B71">
        <v>33</v>
      </c>
      <c r="C71">
        <v>25</v>
      </c>
      <c r="D71">
        <v>8</v>
      </c>
      <c r="E71">
        <v>-1.68</v>
      </c>
      <c r="F71">
        <v>2571</v>
      </c>
      <c r="G71">
        <v>879</v>
      </c>
      <c r="H71">
        <v>1969</v>
      </c>
      <c r="I71">
        <v>558</v>
      </c>
      <c r="J71">
        <v>731</v>
      </c>
      <c r="K71">
        <v>415</v>
      </c>
      <c r="L71">
        <v>1167</v>
      </c>
      <c r="M71">
        <v>455</v>
      </c>
      <c r="N71">
        <v>184</v>
      </c>
      <c r="O71">
        <v>116</v>
      </c>
      <c r="P71">
        <v>388</v>
      </c>
      <c r="Q71">
        <v>673</v>
      </c>
      <c r="R71">
        <v>70</v>
      </c>
    </row>
    <row r="72" spans="1:18">
      <c r="A72" s="1" t="s">
        <v>276</v>
      </c>
      <c r="B72">
        <v>33</v>
      </c>
      <c r="C72">
        <v>20</v>
      </c>
      <c r="D72">
        <v>13</v>
      </c>
      <c r="E72">
        <v>4.3</v>
      </c>
      <c r="F72">
        <v>2369</v>
      </c>
      <c r="G72">
        <v>814</v>
      </c>
      <c r="H72">
        <v>1860</v>
      </c>
      <c r="I72">
        <v>484</v>
      </c>
      <c r="J72">
        <v>623</v>
      </c>
      <c r="K72">
        <v>407</v>
      </c>
      <c r="L72">
        <v>1083</v>
      </c>
      <c r="M72">
        <v>472</v>
      </c>
      <c r="N72">
        <v>174</v>
      </c>
      <c r="O72">
        <v>89</v>
      </c>
      <c r="P72">
        <v>430</v>
      </c>
      <c r="Q72">
        <v>617</v>
      </c>
      <c r="R72">
        <v>71</v>
      </c>
    </row>
    <row r="73" spans="1:18">
      <c r="A73" s="1" t="s">
        <v>72</v>
      </c>
      <c r="B73">
        <v>29</v>
      </c>
      <c r="C73">
        <v>15</v>
      </c>
      <c r="D73">
        <v>14</v>
      </c>
      <c r="E73">
        <v>-6.78</v>
      </c>
      <c r="F73">
        <v>1917</v>
      </c>
      <c r="G73">
        <v>694</v>
      </c>
      <c r="H73">
        <v>1596</v>
      </c>
      <c r="I73">
        <v>349</v>
      </c>
      <c r="J73">
        <v>498</v>
      </c>
      <c r="K73">
        <v>298</v>
      </c>
      <c r="L73">
        <v>778</v>
      </c>
      <c r="M73">
        <v>342</v>
      </c>
      <c r="N73">
        <v>228</v>
      </c>
      <c r="O73">
        <v>192</v>
      </c>
      <c r="P73">
        <v>299</v>
      </c>
      <c r="Q73">
        <v>472</v>
      </c>
      <c r="R73">
        <v>72</v>
      </c>
    </row>
    <row r="74" spans="1:18">
      <c r="A74" s="1" t="s">
        <v>73</v>
      </c>
      <c r="B74">
        <v>32</v>
      </c>
      <c r="C74">
        <v>18</v>
      </c>
      <c r="D74">
        <v>14</v>
      </c>
      <c r="E74">
        <v>-2.1800000000000002</v>
      </c>
      <c r="F74">
        <v>2206</v>
      </c>
      <c r="G74">
        <v>746</v>
      </c>
      <c r="H74">
        <v>1750</v>
      </c>
      <c r="I74">
        <v>545</v>
      </c>
      <c r="J74">
        <v>760</v>
      </c>
      <c r="K74">
        <v>326</v>
      </c>
      <c r="L74">
        <v>1080</v>
      </c>
      <c r="M74">
        <v>302</v>
      </c>
      <c r="N74">
        <v>150</v>
      </c>
      <c r="O74">
        <v>160</v>
      </c>
      <c r="P74">
        <v>412</v>
      </c>
      <c r="Q74">
        <v>571</v>
      </c>
      <c r="R74">
        <v>73</v>
      </c>
    </row>
    <row r="75" spans="1:18">
      <c r="A75" s="1" t="s">
        <v>74</v>
      </c>
      <c r="B75">
        <v>31</v>
      </c>
      <c r="C75">
        <v>22</v>
      </c>
      <c r="D75">
        <v>9</v>
      </c>
      <c r="E75">
        <v>-1.47</v>
      </c>
      <c r="F75">
        <v>2112</v>
      </c>
      <c r="G75">
        <v>728</v>
      </c>
      <c r="H75">
        <v>1494</v>
      </c>
      <c r="I75">
        <v>401</v>
      </c>
      <c r="J75">
        <v>526</v>
      </c>
      <c r="K75">
        <v>197</v>
      </c>
      <c r="L75">
        <v>745</v>
      </c>
      <c r="M75">
        <v>484</v>
      </c>
      <c r="N75">
        <v>223</v>
      </c>
      <c r="O75">
        <v>137</v>
      </c>
      <c r="P75">
        <v>375</v>
      </c>
      <c r="Q75">
        <v>564</v>
      </c>
      <c r="R75">
        <v>74</v>
      </c>
    </row>
    <row r="76" spans="1:18">
      <c r="A76" s="1" t="s">
        <v>277</v>
      </c>
      <c r="B76">
        <v>31</v>
      </c>
      <c r="C76">
        <v>12</v>
      </c>
      <c r="D76">
        <v>19</v>
      </c>
      <c r="E76">
        <v>4.57</v>
      </c>
      <c r="F76">
        <v>2298</v>
      </c>
      <c r="G76">
        <v>857</v>
      </c>
      <c r="H76">
        <v>1956</v>
      </c>
      <c r="I76">
        <v>360</v>
      </c>
      <c r="J76">
        <v>517</v>
      </c>
      <c r="K76">
        <v>374</v>
      </c>
      <c r="L76">
        <v>917</v>
      </c>
      <c r="M76">
        <v>474</v>
      </c>
      <c r="N76">
        <v>245</v>
      </c>
      <c r="O76">
        <v>126</v>
      </c>
      <c r="P76">
        <v>414</v>
      </c>
      <c r="Q76">
        <v>637</v>
      </c>
      <c r="R76">
        <v>75</v>
      </c>
    </row>
    <row r="77" spans="1:18">
      <c r="A77" s="1" t="s">
        <v>75</v>
      </c>
      <c r="B77">
        <v>36</v>
      </c>
      <c r="C77">
        <v>22</v>
      </c>
      <c r="D77">
        <v>14</v>
      </c>
      <c r="E77">
        <v>-0.01</v>
      </c>
      <c r="F77">
        <v>2597</v>
      </c>
      <c r="G77">
        <v>903</v>
      </c>
      <c r="H77">
        <v>2008</v>
      </c>
      <c r="I77">
        <v>626</v>
      </c>
      <c r="J77">
        <v>857</v>
      </c>
      <c r="K77">
        <v>434</v>
      </c>
      <c r="L77">
        <v>1124</v>
      </c>
      <c r="M77">
        <v>463</v>
      </c>
      <c r="N77">
        <v>272</v>
      </c>
      <c r="O77">
        <v>165</v>
      </c>
      <c r="P77">
        <v>450</v>
      </c>
      <c r="Q77">
        <v>684</v>
      </c>
      <c r="R77">
        <v>76</v>
      </c>
    </row>
    <row r="78" spans="1:18">
      <c r="A78" s="1" t="s">
        <v>76</v>
      </c>
      <c r="B78">
        <v>34</v>
      </c>
      <c r="C78">
        <v>18</v>
      </c>
      <c r="D78">
        <v>16</v>
      </c>
      <c r="E78">
        <v>2.96</v>
      </c>
      <c r="F78">
        <v>2279</v>
      </c>
      <c r="G78">
        <v>788</v>
      </c>
      <c r="H78">
        <v>1794</v>
      </c>
      <c r="I78">
        <v>491</v>
      </c>
      <c r="J78">
        <v>749</v>
      </c>
      <c r="K78">
        <v>282</v>
      </c>
      <c r="L78">
        <v>1013</v>
      </c>
      <c r="M78">
        <v>350</v>
      </c>
      <c r="N78">
        <v>236</v>
      </c>
      <c r="O78">
        <v>103</v>
      </c>
      <c r="P78">
        <v>440</v>
      </c>
      <c r="Q78">
        <v>686</v>
      </c>
      <c r="R78">
        <v>77</v>
      </c>
    </row>
    <row r="79" spans="1:18">
      <c r="A79" s="1" t="s">
        <v>77</v>
      </c>
      <c r="B79">
        <v>36</v>
      </c>
      <c r="C79">
        <v>29</v>
      </c>
      <c r="D79">
        <v>7</v>
      </c>
      <c r="E79">
        <v>-1.8</v>
      </c>
      <c r="F79">
        <v>2350</v>
      </c>
      <c r="G79">
        <v>801</v>
      </c>
      <c r="H79">
        <v>1821</v>
      </c>
      <c r="I79">
        <v>527</v>
      </c>
      <c r="J79">
        <v>711</v>
      </c>
      <c r="K79">
        <v>386</v>
      </c>
      <c r="L79">
        <v>1169</v>
      </c>
      <c r="M79">
        <v>462</v>
      </c>
      <c r="N79">
        <v>173</v>
      </c>
      <c r="O79">
        <v>118</v>
      </c>
      <c r="P79">
        <v>419</v>
      </c>
      <c r="Q79">
        <v>646</v>
      </c>
      <c r="R79">
        <v>78</v>
      </c>
    </row>
    <row r="80" spans="1:18">
      <c r="A80" s="1" t="s">
        <v>373</v>
      </c>
      <c r="B80">
        <v>34</v>
      </c>
      <c r="C80">
        <v>27</v>
      </c>
      <c r="D80">
        <v>7</v>
      </c>
      <c r="E80">
        <v>8.4</v>
      </c>
      <c r="F80">
        <v>2628</v>
      </c>
      <c r="G80">
        <v>874</v>
      </c>
      <c r="H80">
        <v>1915</v>
      </c>
      <c r="I80">
        <v>606</v>
      </c>
      <c r="J80">
        <v>864</v>
      </c>
      <c r="K80">
        <v>406</v>
      </c>
      <c r="L80">
        <v>1152</v>
      </c>
      <c r="M80">
        <v>423</v>
      </c>
      <c r="N80">
        <v>210</v>
      </c>
      <c r="O80">
        <v>136</v>
      </c>
      <c r="P80">
        <v>415</v>
      </c>
      <c r="Q80">
        <v>626</v>
      </c>
      <c r="R80">
        <v>79</v>
      </c>
    </row>
    <row r="81" spans="1:18">
      <c r="A81" s="1" t="s">
        <v>78</v>
      </c>
      <c r="B81">
        <v>31</v>
      </c>
      <c r="C81">
        <v>16</v>
      </c>
      <c r="D81">
        <v>15</v>
      </c>
      <c r="E81">
        <v>3.96</v>
      </c>
      <c r="F81">
        <v>2252</v>
      </c>
      <c r="G81">
        <v>806</v>
      </c>
      <c r="H81">
        <v>1786</v>
      </c>
      <c r="I81">
        <v>441</v>
      </c>
      <c r="J81">
        <v>660</v>
      </c>
      <c r="K81">
        <v>325</v>
      </c>
      <c r="L81">
        <v>848</v>
      </c>
      <c r="M81">
        <v>473</v>
      </c>
      <c r="N81">
        <v>240</v>
      </c>
      <c r="O81">
        <v>113</v>
      </c>
      <c r="P81">
        <v>374</v>
      </c>
      <c r="Q81">
        <v>541</v>
      </c>
      <c r="R81">
        <v>80</v>
      </c>
    </row>
    <row r="82" spans="1:18">
      <c r="A82" s="1" t="s">
        <v>79</v>
      </c>
      <c r="B82">
        <v>31</v>
      </c>
      <c r="C82">
        <v>15</v>
      </c>
      <c r="D82">
        <v>16</v>
      </c>
      <c r="E82">
        <v>2.5299999999999998</v>
      </c>
      <c r="F82">
        <v>2136</v>
      </c>
      <c r="G82">
        <v>747</v>
      </c>
      <c r="H82">
        <v>1714</v>
      </c>
      <c r="I82">
        <v>406</v>
      </c>
      <c r="J82">
        <v>593</v>
      </c>
      <c r="K82">
        <v>337</v>
      </c>
      <c r="L82">
        <v>980</v>
      </c>
      <c r="M82">
        <v>452</v>
      </c>
      <c r="N82">
        <v>241</v>
      </c>
      <c r="O82">
        <v>131</v>
      </c>
      <c r="P82">
        <v>426</v>
      </c>
      <c r="Q82">
        <v>558</v>
      </c>
      <c r="R82">
        <v>81</v>
      </c>
    </row>
    <row r="83" spans="1:18">
      <c r="A83" s="1" t="s">
        <v>80</v>
      </c>
      <c r="B83">
        <v>31</v>
      </c>
      <c r="C83">
        <v>17</v>
      </c>
      <c r="D83">
        <v>14</v>
      </c>
      <c r="E83">
        <v>-1.78</v>
      </c>
      <c r="F83">
        <v>2098</v>
      </c>
      <c r="G83">
        <v>768</v>
      </c>
      <c r="H83">
        <v>1743</v>
      </c>
      <c r="I83">
        <v>434</v>
      </c>
      <c r="J83">
        <v>684</v>
      </c>
      <c r="K83">
        <v>407</v>
      </c>
      <c r="L83">
        <v>974</v>
      </c>
      <c r="M83">
        <v>323</v>
      </c>
      <c r="N83">
        <v>316</v>
      </c>
      <c r="O83">
        <v>91</v>
      </c>
      <c r="P83">
        <v>419</v>
      </c>
      <c r="Q83">
        <v>521</v>
      </c>
      <c r="R83">
        <v>82</v>
      </c>
    </row>
    <row r="84" spans="1:18">
      <c r="A84" s="1" t="s">
        <v>81</v>
      </c>
      <c r="B84">
        <v>29</v>
      </c>
      <c r="C84">
        <v>12</v>
      </c>
      <c r="D84">
        <v>17</v>
      </c>
      <c r="E84">
        <v>-6.48</v>
      </c>
      <c r="F84">
        <v>1896</v>
      </c>
      <c r="G84">
        <v>688</v>
      </c>
      <c r="H84">
        <v>1579</v>
      </c>
      <c r="I84">
        <v>373</v>
      </c>
      <c r="J84">
        <v>493</v>
      </c>
      <c r="K84">
        <v>304</v>
      </c>
      <c r="L84">
        <v>833</v>
      </c>
      <c r="M84">
        <v>383</v>
      </c>
      <c r="N84">
        <v>165</v>
      </c>
      <c r="O84">
        <v>67</v>
      </c>
      <c r="P84">
        <v>380</v>
      </c>
      <c r="Q84">
        <v>500</v>
      </c>
      <c r="R84">
        <v>83</v>
      </c>
    </row>
    <row r="85" spans="1:18">
      <c r="A85" s="1" t="s">
        <v>82</v>
      </c>
      <c r="B85">
        <v>32</v>
      </c>
      <c r="C85">
        <v>16</v>
      </c>
      <c r="D85">
        <v>16</v>
      </c>
      <c r="E85">
        <v>-5.93</v>
      </c>
      <c r="F85">
        <v>2123</v>
      </c>
      <c r="G85">
        <v>744</v>
      </c>
      <c r="H85">
        <v>1715</v>
      </c>
      <c r="I85">
        <v>404</v>
      </c>
      <c r="J85">
        <v>551</v>
      </c>
      <c r="K85">
        <v>289</v>
      </c>
      <c r="L85">
        <v>845</v>
      </c>
      <c r="M85">
        <v>378</v>
      </c>
      <c r="N85">
        <v>239</v>
      </c>
      <c r="O85">
        <v>59</v>
      </c>
      <c r="P85">
        <v>346</v>
      </c>
      <c r="Q85">
        <v>629</v>
      </c>
      <c r="R85">
        <v>84</v>
      </c>
    </row>
    <row r="86" spans="1:18">
      <c r="A86" s="1" t="s">
        <v>83</v>
      </c>
      <c r="B86">
        <v>32</v>
      </c>
      <c r="C86">
        <v>14</v>
      </c>
      <c r="D86">
        <v>18</v>
      </c>
      <c r="E86">
        <v>-1.68</v>
      </c>
      <c r="F86">
        <v>1704</v>
      </c>
      <c r="G86">
        <v>583</v>
      </c>
      <c r="H86">
        <v>1555</v>
      </c>
      <c r="I86">
        <v>385</v>
      </c>
      <c r="J86">
        <v>556</v>
      </c>
      <c r="K86">
        <v>339</v>
      </c>
      <c r="L86">
        <v>879</v>
      </c>
      <c r="M86">
        <v>310</v>
      </c>
      <c r="N86">
        <v>227</v>
      </c>
      <c r="O86">
        <v>98</v>
      </c>
      <c r="P86">
        <v>438</v>
      </c>
      <c r="Q86">
        <v>549</v>
      </c>
      <c r="R86">
        <v>85</v>
      </c>
    </row>
    <row r="87" spans="1:18">
      <c r="A87" s="1" t="s">
        <v>84</v>
      </c>
      <c r="B87">
        <v>32</v>
      </c>
      <c r="C87">
        <v>15</v>
      </c>
      <c r="D87">
        <v>17</v>
      </c>
      <c r="E87">
        <v>-3.23</v>
      </c>
      <c r="F87">
        <v>2326</v>
      </c>
      <c r="G87">
        <v>788</v>
      </c>
      <c r="H87">
        <v>1914</v>
      </c>
      <c r="I87">
        <v>467</v>
      </c>
      <c r="J87">
        <v>659</v>
      </c>
      <c r="K87">
        <v>383</v>
      </c>
      <c r="L87">
        <v>992</v>
      </c>
      <c r="M87">
        <v>390</v>
      </c>
      <c r="N87">
        <v>228</v>
      </c>
      <c r="O87">
        <v>114</v>
      </c>
      <c r="P87">
        <v>377</v>
      </c>
      <c r="Q87">
        <v>723</v>
      </c>
      <c r="R87">
        <v>86</v>
      </c>
    </row>
    <row r="88" spans="1:18">
      <c r="A88" s="1" t="s">
        <v>85</v>
      </c>
      <c r="B88">
        <v>31</v>
      </c>
      <c r="C88">
        <v>15</v>
      </c>
      <c r="D88">
        <v>16</v>
      </c>
      <c r="E88">
        <v>-3.03</v>
      </c>
      <c r="F88">
        <v>2175</v>
      </c>
      <c r="G88">
        <v>770</v>
      </c>
      <c r="H88">
        <v>1831</v>
      </c>
      <c r="I88">
        <v>397</v>
      </c>
      <c r="J88">
        <v>589</v>
      </c>
      <c r="K88">
        <v>326</v>
      </c>
      <c r="L88">
        <v>1032</v>
      </c>
      <c r="M88">
        <v>407</v>
      </c>
      <c r="N88">
        <v>149</v>
      </c>
      <c r="O88">
        <v>83</v>
      </c>
      <c r="P88">
        <v>429</v>
      </c>
      <c r="Q88">
        <v>570</v>
      </c>
      <c r="R88">
        <v>87</v>
      </c>
    </row>
    <row r="89" spans="1:18">
      <c r="A89" s="1" t="s">
        <v>86</v>
      </c>
      <c r="B89">
        <v>32</v>
      </c>
      <c r="C89">
        <v>16</v>
      </c>
      <c r="D89">
        <v>16</v>
      </c>
      <c r="E89">
        <v>3.56</v>
      </c>
      <c r="F89">
        <v>2351</v>
      </c>
      <c r="G89">
        <v>801</v>
      </c>
      <c r="H89">
        <v>1738</v>
      </c>
      <c r="I89">
        <v>572</v>
      </c>
      <c r="J89">
        <v>749</v>
      </c>
      <c r="K89">
        <v>279</v>
      </c>
      <c r="L89">
        <v>832</v>
      </c>
      <c r="M89">
        <v>509</v>
      </c>
      <c r="N89">
        <v>243</v>
      </c>
      <c r="O89">
        <v>54</v>
      </c>
      <c r="P89">
        <v>404</v>
      </c>
      <c r="Q89">
        <v>680</v>
      </c>
      <c r="R89">
        <v>88</v>
      </c>
    </row>
    <row r="90" spans="1:18">
      <c r="A90" s="1" t="s">
        <v>87</v>
      </c>
      <c r="B90">
        <v>37</v>
      </c>
      <c r="C90">
        <v>22</v>
      </c>
      <c r="D90">
        <v>15</v>
      </c>
      <c r="E90">
        <v>-1.34</v>
      </c>
      <c r="F90">
        <v>2417</v>
      </c>
      <c r="G90">
        <v>884</v>
      </c>
      <c r="H90">
        <v>1973</v>
      </c>
      <c r="I90">
        <v>420</v>
      </c>
      <c r="J90">
        <v>645</v>
      </c>
      <c r="K90">
        <v>416</v>
      </c>
      <c r="L90">
        <v>1126</v>
      </c>
      <c r="M90">
        <v>553</v>
      </c>
      <c r="N90">
        <v>309</v>
      </c>
      <c r="O90">
        <v>151</v>
      </c>
      <c r="P90">
        <v>540</v>
      </c>
      <c r="Q90">
        <v>677</v>
      </c>
      <c r="R90">
        <v>89</v>
      </c>
    </row>
    <row r="91" spans="1:18">
      <c r="A91" s="1" t="s">
        <v>88</v>
      </c>
      <c r="B91">
        <v>29</v>
      </c>
      <c r="C91">
        <v>3</v>
      </c>
      <c r="D91">
        <v>26</v>
      </c>
      <c r="E91">
        <v>-5.0599999999999996</v>
      </c>
      <c r="F91">
        <v>1762</v>
      </c>
      <c r="G91">
        <v>655</v>
      </c>
      <c r="H91">
        <v>1589</v>
      </c>
      <c r="I91">
        <v>343</v>
      </c>
      <c r="J91">
        <v>520</v>
      </c>
      <c r="K91">
        <v>302</v>
      </c>
      <c r="L91">
        <v>874</v>
      </c>
      <c r="M91">
        <v>322</v>
      </c>
      <c r="N91">
        <v>167</v>
      </c>
      <c r="O91">
        <v>110</v>
      </c>
      <c r="P91">
        <v>440</v>
      </c>
      <c r="Q91">
        <v>544</v>
      </c>
      <c r="R91">
        <v>90</v>
      </c>
    </row>
    <row r="92" spans="1:18">
      <c r="A92" s="1" t="s">
        <v>89</v>
      </c>
      <c r="B92">
        <v>33</v>
      </c>
      <c r="C92">
        <v>10</v>
      </c>
      <c r="D92">
        <v>23</v>
      </c>
      <c r="E92">
        <v>-6.29</v>
      </c>
      <c r="F92">
        <v>2175</v>
      </c>
      <c r="G92">
        <v>820</v>
      </c>
      <c r="H92">
        <v>2019</v>
      </c>
      <c r="I92">
        <v>352</v>
      </c>
      <c r="J92">
        <v>572</v>
      </c>
      <c r="K92">
        <v>479</v>
      </c>
      <c r="L92">
        <v>1072</v>
      </c>
      <c r="M92">
        <v>344</v>
      </c>
      <c r="N92">
        <v>269</v>
      </c>
      <c r="O92">
        <v>145</v>
      </c>
      <c r="P92">
        <v>520</v>
      </c>
      <c r="Q92">
        <v>671</v>
      </c>
      <c r="R92">
        <v>91</v>
      </c>
    </row>
    <row r="93" spans="1:18">
      <c r="A93" s="1" t="s">
        <v>90</v>
      </c>
      <c r="B93">
        <v>30</v>
      </c>
      <c r="C93">
        <v>11</v>
      </c>
      <c r="D93">
        <v>19</v>
      </c>
      <c r="E93">
        <v>0.77</v>
      </c>
      <c r="F93">
        <v>1977</v>
      </c>
      <c r="G93">
        <v>718</v>
      </c>
      <c r="H93">
        <v>1738</v>
      </c>
      <c r="I93">
        <v>333</v>
      </c>
      <c r="J93">
        <v>502</v>
      </c>
      <c r="K93">
        <v>358</v>
      </c>
      <c r="L93">
        <v>901</v>
      </c>
      <c r="M93">
        <v>382</v>
      </c>
      <c r="N93">
        <v>201</v>
      </c>
      <c r="O93">
        <v>128</v>
      </c>
      <c r="P93">
        <v>366</v>
      </c>
      <c r="Q93">
        <v>574</v>
      </c>
      <c r="R93">
        <v>92</v>
      </c>
    </row>
    <row r="94" spans="1:18">
      <c r="A94" s="1" t="s">
        <v>346</v>
      </c>
      <c r="B94">
        <v>32</v>
      </c>
      <c r="C94">
        <v>15</v>
      </c>
      <c r="D94">
        <v>17</v>
      </c>
      <c r="E94">
        <v>-1.96</v>
      </c>
      <c r="F94">
        <v>2306</v>
      </c>
      <c r="G94">
        <v>823</v>
      </c>
      <c r="H94">
        <v>1806</v>
      </c>
      <c r="I94">
        <v>409</v>
      </c>
      <c r="J94">
        <v>608</v>
      </c>
      <c r="K94">
        <v>366</v>
      </c>
      <c r="L94">
        <v>1038</v>
      </c>
      <c r="M94">
        <v>428</v>
      </c>
      <c r="N94">
        <v>261</v>
      </c>
      <c r="O94">
        <v>125</v>
      </c>
      <c r="P94">
        <v>477</v>
      </c>
      <c r="Q94">
        <v>612</v>
      </c>
      <c r="R94">
        <v>93</v>
      </c>
    </row>
    <row r="95" spans="1:18">
      <c r="A95" s="1" t="s">
        <v>91</v>
      </c>
      <c r="B95">
        <v>29</v>
      </c>
      <c r="C95">
        <v>8</v>
      </c>
      <c r="D95">
        <v>21</v>
      </c>
      <c r="E95">
        <v>-1.1000000000000001</v>
      </c>
      <c r="F95">
        <v>1836</v>
      </c>
      <c r="G95">
        <v>630</v>
      </c>
      <c r="H95">
        <v>1514</v>
      </c>
      <c r="I95">
        <v>426</v>
      </c>
      <c r="J95">
        <v>588</v>
      </c>
      <c r="K95">
        <v>317</v>
      </c>
      <c r="L95">
        <v>841</v>
      </c>
      <c r="M95">
        <v>271</v>
      </c>
      <c r="N95">
        <v>216</v>
      </c>
      <c r="O95">
        <v>110</v>
      </c>
      <c r="P95">
        <v>424</v>
      </c>
      <c r="Q95">
        <v>586</v>
      </c>
      <c r="R95">
        <v>94</v>
      </c>
    </row>
    <row r="96" spans="1:18">
      <c r="A96" s="1" t="s">
        <v>92</v>
      </c>
      <c r="B96">
        <v>35</v>
      </c>
      <c r="C96">
        <v>25</v>
      </c>
      <c r="D96">
        <v>10</v>
      </c>
      <c r="E96">
        <v>7.62</v>
      </c>
      <c r="F96">
        <v>2443</v>
      </c>
      <c r="G96">
        <v>877</v>
      </c>
      <c r="H96">
        <v>1923</v>
      </c>
      <c r="I96">
        <v>473</v>
      </c>
      <c r="J96">
        <v>669</v>
      </c>
      <c r="K96">
        <v>398</v>
      </c>
      <c r="L96">
        <v>1169</v>
      </c>
      <c r="M96">
        <v>427</v>
      </c>
      <c r="N96">
        <v>265</v>
      </c>
      <c r="O96">
        <v>213</v>
      </c>
      <c r="P96">
        <v>550</v>
      </c>
      <c r="Q96">
        <v>653</v>
      </c>
      <c r="R96">
        <v>95</v>
      </c>
    </row>
    <row r="97" spans="1:18">
      <c r="A97" s="1" t="s">
        <v>347</v>
      </c>
      <c r="B97">
        <v>37</v>
      </c>
      <c r="C97">
        <v>26</v>
      </c>
      <c r="D97">
        <v>11</v>
      </c>
      <c r="E97">
        <v>7.33</v>
      </c>
      <c r="F97">
        <v>2808</v>
      </c>
      <c r="G97">
        <v>976</v>
      </c>
      <c r="H97">
        <v>2106</v>
      </c>
      <c r="I97">
        <v>499</v>
      </c>
      <c r="J97">
        <v>700</v>
      </c>
      <c r="K97">
        <v>416</v>
      </c>
      <c r="L97">
        <v>1180</v>
      </c>
      <c r="M97">
        <v>551</v>
      </c>
      <c r="N97">
        <v>233</v>
      </c>
      <c r="O97">
        <v>124</v>
      </c>
      <c r="P97">
        <v>410</v>
      </c>
      <c r="Q97">
        <v>575</v>
      </c>
      <c r="R97">
        <v>96</v>
      </c>
    </row>
    <row r="98" spans="1:18">
      <c r="A98" s="1" t="s">
        <v>93</v>
      </c>
      <c r="B98">
        <v>29</v>
      </c>
      <c r="C98">
        <v>10</v>
      </c>
      <c r="D98">
        <v>19</v>
      </c>
      <c r="E98">
        <v>1.92</v>
      </c>
      <c r="F98">
        <v>1797</v>
      </c>
      <c r="G98">
        <v>663</v>
      </c>
      <c r="H98">
        <v>1729</v>
      </c>
      <c r="I98">
        <v>333</v>
      </c>
      <c r="J98">
        <v>546</v>
      </c>
      <c r="K98">
        <v>423</v>
      </c>
      <c r="L98">
        <v>991</v>
      </c>
      <c r="M98">
        <v>347</v>
      </c>
      <c r="N98">
        <v>189</v>
      </c>
      <c r="O98">
        <v>163</v>
      </c>
      <c r="P98">
        <v>399</v>
      </c>
      <c r="Q98">
        <v>516</v>
      </c>
      <c r="R98">
        <v>97</v>
      </c>
    </row>
    <row r="99" spans="1:18">
      <c r="A99" s="1" t="s">
        <v>306</v>
      </c>
      <c r="B99">
        <v>33</v>
      </c>
      <c r="C99">
        <v>13</v>
      </c>
      <c r="D99">
        <v>20</v>
      </c>
      <c r="E99">
        <v>0.77</v>
      </c>
      <c r="F99">
        <v>2170</v>
      </c>
      <c r="G99">
        <v>745</v>
      </c>
      <c r="H99">
        <v>1820</v>
      </c>
      <c r="I99">
        <v>486</v>
      </c>
      <c r="J99">
        <v>674</v>
      </c>
      <c r="K99">
        <v>353</v>
      </c>
      <c r="L99">
        <v>953</v>
      </c>
      <c r="M99">
        <v>373</v>
      </c>
      <c r="N99">
        <v>235</v>
      </c>
      <c r="O99">
        <v>103</v>
      </c>
      <c r="P99">
        <v>352</v>
      </c>
      <c r="Q99">
        <v>637</v>
      </c>
      <c r="R99">
        <v>98</v>
      </c>
    </row>
    <row r="100" spans="1:18">
      <c r="A100" s="1" t="s">
        <v>94</v>
      </c>
      <c r="B100">
        <v>31</v>
      </c>
      <c r="C100">
        <v>15</v>
      </c>
      <c r="D100">
        <v>16</v>
      </c>
      <c r="E100">
        <v>-3.9</v>
      </c>
      <c r="F100">
        <v>2006</v>
      </c>
      <c r="G100">
        <v>681</v>
      </c>
      <c r="H100">
        <v>1646</v>
      </c>
      <c r="I100">
        <v>434</v>
      </c>
      <c r="J100">
        <v>608</v>
      </c>
      <c r="K100">
        <v>365</v>
      </c>
      <c r="L100">
        <v>971</v>
      </c>
      <c r="M100">
        <v>338</v>
      </c>
      <c r="N100">
        <v>160</v>
      </c>
      <c r="O100">
        <v>104</v>
      </c>
      <c r="P100">
        <v>431</v>
      </c>
      <c r="Q100">
        <v>591</v>
      </c>
      <c r="R100">
        <v>99</v>
      </c>
    </row>
    <row r="101" spans="1:18">
      <c r="A101" s="1" t="s">
        <v>318</v>
      </c>
      <c r="B101">
        <v>32</v>
      </c>
      <c r="C101">
        <v>12</v>
      </c>
      <c r="D101">
        <v>20</v>
      </c>
      <c r="E101">
        <v>-4.82</v>
      </c>
      <c r="F101">
        <v>2103</v>
      </c>
      <c r="G101">
        <v>749</v>
      </c>
      <c r="H101">
        <v>1804</v>
      </c>
      <c r="I101">
        <v>414</v>
      </c>
      <c r="J101">
        <v>620</v>
      </c>
      <c r="K101">
        <v>407</v>
      </c>
      <c r="L101">
        <v>1055</v>
      </c>
      <c r="M101">
        <v>376</v>
      </c>
      <c r="N101">
        <v>222</v>
      </c>
      <c r="O101">
        <v>84</v>
      </c>
      <c r="P101">
        <v>447</v>
      </c>
      <c r="Q101">
        <v>619</v>
      </c>
      <c r="R101">
        <v>100</v>
      </c>
    </row>
    <row r="102" spans="1:18">
      <c r="A102" s="1" t="s">
        <v>95</v>
      </c>
      <c r="B102">
        <v>33</v>
      </c>
      <c r="C102">
        <v>24</v>
      </c>
      <c r="D102">
        <v>9</v>
      </c>
      <c r="E102">
        <v>-1.67</v>
      </c>
      <c r="F102">
        <v>2323</v>
      </c>
      <c r="G102">
        <v>828</v>
      </c>
      <c r="H102">
        <v>1788</v>
      </c>
      <c r="I102">
        <v>511</v>
      </c>
      <c r="J102">
        <v>732</v>
      </c>
      <c r="K102">
        <v>368</v>
      </c>
      <c r="L102">
        <v>1102</v>
      </c>
      <c r="M102">
        <v>427</v>
      </c>
      <c r="N102">
        <v>224</v>
      </c>
      <c r="O102">
        <v>163</v>
      </c>
      <c r="P102">
        <v>503</v>
      </c>
      <c r="Q102">
        <v>650</v>
      </c>
      <c r="R102">
        <v>101</v>
      </c>
    </row>
    <row r="103" spans="1:18">
      <c r="A103" s="1" t="s">
        <v>96</v>
      </c>
      <c r="B103">
        <v>31</v>
      </c>
      <c r="C103">
        <v>10</v>
      </c>
      <c r="D103">
        <v>21</v>
      </c>
      <c r="E103">
        <v>4.1500000000000004</v>
      </c>
      <c r="F103">
        <v>1921</v>
      </c>
      <c r="G103">
        <v>733</v>
      </c>
      <c r="H103">
        <v>1725</v>
      </c>
      <c r="I103">
        <v>326</v>
      </c>
      <c r="J103">
        <v>491</v>
      </c>
      <c r="K103">
        <v>385</v>
      </c>
      <c r="L103">
        <v>929</v>
      </c>
      <c r="M103">
        <v>382</v>
      </c>
      <c r="N103">
        <v>205</v>
      </c>
      <c r="O103">
        <v>115</v>
      </c>
      <c r="P103">
        <v>408</v>
      </c>
      <c r="Q103">
        <v>550</v>
      </c>
      <c r="R103">
        <v>102</v>
      </c>
    </row>
    <row r="104" spans="1:18">
      <c r="A104" s="1" t="s">
        <v>97</v>
      </c>
      <c r="B104">
        <v>33</v>
      </c>
      <c r="C104">
        <v>24</v>
      </c>
      <c r="D104">
        <v>9</v>
      </c>
      <c r="E104">
        <v>7.69</v>
      </c>
      <c r="F104">
        <v>2278</v>
      </c>
      <c r="G104">
        <v>811</v>
      </c>
      <c r="H104">
        <v>1743</v>
      </c>
      <c r="I104">
        <v>470</v>
      </c>
      <c r="J104">
        <v>673</v>
      </c>
      <c r="K104">
        <v>367</v>
      </c>
      <c r="L104">
        <v>1108</v>
      </c>
      <c r="M104">
        <v>451</v>
      </c>
      <c r="N104">
        <v>200</v>
      </c>
      <c r="O104">
        <v>156</v>
      </c>
      <c r="P104">
        <v>417</v>
      </c>
      <c r="Q104">
        <v>578</v>
      </c>
      <c r="R104">
        <v>103</v>
      </c>
    </row>
    <row r="105" spans="1:18">
      <c r="A105" s="1" t="s">
        <v>98</v>
      </c>
      <c r="B105">
        <v>30</v>
      </c>
      <c r="C105">
        <v>15</v>
      </c>
      <c r="D105">
        <v>15</v>
      </c>
      <c r="E105">
        <v>-3.78</v>
      </c>
      <c r="F105">
        <v>2002</v>
      </c>
      <c r="G105">
        <v>749</v>
      </c>
      <c r="H105">
        <v>1608</v>
      </c>
      <c r="I105">
        <v>341</v>
      </c>
      <c r="J105">
        <v>513</v>
      </c>
      <c r="K105">
        <v>278</v>
      </c>
      <c r="L105">
        <v>864</v>
      </c>
      <c r="M105">
        <v>371</v>
      </c>
      <c r="N105">
        <v>228</v>
      </c>
      <c r="O105">
        <v>69</v>
      </c>
      <c r="P105">
        <v>454</v>
      </c>
      <c r="Q105">
        <v>581</v>
      </c>
      <c r="R105">
        <v>104</v>
      </c>
    </row>
    <row r="106" spans="1:18">
      <c r="A106" s="1" t="s">
        <v>99</v>
      </c>
      <c r="B106">
        <v>34</v>
      </c>
      <c r="C106">
        <v>22</v>
      </c>
      <c r="D106">
        <v>12</v>
      </c>
      <c r="E106">
        <v>-2.99</v>
      </c>
      <c r="F106">
        <v>2298</v>
      </c>
      <c r="G106">
        <v>842</v>
      </c>
      <c r="H106">
        <v>1936</v>
      </c>
      <c r="I106">
        <v>436</v>
      </c>
      <c r="J106">
        <v>665</v>
      </c>
      <c r="K106">
        <v>390</v>
      </c>
      <c r="L106">
        <v>1126</v>
      </c>
      <c r="M106">
        <v>427</v>
      </c>
      <c r="N106">
        <v>315</v>
      </c>
      <c r="O106">
        <v>183</v>
      </c>
      <c r="P106">
        <v>396</v>
      </c>
      <c r="Q106">
        <v>546</v>
      </c>
      <c r="R106">
        <v>105</v>
      </c>
    </row>
    <row r="107" spans="1:18">
      <c r="A107" s="1" t="s">
        <v>100</v>
      </c>
      <c r="B107">
        <v>31</v>
      </c>
      <c r="C107">
        <v>11</v>
      </c>
      <c r="D107">
        <v>20</v>
      </c>
      <c r="E107">
        <v>4.13</v>
      </c>
      <c r="F107">
        <v>1866</v>
      </c>
      <c r="G107">
        <v>700</v>
      </c>
      <c r="H107">
        <v>1639</v>
      </c>
      <c r="I107">
        <v>308</v>
      </c>
      <c r="J107">
        <v>471</v>
      </c>
      <c r="K107">
        <v>340</v>
      </c>
      <c r="L107">
        <v>994</v>
      </c>
      <c r="M107">
        <v>340</v>
      </c>
      <c r="N107">
        <v>161</v>
      </c>
      <c r="O107">
        <v>152</v>
      </c>
      <c r="P107">
        <v>448</v>
      </c>
      <c r="Q107">
        <v>513</v>
      </c>
      <c r="R107">
        <v>106</v>
      </c>
    </row>
    <row r="108" spans="1:18">
      <c r="A108" s="1" t="s">
        <v>101</v>
      </c>
      <c r="B108">
        <v>32</v>
      </c>
      <c r="C108">
        <v>15</v>
      </c>
      <c r="D108">
        <v>17</v>
      </c>
      <c r="E108">
        <v>7.95</v>
      </c>
      <c r="F108">
        <v>1950</v>
      </c>
      <c r="G108">
        <v>692</v>
      </c>
      <c r="H108">
        <v>1751</v>
      </c>
      <c r="I108">
        <v>364</v>
      </c>
      <c r="J108">
        <v>530</v>
      </c>
      <c r="K108">
        <v>348</v>
      </c>
      <c r="L108">
        <v>966</v>
      </c>
      <c r="M108">
        <v>349</v>
      </c>
      <c r="N108">
        <v>199</v>
      </c>
      <c r="O108">
        <v>118</v>
      </c>
      <c r="P108">
        <v>332</v>
      </c>
      <c r="Q108">
        <v>554</v>
      </c>
      <c r="R108">
        <v>107</v>
      </c>
    </row>
    <row r="109" spans="1:18">
      <c r="A109" s="1" t="s">
        <v>374</v>
      </c>
      <c r="B109">
        <v>33</v>
      </c>
      <c r="C109">
        <v>26</v>
      </c>
      <c r="D109">
        <v>7</v>
      </c>
      <c r="E109">
        <v>3.25</v>
      </c>
      <c r="F109">
        <v>2436</v>
      </c>
      <c r="G109">
        <v>823</v>
      </c>
      <c r="H109">
        <v>1740</v>
      </c>
      <c r="I109">
        <v>575</v>
      </c>
      <c r="J109">
        <v>803</v>
      </c>
      <c r="K109">
        <v>359</v>
      </c>
      <c r="L109">
        <v>1095</v>
      </c>
      <c r="M109">
        <v>455</v>
      </c>
      <c r="N109">
        <v>223</v>
      </c>
      <c r="O109">
        <v>105</v>
      </c>
      <c r="P109">
        <v>433</v>
      </c>
      <c r="Q109">
        <v>514</v>
      </c>
      <c r="R109">
        <v>108</v>
      </c>
    </row>
    <row r="110" spans="1:18">
      <c r="A110" s="1" t="s">
        <v>102</v>
      </c>
      <c r="B110">
        <v>28</v>
      </c>
      <c r="C110">
        <v>4</v>
      </c>
      <c r="D110">
        <v>24</v>
      </c>
      <c r="E110">
        <v>-9.39</v>
      </c>
      <c r="F110">
        <v>1513</v>
      </c>
      <c r="G110">
        <v>520</v>
      </c>
      <c r="H110">
        <v>1452</v>
      </c>
      <c r="I110">
        <v>358</v>
      </c>
      <c r="J110">
        <v>519</v>
      </c>
      <c r="K110">
        <v>277</v>
      </c>
      <c r="L110">
        <v>796</v>
      </c>
      <c r="M110">
        <v>241</v>
      </c>
      <c r="N110">
        <v>135</v>
      </c>
      <c r="O110">
        <v>101</v>
      </c>
      <c r="P110">
        <v>458</v>
      </c>
      <c r="Q110">
        <v>461</v>
      </c>
      <c r="R110">
        <v>109</v>
      </c>
    </row>
    <row r="111" spans="1:18">
      <c r="A111" s="1" t="s">
        <v>103</v>
      </c>
      <c r="B111">
        <v>30</v>
      </c>
      <c r="C111">
        <v>15</v>
      </c>
      <c r="D111">
        <v>15</v>
      </c>
      <c r="E111">
        <v>1.04</v>
      </c>
      <c r="F111">
        <v>1935</v>
      </c>
      <c r="G111">
        <v>693</v>
      </c>
      <c r="H111">
        <v>1638</v>
      </c>
      <c r="I111">
        <v>384</v>
      </c>
      <c r="J111">
        <v>544</v>
      </c>
      <c r="K111">
        <v>349</v>
      </c>
      <c r="L111">
        <v>950</v>
      </c>
      <c r="M111">
        <v>369</v>
      </c>
      <c r="N111">
        <v>181</v>
      </c>
      <c r="O111">
        <v>142</v>
      </c>
      <c r="P111">
        <v>424</v>
      </c>
      <c r="Q111">
        <v>536</v>
      </c>
      <c r="R111">
        <v>110</v>
      </c>
    </row>
    <row r="112" spans="1:18">
      <c r="A112" s="1" t="s">
        <v>104</v>
      </c>
      <c r="B112">
        <v>33</v>
      </c>
      <c r="C112">
        <v>12</v>
      </c>
      <c r="D112">
        <v>21</v>
      </c>
      <c r="E112">
        <v>-7.93</v>
      </c>
      <c r="F112">
        <v>2134</v>
      </c>
      <c r="G112">
        <v>746</v>
      </c>
      <c r="H112">
        <v>1853</v>
      </c>
      <c r="I112">
        <v>459</v>
      </c>
      <c r="J112">
        <v>717</v>
      </c>
      <c r="K112">
        <v>403</v>
      </c>
      <c r="L112">
        <v>1101</v>
      </c>
      <c r="M112">
        <v>352</v>
      </c>
      <c r="N112">
        <v>226</v>
      </c>
      <c r="O112">
        <v>160</v>
      </c>
      <c r="P112">
        <v>467</v>
      </c>
      <c r="Q112">
        <v>607</v>
      </c>
      <c r="R112">
        <v>111</v>
      </c>
    </row>
    <row r="113" spans="1:18">
      <c r="A113" s="1" t="s">
        <v>105</v>
      </c>
      <c r="B113">
        <v>31</v>
      </c>
      <c r="C113">
        <v>9</v>
      </c>
      <c r="D113">
        <v>22</v>
      </c>
      <c r="E113">
        <v>-6.19</v>
      </c>
      <c r="F113">
        <v>1860</v>
      </c>
      <c r="G113">
        <v>654</v>
      </c>
      <c r="H113">
        <v>1580</v>
      </c>
      <c r="I113">
        <v>324</v>
      </c>
      <c r="J113">
        <v>486</v>
      </c>
      <c r="K113">
        <v>222</v>
      </c>
      <c r="L113">
        <v>796</v>
      </c>
      <c r="M113">
        <v>406</v>
      </c>
      <c r="N113">
        <v>205</v>
      </c>
      <c r="O113">
        <v>64</v>
      </c>
      <c r="P113">
        <v>478</v>
      </c>
      <c r="Q113">
        <v>614</v>
      </c>
      <c r="R113">
        <v>112</v>
      </c>
    </row>
    <row r="114" spans="1:18">
      <c r="A114" s="1" t="s">
        <v>106</v>
      </c>
      <c r="B114">
        <v>31</v>
      </c>
      <c r="C114">
        <v>26</v>
      </c>
      <c r="D114">
        <v>5</v>
      </c>
      <c r="E114">
        <v>-1.56</v>
      </c>
      <c r="F114">
        <v>2033</v>
      </c>
      <c r="G114">
        <v>695</v>
      </c>
      <c r="H114">
        <v>1490</v>
      </c>
      <c r="I114">
        <v>458</v>
      </c>
      <c r="J114">
        <v>613</v>
      </c>
      <c r="K114">
        <v>262</v>
      </c>
      <c r="L114">
        <v>923</v>
      </c>
      <c r="M114">
        <v>401</v>
      </c>
      <c r="N114">
        <v>184</v>
      </c>
      <c r="O114">
        <v>137</v>
      </c>
      <c r="P114">
        <v>379</v>
      </c>
      <c r="Q114">
        <v>473</v>
      </c>
      <c r="R114">
        <v>113</v>
      </c>
    </row>
    <row r="115" spans="1:18">
      <c r="A115" s="1" t="s">
        <v>107</v>
      </c>
      <c r="B115">
        <v>32</v>
      </c>
      <c r="C115">
        <v>16</v>
      </c>
      <c r="D115">
        <v>16</v>
      </c>
      <c r="E115">
        <v>-0.52</v>
      </c>
      <c r="F115">
        <v>2356</v>
      </c>
      <c r="G115">
        <v>835</v>
      </c>
      <c r="H115">
        <v>1811</v>
      </c>
      <c r="I115">
        <v>524</v>
      </c>
      <c r="J115">
        <v>786</v>
      </c>
      <c r="K115">
        <v>379</v>
      </c>
      <c r="L115">
        <v>1082</v>
      </c>
      <c r="M115">
        <v>475</v>
      </c>
      <c r="N115">
        <v>182</v>
      </c>
      <c r="O115">
        <v>104</v>
      </c>
      <c r="P115">
        <v>487</v>
      </c>
      <c r="Q115">
        <v>617</v>
      </c>
      <c r="R115">
        <v>114</v>
      </c>
    </row>
    <row r="116" spans="1:18">
      <c r="A116" s="1" t="s">
        <v>108</v>
      </c>
      <c r="B116">
        <v>31</v>
      </c>
      <c r="C116">
        <v>13</v>
      </c>
      <c r="D116">
        <v>18</v>
      </c>
      <c r="E116">
        <v>-4.13</v>
      </c>
      <c r="F116">
        <v>2203</v>
      </c>
      <c r="G116">
        <v>746</v>
      </c>
      <c r="H116">
        <v>1698</v>
      </c>
      <c r="I116">
        <v>448</v>
      </c>
      <c r="J116">
        <v>654</v>
      </c>
      <c r="K116">
        <v>338</v>
      </c>
      <c r="L116">
        <v>941</v>
      </c>
      <c r="M116">
        <v>389</v>
      </c>
      <c r="N116">
        <v>174</v>
      </c>
      <c r="O116">
        <v>88</v>
      </c>
      <c r="P116">
        <v>386</v>
      </c>
      <c r="Q116">
        <v>577</v>
      </c>
      <c r="R116">
        <v>115</v>
      </c>
    </row>
    <row r="117" spans="1:18">
      <c r="A117" s="1" t="s">
        <v>307</v>
      </c>
      <c r="B117">
        <v>32</v>
      </c>
      <c r="C117">
        <v>10</v>
      </c>
      <c r="D117">
        <v>22</v>
      </c>
      <c r="E117">
        <v>-1.1000000000000001</v>
      </c>
      <c r="F117">
        <v>2091</v>
      </c>
      <c r="G117">
        <v>700</v>
      </c>
      <c r="H117">
        <v>1732</v>
      </c>
      <c r="I117">
        <v>536</v>
      </c>
      <c r="J117">
        <v>747</v>
      </c>
      <c r="K117">
        <v>382</v>
      </c>
      <c r="L117">
        <v>968</v>
      </c>
      <c r="M117">
        <v>389</v>
      </c>
      <c r="N117">
        <v>245</v>
      </c>
      <c r="O117">
        <v>84</v>
      </c>
      <c r="P117">
        <v>442</v>
      </c>
      <c r="Q117">
        <v>595</v>
      </c>
      <c r="R117">
        <v>116</v>
      </c>
    </row>
    <row r="118" spans="1:18">
      <c r="A118" s="1" t="s">
        <v>109</v>
      </c>
      <c r="B118">
        <v>29</v>
      </c>
      <c r="C118">
        <v>15</v>
      </c>
      <c r="D118">
        <v>14</v>
      </c>
      <c r="E118">
        <v>-4.2300000000000004</v>
      </c>
      <c r="F118">
        <v>1886</v>
      </c>
      <c r="G118">
        <v>673</v>
      </c>
      <c r="H118">
        <v>1565</v>
      </c>
      <c r="I118">
        <v>374</v>
      </c>
      <c r="J118">
        <v>519</v>
      </c>
      <c r="K118">
        <v>289</v>
      </c>
      <c r="L118">
        <v>917</v>
      </c>
      <c r="M118">
        <v>367</v>
      </c>
      <c r="N118">
        <v>167</v>
      </c>
      <c r="O118">
        <v>129</v>
      </c>
      <c r="P118">
        <v>396</v>
      </c>
      <c r="Q118">
        <v>512</v>
      </c>
      <c r="R118">
        <v>117</v>
      </c>
    </row>
    <row r="119" spans="1:18">
      <c r="A119" s="1" t="s">
        <v>353</v>
      </c>
      <c r="B119">
        <v>30</v>
      </c>
      <c r="C119">
        <v>10</v>
      </c>
      <c r="D119">
        <v>20</v>
      </c>
      <c r="E119">
        <v>-6.1</v>
      </c>
      <c r="F119">
        <v>2208</v>
      </c>
      <c r="G119">
        <v>787</v>
      </c>
      <c r="H119">
        <v>1860</v>
      </c>
      <c r="I119">
        <v>481</v>
      </c>
      <c r="J119">
        <v>704</v>
      </c>
      <c r="K119">
        <v>405</v>
      </c>
      <c r="L119">
        <v>974</v>
      </c>
      <c r="M119">
        <v>373</v>
      </c>
      <c r="N119">
        <v>225</v>
      </c>
      <c r="O119">
        <v>51</v>
      </c>
      <c r="P119">
        <v>470</v>
      </c>
      <c r="Q119">
        <v>655</v>
      </c>
      <c r="R119">
        <v>118</v>
      </c>
    </row>
    <row r="120" spans="1:18">
      <c r="A120" s="1" t="s">
        <v>110</v>
      </c>
      <c r="B120">
        <v>30</v>
      </c>
      <c r="C120">
        <v>15</v>
      </c>
      <c r="D120">
        <v>15</v>
      </c>
      <c r="E120">
        <v>0.21</v>
      </c>
      <c r="F120">
        <v>2152</v>
      </c>
      <c r="G120">
        <v>795</v>
      </c>
      <c r="H120">
        <v>1714</v>
      </c>
      <c r="I120">
        <v>398</v>
      </c>
      <c r="J120">
        <v>565</v>
      </c>
      <c r="K120">
        <v>355</v>
      </c>
      <c r="L120">
        <v>1018</v>
      </c>
      <c r="M120">
        <v>398</v>
      </c>
      <c r="N120">
        <v>156</v>
      </c>
      <c r="O120">
        <v>149</v>
      </c>
      <c r="P120">
        <v>435</v>
      </c>
      <c r="Q120">
        <v>502</v>
      </c>
      <c r="R120">
        <v>119</v>
      </c>
    </row>
    <row r="121" spans="1:18">
      <c r="A121" s="1" t="s">
        <v>111</v>
      </c>
      <c r="B121">
        <v>31</v>
      </c>
      <c r="C121">
        <v>10</v>
      </c>
      <c r="D121">
        <v>21</v>
      </c>
      <c r="E121">
        <v>-4.16</v>
      </c>
      <c r="F121">
        <v>1881</v>
      </c>
      <c r="G121">
        <v>618</v>
      </c>
      <c r="H121">
        <v>1613</v>
      </c>
      <c r="I121">
        <v>505</v>
      </c>
      <c r="J121">
        <v>744</v>
      </c>
      <c r="K121">
        <v>388</v>
      </c>
      <c r="L121">
        <v>965</v>
      </c>
      <c r="M121">
        <v>283</v>
      </c>
      <c r="N121">
        <v>189</v>
      </c>
      <c r="O121">
        <v>94</v>
      </c>
      <c r="P121">
        <v>533</v>
      </c>
      <c r="Q121">
        <v>691</v>
      </c>
      <c r="R121">
        <v>120</v>
      </c>
    </row>
    <row r="122" spans="1:18">
      <c r="A122" s="1" t="s">
        <v>112</v>
      </c>
      <c r="B122">
        <v>30</v>
      </c>
      <c r="C122">
        <v>9</v>
      </c>
      <c r="D122">
        <v>21</v>
      </c>
      <c r="E122">
        <v>-2.77</v>
      </c>
      <c r="F122">
        <v>1979</v>
      </c>
      <c r="G122">
        <v>695</v>
      </c>
      <c r="H122">
        <v>1652</v>
      </c>
      <c r="I122">
        <v>396</v>
      </c>
      <c r="J122">
        <v>579</v>
      </c>
      <c r="K122">
        <v>325</v>
      </c>
      <c r="L122">
        <v>795</v>
      </c>
      <c r="M122">
        <v>359</v>
      </c>
      <c r="N122">
        <v>211</v>
      </c>
      <c r="O122">
        <v>68</v>
      </c>
      <c r="P122">
        <v>421</v>
      </c>
      <c r="Q122">
        <v>594</v>
      </c>
      <c r="R122">
        <v>121</v>
      </c>
    </row>
    <row r="123" spans="1:18">
      <c r="A123" s="1" t="s">
        <v>113</v>
      </c>
      <c r="B123">
        <v>33</v>
      </c>
      <c r="C123">
        <v>19</v>
      </c>
      <c r="D123">
        <v>14</v>
      </c>
      <c r="E123">
        <v>-0.43</v>
      </c>
      <c r="F123">
        <v>2298</v>
      </c>
      <c r="G123">
        <v>807</v>
      </c>
      <c r="H123">
        <v>1692</v>
      </c>
      <c r="I123">
        <v>469</v>
      </c>
      <c r="J123">
        <v>697</v>
      </c>
      <c r="K123">
        <v>328</v>
      </c>
      <c r="L123">
        <v>1039</v>
      </c>
      <c r="M123">
        <v>486</v>
      </c>
      <c r="N123">
        <v>155</v>
      </c>
      <c r="O123">
        <v>135</v>
      </c>
      <c r="P123">
        <v>441</v>
      </c>
      <c r="Q123">
        <v>566</v>
      </c>
      <c r="R123">
        <v>122</v>
      </c>
    </row>
    <row r="124" spans="1:18">
      <c r="A124" s="1" t="s">
        <v>114</v>
      </c>
      <c r="B124">
        <v>30</v>
      </c>
      <c r="C124">
        <v>8</v>
      </c>
      <c r="D124">
        <v>22</v>
      </c>
      <c r="E124">
        <v>-1.3</v>
      </c>
      <c r="F124">
        <v>1826</v>
      </c>
      <c r="G124">
        <v>636</v>
      </c>
      <c r="H124">
        <v>1611</v>
      </c>
      <c r="I124">
        <v>361</v>
      </c>
      <c r="J124">
        <v>539</v>
      </c>
      <c r="K124">
        <v>367</v>
      </c>
      <c r="L124">
        <v>898</v>
      </c>
      <c r="M124">
        <v>341</v>
      </c>
      <c r="N124">
        <v>150</v>
      </c>
      <c r="O124">
        <v>88</v>
      </c>
      <c r="P124">
        <v>439</v>
      </c>
      <c r="Q124">
        <v>578</v>
      </c>
      <c r="R124">
        <v>123</v>
      </c>
    </row>
    <row r="125" spans="1:18">
      <c r="A125" s="1" t="s">
        <v>115</v>
      </c>
      <c r="B125">
        <v>35</v>
      </c>
      <c r="C125">
        <v>21</v>
      </c>
      <c r="D125">
        <v>14</v>
      </c>
      <c r="E125">
        <v>2.64</v>
      </c>
      <c r="F125">
        <v>2439</v>
      </c>
      <c r="G125">
        <v>804</v>
      </c>
      <c r="H125">
        <v>1832</v>
      </c>
      <c r="I125">
        <v>534</v>
      </c>
      <c r="J125">
        <v>708</v>
      </c>
      <c r="K125">
        <v>309</v>
      </c>
      <c r="L125">
        <v>1117</v>
      </c>
      <c r="M125">
        <v>459</v>
      </c>
      <c r="N125">
        <v>177</v>
      </c>
      <c r="O125">
        <v>118</v>
      </c>
      <c r="P125">
        <v>422</v>
      </c>
      <c r="Q125">
        <v>588</v>
      </c>
      <c r="R125">
        <v>124</v>
      </c>
    </row>
    <row r="126" spans="1:18">
      <c r="A126" s="1" t="s">
        <v>348</v>
      </c>
      <c r="B126">
        <v>32</v>
      </c>
      <c r="C126">
        <v>17</v>
      </c>
      <c r="D126">
        <v>15</v>
      </c>
      <c r="E126">
        <v>7.99</v>
      </c>
      <c r="F126">
        <v>2098</v>
      </c>
      <c r="G126">
        <v>767</v>
      </c>
      <c r="H126">
        <v>1741</v>
      </c>
      <c r="I126">
        <v>378</v>
      </c>
      <c r="J126">
        <v>529</v>
      </c>
      <c r="K126">
        <v>320</v>
      </c>
      <c r="L126">
        <v>950</v>
      </c>
      <c r="M126">
        <v>400</v>
      </c>
      <c r="N126">
        <v>162</v>
      </c>
      <c r="O126">
        <v>132</v>
      </c>
      <c r="P126">
        <v>430</v>
      </c>
      <c r="Q126">
        <v>565</v>
      </c>
      <c r="R126">
        <v>125</v>
      </c>
    </row>
    <row r="127" spans="1:18">
      <c r="A127" s="1" t="s">
        <v>308</v>
      </c>
      <c r="B127">
        <v>33</v>
      </c>
      <c r="C127">
        <v>18</v>
      </c>
      <c r="D127">
        <v>15</v>
      </c>
      <c r="E127">
        <v>3.08</v>
      </c>
      <c r="F127">
        <v>2120</v>
      </c>
      <c r="G127">
        <v>722</v>
      </c>
      <c r="H127">
        <v>1719</v>
      </c>
      <c r="I127">
        <v>475</v>
      </c>
      <c r="J127">
        <v>659</v>
      </c>
      <c r="K127">
        <v>288</v>
      </c>
      <c r="L127">
        <v>974</v>
      </c>
      <c r="M127">
        <v>397</v>
      </c>
      <c r="N127">
        <v>194</v>
      </c>
      <c r="O127">
        <v>104</v>
      </c>
      <c r="P127">
        <v>403</v>
      </c>
      <c r="Q127">
        <v>543</v>
      </c>
      <c r="R127">
        <v>126</v>
      </c>
    </row>
    <row r="128" spans="1:18">
      <c r="A128" s="1" t="s">
        <v>327</v>
      </c>
      <c r="B128">
        <v>36</v>
      </c>
      <c r="C128">
        <v>27</v>
      </c>
      <c r="D128">
        <v>9</v>
      </c>
      <c r="E128">
        <v>7.8</v>
      </c>
      <c r="F128">
        <v>2782</v>
      </c>
      <c r="G128">
        <v>949</v>
      </c>
      <c r="H128">
        <v>1928</v>
      </c>
      <c r="I128">
        <v>655</v>
      </c>
      <c r="J128">
        <v>858</v>
      </c>
      <c r="K128">
        <v>383</v>
      </c>
      <c r="L128">
        <v>1130</v>
      </c>
      <c r="M128">
        <v>487</v>
      </c>
      <c r="N128">
        <v>233</v>
      </c>
      <c r="O128">
        <v>115</v>
      </c>
      <c r="P128">
        <v>463</v>
      </c>
      <c r="Q128">
        <v>632</v>
      </c>
      <c r="R128">
        <v>127</v>
      </c>
    </row>
    <row r="129" spans="1:18">
      <c r="A129" s="1" t="s">
        <v>309</v>
      </c>
      <c r="B129">
        <v>33</v>
      </c>
      <c r="C129">
        <v>25</v>
      </c>
      <c r="D129">
        <v>8</v>
      </c>
      <c r="E129">
        <v>-1.82</v>
      </c>
      <c r="F129">
        <v>2736</v>
      </c>
      <c r="G129">
        <v>1021</v>
      </c>
      <c r="H129">
        <v>2033</v>
      </c>
      <c r="I129">
        <v>440</v>
      </c>
      <c r="J129">
        <v>617</v>
      </c>
      <c r="K129">
        <v>353</v>
      </c>
      <c r="L129">
        <v>1042</v>
      </c>
      <c r="M129">
        <v>638</v>
      </c>
      <c r="N129">
        <v>241</v>
      </c>
      <c r="O129">
        <v>71</v>
      </c>
      <c r="P129">
        <v>414</v>
      </c>
      <c r="Q129">
        <v>559</v>
      </c>
      <c r="R129">
        <v>128</v>
      </c>
    </row>
    <row r="130" spans="1:18">
      <c r="A130" s="1" t="s">
        <v>310</v>
      </c>
      <c r="B130">
        <v>34</v>
      </c>
      <c r="C130">
        <v>23</v>
      </c>
      <c r="D130">
        <v>11</v>
      </c>
      <c r="E130">
        <v>7.32</v>
      </c>
      <c r="F130">
        <v>2490</v>
      </c>
      <c r="G130">
        <v>847</v>
      </c>
      <c r="H130">
        <v>1888</v>
      </c>
      <c r="I130">
        <v>503</v>
      </c>
      <c r="J130">
        <v>731</v>
      </c>
      <c r="K130">
        <v>371</v>
      </c>
      <c r="L130">
        <v>1173</v>
      </c>
      <c r="M130">
        <v>484</v>
      </c>
      <c r="N130">
        <v>196</v>
      </c>
      <c r="O130">
        <v>96</v>
      </c>
      <c r="P130">
        <v>419</v>
      </c>
      <c r="Q130">
        <v>547</v>
      </c>
      <c r="R130">
        <v>129</v>
      </c>
    </row>
    <row r="131" spans="1:18">
      <c r="A131" s="1" t="s">
        <v>116</v>
      </c>
      <c r="B131">
        <v>35</v>
      </c>
      <c r="C131">
        <v>18</v>
      </c>
      <c r="D131">
        <v>17</v>
      </c>
      <c r="E131">
        <v>6.53</v>
      </c>
      <c r="F131">
        <v>2555</v>
      </c>
      <c r="G131">
        <v>902</v>
      </c>
      <c r="H131">
        <v>1984</v>
      </c>
      <c r="I131">
        <v>550</v>
      </c>
      <c r="J131">
        <v>763</v>
      </c>
      <c r="K131">
        <v>399</v>
      </c>
      <c r="L131">
        <v>1106</v>
      </c>
      <c r="M131">
        <v>521</v>
      </c>
      <c r="N131">
        <v>262</v>
      </c>
      <c r="O131">
        <v>119</v>
      </c>
      <c r="P131">
        <v>433</v>
      </c>
      <c r="Q131">
        <v>586</v>
      </c>
      <c r="R131">
        <v>130</v>
      </c>
    </row>
    <row r="132" spans="1:18">
      <c r="A132" s="1" t="s">
        <v>319</v>
      </c>
      <c r="B132">
        <v>30</v>
      </c>
      <c r="C132">
        <v>11</v>
      </c>
      <c r="D132">
        <v>19</v>
      </c>
      <c r="E132">
        <v>-2.0499999999999998</v>
      </c>
      <c r="F132">
        <v>2100</v>
      </c>
      <c r="G132">
        <v>756</v>
      </c>
      <c r="H132">
        <v>1676</v>
      </c>
      <c r="I132">
        <v>424</v>
      </c>
      <c r="J132">
        <v>621</v>
      </c>
      <c r="K132">
        <v>316</v>
      </c>
      <c r="L132">
        <v>916</v>
      </c>
      <c r="M132">
        <v>410</v>
      </c>
      <c r="N132">
        <v>188</v>
      </c>
      <c r="O132">
        <v>73</v>
      </c>
      <c r="P132">
        <v>434</v>
      </c>
      <c r="Q132">
        <v>593</v>
      </c>
      <c r="R132">
        <v>131</v>
      </c>
    </row>
    <row r="133" spans="1:18">
      <c r="A133" s="1" t="s">
        <v>117</v>
      </c>
      <c r="B133">
        <v>32</v>
      </c>
      <c r="C133">
        <v>14</v>
      </c>
      <c r="D133">
        <v>18</v>
      </c>
      <c r="E133">
        <v>-1.75</v>
      </c>
      <c r="F133">
        <v>2319</v>
      </c>
      <c r="G133">
        <v>819</v>
      </c>
      <c r="H133">
        <v>1850</v>
      </c>
      <c r="I133">
        <v>495</v>
      </c>
      <c r="J133">
        <v>638</v>
      </c>
      <c r="K133">
        <v>385</v>
      </c>
      <c r="L133">
        <v>957</v>
      </c>
      <c r="M133">
        <v>375</v>
      </c>
      <c r="N133">
        <v>218</v>
      </c>
      <c r="O133">
        <v>96</v>
      </c>
      <c r="P133">
        <v>379</v>
      </c>
      <c r="Q133">
        <v>556</v>
      </c>
      <c r="R133">
        <v>132</v>
      </c>
    </row>
    <row r="134" spans="1:18">
      <c r="A134" s="1" t="s">
        <v>278</v>
      </c>
      <c r="B134">
        <v>31</v>
      </c>
      <c r="C134">
        <v>7</v>
      </c>
      <c r="D134">
        <v>24</v>
      </c>
      <c r="E134">
        <v>-7</v>
      </c>
      <c r="F134">
        <v>1737</v>
      </c>
      <c r="G134">
        <v>618</v>
      </c>
      <c r="H134">
        <v>1621</v>
      </c>
      <c r="I134">
        <v>368</v>
      </c>
      <c r="J134">
        <v>542</v>
      </c>
      <c r="K134">
        <v>364</v>
      </c>
      <c r="L134">
        <v>922</v>
      </c>
      <c r="M134">
        <v>258</v>
      </c>
      <c r="N134">
        <v>224</v>
      </c>
      <c r="O134">
        <v>103</v>
      </c>
      <c r="P134">
        <v>475</v>
      </c>
      <c r="Q134">
        <v>598</v>
      </c>
      <c r="R134">
        <v>133</v>
      </c>
    </row>
    <row r="135" spans="1:18">
      <c r="A135" s="1" t="s">
        <v>118</v>
      </c>
      <c r="B135">
        <v>33</v>
      </c>
      <c r="C135">
        <v>15</v>
      </c>
      <c r="D135">
        <v>18</v>
      </c>
      <c r="E135">
        <v>-5.23</v>
      </c>
      <c r="F135">
        <v>2143</v>
      </c>
      <c r="G135">
        <v>748</v>
      </c>
      <c r="H135">
        <v>1761</v>
      </c>
      <c r="I135">
        <v>503</v>
      </c>
      <c r="J135">
        <v>742</v>
      </c>
      <c r="K135">
        <v>387</v>
      </c>
      <c r="L135">
        <v>969</v>
      </c>
      <c r="M135">
        <v>399</v>
      </c>
      <c r="N135">
        <v>243</v>
      </c>
      <c r="O135">
        <v>125</v>
      </c>
      <c r="P135">
        <v>443</v>
      </c>
      <c r="Q135">
        <v>636</v>
      </c>
      <c r="R135">
        <v>134</v>
      </c>
    </row>
    <row r="136" spans="1:18">
      <c r="A136" s="1" t="s">
        <v>119</v>
      </c>
      <c r="B136">
        <v>30</v>
      </c>
      <c r="C136">
        <v>8</v>
      </c>
      <c r="D136">
        <v>22</v>
      </c>
      <c r="E136">
        <v>0.1</v>
      </c>
      <c r="F136">
        <v>1951</v>
      </c>
      <c r="G136">
        <v>706</v>
      </c>
      <c r="H136">
        <v>1688</v>
      </c>
      <c r="I136">
        <v>388</v>
      </c>
      <c r="J136">
        <v>591</v>
      </c>
      <c r="K136">
        <v>396</v>
      </c>
      <c r="L136">
        <v>941</v>
      </c>
      <c r="M136">
        <v>363</v>
      </c>
      <c r="N136">
        <v>220</v>
      </c>
      <c r="O136">
        <v>105</v>
      </c>
      <c r="P136">
        <v>449</v>
      </c>
      <c r="Q136">
        <v>664</v>
      </c>
      <c r="R136">
        <v>135</v>
      </c>
    </row>
    <row r="137" spans="1:18">
      <c r="A137" s="1" t="s">
        <v>120</v>
      </c>
      <c r="B137">
        <v>32</v>
      </c>
      <c r="C137">
        <v>12</v>
      </c>
      <c r="D137">
        <v>20</v>
      </c>
      <c r="E137">
        <v>-2.11</v>
      </c>
      <c r="F137">
        <v>2115</v>
      </c>
      <c r="G137">
        <v>748</v>
      </c>
      <c r="H137">
        <v>1774</v>
      </c>
      <c r="I137">
        <v>371</v>
      </c>
      <c r="J137">
        <v>557</v>
      </c>
      <c r="K137">
        <v>321</v>
      </c>
      <c r="L137">
        <v>906</v>
      </c>
      <c r="M137">
        <v>428</v>
      </c>
      <c r="N137">
        <v>213</v>
      </c>
      <c r="O137">
        <v>83</v>
      </c>
      <c r="P137">
        <v>414</v>
      </c>
      <c r="Q137">
        <v>624</v>
      </c>
      <c r="R137">
        <v>136</v>
      </c>
    </row>
    <row r="138" spans="1:18">
      <c r="A138" s="1" t="s">
        <v>121</v>
      </c>
      <c r="B138">
        <v>33</v>
      </c>
      <c r="C138">
        <v>22</v>
      </c>
      <c r="D138">
        <v>11</v>
      </c>
      <c r="E138">
        <v>7.53</v>
      </c>
      <c r="F138">
        <v>2343</v>
      </c>
      <c r="G138">
        <v>812</v>
      </c>
      <c r="H138">
        <v>1849</v>
      </c>
      <c r="I138">
        <v>536</v>
      </c>
      <c r="J138">
        <v>799</v>
      </c>
      <c r="K138">
        <v>471</v>
      </c>
      <c r="L138">
        <v>1129</v>
      </c>
      <c r="M138">
        <v>468</v>
      </c>
      <c r="N138">
        <v>200</v>
      </c>
      <c r="O138">
        <v>156</v>
      </c>
      <c r="P138">
        <v>474</v>
      </c>
      <c r="Q138">
        <v>662</v>
      </c>
      <c r="R138">
        <v>137</v>
      </c>
    </row>
    <row r="139" spans="1:18">
      <c r="A139" s="1" t="s">
        <v>375</v>
      </c>
      <c r="B139">
        <v>39</v>
      </c>
      <c r="C139">
        <v>32</v>
      </c>
      <c r="D139">
        <v>7</v>
      </c>
      <c r="E139">
        <v>9.93</v>
      </c>
      <c r="F139">
        <v>2867</v>
      </c>
      <c r="G139">
        <v>1023</v>
      </c>
      <c r="H139">
        <v>2169</v>
      </c>
      <c r="I139">
        <v>597</v>
      </c>
      <c r="J139">
        <v>863</v>
      </c>
      <c r="K139">
        <v>449</v>
      </c>
      <c r="L139">
        <v>1368</v>
      </c>
      <c r="M139">
        <v>587</v>
      </c>
      <c r="N139">
        <v>285</v>
      </c>
      <c r="O139">
        <v>222</v>
      </c>
      <c r="P139">
        <v>506</v>
      </c>
      <c r="Q139">
        <v>678</v>
      </c>
      <c r="R139">
        <v>138</v>
      </c>
    </row>
    <row r="140" spans="1:18">
      <c r="A140" s="1" t="s">
        <v>336</v>
      </c>
      <c r="B140">
        <v>31</v>
      </c>
      <c r="C140">
        <v>3</v>
      </c>
      <c r="D140">
        <v>28</v>
      </c>
      <c r="E140">
        <v>-0.49</v>
      </c>
      <c r="F140">
        <v>1920</v>
      </c>
      <c r="G140">
        <v>691</v>
      </c>
      <c r="H140">
        <v>1665</v>
      </c>
      <c r="I140">
        <v>332</v>
      </c>
      <c r="J140">
        <v>531</v>
      </c>
      <c r="K140">
        <v>309</v>
      </c>
      <c r="L140">
        <v>830</v>
      </c>
      <c r="M140">
        <v>374</v>
      </c>
      <c r="N140">
        <v>192</v>
      </c>
      <c r="O140">
        <v>57</v>
      </c>
      <c r="P140">
        <v>429</v>
      </c>
      <c r="Q140">
        <v>533</v>
      </c>
      <c r="R140">
        <v>139</v>
      </c>
    </row>
    <row r="141" spans="1:18">
      <c r="A141" s="1" t="s">
        <v>122</v>
      </c>
      <c r="B141">
        <v>33</v>
      </c>
      <c r="C141">
        <v>21</v>
      </c>
      <c r="D141">
        <v>12</v>
      </c>
      <c r="E141">
        <v>-0.95</v>
      </c>
      <c r="F141">
        <v>2322</v>
      </c>
      <c r="G141">
        <v>830</v>
      </c>
      <c r="H141">
        <v>1836</v>
      </c>
      <c r="I141">
        <v>462</v>
      </c>
      <c r="J141">
        <v>670</v>
      </c>
      <c r="K141">
        <v>378</v>
      </c>
      <c r="L141">
        <v>1025</v>
      </c>
      <c r="M141">
        <v>487</v>
      </c>
      <c r="N141">
        <v>281</v>
      </c>
      <c r="O141">
        <v>128</v>
      </c>
      <c r="P141">
        <v>463</v>
      </c>
      <c r="Q141">
        <v>554</v>
      </c>
      <c r="R141">
        <v>140</v>
      </c>
    </row>
    <row r="142" spans="1:18">
      <c r="A142" s="1" t="s">
        <v>354</v>
      </c>
      <c r="B142">
        <v>40</v>
      </c>
      <c r="C142">
        <v>38</v>
      </c>
      <c r="D142">
        <v>2</v>
      </c>
      <c r="E142">
        <v>7.93</v>
      </c>
      <c r="F142">
        <v>3095</v>
      </c>
      <c r="G142">
        <v>1096</v>
      </c>
      <c r="H142">
        <v>2248</v>
      </c>
      <c r="I142">
        <v>678</v>
      </c>
      <c r="J142">
        <v>938</v>
      </c>
      <c r="K142">
        <v>472</v>
      </c>
      <c r="L142">
        <v>1445</v>
      </c>
      <c r="M142">
        <v>531</v>
      </c>
      <c r="N142">
        <v>242</v>
      </c>
      <c r="O142">
        <v>344</v>
      </c>
      <c r="P142">
        <v>445</v>
      </c>
      <c r="Q142">
        <v>593</v>
      </c>
      <c r="R142">
        <v>141</v>
      </c>
    </row>
    <row r="143" spans="1:18">
      <c r="A143" s="1" t="s">
        <v>123</v>
      </c>
      <c r="B143">
        <v>34</v>
      </c>
      <c r="C143">
        <v>21</v>
      </c>
      <c r="D143">
        <v>13</v>
      </c>
      <c r="E143">
        <v>1.83</v>
      </c>
      <c r="F143">
        <v>2478</v>
      </c>
      <c r="G143">
        <v>898</v>
      </c>
      <c r="H143">
        <v>1937</v>
      </c>
      <c r="I143">
        <v>417</v>
      </c>
      <c r="J143">
        <v>578</v>
      </c>
      <c r="K143">
        <v>307</v>
      </c>
      <c r="L143">
        <v>986</v>
      </c>
      <c r="M143">
        <v>496</v>
      </c>
      <c r="N143">
        <v>275</v>
      </c>
      <c r="O143">
        <v>114</v>
      </c>
      <c r="P143">
        <v>443</v>
      </c>
      <c r="Q143">
        <v>591</v>
      </c>
      <c r="R143">
        <v>142</v>
      </c>
    </row>
    <row r="144" spans="1:18">
      <c r="A144" s="1" t="s">
        <v>279</v>
      </c>
      <c r="B144">
        <v>31</v>
      </c>
      <c r="C144">
        <v>13</v>
      </c>
      <c r="D144">
        <v>18</v>
      </c>
      <c r="E144">
        <v>-4.01</v>
      </c>
      <c r="F144">
        <v>2161</v>
      </c>
      <c r="G144">
        <v>723</v>
      </c>
      <c r="H144">
        <v>1650</v>
      </c>
      <c r="I144">
        <v>432</v>
      </c>
      <c r="J144">
        <v>566</v>
      </c>
      <c r="K144">
        <v>236</v>
      </c>
      <c r="L144">
        <v>806</v>
      </c>
      <c r="M144">
        <v>385</v>
      </c>
      <c r="N144">
        <v>164</v>
      </c>
      <c r="O144">
        <v>80</v>
      </c>
      <c r="P144">
        <v>391</v>
      </c>
      <c r="Q144">
        <v>600</v>
      </c>
      <c r="R144">
        <v>143</v>
      </c>
    </row>
    <row r="145" spans="1:18">
      <c r="A145" s="1" t="s">
        <v>280</v>
      </c>
      <c r="B145">
        <v>35</v>
      </c>
      <c r="C145">
        <v>23</v>
      </c>
      <c r="D145">
        <v>12</v>
      </c>
      <c r="E145">
        <v>-3.77</v>
      </c>
      <c r="F145">
        <v>2573</v>
      </c>
      <c r="G145">
        <v>902</v>
      </c>
      <c r="H145">
        <v>2087</v>
      </c>
      <c r="I145">
        <v>616</v>
      </c>
      <c r="J145">
        <v>855</v>
      </c>
      <c r="K145">
        <v>497</v>
      </c>
      <c r="L145">
        <v>1288</v>
      </c>
      <c r="M145">
        <v>448</v>
      </c>
      <c r="N145">
        <v>283</v>
      </c>
      <c r="O145">
        <v>154</v>
      </c>
      <c r="P145">
        <v>418</v>
      </c>
      <c r="Q145">
        <v>604</v>
      </c>
      <c r="R145">
        <v>144</v>
      </c>
    </row>
    <row r="146" spans="1:18">
      <c r="A146" s="1" t="s">
        <v>124</v>
      </c>
      <c r="B146">
        <v>35</v>
      </c>
      <c r="C146">
        <v>27</v>
      </c>
      <c r="D146">
        <v>8</v>
      </c>
      <c r="E146">
        <v>-5.14</v>
      </c>
      <c r="F146">
        <v>2648</v>
      </c>
      <c r="G146">
        <v>902</v>
      </c>
      <c r="H146">
        <v>2030</v>
      </c>
      <c r="I146">
        <v>590</v>
      </c>
      <c r="J146">
        <v>768</v>
      </c>
      <c r="K146">
        <v>386</v>
      </c>
      <c r="L146">
        <v>1104</v>
      </c>
      <c r="M146">
        <v>456</v>
      </c>
      <c r="N146">
        <v>269</v>
      </c>
      <c r="O146">
        <v>106</v>
      </c>
      <c r="P146">
        <v>391</v>
      </c>
      <c r="Q146">
        <v>629</v>
      </c>
      <c r="R146">
        <v>145</v>
      </c>
    </row>
    <row r="147" spans="1:18">
      <c r="A147" s="1" t="s">
        <v>125</v>
      </c>
      <c r="B147">
        <v>32</v>
      </c>
      <c r="C147">
        <v>14</v>
      </c>
      <c r="D147">
        <v>18</v>
      </c>
      <c r="E147">
        <v>-4.8099999999999996</v>
      </c>
      <c r="F147">
        <v>2201</v>
      </c>
      <c r="G147">
        <v>811</v>
      </c>
      <c r="H147">
        <v>1790</v>
      </c>
      <c r="I147">
        <v>454</v>
      </c>
      <c r="J147">
        <v>637</v>
      </c>
      <c r="K147">
        <v>351</v>
      </c>
      <c r="L147">
        <v>997</v>
      </c>
      <c r="M147">
        <v>439</v>
      </c>
      <c r="N147">
        <v>169</v>
      </c>
      <c r="O147">
        <v>77</v>
      </c>
      <c r="P147">
        <v>386</v>
      </c>
      <c r="Q147">
        <v>555</v>
      </c>
      <c r="R147">
        <v>146</v>
      </c>
    </row>
    <row r="148" spans="1:18">
      <c r="A148" s="1" t="s">
        <v>320</v>
      </c>
      <c r="B148">
        <v>31</v>
      </c>
      <c r="C148">
        <v>13</v>
      </c>
      <c r="D148">
        <v>18</v>
      </c>
      <c r="E148">
        <v>-1.23</v>
      </c>
      <c r="F148">
        <v>2242</v>
      </c>
      <c r="G148">
        <v>802</v>
      </c>
      <c r="H148">
        <v>1852</v>
      </c>
      <c r="I148">
        <v>403</v>
      </c>
      <c r="J148">
        <v>634</v>
      </c>
      <c r="K148">
        <v>367</v>
      </c>
      <c r="L148">
        <v>997</v>
      </c>
      <c r="M148">
        <v>438</v>
      </c>
      <c r="N148">
        <v>225</v>
      </c>
      <c r="O148">
        <v>83</v>
      </c>
      <c r="P148">
        <v>467</v>
      </c>
      <c r="Q148">
        <v>536</v>
      </c>
      <c r="R148">
        <v>147</v>
      </c>
    </row>
    <row r="149" spans="1:18">
      <c r="A149" s="1" t="s">
        <v>126</v>
      </c>
      <c r="B149">
        <v>34</v>
      </c>
      <c r="C149">
        <v>25</v>
      </c>
      <c r="D149">
        <v>9</v>
      </c>
      <c r="E149">
        <v>0.87</v>
      </c>
      <c r="F149">
        <v>2510</v>
      </c>
      <c r="G149">
        <v>880</v>
      </c>
      <c r="H149">
        <v>1880</v>
      </c>
      <c r="I149">
        <v>529</v>
      </c>
      <c r="J149">
        <v>790</v>
      </c>
      <c r="K149">
        <v>391</v>
      </c>
      <c r="L149">
        <v>1141</v>
      </c>
      <c r="M149">
        <v>476</v>
      </c>
      <c r="N149">
        <v>242</v>
      </c>
      <c r="O149">
        <v>92</v>
      </c>
      <c r="P149">
        <v>440</v>
      </c>
      <c r="Q149">
        <v>527</v>
      </c>
      <c r="R149">
        <v>148</v>
      </c>
    </row>
    <row r="150" spans="1:18">
      <c r="A150" s="1" t="s">
        <v>127</v>
      </c>
      <c r="B150">
        <v>34</v>
      </c>
      <c r="C150">
        <v>25</v>
      </c>
      <c r="D150">
        <v>9</v>
      </c>
      <c r="E150">
        <v>-5.0999999999999996</v>
      </c>
      <c r="F150">
        <v>2769</v>
      </c>
      <c r="G150">
        <v>920</v>
      </c>
      <c r="H150">
        <v>1940</v>
      </c>
      <c r="I150">
        <v>704</v>
      </c>
      <c r="J150">
        <v>965</v>
      </c>
      <c r="K150">
        <v>396</v>
      </c>
      <c r="L150">
        <v>1167</v>
      </c>
      <c r="M150">
        <v>500</v>
      </c>
      <c r="N150">
        <v>206</v>
      </c>
      <c r="O150">
        <v>113</v>
      </c>
      <c r="P150">
        <v>546</v>
      </c>
      <c r="Q150">
        <v>531</v>
      </c>
      <c r="R150">
        <v>149</v>
      </c>
    </row>
    <row r="151" spans="1:18">
      <c r="A151" s="1" t="s">
        <v>331</v>
      </c>
      <c r="B151">
        <v>31</v>
      </c>
      <c r="C151">
        <v>10</v>
      </c>
      <c r="D151">
        <v>21</v>
      </c>
      <c r="E151">
        <v>-5.99</v>
      </c>
      <c r="F151">
        <v>2276</v>
      </c>
      <c r="G151">
        <v>826</v>
      </c>
      <c r="H151">
        <v>1905</v>
      </c>
      <c r="I151">
        <v>359</v>
      </c>
      <c r="J151">
        <v>531</v>
      </c>
      <c r="K151">
        <v>292</v>
      </c>
      <c r="L151">
        <v>960</v>
      </c>
      <c r="M151">
        <v>481</v>
      </c>
      <c r="N151">
        <v>163</v>
      </c>
      <c r="O151">
        <v>68</v>
      </c>
      <c r="P151">
        <v>410</v>
      </c>
      <c r="Q151">
        <v>495</v>
      </c>
      <c r="R151">
        <v>150</v>
      </c>
    </row>
    <row r="152" spans="1:18">
      <c r="A152" s="1" t="s">
        <v>281</v>
      </c>
      <c r="B152">
        <v>32</v>
      </c>
      <c r="C152">
        <v>16</v>
      </c>
      <c r="D152">
        <v>16</v>
      </c>
      <c r="E152">
        <v>-2.2799999999999998</v>
      </c>
      <c r="F152">
        <v>2189</v>
      </c>
      <c r="G152">
        <v>767</v>
      </c>
      <c r="H152">
        <v>1790</v>
      </c>
      <c r="I152">
        <v>483</v>
      </c>
      <c r="J152">
        <v>766</v>
      </c>
      <c r="K152">
        <v>387</v>
      </c>
      <c r="L152">
        <v>1134</v>
      </c>
      <c r="M152">
        <v>370</v>
      </c>
      <c r="N152">
        <v>188</v>
      </c>
      <c r="O152">
        <v>150</v>
      </c>
      <c r="P152">
        <v>521</v>
      </c>
      <c r="Q152">
        <v>644</v>
      </c>
      <c r="R152">
        <v>151</v>
      </c>
    </row>
    <row r="153" spans="1:18">
      <c r="A153" s="1" t="s">
        <v>128</v>
      </c>
      <c r="B153">
        <v>29</v>
      </c>
      <c r="C153">
        <v>3</v>
      </c>
      <c r="D153">
        <v>26</v>
      </c>
      <c r="E153">
        <v>-0.95</v>
      </c>
      <c r="F153">
        <v>1750</v>
      </c>
      <c r="G153">
        <v>637</v>
      </c>
      <c r="H153">
        <v>1555</v>
      </c>
      <c r="I153">
        <v>288</v>
      </c>
      <c r="J153">
        <v>441</v>
      </c>
      <c r="K153">
        <v>261</v>
      </c>
      <c r="L153">
        <v>797</v>
      </c>
      <c r="M153">
        <v>331</v>
      </c>
      <c r="N153">
        <v>157</v>
      </c>
      <c r="O153">
        <v>66</v>
      </c>
      <c r="P153">
        <v>378</v>
      </c>
      <c r="Q153">
        <v>512</v>
      </c>
      <c r="R153">
        <v>152</v>
      </c>
    </row>
    <row r="154" spans="1:18">
      <c r="A154" s="1" t="s">
        <v>282</v>
      </c>
      <c r="B154">
        <v>33</v>
      </c>
      <c r="C154">
        <v>18</v>
      </c>
      <c r="D154">
        <v>15</v>
      </c>
      <c r="E154">
        <v>5.51</v>
      </c>
      <c r="F154">
        <v>2157</v>
      </c>
      <c r="G154">
        <v>791</v>
      </c>
      <c r="H154">
        <v>1947</v>
      </c>
      <c r="I154">
        <v>402</v>
      </c>
      <c r="J154">
        <v>582</v>
      </c>
      <c r="K154">
        <v>434</v>
      </c>
      <c r="L154">
        <v>1094</v>
      </c>
      <c r="M154">
        <v>415</v>
      </c>
      <c r="N154">
        <v>232</v>
      </c>
      <c r="O154">
        <v>128</v>
      </c>
      <c r="P154">
        <v>429</v>
      </c>
      <c r="Q154">
        <v>592</v>
      </c>
      <c r="R154">
        <v>153</v>
      </c>
    </row>
    <row r="155" spans="1:18">
      <c r="A155" s="1" t="s">
        <v>129</v>
      </c>
      <c r="B155">
        <v>34</v>
      </c>
      <c r="C155">
        <v>18</v>
      </c>
      <c r="D155">
        <v>16</v>
      </c>
      <c r="E155">
        <v>-1.19</v>
      </c>
      <c r="F155">
        <v>2358</v>
      </c>
      <c r="G155">
        <v>849</v>
      </c>
      <c r="H155">
        <v>2013</v>
      </c>
      <c r="I155">
        <v>402</v>
      </c>
      <c r="J155">
        <v>620</v>
      </c>
      <c r="K155">
        <v>396</v>
      </c>
      <c r="L155">
        <v>1040</v>
      </c>
      <c r="M155">
        <v>441</v>
      </c>
      <c r="N155">
        <v>230</v>
      </c>
      <c r="O155">
        <v>125</v>
      </c>
      <c r="P155">
        <v>442</v>
      </c>
      <c r="Q155">
        <v>677</v>
      </c>
      <c r="R155">
        <v>154</v>
      </c>
    </row>
    <row r="156" spans="1:18">
      <c r="A156" s="1" t="s">
        <v>283</v>
      </c>
      <c r="B156">
        <v>40</v>
      </c>
      <c r="C156">
        <v>30</v>
      </c>
      <c r="D156">
        <v>10</v>
      </c>
      <c r="E156">
        <v>9.02</v>
      </c>
      <c r="F156">
        <v>2727</v>
      </c>
      <c r="G156">
        <v>963</v>
      </c>
      <c r="H156">
        <v>2281</v>
      </c>
      <c r="I156">
        <v>568</v>
      </c>
      <c r="J156">
        <v>826</v>
      </c>
      <c r="K156">
        <v>518</v>
      </c>
      <c r="L156">
        <v>1423</v>
      </c>
      <c r="M156">
        <v>532</v>
      </c>
      <c r="N156">
        <v>353</v>
      </c>
      <c r="O156">
        <v>193</v>
      </c>
      <c r="P156">
        <v>562</v>
      </c>
      <c r="Q156">
        <v>706</v>
      </c>
      <c r="R156">
        <v>155</v>
      </c>
    </row>
    <row r="157" spans="1:18">
      <c r="A157" s="1" t="s">
        <v>130</v>
      </c>
      <c r="B157">
        <v>30</v>
      </c>
      <c r="C157">
        <v>7</v>
      </c>
      <c r="D157">
        <v>23</v>
      </c>
      <c r="E157">
        <v>-1.77</v>
      </c>
      <c r="F157">
        <v>1717</v>
      </c>
      <c r="G157">
        <v>612</v>
      </c>
      <c r="H157">
        <v>1452</v>
      </c>
      <c r="I157">
        <v>376</v>
      </c>
      <c r="J157">
        <v>540</v>
      </c>
      <c r="K157">
        <v>301</v>
      </c>
      <c r="L157">
        <v>825</v>
      </c>
      <c r="M157">
        <v>368</v>
      </c>
      <c r="N157">
        <v>136</v>
      </c>
      <c r="O157">
        <v>42</v>
      </c>
      <c r="P157">
        <v>432</v>
      </c>
      <c r="Q157">
        <v>491</v>
      </c>
      <c r="R157">
        <v>156</v>
      </c>
    </row>
    <row r="158" spans="1:18">
      <c r="A158" s="1" t="s">
        <v>131</v>
      </c>
      <c r="B158">
        <v>34</v>
      </c>
      <c r="C158">
        <v>21</v>
      </c>
      <c r="D158">
        <v>13</v>
      </c>
      <c r="E158">
        <v>1.17</v>
      </c>
      <c r="F158">
        <v>2402</v>
      </c>
      <c r="G158">
        <v>825</v>
      </c>
      <c r="H158">
        <v>1936</v>
      </c>
      <c r="I158">
        <v>531</v>
      </c>
      <c r="J158">
        <v>720</v>
      </c>
      <c r="K158">
        <v>395</v>
      </c>
      <c r="L158">
        <v>1104</v>
      </c>
      <c r="M158">
        <v>404</v>
      </c>
      <c r="N158">
        <v>253</v>
      </c>
      <c r="O158">
        <v>102</v>
      </c>
      <c r="P158">
        <v>462</v>
      </c>
      <c r="Q158">
        <v>596</v>
      </c>
      <c r="R158">
        <v>157</v>
      </c>
    </row>
    <row r="159" spans="1:18">
      <c r="A159" s="1" t="s">
        <v>132</v>
      </c>
      <c r="B159">
        <v>33</v>
      </c>
      <c r="C159">
        <v>24</v>
      </c>
      <c r="D159">
        <v>9</v>
      </c>
      <c r="E159">
        <v>-2.72</v>
      </c>
      <c r="F159">
        <v>2222</v>
      </c>
      <c r="G159">
        <v>755</v>
      </c>
      <c r="H159">
        <v>1775</v>
      </c>
      <c r="I159">
        <v>548</v>
      </c>
      <c r="J159">
        <v>762</v>
      </c>
      <c r="K159">
        <v>430</v>
      </c>
      <c r="L159">
        <v>1044</v>
      </c>
      <c r="M159">
        <v>393</v>
      </c>
      <c r="N159">
        <v>255</v>
      </c>
      <c r="O159">
        <v>147</v>
      </c>
      <c r="P159">
        <v>443</v>
      </c>
      <c r="Q159">
        <v>628</v>
      </c>
      <c r="R159">
        <v>158</v>
      </c>
    </row>
    <row r="160" spans="1:18">
      <c r="A160" s="1" t="s">
        <v>133</v>
      </c>
      <c r="B160">
        <v>29</v>
      </c>
      <c r="C160">
        <v>12</v>
      </c>
      <c r="D160">
        <v>17</v>
      </c>
      <c r="E160">
        <v>-6.54</v>
      </c>
      <c r="F160">
        <v>1989</v>
      </c>
      <c r="G160">
        <v>750</v>
      </c>
      <c r="H160">
        <v>1696</v>
      </c>
      <c r="I160">
        <v>320</v>
      </c>
      <c r="J160">
        <v>437</v>
      </c>
      <c r="K160">
        <v>317</v>
      </c>
      <c r="L160">
        <v>925</v>
      </c>
      <c r="M160">
        <v>408</v>
      </c>
      <c r="N160">
        <v>178</v>
      </c>
      <c r="O160">
        <v>125</v>
      </c>
      <c r="P160">
        <v>380</v>
      </c>
      <c r="Q160">
        <v>539</v>
      </c>
      <c r="R160">
        <v>159</v>
      </c>
    </row>
    <row r="161" spans="1:18">
      <c r="A161" s="1" t="s">
        <v>134</v>
      </c>
      <c r="B161">
        <v>34</v>
      </c>
      <c r="C161">
        <v>21</v>
      </c>
      <c r="D161">
        <v>13</v>
      </c>
      <c r="E161">
        <v>-4.13</v>
      </c>
      <c r="F161">
        <v>2420</v>
      </c>
      <c r="G161">
        <v>815</v>
      </c>
      <c r="H161">
        <v>1865</v>
      </c>
      <c r="I161">
        <v>546</v>
      </c>
      <c r="J161">
        <v>750</v>
      </c>
      <c r="K161">
        <v>419</v>
      </c>
      <c r="L161">
        <v>1116</v>
      </c>
      <c r="M161">
        <v>498</v>
      </c>
      <c r="N161">
        <v>269</v>
      </c>
      <c r="O161">
        <v>169</v>
      </c>
      <c r="P161">
        <v>547</v>
      </c>
      <c r="Q161">
        <v>694</v>
      </c>
      <c r="R161">
        <v>160</v>
      </c>
    </row>
    <row r="162" spans="1:18">
      <c r="A162" s="1" t="s">
        <v>135</v>
      </c>
      <c r="B162">
        <v>32</v>
      </c>
      <c r="C162">
        <v>14</v>
      </c>
      <c r="D162">
        <v>18</v>
      </c>
      <c r="E162">
        <v>-3.29</v>
      </c>
      <c r="F162">
        <v>2176</v>
      </c>
      <c r="G162">
        <v>721</v>
      </c>
      <c r="H162">
        <v>1733</v>
      </c>
      <c r="I162">
        <v>531</v>
      </c>
      <c r="J162">
        <v>734</v>
      </c>
      <c r="K162">
        <v>347</v>
      </c>
      <c r="L162">
        <v>964</v>
      </c>
      <c r="M162">
        <v>385</v>
      </c>
      <c r="N162">
        <v>187</v>
      </c>
      <c r="O162">
        <v>140</v>
      </c>
      <c r="P162">
        <v>481</v>
      </c>
      <c r="Q162">
        <v>520</v>
      </c>
      <c r="R162">
        <v>161</v>
      </c>
    </row>
    <row r="163" spans="1:18">
      <c r="A163" s="1" t="s">
        <v>136</v>
      </c>
      <c r="B163">
        <v>35</v>
      </c>
      <c r="C163">
        <v>27</v>
      </c>
      <c r="D163">
        <v>8</v>
      </c>
      <c r="E163">
        <v>7.5</v>
      </c>
      <c r="F163">
        <v>2638</v>
      </c>
      <c r="G163">
        <v>919</v>
      </c>
      <c r="H163">
        <v>2033</v>
      </c>
      <c r="I163">
        <v>599</v>
      </c>
      <c r="J163">
        <v>831</v>
      </c>
      <c r="K163">
        <v>414</v>
      </c>
      <c r="L163">
        <v>1149</v>
      </c>
      <c r="M163">
        <v>580</v>
      </c>
      <c r="N163">
        <v>304</v>
      </c>
      <c r="O163">
        <v>122</v>
      </c>
      <c r="P163">
        <v>461</v>
      </c>
      <c r="Q163">
        <v>620</v>
      </c>
      <c r="R163">
        <v>162</v>
      </c>
    </row>
    <row r="164" spans="1:18">
      <c r="A164" s="1" t="s">
        <v>137</v>
      </c>
      <c r="B164">
        <v>35</v>
      </c>
      <c r="C164">
        <v>21</v>
      </c>
      <c r="D164">
        <v>14</v>
      </c>
      <c r="E164">
        <v>4.9400000000000004</v>
      </c>
      <c r="F164">
        <v>2472</v>
      </c>
      <c r="G164">
        <v>895</v>
      </c>
      <c r="H164">
        <v>2052</v>
      </c>
      <c r="I164">
        <v>479</v>
      </c>
      <c r="J164">
        <v>780</v>
      </c>
      <c r="K164">
        <v>542</v>
      </c>
      <c r="L164">
        <v>1268</v>
      </c>
      <c r="M164">
        <v>444</v>
      </c>
      <c r="N164">
        <v>213</v>
      </c>
      <c r="O164">
        <v>132</v>
      </c>
      <c r="P164">
        <v>458</v>
      </c>
      <c r="Q164">
        <v>708</v>
      </c>
      <c r="R164">
        <v>163</v>
      </c>
    </row>
    <row r="165" spans="1:18">
      <c r="A165" s="1" t="s">
        <v>138</v>
      </c>
      <c r="B165">
        <v>30</v>
      </c>
      <c r="C165">
        <v>4</v>
      </c>
      <c r="D165">
        <v>26</v>
      </c>
      <c r="E165">
        <v>-6.02</v>
      </c>
      <c r="F165">
        <v>1897</v>
      </c>
      <c r="G165">
        <v>686</v>
      </c>
      <c r="H165">
        <v>1753</v>
      </c>
      <c r="I165">
        <v>373</v>
      </c>
      <c r="J165">
        <v>564</v>
      </c>
      <c r="K165">
        <v>367</v>
      </c>
      <c r="L165">
        <v>919</v>
      </c>
      <c r="M165">
        <v>309</v>
      </c>
      <c r="N165">
        <v>175</v>
      </c>
      <c r="O165">
        <v>54</v>
      </c>
      <c r="P165">
        <v>439</v>
      </c>
      <c r="Q165">
        <v>630</v>
      </c>
      <c r="R165">
        <v>164</v>
      </c>
    </row>
    <row r="166" spans="1:18">
      <c r="A166" s="1" t="s">
        <v>139</v>
      </c>
      <c r="B166">
        <v>30</v>
      </c>
      <c r="C166">
        <v>7</v>
      </c>
      <c r="D166">
        <v>23</v>
      </c>
      <c r="E166">
        <v>-4.72</v>
      </c>
      <c r="F166">
        <v>1785</v>
      </c>
      <c r="G166">
        <v>644</v>
      </c>
      <c r="H166">
        <v>1695</v>
      </c>
      <c r="I166">
        <v>343</v>
      </c>
      <c r="J166">
        <v>538</v>
      </c>
      <c r="K166">
        <v>412</v>
      </c>
      <c r="L166">
        <v>997</v>
      </c>
      <c r="M166">
        <v>317</v>
      </c>
      <c r="N166">
        <v>178</v>
      </c>
      <c r="O166">
        <v>87</v>
      </c>
      <c r="P166">
        <v>522</v>
      </c>
      <c r="Q166">
        <v>599</v>
      </c>
      <c r="R166">
        <v>165</v>
      </c>
    </row>
    <row r="167" spans="1:18">
      <c r="A167" s="1" t="s">
        <v>332</v>
      </c>
      <c r="B167">
        <v>32</v>
      </c>
      <c r="C167">
        <v>17</v>
      </c>
      <c r="D167">
        <v>15</v>
      </c>
      <c r="E167">
        <v>5.98</v>
      </c>
      <c r="F167">
        <v>2198</v>
      </c>
      <c r="G167">
        <v>743</v>
      </c>
      <c r="H167">
        <v>1747</v>
      </c>
      <c r="I167">
        <v>539</v>
      </c>
      <c r="J167">
        <v>812</v>
      </c>
      <c r="K167">
        <v>388</v>
      </c>
      <c r="L167">
        <v>1081</v>
      </c>
      <c r="M167">
        <v>339</v>
      </c>
      <c r="N167">
        <v>137</v>
      </c>
      <c r="O167">
        <v>139</v>
      </c>
      <c r="P167">
        <v>425</v>
      </c>
      <c r="Q167">
        <v>563</v>
      </c>
      <c r="R167">
        <v>166</v>
      </c>
    </row>
    <row r="168" spans="1:18">
      <c r="A168" s="1" t="s">
        <v>140</v>
      </c>
      <c r="B168">
        <v>37</v>
      </c>
      <c r="C168">
        <v>25</v>
      </c>
      <c r="D168">
        <v>12</v>
      </c>
      <c r="E168">
        <v>2.97</v>
      </c>
      <c r="F168">
        <v>2847</v>
      </c>
      <c r="G168">
        <v>1016</v>
      </c>
      <c r="H168">
        <v>2341</v>
      </c>
      <c r="I168">
        <v>527</v>
      </c>
      <c r="J168">
        <v>783</v>
      </c>
      <c r="K168">
        <v>499</v>
      </c>
      <c r="L168">
        <v>1302</v>
      </c>
      <c r="M168">
        <v>565</v>
      </c>
      <c r="N168">
        <v>326</v>
      </c>
      <c r="O168">
        <v>176</v>
      </c>
      <c r="P168">
        <v>548</v>
      </c>
      <c r="Q168">
        <v>759</v>
      </c>
      <c r="R168">
        <v>167</v>
      </c>
    </row>
    <row r="169" spans="1:18">
      <c r="A169" s="1" t="s">
        <v>141</v>
      </c>
      <c r="B169">
        <v>33</v>
      </c>
      <c r="C169">
        <v>17</v>
      </c>
      <c r="D169">
        <v>16</v>
      </c>
      <c r="E169">
        <v>-3.76</v>
      </c>
      <c r="F169">
        <v>2207</v>
      </c>
      <c r="G169">
        <v>804</v>
      </c>
      <c r="H169">
        <v>1904</v>
      </c>
      <c r="I169">
        <v>426</v>
      </c>
      <c r="J169">
        <v>631</v>
      </c>
      <c r="K169">
        <v>412</v>
      </c>
      <c r="L169">
        <v>1101</v>
      </c>
      <c r="M169">
        <v>349</v>
      </c>
      <c r="N169">
        <v>222</v>
      </c>
      <c r="O169">
        <v>120</v>
      </c>
      <c r="P169">
        <v>402</v>
      </c>
      <c r="Q169">
        <v>585</v>
      </c>
      <c r="R169">
        <v>168</v>
      </c>
    </row>
    <row r="170" spans="1:18">
      <c r="A170" s="1" t="s">
        <v>142</v>
      </c>
      <c r="B170">
        <v>35</v>
      </c>
      <c r="C170">
        <v>26</v>
      </c>
      <c r="D170">
        <v>9</v>
      </c>
      <c r="E170">
        <v>5.26</v>
      </c>
      <c r="F170">
        <v>2614</v>
      </c>
      <c r="G170">
        <v>933</v>
      </c>
      <c r="H170">
        <v>1899</v>
      </c>
      <c r="I170">
        <v>563</v>
      </c>
      <c r="J170">
        <v>785</v>
      </c>
      <c r="K170">
        <v>332</v>
      </c>
      <c r="L170">
        <v>1093</v>
      </c>
      <c r="M170">
        <v>505</v>
      </c>
      <c r="N170">
        <v>278</v>
      </c>
      <c r="O170">
        <v>196</v>
      </c>
      <c r="P170">
        <v>444</v>
      </c>
      <c r="Q170">
        <v>665</v>
      </c>
      <c r="R170">
        <v>169</v>
      </c>
    </row>
    <row r="171" spans="1:18">
      <c r="A171" s="1" t="s">
        <v>143</v>
      </c>
      <c r="B171">
        <v>38</v>
      </c>
      <c r="C171">
        <v>27</v>
      </c>
      <c r="D171">
        <v>11</v>
      </c>
      <c r="E171">
        <v>-1.44</v>
      </c>
      <c r="F171">
        <v>2589</v>
      </c>
      <c r="G171">
        <v>899</v>
      </c>
      <c r="H171">
        <v>1968</v>
      </c>
      <c r="I171">
        <v>527</v>
      </c>
      <c r="J171">
        <v>734</v>
      </c>
      <c r="K171">
        <v>389</v>
      </c>
      <c r="L171">
        <v>1182</v>
      </c>
      <c r="M171">
        <v>519</v>
      </c>
      <c r="N171">
        <v>259</v>
      </c>
      <c r="O171">
        <v>181</v>
      </c>
      <c r="P171">
        <v>566</v>
      </c>
      <c r="Q171">
        <v>722</v>
      </c>
      <c r="R171">
        <v>170</v>
      </c>
    </row>
    <row r="172" spans="1:18">
      <c r="A172" s="1" t="s">
        <v>284</v>
      </c>
      <c r="B172">
        <v>33</v>
      </c>
      <c r="C172">
        <v>20</v>
      </c>
      <c r="D172">
        <v>13</v>
      </c>
      <c r="E172">
        <v>6.17</v>
      </c>
      <c r="F172">
        <v>2332</v>
      </c>
      <c r="G172">
        <v>814</v>
      </c>
      <c r="H172">
        <v>1890</v>
      </c>
      <c r="I172">
        <v>454</v>
      </c>
      <c r="J172">
        <v>630</v>
      </c>
      <c r="K172">
        <v>372</v>
      </c>
      <c r="L172">
        <v>1043</v>
      </c>
      <c r="M172">
        <v>392</v>
      </c>
      <c r="N172">
        <v>210</v>
      </c>
      <c r="O172">
        <v>118</v>
      </c>
      <c r="P172">
        <v>382</v>
      </c>
      <c r="Q172">
        <v>539</v>
      </c>
      <c r="R172">
        <v>171</v>
      </c>
    </row>
    <row r="173" spans="1:18">
      <c r="A173" s="1" t="s">
        <v>144</v>
      </c>
      <c r="B173">
        <v>30</v>
      </c>
      <c r="C173">
        <v>9</v>
      </c>
      <c r="D173">
        <v>21</v>
      </c>
      <c r="E173">
        <v>1.93</v>
      </c>
      <c r="F173">
        <v>1821</v>
      </c>
      <c r="G173">
        <v>639</v>
      </c>
      <c r="H173">
        <v>1472</v>
      </c>
      <c r="I173">
        <v>323</v>
      </c>
      <c r="J173">
        <v>463</v>
      </c>
      <c r="K173">
        <v>251</v>
      </c>
      <c r="L173">
        <v>813</v>
      </c>
      <c r="M173">
        <v>351</v>
      </c>
      <c r="N173">
        <v>165</v>
      </c>
      <c r="O173">
        <v>72</v>
      </c>
      <c r="P173">
        <v>406</v>
      </c>
      <c r="Q173">
        <v>504</v>
      </c>
      <c r="R173">
        <v>172</v>
      </c>
    </row>
    <row r="174" spans="1:18">
      <c r="A174" s="1" t="s">
        <v>377</v>
      </c>
      <c r="B174">
        <v>37</v>
      </c>
      <c r="C174">
        <v>29</v>
      </c>
      <c r="D174">
        <v>8</v>
      </c>
      <c r="E174">
        <v>9.82</v>
      </c>
      <c r="F174">
        <v>2651</v>
      </c>
      <c r="G174">
        <v>960</v>
      </c>
      <c r="H174">
        <v>2012</v>
      </c>
      <c r="I174">
        <v>531</v>
      </c>
      <c r="J174">
        <v>759</v>
      </c>
      <c r="K174">
        <v>420</v>
      </c>
      <c r="L174">
        <v>1302</v>
      </c>
      <c r="M174">
        <v>566</v>
      </c>
      <c r="N174">
        <v>265</v>
      </c>
      <c r="O174">
        <v>157</v>
      </c>
      <c r="P174">
        <v>474</v>
      </c>
      <c r="Q174">
        <v>650</v>
      </c>
      <c r="R174">
        <v>173</v>
      </c>
    </row>
    <row r="175" spans="1:18">
      <c r="A175" s="1" t="s">
        <v>145</v>
      </c>
      <c r="B175">
        <v>34</v>
      </c>
      <c r="C175">
        <v>24</v>
      </c>
      <c r="D175">
        <v>10</v>
      </c>
      <c r="E175">
        <v>8.98</v>
      </c>
      <c r="F175">
        <v>2255</v>
      </c>
      <c r="G175">
        <v>808</v>
      </c>
      <c r="H175">
        <v>1777</v>
      </c>
      <c r="I175">
        <v>363</v>
      </c>
      <c r="J175">
        <v>503</v>
      </c>
      <c r="K175">
        <v>291</v>
      </c>
      <c r="L175">
        <v>967</v>
      </c>
      <c r="M175">
        <v>431</v>
      </c>
      <c r="N175">
        <v>168</v>
      </c>
      <c r="O175">
        <v>72</v>
      </c>
      <c r="P175">
        <v>370</v>
      </c>
      <c r="Q175">
        <v>530</v>
      </c>
      <c r="R175">
        <v>174</v>
      </c>
    </row>
    <row r="176" spans="1:18">
      <c r="A176" s="1" t="s">
        <v>146</v>
      </c>
      <c r="B176">
        <v>34</v>
      </c>
      <c r="C176">
        <v>27</v>
      </c>
      <c r="D176">
        <v>7</v>
      </c>
      <c r="E176">
        <v>-0.13</v>
      </c>
      <c r="F176">
        <v>2459</v>
      </c>
      <c r="G176">
        <v>882</v>
      </c>
      <c r="H176">
        <v>1782</v>
      </c>
      <c r="I176">
        <v>532</v>
      </c>
      <c r="J176">
        <v>838</v>
      </c>
      <c r="K176">
        <v>376</v>
      </c>
      <c r="L176">
        <v>1101</v>
      </c>
      <c r="M176">
        <v>525</v>
      </c>
      <c r="N176">
        <v>238</v>
      </c>
      <c r="O176">
        <v>150</v>
      </c>
      <c r="P176">
        <v>473</v>
      </c>
      <c r="Q176">
        <v>670</v>
      </c>
      <c r="R176">
        <v>175</v>
      </c>
    </row>
    <row r="177" spans="1:18">
      <c r="A177" s="1" t="s">
        <v>147</v>
      </c>
      <c r="B177">
        <v>34</v>
      </c>
      <c r="C177">
        <v>20</v>
      </c>
      <c r="D177">
        <v>14</v>
      </c>
      <c r="E177">
        <v>0.06</v>
      </c>
      <c r="F177">
        <v>2183</v>
      </c>
      <c r="G177">
        <v>748</v>
      </c>
      <c r="H177">
        <v>1792</v>
      </c>
      <c r="I177">
        <v>423</v>
      </c>
      <c r="J177">
        <v>691</v>
      </c>
      <c r="K177">
        <v>377</v>
      </c>
      <c r="L177">
        <v>1052</v>
      </c>
      <c r="M177">
        <v>426</v>
      </c>
      <c r="N177">
        <v>209</v>
      </c>
      <c r="O177">
        <v>87</v>
      </c>
      <c r="P177">
        <v>467</v>
      </c>
      <c r="Q177">
        <v>582</v>
      </c>
      <c r="R177">
        <v>176</v>
      </c>
    </row>
    <row r="178" spans="1:18">
      <c r="A178" s="1" t="s">
        <v>148</v>
      </c>
      <c r="B178">
        <v>38</v>
      </c>
      <c r="C178">
        <v>23</v>
      </c>
      <c r="D178">
        <v>15</v>
      </c>
      <c r="E178">
        <v>7.89</v>
      </c>
      <c r="F178">
        <v>2569</v>
      </c>
      <c r="G178">
        <v>915</v>
      </c>
      <c r="H178">
        <v>1979</v>
      </c>
      <c r="I178">
        <v>536</v>
      </c>
      <c r="J178">
        <v>769</v>
      </c>
      <c r="K178">
        <v>435</v>
      </c>
      <c r="L178">
        <v>1184</v>
      </c>
      <c r="M178">
        <v>573</v>
      </c>
      <c r="N178">
        <v>269</v>
      </c>
      <c r="O178">
        <v>186</v>
      </c>
      <c r="P178">
        <v>558</v>
      </c>
      <c r="Q178">
        <v>703</v>
      </c>
      <c r="R178">
        <v>177</v>
      </c>
    </row>
    <row r="179" spans="1:18">
      <c r="A179" s="1" t="s">
        <v>149</v>
      </c>
      <c r="B179">
        <v>33</v>
      </c>
      <c r="C179">
        <v>21</v>
      </c>
      <c r="D179">
        <v>12</v>
      </c>
      <c r="E179">
        <v>4.8600000000000003</v>
      </c>
      <c r="F179">
        <v>2377</v>
      </c>
      <c r="G179">
        <v>854</v>
      </c>
      <c r="H179">
        <v>1880</v>
      </c>
      <c r="I179">
        <v>436</v>
      </c>
      <c r="J179">
        <v>614</v>
      </c>
      <c r="K179">
        <v>359</v>
      </c>
      <c r="L179">
        <v>1118</v>
      </c>
      <c r="M179">
        <v>441</v>
      </c>
      <c r="N179">
        <v>198</v>
      </c>
      <c r="O179">
        <v>116</v>
      </c>
      <c r="P179">
        <v>396</v>
      </c>
      <c r="Q179">
        <v>457</v>
      </c>
      <c r="R179">
        <v>178</v>
      </c>
    </row>
    <row r="180" spans="1:18">
      <c r="A180" s="1" t="s">
        <v>150</v>
      </c>
      <c r="B180">
        <v>34</v>
      </c>
      <c r="C180">
        <v>21</v>
      </c>
      <c r="D180">
        <v>13</v>
      </c>
      <c r="E180">
        <v>-7.65</v>
      </c>
      <c r="F180">
        <v>2332</v>
      </c>
      <c r="G180">
        <v>812</v>
      </c>
      <c r="H180">
        <v>2025</v>
      </c>
      <c r="I180">
        <v>456</v>
      </c>
      <c r="J180">
        <v>708</v>
      </c>
      <c r="K180">
        <v>460</v>
      </c>
      <c r="L180">
        <v>1156</v>
      </c>
      <c r="M180">
        <v>451</v>
      </c>
      <c r="N180">
        <v>300</v>
      </c>
      <c r="O180">
        <v>87</v>
      </c>
      <c r="P180">
        <v>511</v>
      </c>
      <c r="Q180">
        <v>698</v>
      </c>
      <c r="R180">
        <v>179</v>
      </c>
    </row>
    <row r="181" spans="1:18">
      <c r="A181" s="1" t="s">
        <v>151</v>
      </c>
      <c r="B181">
        <v>34</v>
      </c>
      <c r="C181">
        <v>20</v>
      </c>
      <c r="D181">
        <v>14</v>
      </c>
      <c r="E181">
        <v>5.8</v>
      </c>
      <c r="F181">
        <v>2275</v>
      </c>
      <c r="G181">
        <v>820</v>
      </c>
      <c r="H181">
        <v>1896</v>
      </c>
      <c r="I181">
        <v>486</v>
      </c>
      <c r="J181">
        <v>806</v>
      </c>
      <c r="K181">
        <v>444</v>
      </c>
      <c r="L181">
        <v>1190</v>
      </c>
      <c r="M181">
        <v>380</v>
      </c>
      <c r="N181">
        <v>225</v>
      </c>
      <c r="O181">
        <v>178</v>
      </c>
      <c r="P181">
        <v>485</v>
      </c>
      <c r="Q181">
        <v>612</v>
      </c>
      <c r="R181">
        <v>180</v>
      </c>
    </row>
    <row r="182" spans="1:18">
      <c r="A182" s="1" t="s">
        <v>152</v>
      </c>
      <c r="B182">
        <v>31</v>
      </c>
      <c r="C182">
        <v>10</v>
      </c>
      <c r="D182">
        <v>21</v>
      </c>
      <c r="E182">
        <v>-1.75</v>
      </c>
      <c r="F182">
        <v>1998</v>
      </c>
      <c r="G182">
        <v>699</v>
      </c>
      <c r="H182">
        <v>1621</v>
      </c>
      <c r="I182">
        <v>344</v>
      </c>
      <c r="J182">
        <v>495</v>
      </c>
      <c r="K182">
        <v>258</v>
      </c>
      <c r="L182">
        <v>774</v>
      </c>
      <c r="M182">
        <v>380</v>
      </c>
      <c r="N182">
        <v>190</v>
      </c>
      <c r="O182">
        <v>74</v>
      </c>
      <c r="P182">
        <v>412</v>
      </c>
      <c r="Q182">
        <v>589</v>
      </c>
      <c r="R182">
        <v>181</v>
      </c>
    </row>
    <row r="183" spans="1:18">
      <c r="A183" s="1" t="s">
        <v>153</v>
      </c>
      <c r="B183">
        <v>32</v>
      </c>
      <c r="C183">
        <v>16</v>
      </c>
      <c r="D183">
        <v>16</v>
      </c>
      <c r="E183">
        <v>3.92</v>
      </c>
      <c r="F183">
        <v>2110</v>
      </c>
      <c r="G183">
        <v>775</v>
      </c>
      <c r="H183">
        <v>1778</v>
      </c>
      <c r="I183">
        <v>372</v>
      </c>
      <c r="J183">
        <v>516</v>
      </c>
      <c r="K183">
        <v>294</v>
      </c>
      <c r="L183">
        <v>1029</v>
      </c>
      <c r="M183">
        <v>433</v>
      </c>
      <c r="N183">
        <v>148</v>
      </c>
      <c r="O183">
        <v>66</v>
      </c>
      <c r="P183">
        <v>338</v>
      </c>
      <c r="Q183">
        <v>592</v>
      </c>
      <c r="R183">
        <v>182</v>
      </c>
    </row>
    <row r="184" spans="1:18">
      <c r="A184" s="1" t="s">
        <v>328</v>
      </c>
      <c r="B184">
        <v>35</v>
      </c>
      <c r="C184">
        <v>30</v>
      </c>
      <c r="D184">
        <v>5</v>
      </c>
      <c r="E184">
        <v>5.68</v>
      </c>
      <c r="F184">
        <v>2814</v>
      </c>
      <c r="G184">
        <v>981</v>
      </c>
      <c r="H184">
        <v>1945</v>
      </c>
      <c r="I184">
        <v>559</v>
      </c>
      <c r="J184">
        <v>730</v>
      </c>
      <c r="K184">
        <v>319</v>
      </c>
      <c r="L184">
        <v>1025</v>
      </c>
      <c r="M184">
        <v>566</v>
      </c>
      <c r="N184">
        <v>285</v>
      </c>
      <c r="O184">
        <v>97</v>
      </c>
      <c r="P184">
        <v>358</v>
      </c>
      <c r="Q184">
        <v>499</v>
      </c>
      <c r="R184">
        <v>183</v>
      </c>
    </row>
    <row r="185" spans="1:18">
      <c r="A185" s="1" t="s">
        <v>154</v>
      </c>
      <c r="B185">
        <v>32</v>
      </c>
      <c r="C185">
        <v>12</v>
      </c>
      <c r="D185">
        <v>20</v>
      </c>
      <c r="E185">
        <v>-3.18</v>
      </c>
      <c r="F185">
        <v>2140</v>
      </c>
      <c r="G185">
        <v>777</v>
      </c>
      <c r="H185">
        <v>1855</v>
      </c>
      <c r="I185">
        <v>392</v>
      </c>
      <c r="J185">
        <v>603</v>
      </c>
      <c r="K185">
        <v>353</v>
      </c>
      <c r="L185">
        <v>847</v>
      </c>
      <c r="M185">
        <v>441</v>
      </c>
      <c r="N185">
        <v>253</v>
      </c>
      <c r="O185">
        <v>49</v>
      </c>
      <c r="P185">
        <v>449</v>
      </c>
      <c r="Q185">
        <v>663</v>
      </c>
      <c r="R185">
        <v>184</v>
      </c>
    </row>
    <row r="186" spans="1:18">
      <c r="A186" s="1" t="s">
        <v>155</v>
      </c>
      <c r="B186">
        <v>29</v>
      </c>
      <c r="C186">
        <v>12</v>
      </c>
      <c r="D186">
        <v>17</v>
      </c>
      <c r="E186">
        <v>-4.62</v>
      </c>
      <c r="F186">
        <v>2030</v>
      </c>
      <c r="G186">
        <v>709</v>
      </c>
      <c r="H186">
        <v>1669</v>
      </c>
      <c r="I186">
        <v>414</v>
      </c>
      <c r="J186">
        <v>598</v>
      </c>
      <c r="K186">
        <v>340</v>
      </c>
      <c r="L186">
        <v>888</v>
      </c>
      <c r="M186">
        <v>378</v>
      </c>
      <c r="N186">
        <v>193</v>
      </c>
      <c r="O186">
        <v>108</v>
      </c>
      <c r="P186">
        <v>396</v>
      </c>
      <c r="Q186">
        <v>569</v>
      </c>
      <c r="R186">
        <v>185</v>
      </c>
    </row>
    <row r="187" spans="1:18">
      <c r="A187" s="1" t="s">
        <v>156</v>
      </c>
      <c r="B187">
        <v>32</v>
      </c>
      <c r="C187">
        <v>25</v>
      </c>
      <c r="D187">
        <v>7</v>
      </c>
      <c r="E187">
        <v>-3.39</v>
      </c>
      <c r="F187">
        <v>2239</v>
      </c>
      <c r="G187">
        <v>781</v>
      </c>
      <c r="H187">
        <v>1689</v>
      </c>
      <c r="I187">
        <v>482</v>
      </c>
      <c r="J187">
        <v>672</v>
      </c>
      <c r="K187">
        <v>286</v>
      </c>
      <c r="L187">
        <v>949</v>
      </c>
      <c r="M187">
        <v>436</v>
      </c>
      <c r="N187">
        <v>229</v>
      </c>
      <c r="O187">
        <v>115</v>
      </c>
      <c r="P187">
        <v>401</v>
      </c>
      <c r="Q187">
        <v>585</v>
      </c>
      <c r="R187">
        <v>186</v>
      </c>
    </row>
    <row r="188" spans="1:18">
      <c r="A188" s="1" t="s">
        <v>157</v>
      </c>
      <c r="B188">
        <v>33</v>
      </c>
      <c r="C188">
        <v>18</v>
      </c>
      <c r="D188">
        <v>15</v>
      </c>
      <c r="E188">
        <v>-3.83</v>
      </c>
      <c r="F188">
        <v>2070</v>
      </c>
      <c r="G188">
        <v>701</v>
      </c>
      <c r="H188">
        <v>1621</v>
      </c>
      <c r="I188">
        <v>453</v>
      </c>
      <c r="J188">
        <v>608</v>
      </c>
      <c r="K188">
        <v>365</v>
      </c>
      <c r="L188">
        <v>927</v>
      </c>
      <c r="M188">
        <v>394</v>
      </c>
      <c r="N188">
        <v>282</v>
      </c>
      <c r="O188">
        <v>42</v>
      </c>
      <c r="P188">
        <v>493</v>
      </c>
      <c r="Q188">
        <v>618</v>
      </c>
      <c r="R188">
        <v>187</v>
      </c>
    </row>
    <row r="189" spans="1:18">
      <c r="A189" s="1" t="s">
        <v>158</v>
      </c>
      <c r="B189">
        <v>29</v>
      </c>
      <c r="C189">
        <v>9</v>
      </c>
      <c r="D189">
        <v>20</v>
      </c>
      <c r="E189">
        <v>-5.54</v>
      </c>
      <c r="F189">
        <v>1934</v>
      </c>
      <c r="G189">
        <v>676</v>
      </c>
      <c r="H189">
        <v>1574</v>
      </c>
      <c r="I189">
        <v>437</v>
      </c>
      <c r="J189">
        <v>646</v>
      </c>
      <c r="K189">
        <v>352</v>
      </c>
      <c r="L189">
        <v>905</v>
      </c>
      <c r="M189">
        <v>341</v>
      </c>
      <c r="N189">
        <v>191</v>
      </c>
      <c r="O189">
        <v>130</v>
      </c>
      <c r="P189">
        <v>453</v>
      </c>
      <c r="Q189">
        <v>549</v>
      </c>
      <c r="R189">
        <v>188</v>
      </c>
    </row>
    <row r="190" spans="1:18">
      <c r="A190" s="1" t="s">
        <v>159</v>
      </c>
      <c r="B190">
        <v>29</v>
      </c>
      <c r="C190">
        <v>8</v>
      </c>
      <c r="D190">
        <v>21</v>
      </c>
      <c r="E190">
        <v>-4.9000000000000004</v>
      </c>
      <c r="F190">
        <v>1748</v>
      </c>
      <c r="G190">
        <v>647</v>
      </c>
      <c r="H190">
        <v>1525</v>
      </c>
      <c r="I190">
        <v>295</v>
      </c>
      <c r="J190">
        <v>458</v>
      </c>
      <c r="K190">
        <v>331</v>
      </c>
      <c r="L190">
        <v>859</v>
      </c>
      <c r="M190">
        <v>332</v>
      </c>
      <c r="N190">
        <v>178</v>
      </c>
      <c r="O190">
        <v>99</v>
      </c>
      <c r="P190">
        <v>480</v>
      </c>
      <c r="Q190">
        <v>535</v>
      </c>
      <c r="R190">
        <v>189</v>
      </c>
    </row>
    <row r="191" spans="1:18">
      <c r="A191" s="1" t="s">
        <v>160</v>
      </c>
      <c r="B191">
        <v>33</v>
      </c>
      <c r="C191">
        <v>31</v>
      </c>
      <c r="D191">
        <v>2</v>
      </c>
      <c r="E191">
        <v>-2.6</v>
      </c>
      <c r="F191">
        <v>2412</v>
      </c>
      <c r="G191">
        <v>811</v>
      </c>
      <c r="H191">
        <v>1732</v>
      </c>
      <c r="I191">
        <v>551</v>
      </c>
      <c r="J191">
        <v>761</v>
      </c>
      <c r="K191">
        <v>360</v>
      </c>
      <c r="L191">
        <v>1019</v>
      </c>
      <c r="M191">
        <v>418</v>
      </c>
      <c r="N191">
        <v>276</v>
      </c>
      <c r="O191">
        <v>139</v>
      </c>
      <c r="P191">
        <v>458</v>
      </c>
      <c r="Q191">
        <v>592</v>
      </c>
      <c r="R191">
        <v>190</v>
      </c>
    </row>
    <row r="192" spans="1:18">
      <c r="A192" s="1" t="s">
        <v>161</v>
      </c>
      <c r="B192">
        <v>29</v>
      </c>
      <c r="C192">
        <v>3</v>
      </c>
      <c r="D192">
        <v>26</v>
      </c>
      <c r="E192">
        <v>-4.74</v>
      </c>
      <c r="F192">
        <v>1678</v>
      </c>
      <c r="G192">
        <v>594</v>
      </c>
      <c r="H192">
        <v>1464</v>
      </c>
      <c r="I192">
        <v>333</v>
      </c>
      <c r="J192">
        <v>487</v>
      </c>
      <c r="K192">
        <v>299</v>
      </c>
      <c r="L192">
        <v>776</v>
      </c>
      <c r="M192">
        <v>331</v>
      </c>
      <c r="N192">
        <v>218</v>
      </c>
      <c r="O192">
        <v>54</v>
      </c>
      <c r="P192">
        <v>423</v>
      </c>
      <c r="Q192">
        <v>528</v>
      </c>
      <c r="R192">
        <v>191</v>
      </c>
    </row>
    <row r="193" spans="1:18">
      <c r="A193" s="1" t="s">
        <v>162</v>
      </c>
      <c r="B193">
        <v>30</v>
      </c>
      <c r="C193">
        <v>12</v>
      </c>
      <c r="D193">
        <v>18</v>
      </c>
      <c r="E193">
        <v>8.25</v>
      </c>
      <c r="F193">
        <v>1827</v>
      </c>
      <c r="G193">
        <v>649</v>
      </c>
      <c r="H193">
        <v>1521</v>
      </c>
      <c r="I193">
        <v>335</v>
      </c>
      <c r="J193">
        <v>437</v>
      </c>
      <c r="K193">
        <v>254</v>
      </c>
      <c r="L193">
        <v>814</v>
      </c>
      <c r="M193">
        <v>381</v>
      </c>
      <c r="N193">
        <v>198</v>
      </c>
      <c r="O193">
        <v>78</v>
      </c>
      <c r="P193">
        <v>398</v>
      </c>
      <c r="Q193">
        <v>496</v>
      </c>
      <c r="R193">
        <v>192</v>
      </c>
    </row>
    <row r="194" spans="1:18">
      <c r="A194" s="1" t="s">
        <v>285</v>
      </c>
      <c r="B194">
        <v>35</v>
      </c>
      <c r="C194">
        <v>26</v>
      </c>
      <c r="D194">
        <v>9</v>
      </c>
      <c r="E194">
        <v>4.37</v>
      </c>
      <c r="F194">
        <v>2671</v>
      </c>
      <c r="G194">
        <v>942</v>
      </c>
      <c r="H194">
        <v>2062</v>
      </c>
      <c r="I194">
        <v>496</v>
      </c>
      <c r="J194">
        <v>734</v>
      </c>
      <c r="K194">
        <v>408</v>
      </c>
      <c r="L194">
        <v>1227</v>
      </c>
      <c r="M194">
        <v>616</v>
      </c>
      <c r="N194">
        <v>299</v>
      </c>
      <c r="O194">
        <v>169</v>
      </c>
      <c r="P194">
        <v>466</v>
      </c>
      <c r="Q194">
        <v>604</v>
      </c>
      <c r="R194">
        <v>193</v>
      </c>
    </row>
    <row r="195" spans="1:18">
      <c r="A195" s="1" t="s">
        <v>163</v>
      </c>
      <c r="B195">
        <v>35</v>
      </c>
      <c r="C195">
        <v>28</v>
      </c>
      <c r="D195">
        <v>7</v>
      </c>
      <c r="E195">
        <v>-0.37</v>
      </c>
      <c r="F195">
        <v>2461</v>
      </c>
      <c r="G195">
        <v>842</v>
      </c>
      <c r="H195">
        <v>1871</v>
      </c>
      <c r="I195">
        <v>541</v>
      </c>
      <c r="J195">
        <v>832</v>
      </c>
      <c r="K195">
        <v>418</v>
      </c>
      <c r="L195">
        <v>1173</v>
      </c>
      <c r="M195">
        <v>450</v>
      </c>
      <c r="N195">
        <v>197</v>
      </c>
      <c r="O195">
        <v>167</v>
      </c>
      <c r="P195">
        <v>481</v>
      </c>
      <c r="Q195">
        <v>568</v>
      </c>
      <c r="R195">
        <v>194</v>
      </c>
    </row>
    <row r="196" spans="1:18">
      <c r="A196" s="1" t="s">
        <v>164</v>
      </c>
      <c r="B196">
        <v>29</v>
      </c>
      <c r="C196">
        <v>13</v>
      </c>
      <c r="D196">
        <v>16</v>
      </c>
      <c r="E196">
        <v>-7.66</v>
      </c>
      <c r="F196">
        <v>1774</v>
      </c>
      <c r="G196">
        <v>620</v>
      </c>
      <c r="H196">
        <v>1547</v>
      </c>
      <c r="I196">
        <v>322</v>
      </c>
      <c r="J196">
        <v>529</v>
      </c>
      <c r="K196">
        <v>299</v>
      </c>
      <c r="L196">
        <v>882</v>
      </c>
      <c r="M196">
        <v>285</v>
      </c>
      <c r="N196">
        <v>153</v>
      </c>
      <c r="O196">
        <v>69</v>
      </c>
      <c r="P196">
        <v>379</v>
      </c>
      <c r="Q196">
        <v>524</v>
      </c>
      <c r="R196">
        <v>195</v>
      </c>
    </row>
    <row r="197" spans="1:18">
      <c r="A197" s="1" t="s">
        <v>165</v>
      </c>
      <c r="B197">
        <v>36</v>
      </c>
      <c r="C197">
        <v>26</v>
      </c>
      <c r="D197">
        <v>10</v>
      </c>
      <c r="E197">
        <v>0.08</v>
      </c>
      <c r="F197">
        <v>2812</v>
      </c>
      <c r="G197">
        <v>970</v>
      </c>
      <c r="H197">
        <v>2045</v>
      </c>
      <c r="I197">
        <v>707</v>
      </c>
      <c r="J197">
        <v>1058</v>
      </c>
      <c r="K197">
        <v>518</v>
      </c>
      <c r="L197">
        <v>1352</v>
      </c>
      <c r="M197">
        <v>498</v>
      </c>
      <c r="N197">
        <v>244</v>
      </c>
      <c r="O197">
        <v>154</v>
      </c>
      <c r="P197">
        <v>533</v>
      </c>
      <c r="Q197">
        <v>630</v>
      </c>
      <c r="R197">
        <v>196</v>
      </c>
    </row>
    <row r="198" spans="1:18">
      <c r="A198" s="1" t="s">
        <v>166</v>
      </c>
      <c r="B198">
        <v>35</v>
      </c>
      <c r="C198">
        <v>28</v>
      </c>
      <c r="D198">
        <v>7</v>
      </c>
      <c r="E198">
        <v>3.34</v>
      </c>
      <c r="F198">
        <v>2545</v>
      </c>
      <c r="G198">
        <v>876</v>
      </c>
      <c r="H198">
        <v>1898</v>
      </c>
      <c r="I198">
        <v>529</v>
      </c>
      <c r="J198">
        <v>748</v>
      </c>
      <c r="K198">
        <v>395</v>
      </c>
      <c r="L198">
        <v>1216</v>
      </c>
      <c r="M198">
        <v>573</v>
      </c>
      <c r="N198">
        <v>240</v>
      </c>
      <c r="O198">
        <v>117</v>
      </c>
      <c r="P198">
        <v>467</v>
      </c>
      <c r="Q198">
        <v>609</v>
      </c>
      <c r="R198">
        <v>197</v>
      </c>
    </row>
    <row r="199" spans="1:18">
      <c r="A199" s="1" t="s">
        <v>168</v>
      </c>
      <c r="B199">
        <v>33</v>
      </c>
      <c r="C199">
        <v>14</v>
      </c>
      <c r="D199">
        <v>19</v>
      </c>
      <c r="E199">
        <v>-2.86</v>
      </c>
      <c r="F199">
        <v>2322</v>
      </c>
      <c r="G199">
        <v>785</v>
      </c>
      <c r="H199">
        <v>1940</v>
      </c>
      <c r="I199">
        <v>503</v>
      </c>
      <c r="J199">
        <v>718</v>
      </c>
      <c r="K199">
        <v>423</v>
      </c>
      <c r="L199">
        <v>959</v>
      </c>
      <c r="M199">
        <v>393</v>
      </c>
      <c r="N199">
        <v>274</v>
      </c>
      <c r="O199">
        <v>90</v>
      </c>
      <c r="P199">
        <v>421</v>
      </c>
      <c r="Q199">
        <v>721</v>
      </c>
      <c r="R199">
        <v>198</v>
      </c>
    </row>
    <row r="200" spans="1:18">
      <c r="A200" s="1" t="s">
        <v>169</v>
      </c>
      <c r="B200">
        <v>30</v>
      </c>
      <c r="C200">
        <v>10</v>
      </c>
      <c r="D200">
        <v>20</v>
      </c>
      <c r="E200">
        <v>-3.94</v>
      </c>
      <c r="F200">
        <v>1989</v>
      </c>
      <c r="G200">
        <v>694</v>
      </c>
      <c r="H200">
        <v>1616</v>
      </c>
      <c r="I200">
        <v>403</v>
      </c>
      <c r="J200">
        <v>599</v>
      </c>
      <c r="K200">
        <v>278</v>
      </c>
      <c r="L200">
        <v>789</v>
      </c>
      <c r="M200">
        <v>365</v>
      </c>
      <c r="N200">
        <v>161</v>
      </c>
      <c r="O200">
        <v>55</v>
      </c>
      <c r="P200">
        <v>453</v>
      </c>
      <c r="Q200">
        <v>587</v>
      </c>
      <c r="R200">
        <v>199</v>
      </c>
    </row>
    <row r="201" spans="1:18">
      <c r="A201" s="1" t="s">
        <v>337</v>
      </c>
      <c r="B201">
        <v>32</v>
      </c>
      <c r="C201">
        <v>15</v>
      </c>
      <c r="D201">
        <v>17</v>
      </c>
      <c r="E201">
        <v>-8.27</v>
      </c>
      <c r="F201">
        <v>2236</v>
      </c>
      <c r="G201">
        <v>787</v>
      </c>
      <c r="H201">
        <v>1861</v>
      </c>
      <c r="I201">
        <v>404</v>
      </c>
      <c r="J201">
        <v>575</v>
      </c>
      <c r="K201">
        <v>339</v>
      </c>
      <c r="L201">
        <v>1026</v>
      </c>
      <c r="M201">
        <v>413</v>
      </c>
      <c r="N201">
        <v>232</v>
      </c>
      <c r="O201">
        <v>97</v>
      </c>
      <c r="P201">
        <v>403</v>
      </c>
      <c r="Q201">
        <v>646</v>
      </c>
      <c r="R201">
        <v>200</v>
      </c>
    </row>
    <row r="202" spans="1:18">
      <c r="A202" s="1" t="s">
        <v>170</v>
      </c>
      <c r="B202">
        <v>36</v>
      </c>
      <c r="C202">
        <v>26</v>
      </c>
      <c r="D202">
        <v>10</v>
      </c>
      <c r="E202">
        <v>-5.39</v>
      </c>
      <c r="F202">
        <v>2482</v>
      </c>
      <c r="G202">
        <v>870</v>
      </c>
      <c r="H202">
        <v>1977</v>
      </c>
      <c r="I202">
        <v>544</v>
      </c>
      <c r="J202">
        <v>829</v>
      </c>
      <c r="K202">
        <v>421</v>
      </c>
      <c r="L202">
        <v>1186</v>
      </c>
      <c r="M202">
        <v>431</v>
      </c>
      <c r="N202">
        <v>240</v>
      </c>
      <c r="O202">
        <v>169</v>
      </c>
      <c r="P202">
        <v>539</v>
      </c>
      <c r="Q202">
        <v>702</v>
      </c>
      <c r="R202">
        <v>201</v>
      </c>
    </row>
    <row r="203" spans="1:18">
      <c r="A203" s="1" t="s">
        <v>171</v>
      </c>
      <c r="B203">
        <v>34</v>
      </c>
      <c r="C203">
        <v>24</v>
      </c>
      <c r="D203">
        <v>10</v>
      </c>
      <c r="E203">
        <v>-2.72</v>
      </c>
      <c r="F203">
        <v>2745</v>
      </c>
      <c r="G203">
        <v>920</v>
      </c>
      <c r="H203">
        <v>1907</v>
      </c>
      <c r="I203">
        <v>682</v>
      </c>
      <c r="J203">
        <v>893</v>
      </c>
      <c r="K203">
        <v>377</v>
      </c>
      <c r="L203">
        <v>1093</v>
      </c>
      <c r="M203">
        <v>566</v>
      </c>
      <c r="N203">
        <v>283</v>
      </c>
      <c r="O203">
        <v>88</v>
      </c>
      <c r="P203">
        <v>456</v>
      </c>
      <c r="Q203">
        <v>612</v>
      </c>
      <c r="R203">
        <v>202</v>
      </c>
    </row>
    <row r="204" spans="1:18">
      <c r="A204" s="1" t="s">
        <v>172</v>
      </c>
      <c r="B204">
        <v>32</v>
      </c>
      <c r="C204">
        <v>12</v>
      </c>
      <c r="D204">
        <v>20</v>
      </c>
      <c r="E204">
        <v>-5.89</v>
      </c>
      <c r="F204">
        <v>2236</v>
      </c>
      <c r="G204">
        <v>778</v>
      </c>
      <c r="H204">
        <v>1852</v>
      </c>
      <c r="I204">
        <v>456</v>
      </c>
      <c r="J204">
        <v>698</v>
      </c>
      <c r="K204">
        <v>374</v>
      </c>
      <c r="L204">
        <v>1031</v>
      </c>
      <c r="M204">
        <v>409</v>
      </c>
      <c r="N204">
        <v>235</v>
      </c>
      <c r="O204">
        <v>108</v>
      </c>
      <c r="P204">
        <v>501</v>
      </c>
      <c r="Q204">
        <v>617</v>
      </c>
      <c r="R204">
        <v>203</v>
      </c>
    </row>
    <row r="205" spans="1:18">
      <c r="A205" s="1" t="s">
        <v>349</v>
      </c>
      <c r="B205">
        <v>32</v>
      </c>
      <c r="C205">
        <v>17</v>
      </c>
      <c r="D205">
        <v>15</v>
      </c>
      <c r="E205">
        <v>-6.98</v>
      </c>
      <c r="F205">
        <v>2263</v>
      </c>
      <c r="G205">
        <v>772</v>
      </c>
      <c r="H205">
        <v>1644</v>
      </c>
      <c r="I205">
        <v>527</v>
      </c>
      <c r="J205">
        <v>746</v>
      </c>
      <c r="K205">
        <v>309</v>
      </c>
      <c r="L205">
        <v>940</v>
      </c>
      <c r="M205">
        <v>450</v>
      </c>
      <c r="N205">
        <v>263</v>
      </c>
      <c r="O205">
        <v>123</v>
      </c>
      <c r="P205">
        <v>487</v>
      </c>
      <c r="Q205">
        <v>590</v>
      </c>
      <c r="R205">
        <v>204</v>
      </c>
    </row>
    <row r="206" spans="1:18">
      <c r="A206" s="1" t="s">
        <v>173</v>
      </c>
      <c r="B206">
        <v>32</v>
      </c>
      <c r="C206">
        <v>13</v>
      </c>
      <c r="D206">
        <v>19</v>
      </c>
      <c r="E206">
        <v>-1.96</v>
      </c>
      <c r="F206">
        <v>2231</v>
      </c>
      <c r="G206">
        <v>791</v>
      </c>
      <c r="H206">
        <v>1961</v>
      </c>
      <c r="I206">
        <v>427</v>
      </c>
      <c r="J206">
        <v>623</v>
      </c>
      <c r="K206">
        <v>442</v>
      </c>
      <c r="L206">
        <v>1014</v>
      </c>
      <c r="M206">
        <v>371</v>
      </c>
      <c r="N206">
        <v>240</v>
      </c>
      <c r="O206">
        <v>85</v>
      </c>
      <c r="P206">
        <v>486</v>
      </c>
      <c r="Q206">
        <v>675</v>
      </c>
      <c r="R206">
        <v>205</v>
      </c>
    </row>
    <row r="207" spans="1:18">
      <c r="A207" s="1" t="s">
        <v>174</v>
      </c>
      <c r="B207">
        <v>37</v>
      </c>
      <c r="C207">
        <v>24</v>
      </c>
      <c r="D207">
        <v>13</v>
      </c>
      <c r="E207">
        <v>6.8</v>
      </c>
      <c r="F207">
        <v>2697</v>
      </c>
      <c r="G207">
        <v>977</v>
      </c>
      <c r="H207">
        <v>2134</v>
      </c>
      <c r="I207">
        <v>545</v>
      </c>
      <c r="J207">
        <v>774</v>
      </c>
      <c r="K207">
        <v>456</v>
      </c>
      <c r="L207">
        <v>1281</v>
      </c>
      <c r="M207">
        <v>577</v>
      </c>
      <c r="N207">
        <v>249</v>
      </c>
      <c r="O207">
        <v>150</v>
      </c>
      <c r="P207">
        <v>470</v>
      </c>
      <c r="Q207">
        <v>623</v>
      </c>
      <c r="R207">
        <v>206</v>
      </c>
    </row>
    <row r="208" spans="1:18">
      <c r="A208" s="1" t="s">
        <v>286</v>
      </c>
      <c r="B208">
        <v>31</v>
      </c>
      <c r="C208">
        <v>10</v>
      </c>
      <c r="D208">
        <v>21</v>
      </c>
      <c r="E208">
        <v>0.18</v>
      </c>
      <c r="F208">
        <v>2013</v>
      </c>
      <c r="G208">
        <v>723</v>
      </c>
      <c r="H208">
        <v>1740</v>
      </c>
      <c r="I208">
        <v>394</v>
      </c>
      <c r="J208">
        <v>580</v>
      </c>
      <c r="K208">
        <v>378</v>
      </c>
      <c r="L208">
        <v>1068</v>
      </c>
      <c r="M208">
        <v>370</v>
      </c>
      <c r="N208">
        <v>173</v>
      </c>
      <c r="O208">
        <v>122</v>
      </c>
      <c r="P208">
        <v>428</v>
      </c>
      <c r="Q208">
        <v>552</v>
      </c>
      <c r="R208">
        <v>207</v>
      </c>
    </row>
    <row r="209" spans="1:18">
      <c r="A209" s="1" t="s">
        <v>312</v>
      </c>
      <c r="B209">
        <v>38</v>
      </c>
      <c r="C209">
        <v>32</v>
      </c>
      <c r="D209">
        <v>6</v>
      </c>
      <c r="E209">
        <v>7.07</v>
      </c>
      <c r="F209">
        <v>3091</v>
      </c>
      <c r="G209">
        <v>1134</v>
      </c>
      <c r="H209">
        <v>2473</v>
      </c>
      <c r="I209">
        <v>629</v>
      </c>
      <c r="J209">
        <v>922</v>
      </c>
      <c r="K209">
        <v>570</v>
      </c>
      <c r="L209">
        <v>1592</v>
      </c>
      <c r="M209">
        <v>659</v>
      </c>
      <c r="N209">
        <v>259</v>
      </c>
      <c r="O209">
        <v>219</v>
      </c>
      <c r="P209">
        <v>447</v>
      </c>
      <c r="Q209">
        <v>551</v>
      </c>
      <c r="R209">
        <v>208</v>
      </c>
    </row>
    <row r="210" spans="1:18">
      <c r="A210" s="1" t="s">
        <v>338</v>
      </c>
      <c r="B210">
        <v>31</v>
      </c>
      <c r="C210">
        <v>17</v>
      </c>
      <c r="D210">
        <v>14</v>
      </c>
      <c r="E210">
        <v>-2.5</v>
      </c>
      <c r="F210">
        <v>2267</v>
      </c>
      <c r="G210">
        <v>805</v>
      </c>
      <c r="H210">
        <v>1649</v>
      </c>
      <c r="I210">
        <v>458</v>
      </c>
      <c r="J210">
        <v>635</v>
      </c>
      <c r="K210">
        <v>257</v>
      </c>
      <c r="L210">
        <v>939</v>
      </c>
      <c r="M210">
        <v>421</v>
      </c>
      <c r="N210">
        <v>192</v>
      </c>
      <c r="O210">
        <v>108</v>
      </c>
      <c r="P210">
        <v>384</v>
      </c>
      <c r="Q210">
        <v>603</v>
      </c>
      <c r="R210">
        <v>209</v>
      </c>
    </row>
    <row r="211" spans="1:18">
      <c r="A211" s="1" t="s">
        <v>357</v>
      </c>
      <c r="B211">
        <v>32</v>
      </c>
      <c r="C211">
        <v>17</v>
      </c>
      <c r="D211">
        <v>15</v>
      </c>
      <c r="E211">
        <v>-6.33</v>
      </c>
      <c r="F211">
        <v>2153</v>
      </c>
      <c r="G211">
        <v>762</v>
      </c>
      <c r="H211">
        <v>1722</v>
      </c>
      <c r="I211">
        <v>428</v>
      </c>
      <c r="J211">
        <v>679</v>
      </c>
      <c r="K211">
        <v>317</v>
      </c>
      <c r="L211">
        <v>1028</v>
      </c>
      <c r="M211">
        <v>401</v>
      </c>
      <c r="N211">
        <v>207</v>
      </c>
      <c r="O211">
        <v>139</v>
      </c>
      <c r="P211">
        <v>465</v>
      </c>
      <c r="Q211">
        <v>562</v>
      </c>
      <c r="R211">
        <v>210</v>
      </c>
    </row>
    <row r="212" spans="1:18">
      <c r="A212" s="1" t="s">
        <v>339</v>
      </c>
      <c r="B212">
        <v>32</v>
      </c>
      <c r="C212">
        <v>16</v>
      </c>
      <c r="D212">
        <v>16</v>
      </c>
      <c r="E212">
        <v>-0.05</v>
      </c>
      <c r="F212">
        <v>2168</v>
      </c>
      <c r="G212">
        <v>787</v>
      </c>
      <c r="H212">
        <v>1720</v>
      </c>
      <c r="I212">
        <v>393</v>
      </c>
      <c r="J212">
        <v>645</v>
      </c>
      <c r="K212">
        <v>358</v>
      </c>
      <c r="L212">
        <v>1016</v>
      </c>
      <c r="M212">
        <v>392</v>
      </c>
      <c r="N212">
        <v>186</v>
      </c>
      <c r="O212">
        <v>104</v>
      </c>
      <c r="P212">
        <v>493</v>
      </c>
      <c r="Q212">
        <v>590</v>
      </c>
      <c r="R212">
        <v>211</v>
      </c>
    </row>
    <row r="213" spans="1:18">
      <c r="A213" s="1" t="s">
        <v>175</v>
      </c>
      <c r="B213">
        <v>32</v>
      </c>
      <c r="C213">
        <v>18</v>
      </c>
      <c r="D213">
        <v>14</v>
      </c>
      <c r="E213">
        <v>-2.56</v>
      </c>
      <c r="F213">
        <v>2250</v>
      </c>
      <c r="G213">
        <v>818</v>
      </c>
      <c r="H213">
        <v>1885</v>
      </c>
      <c r="I213">
        <v>455</v>
      </c>
      <c r="J213">
        <v>639</v>
      </c>
      <c r="K213">
        <v>401</v>
      </c>
      <c r="L213">
        <v>1151</v>
      </c>
      <c r="M213">
        <v>385</v>
      </c>
      <c r="N213">
        <v>200</v>
      </c>
      <c r="O213">
        <v>130</v>
      </c>
      <c r="P213">
        <v>464</v>
      </c>
      <c r="Q213">
        <v>561</v>
      </c>
      <c r="R213">
        <v>212</v>
      </c>
    </row>
    <row r="214" spans="1:18">
      <c r="A214" s="1" t="s">
        <v>176</v>
      </c>
      <c r="B214">
        <v>31</v>
      </c>
      <c r="C214">
        <v>14</v>
      </c>
      <c r="D214">
        <v>17</v>
      </c>
      <c r="E214">
        <v>-0.4</v>
      </c>
      <c r="F214">
        <v>1941</v>
      </c>
      <c r="G214">
        <v>676</v>
      </c>
      <c r="H214">
        <v>1579</v>
      </c>
      <c r="I214">
        <v>420</v>
      </c>
      <c r="J214">
        <v>598</v>
      </c>
      <c r="K214">
        <v>343</v>
      </c>
      <c r="L214">
        <v>900</v>
      </c>
      <c r="M214">
        <v>369</v>
      </c>
      <c r="N214">
        <v>246</v>
      </c>
      <c r="O214">
        <v>119</v>
      </c>
      <c r="P214">
        <v>484</v>
      </c>
      <c r="Q214">
        <v>578</v>
      </c>
      <c r="R214">
        <v>213</v>
      </c>
    </row>
    <row r="215" spans="1:18">
      <c r="A215" s="1" t="s">
        <v>287</v>
      </c>
      <c r="B215">
        <v>29</v>
      </c>
      <c r="C215">
        <v>5</v>
      </c>
      <c r="D215">
        <v>24</v>
      </c>
      <c r="E215">
        <v>-3.53</v>
      </c>
      <c r="F215">
        <v>1804</v>
      </c>
      <c r="G215">
        <v>661</v>
      </c>
      <c r="H215">
        <v>1620</v>
      </c>
      <c r="I215">
        <v>325</v>
      </c>
      <c r="J215">
        <v>469</v>
      </c>
      <c r="K215">
        <v>338</v>
      </c>
      <c r="L215">
        <v>847</v>
      </c>
      <c r="M215">
        <v>407</v>
      </c>
      <c r="N215">
        <v>190</v>
      </c>
      <c r="O215">
        <v>62</v>
      </c>
      <c r="P215">
        <v>430</v>
      </c>
      <c r="Q215">
        <v>467</v>
      </c>
      <c r="R215">
        <v>214</v>
      </c>
    </row>
    <row r="216" spans="1:18">
      <c r="A216" s="1" t="s">
        <v>333</v>
      </c>
      <c r="B216">
        <v>28</v>
      </c>
      <c r="C216">
        <v>9</v>
      </c>
      <c r="D216">
        <v>19</v>
      </c>
      <c r="E216">
        <v>-2.19</v>
      </c>
      <c r="F216">
        <v>2026</v>
      </c>
      <c r="G216">
        <v>699</v>
      </c>
      <c r="H216">
        <v>1454</v>
      </c>
      <c r="I216">
        <v>429</v>
      </c>
      <c r="J216">
        <v>614</v>
      </c>
      <c r="K216">
        <v>292</v>
      </c>
      <c r="L216">
        <v>852</v>
      </c>
      <c r="M216">
        <v>349</v>
      </c>
      <c r="N216">
        <v>155</v>
      </c>
      <c r="O216">
        <v>66</v>
      </c>
      <c r="P216">
        <v>456</v>
      </c>
      <c r="Q216">
        <v>556</v>
      </c>
      <c r="R216">
        <v>215</v>
      </c>
    </row>
    <row r="217" spans="1:18">
      <c r="A217" s="1" t="s">
        <v>177</v>
      </c>
      <c r="B217">
        <v>31</v>
      </c>
      <c r="C217">
        <v>5</v>
      </c>
      <c r="D217">
        <v>26</v>
      </c>
      <c r="E217">
        <v>-1.79</v>
      </c>
      <c r="F217">
        <v>1716</v>
      </c>
      <c r="G217">
        <v>594</v>
      </c>
      <c r="H217">
        <v>1602</v>
      </c>
      <c r="I217">
        <v>343</v>
      </c>
      <c r="J217">
        <v>511</v>
      </c>
      <c r="K217">
        <v>387</v>
      </c>
      <c r="L217">
        <v>970</v>
      </c>
      <c r="M217">
        <v>304</v>
      </c>
      <c r="N217">
        <v>156</v>
      </c>
      <c r="O217">
        <v>73</v>
      </c>
      <c r="P217">
        <v>497</v>
      </c>
      <c r="Q217">
        <v>623</v>
      </c>
      <c r="R217">
        <v>216</v>
      </c>
    </row>
    <row r="218" spans="1:18">
      <c r="A218" s="1" t="s">
        <v>178</v>
      </c>
      <c r="B218">
        <v>34</v>
      </c>
      <c r="C218">
        <v>20</v>
      </c>
      <c r="D218">
        <v>14</v>
      </c>
      <c r="E218">
        <v>4.74</v>
      </c>
      <c r="F218">
        <v>2216</v>
      </c>
      <c r="G218">
        <v>754</v>
      </c>
      <c r="H218">
        <v>1752</v>
      </c>
      <c r="I218">
        <v>441</v>
      </c>
      <c r="J218">
        <v>605</v>
      </c>
      <c r="K218">
        <v>270</v>
      </c>
      <c r="L218">
        <v>999</v>
      </c>
      <c r="M218">
        <v>384</v>
      </c>
      <c r="N218">
        <v>203</v>
      </c>
      <c r="O218">
        <v>63</v>
      </c>
      <c r="P218">
        <v>369</v>
      </c>
      <c r="Q218">
        <v>534</v>
      </c>
      <c r="R218">
        <v>217</v>
      </c>
    </row>
    <row r="219" spans="1:18">
      <c r="A219" s="1" t="s">
        <v>179</v>
      </c>
      <c r="B219">
        <v>32</v>
      </c>
      <c r="C219">
        <v>16</v>
      </c>
      <c r="D219">
        <v>16</v>
      </c>
      <c r="E219">
        <v>-4.1500000000000004</v>
      </c>
      <c r="F219">
        <v>2259</v>
      </c>
      <c r="G219">
        <v>789</v>
      </c>
      <c r="H219">
        <v>1852</v>
      </c>
      <c r="I219">
        <v>488</v>
      </c>
      <c r="J219">
        <v>799</v>
      </c>
      <c r="K219">
        <v>405</v>
      </c>
      <c r="L219">
        <v>1071</v>
      </c>
      <c r="M219">
        <v>411</v>
      </c>
      <c r="N219">
        <v>280</v>
      </c>
      <c r="O219">
        <v>204</v>
      </c>
      <c r="P219">
        <v>471</v>
      </c>
      <c r="Q219">
        <v>633</v>
      </c>
      <c r="R219">
        <v>218</v>
      </c>
    </row>
    <row r="220" spans="1:18">
      <c r="A220" s="1" t="s">
        <v>180</v>
      </c>
      <c r="B220">
        <v>33</v>
      </c>
      <c r="C220">
        <v>19</v>
      </c>
      <c r="D220">
        <v>14</v>
      </c>
      <c r="E220">
        <v>7.84</v>
      </c>
      <c r="F220">
        <v>2286</v>
      </c>
      <c r="G220">
        <v>790</v>
      </c>
      <c r="H220">
        <v>1754</v>
      </c>
      <c r="I220">
        <v>409</v>
      </c>
      <c r="J220">
        <v>592</v>
      </c>
      <c r="K220">
        <v>279</v>
      </c>
      <c r="L220">
        <v>846</v>
      </c>
      <c r="M220">
        <v>512</v>
      </c>
      <c r="N220">
        <v>219</v>
      </c>
      <c r="O220">
        <v>123</v>
      </c>
      <c r="P220">
        <v>335</v>
      </c>
      <c r="Q220">
        <v>526</v>
      </c>
      <c r="R220">
        <v>219</v>
      </c>
    </row>
    <row r="221" spans="1:18">
      <c r="A221" s="1" t="s">
        <v>181</v>
      </c>
      <c r="B221">
        <v>34</v>
      </c>
      <c r="C221">
        <v>22</v>
      </c>
      <c r="D221">
        <v>12</v>
      </c>
      <c r="E221">
        <v>6.47</v>
      </c>
      <c r="F221">
        <v>2257</v>
      </c>
      <c r="G221">
        <v>781</v>
      </c>
      <c r="H221">
        <v>1800</v>
      </c>
      <c r="I221">
        <v>474</v>
      </c>
      <c r="J221">
        <v>673</v>
      </c>
      <c r="K221">
        <v>345</v>
      </c>
      <c r="L221">
        <v>1050</v>
      </c>
      <c r="M221">
        <v>497</v>
      </c>
      <c r="N221">
        <v>177</v>
      </c>
      <c r="O221">
        <v>114</v>
      </c>
      <c r="P221">
        <v>342</v>
      </c>
      <c r="Q221">
        <v>470</v>
      </c>
      <c r="R221">
        <v>220</v>
      </c>
    </row>
    <row r="222" spans="1:18">
      <c r="A222" s="1" t="s">
        <v>182</v>
      </c>
      <c r="B222">
        <v>36</v>
      </c>
      <c r="C222">
        <v>20</v>
      </c>
      <c r="D222">
        <v>16</v>
      </c>
      <c r="E222">
        <v>-0.54</v>
      </c>
      <c r="F222">
        <v>2875</v>
      </c>
      <c r="G222">
        <v>947</v>
      </c>
      <c r="H222">
        <v>2104</v>
      </c>
      <c r="I222">
        <v>646</v>
      </c>
      <c r="J222">
        <v>877</v>
      </c>
      <c r="K222">
        <v>397</v>
      </c>
      <c r="L222">
        <v>1103</v>
      </c>
      <c r="M222">
        <v>476</v>
      </c>
      <c r="N222">
        <v>232</v>
      </c>
      <c r="O222">
        <v>75</v>
      </c>
      <c r="P222">
        <v>430</v>
      </c>
      <c r="Q222">
        <v>656</v>
      </c>
      <c r="R222">
        <v>221</v>
      </c>
    </row>
    <row r="223" spans="1:18">
      <c r="A223" s="1" t="s">
        <v>321</v>
      </c>
      <c r="B223">
        <v>39</v>
      </c>
      <c r="C223">
        <v>31</v>
      </c>
      <c r="D223">
        <v>8</v>
      </c>
      <c r="E223">
        <v>9.07</v>
      </c>
      <c r="F223">
        <v>2913</v>
      </c>
      <c r="G223">
        <v>1057</v>
      </c>
      <c r="H223">
        <v>2219</v>
      </c>
      <c r="I223">
        <v>600</v>
      </c>
      <c r="J223">
        <v>846</v>
      </c>
      <c r="K223">
        <v>447</v>
      </c>
      <c r="L223">
        <v>1345</v>
      </c>
      <c r="M223">
        <v>568</v>
      </c>
      <c r="N223">
        <v>281</v>
      </c>
      <c r="O223">
        <v>125</v>
      </c>
      <c r="P223">
        <v>449</v>
      </c>
      <c r="Q223">
        <v>630</v>
      </c>
      <c r="R223">
        <v>222</v>
      </c>
    </row>
    <row r="224" spans="1:18">
      <c r="A224" s="1" t="s">
        <v>183</v>
      </c>
      <c r="B224">
        <v>37</v>
      </c>
      <c r="C224">
        <v>29</v>
      </c>
      <c r="D224">
        <v>8</v>
      </c>
      <c r="E224">
        <v>0.17</v>
      </c>
      <c r="F224">
        <v>2597</v>
      </c>
      <c r="G224">
        <v>901</v>
      </c>
      <c r="H224">
        <v>2107</v>
      </c>
      <c r="I224">
        <v>517</v>
      </c>
      <c r="J224">
        <v>749</v>
      </c>
      <c r="K224">
        <v>451</v>
      </c>
      <c r="L224">
        <v>1136</v>
      </c>
      <c r="M224">
        <v>488</v>
      </c>
      <c r="N224">
        <v>347</v>
      </c>
      <c r="O224">
        <v>103</v>
      </c>
      <c r="P224">
        <v>481</v>
      </c>
      <c r="Q224">
        <v>723</v>
      </c>
      <c r="R224">
        <v>223</v>
      </c>
    </row>
    <row r="225" spans="1:18">
      <c r="A225" s="1" t="s">
        <v>340</v>
      </c>
      <c r="B225">
        <v>33</v>
      </c>
      <c r="C225">
        <v>15</v>
      </c>
      <c r="D225">
        <v>18</v>
      </c>
      <c r="E225">
        <v>8.9499999999999993</v>
      </c>
      <c r="F225">
        <v>2209</v>
      </c>
      <c r="G225">
        <v>746</v>
      </c>
      <c r="H225">
        <v>1756</v>
      </c>
      <c r="I225">
        <v>506</v>
      </c>
      <c r="J225">
        <v>685</v>
      </c>
      <c r="K225">
        <v>265</v>
      </c>
      <c r="L225">
        <v>964</v>
      </c>
      <c r="M225">
        <v>376</v>
      </c>
      <c r="N225">
        <v>214</v>
      </c>
      <c r="O225">
        <v>140</v>
      </c>
      <c r="P225">
        <v>395</v>
      </c>
      <c r="Q225">
        <v>629</v>
      </c>
      <c r="R225">
        <v>224</v>
      </c>
    </row>
    <row r="226" spans="1:18">
      <c r="A226" s="1" t="s">
        <v>329</v>
      </c>
      <c r="B226">
        <v>31</v>
      </c>
      <c r="C226">
        <v>15</v>
      </c>
      <c r="D226">
        <v>16</v>
      </c>
      <c r="E226">
        <v>6.67</v>
      </c>
      <c r="F226">
        <v>2142</v>
      </c>
      <c r="G226">
        <v>794</v>
      </c>
      <c r="H226">
        <v>1827</v>
      </c>
      <c r="I226">
        <v>413</v>
      </c>
      <c r="J226">
        <v>568</v>
      </c>
      <c r="K226">
        <v>403</v>
      </c>
      <c r="L226">
        <v>1055</v>
      </c>
      <c r="M226">
        <v>431</v>
      </c>
      <c r="N226">
        <v>194</v>
      </c>
      <c r="O226">
        <v>96</v>
      </c>
      <c r="P226">
        <v>396</v>
      </c>
      <c r="Q226">
        <v>538</v>
      </c>
      <c r="R226">
        <v>225</v>
      </c>
    </row>
    <row r="227" spans="1:18">
      <c r="A227" s="1" t="s">
        <v>184</v>
      </c>
      <c r="B227">
        <v>36</v>
      </c>
      <c r="C227">
        <v>22</v>
      </c>
      <c r="D227">
        <v>14</v>
      </c>
      <c r="E227">
        <v>0.36</v>
      </c>
      <c r="F227">
        <v>2368</v>
      </c>
      <c r="G227">
        <v>844</v>
      </c>
      <c r="H227">
        <v>2082</v>
      </c>
      <c r="I227">
        <v>473</v>
      </c>
      <c r="J227">
        <v>766</v>
      </c>
      <c r="K227">
        <v>562</v>
      </c>
      <c r="L227">
        <v>1333</v>
      </c>
      <c r="M227">
        <v>456</v>
      </c>
      <c r="N227">
        <v>316</v>
      </c>
      <c r="O227">
        <v>165</v>
      </c>
      <c r="P227">
        <v>495</v>
      </c>
      <c r="Q227">
        <v>661</v>
      </c>
      <c r="R227">
        <v>226</v>
      </c>
    </row>
    <row r="228" spans="1:18">
      <c r="A228" s="1" t="s">
        <v>185</v>
      </c>
      <c r="B228">
        <v>34</v>
      </c>
      <c r="C228">
        <v>27</v>
      </c>
      <c r="D228">
        <v>7</v>
      </c>
      <c r="E228">
        <v>-1.5</v>
      </c>
      <c r="F228">
        <v>2467</v>
      </c>
      <c r="G228">
        <v>864</v>
      </c>
      <c r="H228">
        <v>1786</v>
      </c>
      <c r="I228">
        <v>557</v>
      </c>
      <c r="J228">
        <v>747</v>
      </c>
      <c r="K228">
        <v>363</v>
      </c>
      <c r="L228">
        <v>979</v>
      </c>
      <c r="M228">
        <v>459</v>
      </c>
      <c r="N228">
        <v>222</v>
      </c>
      <c r="O228">
        <v>90</v>
      </c>
      <c r="P228">
        <v>436</v>
      </c>
      <c r="Q228">
        <v>572</v>
      </c>
      <c r="R228">
        <v>227</v>
      </c>
    </row>
    <row r="229" spans="1:18">
      <c r="A229" s="1" t="s">
        <v>186</v>
      </c>
      <c r="B229">
        <v>36</v>
      </c>
      <c r="C229">
        <v>21</v>
      </c>
      <c r="D229">
        <v>15</v>
      </c>
      <c r="E229">
        <v>3.38</v>
      </c>
      <c r="F229">
        <v>2841</v>
      </c>
      <c r="G229">
        <v>995</v>
      </c>
      <c r="H229">
        <v>2093</v>
      </c>
      <c r="I229">
        <v>630</v>
      </c>
      <c r="J229">
        <v>931</v>
      </c>
      <c r="K229">
        <v>421</v>
      </c>
      <c r="L229">
        <v>1160</v>
      </c>
      <c r="M229">
        <v>567</v>
      </c>
      <c r="N229">
        <v>328</v>
      </c>
      <c r="O229">
        <v>166</v>
      </c>
      <c r="P229">
        <v>507</v>
      </c>
      <c r="Q229">
        <v>672</v>
      </c>
      <c r="R229">
        <v>228</v>
      </c>
    </row>
    <row r="230" spans="1:18">
      <c r="A230" s="1" t="s">
        <v>288</v>
      </c>
      <c r="B230">
        <v>34</v>
      </c>
      <c r="C230">
        <v>24</v>
      </c>
      <c r="D230">
        <v>10</v>
      </c>
      <c r="E230">
        <v>4.72</v>
      </c>
      <c r="F230">
        <v>2527</v>
      </c>
      <c r="G230">
        <v>883</v>
      </c>
      <c r="H230">
        <v>1884</v>
      </c>
      <c r="I230">
        <v>515</v>
      </c>
      <c r="J230">
        <v>726</v>
      </c>
      <c r="K230">
        <v>360</v>
      </c>
      <c r="L230">
        <v>1066</v>
      </c>
      <c r="M230">
        <v>485</v>
      </c>
      <c r="N230">
        <v>204</v>
      </c>
      <c r="O230">
        <v>121</v>
      </c>
      <c r="P230">
        <v>438</v>
      </c>
      <c r="Q230">
        <v>583</v>
      </c>
      <c r="R230">
        <v>229</v>
      </c>
    </row>
    <row r="231" spans="1:18">
      <c r="A231" s="1" t="s">
        <v>187</v>
      </c>
      <c r="B231">
        <v>30</v>
      </c>
      <c r="C231">
        <v>11</v>
      </c>
      <c r="D231">
        <v>19</v>
      </c>
      <c r="E231">
        <v>-2.61</v>
      </c>
      <c r="F231">
        <v>1888</v>
      </c>
      <c r="G231">
        <v>644</v>
      </c>
      <c r="H231">
        <v>1591</v>
      </c>
      <c r="I231">
        <v>400</v>
      </c>
      <c r="J231">
        <v>581</v>
      </c>
      <c r="K231">
        <v>313</v>
      </c>
      <c r="L231">
        <v>871</v>
      </c>
      <c r="M231">
        <v>376</v>
      </c>
      <c r="N231">
        <v>155</v>
      </c>
      <c r="O231">
        <v>54</v>
      </c>
      <c r="P231">
        <v>360</v>
      </c>
      <c r="Q231">
        <v>518</v>
      </c>
      <c r="R231">
        <v>230</v>
      </c>
    </row>
    <row r="232" spans="1:18">
      <c r="A232" s="1" t="s">
        <v>188</v>
      </c>
      <c r="B232">
        <v>32</v>
      </c>
      <c r="C232">
        <v>12</v>
      </c>
      <c r="D232">
        <v>20</v>
      </c>
      <c r="E232">
        <v>7.75</v>
      </c>
      <c r="F232">
        <v>1977</v>
      </c>
      <c r="G232">
        <v>695</v>
      </c>
      <c r="H232">
        <v>1770</v>
      </c>
      <c r="I232">
        <v>386</v>
      </c>
      <c r="J232">
        <v>563</v>
      </c>
      <c r="K232">
        <v>397</v>
      </c>
      <c r="L232">
        <v>994</v>
      </c>
      <c r="M232">
        <v>344</v>
      </c>
      <c r="N232">
        <v>218</v>
      </c>
      <c r="O232">
        <v>77</v>
      </c>
      <c r="P232">
        <v>390</v>
      </c>
      <c r="Q232">
        <v>636</v>
      </c>
      <c r="R232">
        <v>231</v>
      </c>
    </row>
    <row r="233" spans="1:18">
      <c r="A233" s="1" t="s">
        <v>289</v>
      </c>
      <c r="B233">
        <v>33</v>
      </c>
      <c r="C233">
        <v>20</v>
      </c>
      <c r="D233">
        <v>13</v>
      </c>
      <c r="E233">
        <v>-0.1</v>
      </c>
      <c r="F233">
        <v>2146</v>
      </c>
      <c r="G233">
        <v>767</v>
      </c>
      <c r="H233">
        <v>1731</v>
      </c>
      <c r="I233">
        <v>374</v>
      </c>
      <c r="J233">
        <v>513</v>
      </c>
      <c r="K233">
        <v>281</v>
      </c>
      <c r="L233">
        <v>888</v>
      </c>
      <c r="M233">
        <v>447</v>
      </c>
      <c r="N233">
        <v>241</v>
      </c>
      <c r="O233">
        <v>83</v>
      </c>
      <c r="P233">
        <v>414</v>
      </c>
      <c r="Q233">
        <v>647</v>
      </c>
      <c r="R233">
        <v>232</v>
      </c>
    </row>
    <row r="234" spans="1:18">
      <c r="A234" s="1" t="s">
        <v>290</v>
      </c>
      <c r="B234">
        <v>29</v>
      </c>
      <c r="C234">
        <v>10</v>
      </c>
      <c r="D234">
        <v>19</v>
      </c>
      <c r="E234">
        <v>-0.23</v>
      </c>
      <c r="F234">
        <v>1719</v>
      </c>
      <c r="G234">
        <v>603</v>
      </c>
      <c r="H234">
        <v>1523</v>
      </c>
      <c r="I234">
        <v>369</v>
      </c>
      <c r="J234">
        <v>560</v>
      </c>
      <c r="K234">
        <v>350</v>
      </c>
      <c r="L234">
        <v>943</v>
      </c>
      <c r="M234">
        <v>358</v>
      </c>
      <c r="N234">
        <v>135</v>
      </c>
      <c r="O234">
        <v>85</v>
      </c>
      <c r="P234">
        <v>394</v>
      </c>
      <c r="Q234">
        <v>525</v>
      </c>
      <c r="R234">
        <v>233</v>
      </c>
    </row>
    <row r="235" spans="1:18">
      <c r="A235" s="1" t="s">
        <v>189</v>
      </c>
      <c r="B235">
        <v>39</v>
      </c>
      <c r="C235">
        <v>22</v>
      </c>
      <c r="D235">
        <v>17</v>
      </c>
      <c r="E235">
        <v>5.89</v>
      </c>
      <c r="F235">
        <v>2692</v>
      </c>
      <c r="G235">
        <v>981</v>
      </c>
      <c r="H235">
        <v>2164</v>
      </c>
      <c r="I235">
        <v>483</v>
      </c>
      <c r="J235">
        <v>691</v>
      </c>
      <c r="K235">
        <v>532</v>
      </c>
      <c r="L235">
        <v>1286</v>
      </c>
      <c r="M235">
        <v>593</v>
      </c>
      <c r="N235">
        <v>183</v>
      </c>
      <c r="O235">
        <v>103</v>
      </c>
      <c r="P235">
        <v>495</v>
      </c>
      <c r="Q235">
        <v>671</v>
      </c>
      <c r="R235">
        <v>234</v>
      </c>
    </row>
    <row r="236" spans="1:18">
      <c r="A236" s="1" t="s">
        <v>190</v>
      </c>
      <c r="B236">
        <v>32</v>
      </c>
      <c r="C236">
        <v>17</v>
      </c>
      <c r="D236">
        <v>15</v>
      </c>
      <c r="E236">
        <v>-4.07</v>
      </c>
      <c r="F236">
        <v>2438</v>
      </c>
      <c r="G236">
        <v>846</v>
      </c>
      <c r="H236">
        <v>1751</v>
      </c>
      <c r="I236">
        <v>561</v>
      </c>
      <c r="J236">
        <v>761</v>
      </c>
      <c r="K236">
        <v>334</v>
      </c>
      <c r="L236">
        <v>1008</v>
      </c>
      <c r="M236">
        <v>370</v>
      </c>
      <c r="N236">
        <v>170</v>
      </c>
      <c r="O236">
        <v>90</v>
      </c>
      <c r="P236">
        <v>431</v>
      </c>
      <c r="Q236">
        <v>539</v>
      </c>
      <c r="R236">
        <v>235</v>
      </c>
    </row>
    <row r="237" spans="1:18">
      <c r="A237" s="1" t="s">
        <v>191</v>
      </c>
      <c r="B237">
        <v>31</v>
      </c>
      <c r="C237">
        <v>7</v>
      </c>
      <c r="D237">
        <v>24</v>
      </c>
      <c r="E237">
        <v>3.82</v>
      </c>
      <c r="F237">
        <v>2018</v>
      </c>
      <c r="G237">
        <v>723</v>
      </c>
      <c r="H237">
        <v>1691</v>
      </c>
      <c r="I237">
        <v>410</v>
      </c>
      <c r="J237">
        <v>571</v>
      </c>
      <c r="K237">
        <v>328</v>
      </c>
      <c r="L237">
        <v>935</v>
      </c>
      <c r="M237">
        <v>368</v>
      </c>
      <c r="N237">
        <v>145</v>
      </c>
      <c r="O237">
        <v>86</v>
      </c>
      <c r="P237">
        <v>483</v>
      </c>
      <c r="Q237">
        <v>645</v>
      </c>
      <c r="R237">
        <v>236</v>
      </c>
    </row>
    <row r="238" spans="1:18">
      <c r="A238" s="1" t="s">
        <v>192</v>
      </c>
      <c r="B238">
        <v>32</v>
      </c>
      <c r="C238">
        <v>14</v>
      </c>
      <c r="D238">
        <v>18</v>
      </c>
      <c r="E238">
        <v>-10.29</v>
      </c>
      <c r="F238">
        <v>2016</v>
      </c>
      <c r="G238">
        <v>755</v>
      </c>
      <c r="H238">
        <v>1922</v>
      </c>
      <c r="I238">
        <v>340</v>
      </c>
      <c r="J238">
        <v>629</v>
      </c>
      <c r="K238">
        <v>451</v>
      </c>
      <c r="L238">
        <v>1112</v>
      </c>
      <c r="M238">
        <v>346</v>
      </c>
      <c r="N238">
        <v>251</v>
      </c>
      <c r="O238">
        <v>103</v>
      </c>
      <c r="P238">
        <v>514</v>
      </c>
      <c r="Q238">
        <v>621</v>
      </c>
      <c r="R238">
        <v>237</v>
      </c>
    </row>
    <row r="239" spans="1:18">
      <c r="A239" s="1" t="s">
        <v>350</v>
      </c>
      <c r="B239">
        <v>29</v>
      </c>
      <c r="C239">
        <v>14</v>
      </c>
      <c r="D239">
        <v>15</v>
      </c>
      <c r="E239">
        <v>-4.6500000000000004</v>
      </c>
      <c r="F239">
        <v>1889</v>
      </c>
      <c r="G239">
        <v>661</v>
      </c>
      <c r="H239">
        <v>1425</v>
      </c>
      <c r="I239">
        <v>396</v>
      </c>
      <c r="J239">
        <v>563</v>
      </c>
      <c r="K239">
        <v>254</v>
      </c>
      <c r="L239">
        <v>785</v>
      </c>
      <c r="M239">
        <v>323</v>
      </c>
      <c r="N239">
        <v>131</v>
      </c>
      <c r="O239">
        <v>52</v>
      </c>
      <c r="P239">
        <v>374</v>
      </c>
      <c r="Q239">
        <v>457</v>
      </c>
      <c r="R239">
        <v>238</v>
      </c>
    </row>
    <row r="240" spans="1:18">
      <c r="A240" s="1" t="s">
        <v>193</v>
      </c>
      <c r="B240">
        <v>32</v>
      </c>
      <c r="C240">
        <v>20</v>
      </c>
      <c r="D240">
        <v>12</v>
      </c>
      <c r="E240">
        <v>-1</v>
      </c>
      <c r="F240">
        <v>2141</v>
      </c>
      <c r="G240">
        <v>776</v>
      </c>
      <c r="H240">
        <v>1681</v>
      </c>
      <c r="I240">
        <v>353</v>
      </c>
      <c r="J240">
        <v>520</v>
      </c>
      <c r="K240">
        <v>266</v>
      </c>
      <c r="L240">
        <v>980</v>
      </c>
      <c r="M240">
        <v>465</v>
      </c>
      <c r="N240">
        <v>203</v>
      </c>
      <c r="O240">
        <v>124</v>
      </c>
      <c r="P240">
        <v>394</v>
      </c>
      <c r="Q240">
        <v>524</v>
      </c>
      <c r="R240">
        <v>239</v>
      </c>
    </row>
    <row r="241" spans="1:18">
      <c r="A241" s="1" t="s">
        <v>194</v>
      </c>
      <c r="B241">
        <v>32</v>
      </c>
      <c r="C241">
        <v>15</v>
      </c>
      <c r="D241">
        <v>17</v>
      </c>
      <c r="E241">
        <v>4.5599999999999996</v>
      </c>
      <c r="F241">
        <v>2203</v>
      </c>
      <c r="G241">
        <v>772</v>
      </c>
      <c r="H241">
        <v>1806</v>
      </c>
      <c r="I241">
        <v>501</v>
      </c>
      <c r="J241">
        <v>712</v>
      </c>
      <c r="K241">
        <v>410</v>
      </c>
      <c r="L241">
        <v>1063</v>
      </c>
      <c r="M241">
        <v>435</v>
      </c>
      <c r="N241">
        <v>170</v>
      </c>
      <c r="O241">
        <v>166</v>
      </c>
      <c r="P241">
        <v>391</v>
      </c>
      <c r="Q241">
        <v>542</v>
      </c>
      <c r="R241">
        <v>240</v>
      </c>
    </row>
    <row r="242" spans="1:18">
      <c r="A242" s="1" t="s">
        <v>291</v>
      </c>
      <c r="B242">
        <v>35</v>
      </c>
      <c r="C242">
        <v>22</v>
      </c>
      <c r="D242">
        <v>13</v>
      </c>
      <c r="E242">
        <v>8.0500000000000007</v>
      </c>
      <c r="F242">
        <v>2514</v>
      </c>
      <c r="G242">
        <v>889</v>
      </c>
      <c r="H242">
        <v>2019</v>
      </c>
      <c r="I242">
        <v>452</v>
      </c>
      <c r="J242">
        <v>689</v>
      </c>
      <c r="K242">
        <v>391</v>
      </c>
      <c r="L242">
        <v>1039</v>
      </c>
      <c r="M242">
        <v>470</v>
      </c>
      <c r="N242">
        <v>226</v>
      </c>
      <c r="O242">
        <v>110</v>
      </c>
      <c r="P242">
        <v>306</v>
      </c>
      <c r="Q242">
        <v>620</v>
      </c>
      <c r="R242">
        <v>241</v>
      </c>
    </row>
    <row r="243" spans="1:18">
      <c r="A243" s="1" t="s">
        <v>195</v>
      </c>
      <c r="B243">
        <v>32</v>
      </c>
      <c r="C243">
        <v>18</v>
      </c>
      <c r="D243">
        <v>14</v>
      </c>
      <c r="E243">
        <v>-5.8</v>
      </c>
      <c r="F243">
        <v>2271</v>
      </c>
      <c r="G243">
        <v>828</v>
      </c>
      <c r="H243">
        <v>1943</v>
      </c>
      <c r="I243">
        <v>474</v>
      </c>
      <c r="J243">
        <v>743</v>
      </c>
      <c r="K243">
        <v>534</v>
      </c>
      <c r="L243">
        <v>1259</v>
      </c>
      <c r="M243">
        <v>397</v>
      </c>
      <c r="N243">
        <v>170</v>
      </c>
      <c r="O243">
        <v>106</v>
      </c>
      <c r="P243">
        <v>404</v>
      </c>
      <c r="Q243">
        <v>655</v>
      </c>
      <c r="R243">
        <v>242</v>
      </c>
    </row>
    <row r="244" spans="1:18">
      <c r="A244" s="1" t="s">
        <v>196</v>
      </c>
      <c r="B244">
        <v>32</v>
      </c>
      <c r="C244">
        <v>6</v>
      </c>
      <c r="D244">
        <v>26</v>
      </c>
      <c r="E244">
        <v>-3.34</v>
      </c>
      <c r="F244">
        <v>1959</v>
      </c>
      <c r="G244">
        <v>699</v>
      </c>
      <c r="H244">
        <v>1819</v>
      </c>
      <c r="I244">
        <v>359</v>
      </c>
      <c r="J244">
        <v>564</v>
      </c>
      <c r="K244">
        <v>395</v>
      </c>
      <c r="L244">
        <v>944</v>
      </c>
      <c r="M244">
        <v>344</v>
      </c>
      <c r="N244">
        <v>234</v>
      </c>
      <c r="O244">
        <v>80</v>
      </c>
      <c r="P244">
        <v>445</v>
      </c>
      <c r="Q244">
        <v>669</v>
      </c>
      <c r="R244">
        <v>243</v>
      </c>
    </row>
    <row r="245" spans="1:18">
      <c r="A245" s="1" t="s">
        <v>197</v>
      </c>
      <c r="B245">
        <v>31</v>
      </c>
      <c r="C245">
        <v>7</v>
      </c>
      <c r="D245">
        <v>24</v>
      </c>
      <c r="E245">
        <v>3.1</v>
      </c>
      <c r="F245">
        <v>2126</v>
      </c>
      <c r="G245">
        <v>757</v>
      </c>
      <c r="H245">
        <v>1888</v>
      </c>
      <c r="I245">
        <v>447</v>
      </c>
      <c r="J245">
        <v>648</v>
      </c>
      <c r="K245">
        <v>487</v>
      </c>
      <c r="L245">
        <v>1090</v>
      </c>
      <c r="M245">
        <v>348</v>
      </c>
      <c r="N245">
        <v>200</v>
      </c>
      <c r="O245">
        <v>121</v>
      </c>
      <c r="P245">
        <v>451</v>
      </c>
      <c r="Q245">
        <v>559</v>
      </c>
      <c r="R245">
        <v>244</v>
      </c>
    </row>
    <row r="246" spans="1:18">
      <c r="A246" s="1" t="s">
        <v>198</v>
      </c>
      <c r="B246">
        <v>35</v>
      </c>
      <c r="C246">
        <v>19</v>
      </c>
      <c r="D246">
        <v>16</v>
      </c>
      <c r="E246">
        <v>1.1000000000000001</v>
      </c>
      <c r="F246">
        <v>2438</v>
      </c>
      <c r="G246">
        <v>859</v>
      </c>
      <c r="H246">
        <v>1921</v>
      </c>
      <c r="I246">
        <v>525</v>
      </c>
      <c r="J246">
        <v>768</v>
      </c>
      <c r="K246">
        <v>335</v>
      </c>
      <c r="L246">
        <v>1158</v>
      </c>
      <c r="M246">
        <v>513</v>
      </c>
      <c r="N246">
        <v>257</v>
      </c>
      <c r="O246">
        <v>159</v>
      </c>
      <c r="P246">
        <v>477</v>
      </c>
      <c r="Q246">
        <v>617</v>
      </c>
      <c r="R246">
        <v>245</v>
      </c>
    </row>
    <row r="247" spans="1:18">
      <c r="A247" s="1" t="s">
        <v>199</v>
      </c>
      <c r="B247">
        <v>32</v>
      </c>
      <c r="C247">
        <v>16</v>
      </c>
      <c r="D247">
        <v>16</v>
      </c>
      <c r="E247">
        <v>2.9</v>
      </c>
      <c r="F247">
        <v>2207</v>
      </c>
      <c r="G247">
        <v>724</v>
      </c>
      <c r="H247">
        <v>1693</v>
      </c>
      <c r="I247">
        <v>509</v>
      </c>
      <c r="J247">
        <v>667</v>
      </c>
      <c r="K247">
        <v>294</v>
      </c>
      <c r="L247">
        <v>890</v>
      </c>
      <c r="M247">
        <v>397</v>
      </c>
      <c r="N247">
        <v>194</v>
      </c>
      <c r="O247">
        <v>161</v>
      </c>
      <c r="P247">
        <v>367</v>
      </c>
      <c r="Q247">
        <v>561</v>
      </c>
      <c r="R247">
        <v>246</v>
      </c>
    </row>
    <row r="248" spans="1:18">
      <c r="A248" s="1" t="s">
        <v>200</v>
      </c>
      <c r="B248">
        <v>32</v>
      </c>
      <c r="C248">
        <v>13</v>
      </c>
      <c r="D248">
        <v>19</v>
      </c>
      <c r="E248">
        <v>-2.4</v>
      </c>
      <c r="F248">
        <v>2291</v>
      </c>
      <c r="G248">
        <v>771</v>
      </c>
      <c r="H248">
        <v>1712</v>
      </c>
      <c r="I248">
        <v>503</v>
      </c>
      <c r="J248">
        <v>699</v>
      </c>
      <c r="K248">
        <v>296</v>
      </c>
      <c r="L248">
        <v>964</v>
      </c>
      <c r="M248">
        <v>443</v>
      </c>
      <c r="N248">
        <v>191</v>
      </c>
      <c r="O248">
        <v>127</v>
      </c>
      <c r="P248">
        <v>483</v>
      </c>
      <c r="Q248">
        <v>558</v>
      </c>
      <c r="R248">
        <v>247</v>
      </c>
    </row>
    <row r="249" spans="1:18">
      <c r="A249" s="1" t="s">
        <v>201</v>
      </c>
      <c r="B249">
        <v>37</v>
      </c>
      <c r="C249">
        <v>26</v>
      </c>
      <c r="D249">
        <v>11</v>
      </c>
      <c r="E249">
        <v>-4.3</v>
      </c>
      <c r="F249">
        <v>2532</v>
      </c>
      <c r="G249">
        <v>844</v>
      </c>
      <c r="H249">
        <v>2020</v>
      </c>
      <c r="I249">
        <v>604</v>
      </c>
      <c r="J249">
        <v>862</v>
      </c>
      <c r="K249">
        <v>525</v>
      </c>
      <c r="L249">
        <v>1187</v>
      </c>
      <c r="M249">
        <v>493</v>
      </c>
      <c r="N249">
        <v>308</v>
      </c>
      <c r="O249">
        <v>90</v>
      </c>
      <c r="P249">
        <v>510</v>
      </c>
      <c r="Q249">
        <v>766</v>
      </c>
      <c r="R249">
        <v>248</v>
      </c>
    </row>
    <row r="250" spans="1:18">
      <c r="A250" s="1" t="s">
        <v>202</v>
      </c>
      <c r="B250">
        <v>32</v>
      </c>
      <c r="C250">
        <v>14</v>
      </c>
      <c r="D250">
        <v>18</v>
      </c>
      <c r="E250">
        <v>5.76</v>
      </c>
      <c r="F250">
        <v>2095</v>
      </c>
      <c r="G250">
        <v>764</v>
      </c>
      <c r="H250">
        <v>1802</v>
      </c>
      <c r="I250">
        <v>398</v>
      </c>
      <c r="J250">
        <v>571</v>
      </c>
      <c r="K250">
        <v>409</v>
      </c>
      <c r="L250">
        <v>974</v>
      </c>
      <c r="M250">
        <v>407</v>
      </c>
      <c r="N250">
        <v>261</v>
      </c>
      <c r="O250">
        <v>122</v>
      </c>
      <c r="P250">
        <v>475</v>
      </c>
      <c r="Q250">
        <v>673</v>
      </c>
      <c r="R250">
        <v>249</v>
      </c>
    </row>
    <row r="251" spans="1:18">
      <c r="A251" s="1" t="s">
        <v>203</v>
      </c>
      <c r="B251">
        <v>28</v>
      </c>
      <c r="C251">
        <v>10</v>
      </c>
      <c r="D251">
        <v>18</v>
      </c>
      <c r="E251">
        <v>-5.71</v>
      </c>
      <c r="F251">
        <v>1875</v>
      </c>
      <c r="G251">
        <v>663</v>
      </c>
      <c r="H251">
        <v>1470</v>
      </c>
      <c r="I251">
        <v>397</v>
      </c>
      <c r="J251">
        <v>568</v>
      </c>
      <c r="K251">
        <v>279</v>
      </c>
      <c r="L251">
        <v>846</v>
      </c>
      <c r="M251">
        <v>386</v>
      </c>
      <c r="N251">
        <v>130</v>
      </c>
      <c r="O251">
        <v>64</v>
      </c>
      <c r="P251">
        <v>383</v>
      </c>
      <c r="Q251">
        <v>535</v>
      </c>
      <c r="R251">
        <v>250</v>
      </c>
    </row>
    <row r="252" spans="1:18">
      <c r="A252" s="1" t="s">
        <v>204</v>
      </c>
      <c r="B252">
        <v>32</v>
      </c>
      <c r="C252">
        <v>14</v>
      </c>
      <c r="D252">
        <v>18</v>
      </c>
      <c r="E252">
        <v>-5.56</v>
      </c>
      <c r="F252">
        <v>2277</v>
      </c>
      <c r="G252">
        <v>807</v>
      </c>
      <c r="H252">
        <v>1756</v>
      </c>
      <c r="I252">
        <v>456</v>
      </c>
      <c r="J252">
        <v>612</v>
      </c>
      <c r="K252">
        <v>321</v>
      </c>
      <c r="L252">
        <v>985</v>
      </c>
      <c r="M252">
        <v>446</v>
      </c>
      <c r="N252">
        <v>211</v>
      </c>
      <c r="O252">
        <v>102</v>
      </c>
      <c r="P252">
        <v>491</v>
      </c>
      <c r="Q252">
        <v>588</v>
      </c>
      <c r="R252">
        <v>251</v>
      </c>
    </row>
    <row r="253" spans="1:18">
      <c r="A253" s="1" t="s">
        <v>205</v>
      </c>
      <c r="B253">
        <v>29</v>
      </c>
      <c r="C253">
        <v>6</v>
      </c>
      <c r="D253">
        <v>23</v>
      </c>
      <c r="E253">
        <v>-4.42</v>
      </c>
      <c r="F253">
        <v>1763</v>
      </c>
      <c r="G253">
        <v>652</v>
      </c>
      <c r="H253">
        <v>1422</v>
      </c>
      <c r="I253">
        <v>324</v>
      </c>
      <c r="J253">
        <v>496</v>
      </c>
      <c r="K253">
        <v>245</v>
      </c>
      <c r="L253">
        <v>736</v>
      </c>
      <c r="M253">
        <v>363</v>
      </c>
      <c r="N253">
        <v>188</v>
      </c>
      <c r="O253">
        <v>80</v>
      </c>
      <c r="P253">
        <v>457</v>
      </c>
      <c r="Q253">
        <v>503</v>
      </c>
      <c r="R253">
        <v>252</v>
      </c>
    </row>
    <row r="254" spans="1:18">
      <c r="A254" s="1" t="s">
        <v>206</v>
      </c>
      <c r="B254">
        <v>34</v>
      </c>
      <c r="C254">
        <v>20</v>
      </c>
      <c r="D254">
        <v>14</v>
      </c>
      <c r="E254">
        <v>4.25</v>
      </c>
      <c r="F254">
        <v>2446</v>
      </c>
      <c r="G254">
        <v>876</v>
      </c>
      <c r="H254">
        <v>1862</v>
      </c>
      <c r="I254">
        <v>468</v>
      </c>
      <c r="J254">
        <v>676</v>
      </c>
      <c r="K254">
        <v>324</v>
      </c>
      <c r="L254">
        <v>1125</v>
      </c>
      <c r="M254">
        <v>493</v>
      </c>
      <c r="N254">
        <v>163</v>
      </c>
      <c r="O254">
        <v>244</v>
      </c>
      <c r="P254">
        <v>430</v>
      </c>
      <c r="Q254">
        <v>517</v>
      </c>
      <c r="R254">
        <v>253</v>
      </c>
    </row>
    <row r="255" spans="1:18">
      <c r="A255" s="1" t="s">
        <v>292</v>
      </c>
      <c r="B255">
        <v>34</v>
      </c>
      <c r="C255">
        <v>26</v>
      </c>
      <c r="D255">
        <v>8</v>
      </c>
      <c r="E255">
        <v>4.0599999999999996</v>
      </c>
      <c r="F255">
        <v>2336</v>
      </c>
      <c r="G255">
        <v>814</v>
      </c>
      <c r="H255">
        <v>1813</v>
      </c>
      <c r="I255">
        <v>470</v>
      </c>
      <c r="J255">
        <v>653</v>
      </c>
      <c r="K255">
        <v>346</v>
      </c>
      <c r="L255">
        <v>994</v>
      </c>
      <c r="M255">
        <v>459</v>
      </c>
      <c r="N255">
        <v>236</v>
      </c>
      <c r="O255">
        <v>99</v>
      </c>
      <c r="P255">
        <v>382</v>
      </c>
      <c r="Q255">
        <v>569</v>
      </c>
      <c r="R255">
        <v>254</v>
      </c>
    </row>
    <row r="256" spans="1:18">
      <c r="A256" s="1" t="s">
        <v>207</v>
      </c>
      <c r="B256">
        <v>33</v>
      </c>
      <c r="C256">
        <v>27</v>
      </c>
      <c r="D256">
        <v>6</v>
      </c>
      <c r="E256">
        <v>0.78</v>
      </c>
      <c r="F256">
        <v>2467</v>
      </c>
      <c r="G256">
        <v>857</v>
      </c>
      <c r="H256">
        <v>1811</v>
      </c>
      <c r="I256">
        <v>508</v>
      </c>
      <c r="J256">
        <v>697</v>
      </c>
      <c r="K256">
        <v>378</v>
      </c>
      <c r="L256">
        <v>1152</v>
      </c>
      <c r="M256">
        <v>520</v>
      </c>
      <c r="N256">
        <v>227</v>
      </c>
      <c r="O256">
        <v>102</v>
      </c>
      <c r="P256">
        <v>383</v>
      </c>
      <c r="Q256">
        <v>527</v>
      </c>
      <c r="R256">
        <v>255</v>
      </c>
    </row>
    <row r="257" spans="1:18">
      <c r="A257" s="1" t="s">
        <v>208</v>
      </c>
      <c r="B257">
        <v>31</v>
      </c>
      <c r="C257">
        <v>5</v>
      </c>
      <c r="D257">
        <v>26</v>
      </c>
      <c r="E257">
        <v>-2.44</v>
      </c>
      <c r="F257">
        <v>1799</v>
      </c>
      <c r="G257">
        <v>668</v>
      </c>
      <c r="H257">
        <v>1646</v>
      </c>
      <c r="I257">
        <v>309</v>
      </c>
      <c r="J257">
        <v>477</v>
      </c>
      <c r="K257">
        <v>321</v>
      </c>
      <c r="L257">
        <v>851</v>
      </c>
      <c r="M257">
        <v>390</v>
      </c>
      <c r="N257">
        <v>236</v>
      </c>
      <c r="O257">
        <v>110</v>
      </c>
      <c r="P257">
        <v>484</v>
      </c>
      <c r="Q257">
        <v>598</v>
      </c>
      <c r="R257">
        <v>256</v>
      </c>
    </row>
    <row r="258" spans="1:18">
      <c r="A258" s="1" t="s">
        <v>209</v>
      </c>
      <c r="B258">
        <v>32</v>
      </c>
      <c r="C258">
        <v>13</v>
      </c>
      <c r="D258">
        <v>19</v>
      </c>
      <c r="E258">
        <v>-3.2</v>
      </c>
      <c r="F258">
        <v>1875</v>
      </c>
      <c r="G258">
        <v>657</v>
      </c>
      <c r="H258">
        <v>1580</v>
      </c>
      <c r="I258">
        <v>412</v>
      </c>
      <c r="J258">
        <v>689</v>
      </c>
      <c r="K258">
        <v>336</v>
      </c>
      <c r="L258">
        <v>1036</v>
      </c>
      <c r="M258">
        <v>408</v>
      </c>
      <c r="N258">
        <v>185</v>
      </c>
      <c r="O258">
        <v>74</v>
      </c>
      <c r="P258">
        <v>493</v>
      </c>
      <c r="Q258">
        <v>591</v>
      </c>
      <c r="R258">
        <v>257</v>
      </c>
    </row>
    <row r="259" spans="1:18">
      <c r="A259" s="1" t="s">
        <v>293</v>
      </c>
      <c r="B259">
        <v>30</v>
      </c>
      <c r="C259">
        <v>11</v>
      </c>
      <c r="D259">
        <v>19</v>
      </c>
      <c r="E259">
        <v>-2.96</v>
      </c>
      <c r="F259">
        <v>1984</v>
      </c>
      <c r="G259">
        <v>712</v>
      </c>
      <c r="H259">
        <v>1604</v>
      </c>
      <c r="I259">
        <v>313</v>
      </c>
      <c r="J259">
        <v>478</v>
      </c>
      <c r="K259">
        <v>287</v>
      </c>
      <c r="L259">
        <v>886</v>
      </c>
      <c r="M259">
        <v>419</v>
      </c>
      <c r="N259">
        <v>161</v>
      </c>
      <c r="O259">
        <v>65</v>
      </c>
      <c r="P259">
        <v>386</v>
      </c>
      <c r="Q259">
        <v>520</v>
      </c>
      <c r="R259">
        <v>258</v>
      </c>
    </row>
    <row r="260" spans="1:18">
      <c r="A260" s="1" t="s">
        <v>210</v>
      </c>
      <c r="B260">
        <v>34</v>
      </c>
      <c r="C260">
        <v>26</v>
      </c>
      <c r="D260">
        <v>8</v>
      </c>
      <c r="E260">
        <v>3.79</v>
      </c>
      <c r="F260">
        <v>2416</v>
      </c>
      <c r="G260">
        <v>863</v>
      </c>
      <c r="H260">
        <v>1903</v>
      </c>
      <c r="I260">
        <v>493</v>
      </c>
      <c r="J260">
        <v>703</v>
      </c>
      <c r="K260">
        <v>360</v>
      </c>
      <c r="L260">
        <v>1153</v>
      </c>
      <c r="M260">
        <v>417</v>
      </c>
      <c r="N260">
        <v>189</v>
      </c>
      <c r="O260">
        <v>79</v>
      </c>
      <c r="P260">
        <v>426</v>
      </c>
      <c r="Q260">
        <v>543</v>
      </c>
      <c r="R260">
        <v>259</v>
      </c>
    </row>
    <row r="261" spans="1:18">
      <c r="A261" s="1" t="s">
        <v>211</v>
      </c>
      <c r="B261">
        <v>31</v>
      </c>
      <c r="C261">
        <v>13</v>
      </c>
      <c r="D261">
        <v>18</v>
      </c>
      <c r="E261">
        <v>0.87</v>
      </c>
      <c r="F261">
        <v>2079</v>
      </c>
      <c r="G261">
        <v>744</v>
      </c>
      <c r="H261">
        <v>1648</v>
      </c>
      <c r="I261">
        <v>392</v>
      </c>
      <c r="J261">
        <v>598</v>
      </c>
      <c r="K261">
        <v>271</v>
      </c>
      <c r="L261">
        <v>860</v>
      </c>
      <c r="M261">
        <v>421</v>
      </c>
      <c r="N261">
        <v>207</v>
      </c>
      <c r="O261">
        <v>102</v>
      </c>
      <c r="P261">
        <v>424</v>
      </c>
      <c r="Q261">
        <v>565</v>
      </c>
      <c r="R261">
        <v>260</v>
      </c>
    </row>
    <row r="262" spans="1:18">
      <c r="A262" s="1" t="s">
        <v>212</v>
      </c>
      <c r="B262">
        <v>34</v>
      </c>
      <c r="C262">
        <v>20</v>
      </c>
      <c r="D262">
        <v>14</v>
      </c>
      <c r="E262">
        <v>-0.17</v>
      </c>
      <c r="F262">
        <v>2563</v>
      </c>
      <c r="G262">
        <v>906</v>
      </c>
      <c r="H262">
        <v>1942</v>
      </c>
      <c r="I262">
        <v>512</v>
      </c>
      <c r="J262">
        <v>745</v>
      </c>
      <c r="K262">
        <v>354</v>
      </c>
      <c r="L262">
        <v>1048</v>
      </c>
      <c r="M262">
        <v>470</v>
      </c>
      <c r="N262">
        <v>285</v>
      </c>
      <c r="O262">
        <v>63</v>
      </c>
      <c r="P262">
        <v>442</v>
      </c>
      <c r="Q262">
        <v>609</v>
      </c>
      <c r="R262">
        <v>261</v>
      </c>
    </row>
    <row r="263" spans="1:18">
      <c r="A263" s="1" t="s">
        <v>213</v>
      </c>
      <c r="B263">
        <v>31</v>
      </c>
      <c r="C263">
        <v>9</v>
      </c>
      <c r="D263">
        <v>22</v>
      </c>
      <c r="E263">
        <v>-1.19</v>
      </c>
      <c r="F263">
        <v>2099</v>
      </c>
      <c r="G263">
        <v>715</v>
      </c>
      <c r="H263">
        <v>1810</v>
      </c>
      <c r="I263">
        <v>437</v>
      </c>
      <c r="J263">
        <v>586</v>
      </c>
      <c r="K263">
        <v>342</v>
      </c>
      <c r="L263">
        <v>944</v>
      </c>
      <c r="M263">
        <v>416</v>
      </c>
      <c r="N263">
        <v>151</v>
      </c>
      <c r="O263">
        <v>38</v>
      </c>
      <c r="P263">
        <v>341</v>
      </c>
      <c r="Q263">
        <v>548</v>
      </c>
      <c r="R263">
        <v>262</v>
      </c>
    </row>
    <row r="264" spans="1:18">
      <c r="A264" s="1" t="s">
        <v>214</v>
      </c>
      <c r="B264">
        <v>30</v>
      </c>
      <c r="C264">
        <v>8</v>
      </c>
      <c r="D264">
        <v>22</v>
      </c>
      <c r="E264">
        <v>0.96</v>
      </c>
      <c r="F264">
        <v>2085</v>
      </c>
      <c r="G264">
        <v>717</v>
      </c>
      <c r="H264">
        <v>1751</v>
      </c>
      <c r="I264">
        <v>412</v>
      </c>
      <c r="J264">
        <v>582</v>
      </c>
      <c r="K264">
        <v>344</v>
      </c>
      <c r="L264">
        <v>923</v>
      </c>
      <c r="M264">
        <v>384</v>
      </c>
      <c r="N264">
        <v>151</v>
      </c>
      <c r="O264">
        <v>98</v>
      </c>
      <c r="P264">
        <v>348</v>
      </c>
      <c r="Q264">
        <v>625</v>
      </c>
      <c r="R264">
        <v>263</v>
      </c>
    </row>
    <row r="265" spans="1:18">
      <c r="A265" s="1" t="s">
        <v>322</v>
      </c>
      <c r="B265">
        <v>33</v>
      </c>
      <c r="C265">
        <v>21</v>
      </c>
      <c r="D265">
        <v>12</v>
      </c>
      <c r="E265">
        <v>-5.92</v>
      </c>
      <c r="F265">
        <v>2089</v>
      </c>
      <c r="G265">
        <v>746</v>
      </c>
      <c r="H265">
        <v>1791</v>
      </c>
      <c r="I265">
        <v>405</v>
      </c>
      <c r="J265">
        <v>688</v>
      </c>
      <c r="K265">
        <v>464</v>
      </c>
      <c r="L265">
        <v>1075</v>
      </c>
      <c r="M265">
        <v>422</v>
      </c>
      <c r="N265">
        <v>230</v>
      </c>
      <c r="O265">
        <v>112</v>
      </c>
      <c r="P265">
        <v>487</v>
      </c>
      <c r="Q265">
        <v>621</v>
      </c>
      <c r="R265">
        <v>264</v>
      </c>
    </row>
    <row r="266" spans="1:18">
      <c r="A266" s="1" t="s">
        <v>358</v>
      </c>
      <c r="B266">
        <v>27</v>
      </c>
      <c r="C266">
        <v>12</v>
      </c>
      <c r="D266">
        <v>15</v>
      </c>
      <c r="E266">
        <v>-2.76</v>
      </c>
      <c r="F266">
        <v>2065</v>
      </c>
      <c r="G266">
        <v>779</v>
      </c>
      <c r="H266">
        <v>1792</v>
      </c>
      <c r="I266">
        <v>316</v>
      </c>
      <c r="J266">
        <v>454</v>
      </c>
      <c r="K266">
        <v>371</v>
      </c>
      <c r="L266">
        <v>1006</v>
      </c>
      <c r="M266">
        <v>373</v>
      </c>
      <c r="N266">
        <v>226</v>
      </c>
      <c r="O266">
        <v>87</v>
      </c>
      <c r="P266">
        <v>414</v>
      </c>
      <c r="Q266">
        <v>568</v>
      </c>
      <c r="R266">
        <v>265</v>
      </c>
    </row>
    <row r="267" spans="1:18">
      <c r="A267" s="1" t="s">
        <v>294</v>
      </c>
      <c r="B267">
        <v>34</v>
      </c>
      <c r="C267">
        <v>21</v>
      </c>
      <c r="D267">
        <v>13</v>
      </c>
      <c r="E267">
        <v>5.7</v>
      </c>
      <c r="F267">
        <v>2324</v>
      </c>
      <c r="G267">
        <v>833</v>
      </c>
      <c r="H267">
        <v>1913</v>
      </c>
      <c r="I267">
        <v>422</v>
      </c>
      <c r="J267">
        <v>626</v>
      </c>
      <c r="K267">
        <v>381</v>
      </c>
      <c r="L267">
        <v>1112</v>
      </c>
      <c r="M267">
        <v>476</v>
      </c>
      <c r="N267">
        <v>284</v>
      </c>
      <c r="O267">
        <v>107</v>
      </c>
      <c r="P267">
        <v>431</v>
      </c>
      <c r="Q267">
        <v>604</v>
      </c>
      <c r="R267">
        <v>266</v>
      </c>
    </row>
    <row r="268" spans="1:18">
      <c r="A268" s="1" t="s">
        <v>215</v>
      </c>
      <c r="B268">
        <v>31</v>
      </c>
      <c r="C268">
        <v>14</v>
      </c>
      <c r="D268">
        <v>17</v>
      </c>
      <c r="E268">
        <v>-2.94</v>
      </c>
      <c r="F268">
        <v>1975</v>
      </c>
      <c r="G268">
        <v>718</v>
      </c>
      <c r="H268">
        <v>1692</v>
      </c>
      <c r="I268">
        <v>393</v>
      </c>
      <c r="J268">
        <v>577</v>
      </c>
      <c r="K268">
        <v>353</v>
      </c>
      <c r="L268">
        <v>1018</v>
      </c>
      <c r="M268">
        <v>391</v>
      </c>
      <c r="N268">
        <v>180</v>
      </c>
      <c r="O268">
        <v>106</v>
      </c>
      <c r="P268">
        <v>437</v>
      </c>
      <c r="Q268">
        <v>432</v>
      </c>
      <c r="R268">
        <v>267</v>
      </c>
    </row>
    <row r="269" spans="1:18">
      <c r="A269" s="1" t="s">
        <v>216</v>
      </c>
      <c r="B269">
        <v>29</v>
      </c>
      <c r="C269">
        <v>17</v>
      </c>
      <c r="D269">
        <v>12</v>
      </c>
      <c r="E269">
        <v>-1.98</v>
      </c>
      <c r="F269">
        <v>1935</v>
      </c>
      <c r="G269">
        <v>682</v>
      </c>
      <c r="H269">
        <v>1606</v>
      </c>
      <c r="I269">
        <v>435</v>
      </c>
      <c r="J269">
        <v>621</v>
      </c>
      <c r="K269">
        <v>440</v>
      </c>
      <c r="L269">
        <v>1051</v>
      </c>
      <c r="M269">
        <v>323</v>
      </c>
      <c r="N269">
        <v>143</v>
      </c>
      <c r="O269">
        <v>139</v>
      </c>
      <c r="P269">
        <v>468</v>
      </c>
      <c r="Q269">
        <v>501</v>
      </c>
      <c r="R269">
        <v>268</v>
      </c>
    </row>
    <row r="270" spans="1:18">
      <c r="A270" s="1" t="s">
        <v>295</v>
      </c>
      <c r="B270">
        <v>31</v>
      </c>
      <c r="C270">
        <v>5</v>
      </c>
      <c r="D270">
        <v>26</v>
      </c>
      <c r="E270">
        <v>-6.11</v>
      </c>
      <c r="F270">
        <v>2001</v>
      </c>
      <c r="G270">
        <v>721</v>
      </c>
      <c r="H270">
        <v>1827</v>
      </c>
      <c r="I270">
        <v>417</v>
      </c>
      <c r="J270">
        <v>641</v>
      </c>
      <c r="K270">
        <v>447</v>
      </c>
      <c r="L270">
        <v>1026</v>
      </c>
      <c r="M270">
        <v>327</v>
      </c>
      <c r="N270">
        <v>192</v>
      </c>
      <c r="O270">
        <v>131</v>
      </c>
      <c r="P270">
        <v>490</v>
      </c>
      <c r="Q270">
        <v>563</v>
      </c>
      <c r="R270">
        <v>269</v>
      </c>
    </row>
    <row r="271" spans="1:18">
      <c r="A271" s="1" t="s">
        <v>351</v>
      </c>
      <c r="B271">
        <v>34</v>
      </c>
      <c r="C271">
        <v>21</v>
      </c>
      <c r="D271">
        <v>13</v>
      </c>
      <c r="E271">
        <v>-1.6</v>
      </c>
      <c r="F271">
        <v>2426</v>
      </c>
      <c r="G271">
        <v>888</v>
      </c>
      <c r="H271">
        <v>2024</v>
      </c>
      <c r="I271">
        <v>443</v>
      </c>
      <c r="J271">
        <v>695</v>
      </c>
      <c r="K271">
        <v>505</v>
      </c>
      <c r="L271">
        <v>1158</v>
      </c>
      <c r="M271">
        <v>440</v>
      </c>
      <c r="N271">
        <v>286</v>
      </c>
      <c r="O271">
        <v>144</v>
      </c>
      <c r="P271">
        <v>512</v>
      </c>
      <c r="Q271">
        <v>663</v>
      </c>
      <c r="R271">
        <v>270</v>
      </c>
    </row>
    <row r="272" spans="1:18">
      <c r="A272" s="1" t="s">
        <v>217</v>
      </c>
      <c r="B272">
        <v>31</v>
      </c>
      <c r="C272">
        <v>10</v>
      </c>
      <c r="D272">
        <v>21</v>
      </c>
      <c r="E272">
        <v>6.27</v>
      </c>
      <c r="F272">
        <v>1903</v>
      </c>
      <c r="G272">
        <v>689</v>
      </c>
      <c r="H272">
        <v>1713</v>
      </c>
      <c r="I272">
        <v>321</v>
      </c>
      <c r="J272">
        <v>458</v>
      </c>
      <c r="K272">
        <v>383</v>
      </c>
      <c r="L272">
        <v>879</v>
      </c>
      <c r="M272">
        <v>309</v>
      </c>
      <c r="N272">
        <v>212</v>
      </c>
      <c r="O272">
        <v>151</v>
      </c>
      <c r="P272">
        <v>396</v>
      </c>
      <c r="Q272">
        <v>561</v>
      </c>
      <c r="R272">
        <v>271</v>
      </c>
    </row>
    <row r="273" spans="1:18">
      <c r="A273" s="1" t="s">
        <v>341</v>
      </c>
      <c r="B273">
        <v>35</v>
      </c>
      <c r="C273">
        <v>27</v>
      </c>
      <c r="D273">
        <v>8</v>
      </c>
      <c r="E273">
        <v>-1.87</v>
      </c>
      <c r="F273">
        <v>2689</v>
      </c>
      <c r="G273">
        <v>918</v>
      </c>
      <c r="H273">
        <v>1963</v>
      </c>
      <c r="I273">
        <v>569</v>
      </c>
      <c r="J273">
        <v>783</v>
      </c>
      <c r="K273">
        <v>363</v>
      </c>
      <c r="L273">
        <v>1078</v>
      </c>
      <c r="M273">
        <v>500</v>
      </c>
      <c r="N273">
        <v>236</v>
      </c>
      <c r="O273">
        <v>65</v>
      </c>
      <c r="P273">
        <v>370</v>
      </c>
      <c r="Q273">
        <v>567</v>
      </c>
      <c r="R273">
        <v>272</v>
      </c>
    </row>
    <row r="274" spans="1:18">
      <c r="A274" s="1" t="s">
        <v>359</v>
      </c>
      <c r="B274">
        <v>28</v>
      </c>
      <c r="C274">
        <v>10</v>
      </c>
      <c r="D274">
        <v>18</v>
      </c>
      <c r="E274">
        <v>-2.88</v>
      </c>
      <c r="F274">
        <v>1982</v>
      </c>
      <c r="G274">
        <v>710</v>
      </c>
      <c r="H274">
        <v>1576</v>
      </c>
      <c r="I274">
        <v>371</v>
      </c>
      <c r="J274">
        <v>530</v>
      </c>
      <c r="K274">
        <v>242</v>
      </c>
      <c r="L274">
        <v>829</v>
      </c>
      <c r="M274">
        <v>399</v>
      </c>
      <c r="N274">
        <v>184</v>
      </c>
      <c r="O274">
        <v>101</v>
      </c>
      <c r="P274">
        <v>365</v>
      </c>
      <c r="Q274">
        <v>438</v>
      </c>
      <c r="R274">
        <v>273</v>
      </c>
    </row>
    <row r="275" spans="1:18">
      <c r="A275" s="1" t="s">
        <v>218</v>
      </c>
      <c r="B275">
        <v>36</v>
      </c>
      <c r="C275">
        <v>22</v>
      </c>
      <c r="D275">
        <v>14</v>
      </c>
      <c r="E275">
        <v>7.29</v>
      </c>
      <c r="F275">
        <v>2134</v>
      </c>
      <c r="G275">
        <v>772</v>
      </c>
      <c r="H275">
        <v>1765</v>
      </c>
      <c r="I275">
        <v>421</v>
      </c>
      <c r="J275">
        <v>597</v>
      </c>
      <c r="K275">
        <v>374</v>
      </c>
      <c r="L275">
        <v>1115</v>
      </c>
      <c r="M275">
        <v>423</v>
      </c>
      <c r="N275">
        <v>200</v>
      </c>
      <c r="O275">
        <v>137</v>
      </c>
      <c r="P275">
        <v>485</v>
      </c>
      <c r="Q275">
        <v>552</v>
      </c>
      <c r="R275">
        <v>274</v>
      </c>
    </row>
    <row r="276" spans="1:18">
      <c r="A276" s="1" t="s">
        <v>296</v>
      </c>
      <c r="B276">
        <v>31</v>
      </c>
      <c r="C276">
        <v>15</v>
      </c>
      <c r="D276">
        <v>16</v>
      </c>
      <c r="E276">
        <v>-5.33</v>
      </c>
      <c r="F276">
        <v>2192</v>
      </c>
      <c r="G276">
        <v>819</v>
      </c>
      <c r="H276">
        <v>1724</v>
      </c>
      <c r="I276">
        <v>373</v>
      </c>
      <c r="J276">
        <v>592</v>
      </c>
      <c r="K276">
        <v>353</v>
      </c>
      <c r="L276">
        <v>976</v>
      </c>
      <c r="M276">
        <v>462</v>
      </c>
      <c r="N276">
        <v>156</v>
      </c>
      <c r="O276">
        <v>108</v>
      </c>
      <c r="P276">
        <v>405</v>
      </c>
      <c r="Q276">
        <v>582</v>
      </c>
      <c r="R276">
        <v>275</v>
      </c>
    </row>
    <row r="277" spans="1:18">
      <c r="A277" s="1" t="s">
        <v>219</v>
      </c>
      <c r="B277">
        <v>29</v>
      </c>
      <c r="C277">
        <v>12</v>
      </c>
      <c r="D277">
        <v>17</v>
      </c>
      <c r="E277">
        <v>-6.44</v>
      </c>
      <c r="F277">
        <v>1738</v>
      </c>
      <c r="G277">
        <v>629</v>
      </c>
      <c r="H277">
        <v>1530</v>
      </c>
      <c r="I277">
        <v>352</v>
      </c>
      <c r="J277">
        <v>596</v>
      </c>
      <c r="K277">
        <v>330</v>
      </c>
      <c r="L277">
        <v>957</v>
      </c>
      <c r="M277">
        <v>321</v>
      </c>
      <c r="N277">
        <v>180</v>
      </c>
      <c r="O277">
        <v>102</v>
      </c>
      <c r="P277">
        <v>446</v>
      </c>
      <c r="Q277">
        <v>511</v>
      </c>
      <c r="R277">
        <v>276</v>
      </c>
    </row>
    <row r="278" spans="1:18">
      <c r="A278" s="1" t="s">
        <v>220</v>
      </c>
      <c r="B278">
        <v>32</v>
      </c>
      <c r="C278">
        <v>6</v>
      </c>
      <c r="D278">
        <v>26</v>
      </c>
      <c r="E278">
        <v>6.58</v>
      </c>
      <c r="F278">
        <v>1683</v>
      </c>
      <c r="G278">
        <v>642</v>
      </c>
      <c r="H278">
        <v>1658</v>
      </c>
      <c r="I278">
        <v>272</v>
      </c>
      <c r="J278">
        <v>445</v>
      </c>
      <c r="K278">
        <v>256</v>
      </c>
      <c r="L278">
        <v>790</v>
      </c>
      <c r="M278">
        <v>305</v>
      </c>
      <c r="N278">
        <v>184</v>
      </c>
      <c r="O278">
        <v>65</v>
      </c>
      <c r="P278">
        <v>341</v>
      </c>
      <c r="Q278">
        <v>476</v>
      </c>
      <c r="R278">
        <v>277</v>
      </c>
    </row>
    <row r="279" spans="1:18">
      <c r="A279" s="1" t="s">
        <v>355</v>
      </c>
      <c r="B279">
        <v>27</v>
      </c>
      <c r="C279">
        <v>10</v>
      </c>
      <c r="D279">
        <v>17</v>
      </c>
      <c r="E279">
        <v>-5.5</v>
      </c>
      <c r="F279">
        <v>1775</v>
      </c>
      <c r="G279">
        <v>626</v>
      </c>
      <c r="H279">
        <v>1419</v>
      </c>
      <c r="I279">
        <v>341</v>
      </c>
      <c r="J279">
        <v>521</v>
      </c>
      <c r="K279">
        <v>250</v>
      </c>
      <c r="L279">
        <v>799</v>
      </c>
      <c r="M279">
        <v>330</v>
      </c>
      <c r="N279">
        <v>152</v>
      </c>
      <c r="O279">
        <v>61</v>
      </c>
      <c r="P279">
        <v>415</v>
      </c>
      <c r="Q279">
        <v>499</v>
      </c>
      <c r="R279">
        <v>278</v>
      </c>
    </row>
    <row r="280" spans="1:18">
      <c r="A280" s="1" t="s">
        <v>221</v>
      </c>
      <c r="B280">
        <v>31</v>
      </c>
      <c r="C280">
        <v>8</v>
      </c>
      <c r="D280">
        <v>23</v>
      </c>
      <c r="E280">
        <v>3.12</v>
      </c>
      <c r="F280">
        <v>1944</v>
      </c>
      <c r="G280">
        <v>709</v>
      </c>
      <c r="H280">
        <v>1711</v>
      </c>
      <c r="I280">
        <v>391</v>
      </c>
      <c r="J280">
        <v>611</v>
      </c>
      <c r="K280">
        <v>371</v>
      </c>
      <c r="L280">
        <v>922</v>
      </c>
      <c r="M280">
        <v>363</v>
      </c>
      <c r="N280">
        <v>230</v>
      </c>
      <c r="O280">
        <v>103</v>
      </c>
      <c r="P280">
        <v>437</v>
      </c>
      <c r="Q280">
        <v>662</v>
      </c>
      <c r="R280">
        <v>279</v>
      </c>
    </row>
    <row r="281" spans="1:18">
      <c r="A281" s="1" t="s">
        <v>222</v>
      </c>
      <c r="B281">
        <v>32</v>
      </c>
      <c r="C281">
        <v>13</v>
      </c>
      <c r="D281">
        <v>19</v>
      </c>
      <c r="E281">
        <v>1.34</v>
      </c>
      <c r="F281">
        <v>1909</v>
      </c>
      <c r="G281">
        <v>645</v>
      </c>
      <c r="H281">
        <v>1539</v>
      </c>
      <c r="I281">
        <v>371</v>
      </c>
      <c r="J281">
        <v>551</v>
      </c>
      <c r="K281">
        <v>249</v>
      </c>
      <c r="L281">
        <v>817</v>
      </c>
      <c r="M281">
        <v>382</v>
      </c>
      <c r="N281">
        <v>221</v>
      </c>
      <c r="O281">
        <v>72</v>
      </c>
      <c r="P281">
        <v>403</v>
      </c>
      <c r="Q281">
        <v>543</v>
      </c>
      <c r="R281">
        <v>280</v>
      </c>
    </row>
    <row r="282" spans="1:18">
      <c r="A282" s="1" t="s">
        <v>223</v>
      </c>
      <c r="B282">
        <v>34</v>
      </c>
      <c r="C282">
        <v>25</v>
      </c>
      <c r="D282">
        <v>9</v>
      </c>
      <c r="E282">
        <v>3.61</v>
      </c>
      <c r="F282">
        <v>2426</v>
      </c>
      <c r="G282">
        <v>819</v>
      </c>
      <c r="H282">
        <v>1975</v>
      </c>
      <c r="I282">
        <v>573</v>
      </c>
      <c r="J282">
        <v>779</v>
      </c>
      <c r="K282">
        <v>471</v>
      </c>
      <c r="L282">
        <v>1133</v>
      </c>
      <c r="M282">
        <v>374</v>
      </c>
      <c r="N282">
        <v>205</v>
      </c>
      <c r="O282">
        <v>98</v>
      </c>
      <c r="P282">
        <v>377</v>
      </c>
      <c r="Q282">
        <v>651</v>
      </c>
      <c r="R282">
        <v>281</v>
      </c>
    </row>
    <row r="283" spans="1:18">
      <c r="A283" s="1" t="s">
        <v>224</v>
      </c>
      <c r="B283">
        <v>31</v>
      </c>
      <c r="C283">
        <v>14</v>
      </c>
      <c r="D283">
        <v>17</v>
      </c>
      <c r="E283">
        <v>-3.18</v>
      </c>
      <c r="F283">
        <v>2038</v>
      </c>
      <c r="G283">
        <v>755</v>
      </c>
      <c r="H283">
        <v>1594</v>
      </c>
      <c r="I283">
        <v>446</v>
      </c>
      <c r="J283">
        <v>617</v>
      </c>
      <c r="K283">
        <v>302</v>
      </c>
      <c r="L283">
        <v>888</v>
      </c>
      <c r="M283">
        <v>443</v>
      </c>
      <c r="N283">
        <v>169</v>
      </c>
      <c r="O283">
        <v>71</v>
      </c>
      <c r="P283">
        <v>432</v>
      </c>
      <c r="Q283">
        <v>633</v>
      </c>
      <c r="R283">
        <v>282</v>
      </c>
    </row>
    <row r="284" spans="1:18">
      <c r="A284" s="1" t="s">
        <v>225</v>
      </c>
      <c r="B284">
        <v>31</v>
      </c>
      <c r="C284">
        <v>17</v>
      </c>
      <c r="D284">
        <v>14</v>
      </c>
      <c r="E284">
        <v>-11.35</v>
      </c>
      <c r="F284">
        <v>1879</v>
      </c>
      <c r="G284">
        <v>659</v>
      </c>
      <c r="H284">
        <v>1607</v>
      </c>
      <c r="I284">
        <v>416</v>
      </c>
      <c r="J284">
        <v>607</v>
      </c>
      <c r="K284">
        <v>256</v>
      </c>
      <c r="L284">
        <v>919</v>
      </c>
      <c r="M284">
        <v>342</v>
      </c>
      <c r="N284">
        <v>183</v>
      </c>
      <c r="O284">
        <v>111</v>
      </c>
      <c r="P284">
        <v>435</v>
      </c>
      <c r="Q284">
        <v>601</v>
      </c>
      <c r="R284">
        <v>283</v>
      </c>
    </row>
    <row r="285" spans="1:18">
      <c r="A285" s="1" t="s">
        <v>297</v>
      </c>
      <c r="B285">
        <v>32</v>
      </c>
      <c r="C285">
        <v>20</v>
      </c>
      <c r="D285">
        <v>12</v>
      </c>
      <c r="E285">
        <v>2.84</v>
      </c>
      <c r="F285">
        <v>2254</v>
      </c>
      <c r="G285">
        <v>770</v>
      </c>
      <c r="H285">
        <v>1687</v>
      </c>
      <c r="I285">
        <v>540</v>
      </c>
      <c r="J285">
        <v>710</v>
      </c>
      <c r="K285">
        <v>352</v>
      </c>
      <c r="L285">
        <v>1038</v>
      </c>
      <c r="M285">
        <v>444</v>
      </c>
      <c r="N285">
        <v>186</v>
      </c>
      <c r="O285">
        <v>133</v>
      </c>
      <c r="P285">
        <v>439</v>
      </c>
      <c r="Q285">
        <v>592</v>
      </c>
      <c r="R285">
        <v>284</v>
      </c>
    </row>
    <row r="286" spans="1:18">
      <c r="A286" s="1" t="s">
        <v>226</v>
      </c>
      <c r="B286">
        <v>30</v>
      </c>
      <c r="C286">
        <v>15</v>
      </c>
      <c r="D286">
        <v>15</v>
      </c>
      <c r="E286">
        <v>-6.75</v>
      </c>
      <c r="F286">
        <v>2084</v>
      </c>
      <c r="G286">
        <v>727</v>
      </c>
      <c r="H286">
        <v>1685</v>
      </c>
      <c r="I286">
        <v>391</v>
      </c>
      <c r="J286">
        <v>590</v>
      </c>
      <c r="K286">
        <v>344</v>
      </c>
      <c r="L286">
        <v>962</v>
      </c>
      <c r="M286">
        <v>392</v>
      </c>
      <c r="N286">
        <v>205</v>
      </c>
      <c r="O286">
        <v>73</v>
      </c>
      <c r="P286">
        <v>486</v>
      </c>
      <c r="Q286">
        <v>643</v>
      </c>
      <c r="R286">
        <v>285</v>
      </c>
    </row>
    <row r="287" spans="1:18">
      <c r="A287" s="1" t="s">
        <v>298</v>
      </c>
      <c r="B287">
        <v>32</v>
      </c>
      <c r="C287">
        <v>13</v>
      </c>
      <c r="D287">
        <v>19</v>
      </c>
      <c r="E287">
        <v>6.98</v>
      </c>
      <c r="F287">
        <v>2129</v>
      </c>
      <c r="G287">
        <v>757</v>
      </c>
      <c r="H287">
        <v>1803</v>
      </c>
      <c r="I287">
        <v>485</v>
      </c>
      <c r="J287">
        <v>713</v>
      </c>
      <c r="K287">
        <v>424</v>
      </c>
      <c r="L287">
        <v>977</v>
      </c>
      <c r="M287">
        <v>345</v>
      </c>
      <c r="N287">
        <v>255</v>
      </c>
      <c r="O287">
        <v>119</v>
      </c>
      <c r="P287">
        <v>454</v>
      </c>
      <c r="Q287">
        <v>533</v>
      </c>
      <c r="R287">
        <v>286</v>
      </c>
    </row>
    <row r="288" spans="1:18">
      <c r="A288" s="1" t="s">
        <v>342</v>
      </c>
      <c r="B288">
        <v>37</v>
      </c>
      <c r="C288">
        <v>26</v>
      </c>
      <c r="D288">
        <v>11</v>
      </c>
      <c r="E288">
        <v>3.99</v>
      </c>
      <c r="F288">
        <v>2657</v>
      </c>
      <c r="G288">
        <v>938</v>
      </c>
      <c r="H288">
        <v>2107</v>
      </c>
      <c r="I288">
        <v>529</v>
      </c>
      <c r="J288">
        <v>794</v>
      </c>
      <c r="K288">
        <v>451</v>
      </c>
      <c r="L288">
        <v>1227</v>
      </c>
      <c r="M288">
        <v>475</v>
      </c>
      <c r="N288">
        <v>246</v>
      </c>
      <c r="O288">
        <v>126</v>
      </c>
      <c r="P288">
        <v>512</v>
      </c>
      <c r="Q288">
        <v>716</v>
      </c>
      <c r="R288">
        <v>287</v>
      </c>
    </row>
    <row r="289" spans="1:18">
      <c r="A289" s="1" t="s">
        <v>227</v>
      </c>
      <c r="B289">
        <v>32</v>
      </c>
      <c r="C289">
        <v>20</v>
      </c>
      <c r="D289">
        <v>12</v>
      </c>
      <c r="E289">
        <v>-5.67</v>
      </c>
      <c r="F289">
        <v>1970</v>
      </c>
      <c r="G289">
        <v>724</v>
      </c>
      <c r="H289">
        <v>1620</v>
      </c>
      <c r="I289">
        <v>411</v>
      </c>
      <c r="J289">
        <v>650</v>
      </c>
      <c r="K289">
        <v>376</v>
      </c>
      <c r="L289">
        <v>1024</v>
      </c>
      <c r="M289">
        <v>442</v>
      </c>
      <c r="N289">
        <v>229</v>
      </c>
      <c r="O289">
        <v>87</v>
      </c>
      <c r="P289">
        <v>437</v>
      </c>
      <c r="Q289">
        <v>535</v>
      </c>
      <c r="R289">
        <v>288</v>
      </c>
    </row>
    <row r="290" spans="1:18">
      <c r="A290" s="1" t="s">
        <v>228</v>
      </c>
      <c r="B290">
        <v>29</v>
      </c>
      <c r="C290">
        <v>9</v>
      </c>
      <c r="D290">
        <v>20</v>
      </c>
      <c r="E290">
        <v>-0.66</v>
      </c>
      <c r="F290">
        <v>2089</v>
      </c>
      <c r="G290">
        <v>732</v>
      </c>
      <c r="H290">
        <v>1660</v>
      </c>
      <c r="I290">
        <v>396</v>
      </c>
      <c r="J290">
        <v>570</v>
      </c>
      <c r="K290">
        <v>341</v>
      </c>
      <c r="L290">
        <v>973</v>
      </c>
      <c r="M290">
        <v>434</v>
      </c>
      <c r="N290">
        <v>188</v>
      </c>
      <c r="O290">
        <v>83</v>
      </c>
      <c r="P290">
        <v>514</v>
      </c>
      <c r="Q290">
        <v>560</v>
      </c>
      <c r="R290">
        <v>289</v>
      </c>
    </row>
    <row r="291" spans="1:18">
      <c r="A291" s="1" t="s">
        <v>229</v>
      </c>
      <c r="B291">
        <v>32</v>
      </c>
      <c r="C291">
        <v>22</v>
      </c>
      <c r="D291">
        <v>10</v>
      </c>
      <c r="E291">
        <v>-6.22</v>
      </c>
      <c r="F291">
        <v>2125</v>
      </c>
      <c r="G291">
        <v>768</v>
      </c>
      <c r="H291">
        <v>1800</v>
      </c>
      <c r="I291">
        <v>390</v>
      </c>
      <c r="J291">
        <v>563</v>
      </c>
      <c r="K291">
        <v>448</v>
      </c>
      <c r="L291">
        <v>1082</v>
      </c>
      <c r="M291">
        <v>353</v>
      </c>
      <c r="N291">
        <v>177</v>
      </c>
      <c r="O291">
        <v>53</v>
      </c>
      <c r="P291">
        <v>395</v>
      </c>
      <c r="Q291">
        <v>483</v>
      </c>
      <c r="R291">
        <v>290</v>
      </c>
    </row>
    <row r="292" spans="1:18">
      <c r="A292" s="1" t="s">
        <v>313</v>
      </c>
      <c r="B292">
        <v>37</v>
      </c>
      <c r="C292">
        <v>34</v>
      </c>
      <c r="D292">
        <v>3</v>
      </c>
      <c r="E292">
        <v>8.02</v>
      </c>
      <c r="F292">
        <v>2742</v>
      </c>
      <c r="G292">
        <v>1006</v>
      </c>
      <c r="H292">
        <v>2156</v>
      </c>
      <c r="I292">
        <v>495</v>
      </c>
      <c r="J292">
        <v>709</v>
      </c>
      <c r="K292">
        <v>459</v>
      </c>
      <c r="L292">
        <v>1181</v>
      </c>
      <c r="M292">
        <v>564</v>
      </c>
      <c r="N292">
        <v>338</v>
      </c>
      <c r="O292">
        <v>255</v>
      </c>
      <c r="P292">
        <v>389</v>
      </c>
      <c r="Q292">
        <v>574</v>
      </c>
      <c r="R292">
        <v>291</v>
      </c>
    </row>
    <row r="293" spans="1:18">
      <c r="A293" s="1" t="s">
        <v>314</v>
      </c>
      <c r="B293">
        <v>32</v>
      </c>
      <c r="C293">
        <v>24</v>
      </c>
      <c r="D293">
        <v>8</v>
      </c>
      <c r="E293">
        <v>4.9400000000000004</v>
      </c>
      <c r="F293">
        <v>2401</v>
      </c>
      <c r="G293">
        <v>861</v>
      </c>
      <c r="H293">
        <v>1836</v>
      </c>
      <c r="I293">
        <v>451</v>
      </c>
      <c r="J293">
        <v>627</v>
      </c>
      <c r="K293">
        <v>333</v>
      </c>
      <c r="L293">
        <v>1019</v>
      </c>
      <c r="M293">
        <v>493</v>
      </c>
      <c r="N293">
        <v>230</v>
      </c>
      <c r="O293">
        <v>134</v>
      </c>
      <c r="P293">
        <v>401</v>
      </c>
      <c r="Q293">
        <v>567</v>
      </c>
      <c r="R293">
        <v>292</v>
      </c>
    </row>
    <row r="294" spans="1:18">
      <c r="A294" s="1" t="s">
        <v>230</v>
      </c>
      <c r="B294">
        <v>31</v>
      </c>
      <c r="C294">
        <v>4</v>
      </c>
      <c r="D294">
        <v>27</v>
      </c>
      <c r="E294">
        <v>-3.15</v>
      </c>
      <c r="F294">
        <v>1943</v>
      </c>
      <c r="G294">
        <v>701</v>
      </c>
      <c r="H294">
        <v>1698</v>
      </c>
      <c r="I294">
        <v>416</v>
      </c>
      <c r="J294">
        <v>592</v>
      </c>
      <c r="K294">
        <v>371</v>
      </c>
      <c r="L294">
        <v>892</v>
      </c>
      <c r="M294">
        <v>403</v>
      </c>
      <c r="N294">
        <v>187</v>
      </c>
      <c r="O294">
        <v>73</v>
      </c>
      <c r="P294">
        <v>478</v>
      </c>
      <c r="Q294">
        <v>602</v>
      </c>
      <c r="R294">
        <v>293</v>
      </c>
    </row>
    <row r="295" spans="1:18">
      <c r="A295" s="1" t="s">
        <v>231</v>
      </c>
      <c r="B295">
        <v>33</v>
      </c>
      <c r="C295">
        <v>20</v>
      </c>
      <c r="D295">
        <v>13</v>
      </c>
      <c r="E295">
        <v>-2.73</v>
      </c>
      <c r="F295">
        <v>2250</v>
      </c>
      <c r="G295">
        <v>774</v>
      </c>
      <c r="H295">
        <v>1772</v>
      </c>
      <c r="I295">
        <v>499</v>
      </c>
      <c r="J295">
        <v>724</v>
      </c>
      <c r="K295">
        <v>396</v>
      </c>
      <c r="L295">
        <v>1023</v>
      </c>
      <c r="M295">
        <v>415</v>
      </c>
      <c r="N295">
        <v>248</v>
      </c>
      <c r="O295">
        <v>113</v>
      </c>
      <c r="P295">
        <v>516</v>
      </c>
      <c r="Q295">
        <v>609</v>
      </c>
      <c r="R295">
        <v>294</v>
      </c>
    </row>
    <row r="296" spans="1:18">
      <c r="A296" s="1" t="s">
        <v>232</v>
      </c>
      <c r="B296">
        <v>33</v>
      </c>
      <c r="C296">
        <v>19</v>
      </c>
      <c r="D296">
        <v>14</v>
      </c>
      <c r="E296">
        <v>-3.06</v>
      </c>
      <c r="F296">
        <v>2365</v>
      </c>
      <c r="G296">
        <v>823</v>
      </c>
      <c r="H296">
        <v>1772</v>
      </c>
      <c r="I296">
        <v>540</v>
      </c>
      <c r="J296">
        <v>758</v>
      </c>
      <c r="K296">
        <v>361</v>
      </c>
      <c r="L296">
        <v>1015</v>
      </c>
      <c r="M296">
        <v>450</v>
      </c>
      <c r="N296">
        <v>226</v>
      </c>
      <c r="O296">
        <v>78</v>
      </c>
      <c r="P296">
        <v>499</v>
      </c>
      <c r="Q296">
        <v>629</v>
      </c>
      <c r="R296">
        <v>295</v>
      </c>
    </row>
    <row r="297" spans="1:18">
      <c r="A297" s="1" t="s">
        <v>315</v>
      </c>
      <c r="B297">
        <v>34</v>
      </c>
      <c r="C297">
        <v>19</v>
      </c>
      <c r="D297">
        <v>15</v>
      </c>
      <c r="E297">
        <v>6.58</v>
      </c>
      <c r="F297">
        <v>2338</v>
      </c>
      <c r="G297">
        <v>809</v>
      </c>
      <c r="H297">
        <v>1848</v>
      </c>
      <c r="I297">
        <v>491</v>
      </c>
      <c r="J297">
        <v>699</v>
      </c>
      <c r="K297">
        <v>382</v>
      </c>
      <c r="L297">
        <v>1159</v>
      </c>
      <c r="M297">
        <v>436</v>
      </c>
      <c r="N297">
        <v>193</v>
      </c>
      <c r="O297">
        <v>149</v>
      </c>
      <c r="P297">
        <v>466</v>
      </c>
      <c r="Q297">
        <v>628</v>
      </c>
      <c r="R297">
        <v>296</v>
      </c>
    </row>
    <row r="298" spans="1:18">
      <c r="A298" s="1" t="s">
        <v>323</v>
      </c>
      <c r="B298">
        <v>30</v>
      </c>
      <c r="C298">
        <v>6</v>
      </c>
      <c r="D298">
        <v>24</v>
      </c>
      <c r="E298">
        <v>-3.04</v>
      </c>
      <c r="F298">
        <v>1755</v>
      </c>
      <c r="G298">
        <v>627</v>
      </c>
      <c r="H298">
        <v>1584</v>
      </c>
      <c r="I298">
        <v>360</v>
      </c>
      <c r="J298">
        <v>600</v>
      </c>
      <c r="K298">
        <v>326</v>
      </c>
      <c r="L298">
        <v>915</v>
      </c>
      <c r="M298">
        <v>347</v>
      </c>
      <c r="N298">
        <v>171</v>
      </c>
      <c r="O298">
        <v>111</v>
      </c>
      <c r="P298">
        <v>456</v>
      </c>
      <c r="Q298">
        <v>592</v>
      </c>
      <c r="R298">
        <v>297</v>
      </c>
    </row>
    <row r="299" spans="1:18">
      <c r="A299" s="1" t="s">
        <v>233</v>
      </c>
      <c r="B299">
        <v>32</v>
      </c>
      <c r="C299">
        <v>14</v>
      </c>
      <c r="D299">
        <v>18</v>
      </c>
      <c r="E299">
        <v>6.54</v>
      </c>
      <c r="F299">
        <v>1956</v>
      </c>
      <c r="G299">
        <v>732</v>
      </c>
      <c r="H299">
        <v>1695</v>
      </c>
      <c r="I299">
        <v>330</v>
      </c>
      <c r="J299">
        <v>502</v>
      </c>
      <c r="K299">
        <v>348</v>
      </c>
      <c r="L299">
        <v>986</v>
      </c>
      <c r="M299">
        <v>375</v>
      </c>
      <c r="N299">
        <v>182</v>
      </c>
      <c r="O299">
        <v>71</v>
      </c>
      <c r="P299">
        <v>446</v>
      </c>
      <c r="Q299">
        <v>574</v>
      </c>
      <c r="R299">
        <v>298</v>
      </c>
    </row>
    <row r="300" spans="1:18">
      <c r="A300" s="1" t="s">
        <v>234</v>
      </c>
      <c r="B300">
        <v>33</v>
      </c>
      <c r="C300">
        <v>24</v>
      </c>
      <c r="D300">
        <v>9</v>
      </c>
      <c r="E300">
        <v>-5.09</v>
      </c>
      <c r="F300">
        <v>2537</v>
      </c>
      <c r="G300">
        <v>842</v>
      </c>
      <c r="H300">
        <v>1884</v>
      </c>
      <c r="I300">
        <v>624</v>
      </c>
      <c r="J300">
        <v>888</v>
      </c>
      <c r="K300">
        <v>439</v>
      </c>
      <c r="L300">
        <v>1197</v>
      </c>
      <c r="M300">
        <v>442</v>
      </c>
      <c r="N300">
        <v>260</v>
      </c>
      <c r="O300">
        <v>123</v>
      </c>
      <c r="P300">
        <v>531</v>
      </c>
      <c r="Q300">
        <v>632</v>
      </c>
      <c r="R300">
        <v>299</v>
      </c>
    </row>
    <row r="301" spans="1:18">
      <c r="A301" s="1" t="s">
        <v>235</v>
      </c>
      <c r="B301">
        <v>33</v>
      </c>
      <c r="C301">
        <v>18</v>
      </c>
      <c r="D301">
        <v>15</v>
      </c>
      <c r="E301">
        <v>3.44</v>
      </c>
      <c r="F301">
        <v>2382</v>
      </c>
      <c r="G301">
        <v>819</v>
      </c>
      <c r="H301">
        <v>1884</v>
      </c>
      <c r="I301">
        <v>505</v>
      </c>
      <c r="J301">
        <v>731</v>
      </c>
      <c r="K301">
        <v>357</v>
      </c>
      <c r="L301">
        <v>1006</v>
      </c>
      <c r="M301">
        <v>445</v>
      </c>
      <c r="N301">
        <v>228</v>
      </c>
      <c r="O301">
        <v>80</v>
      </c>
      <c r="P301">
        <v>455</v>
      </c>
      <c r="Q301">
        <v>628</v>
      </c>
      <c r="R301">
        <v>300</v>
      </c>
    </row>
    <row r="302" spans="1:18">
      <c r="A302" s="1" t="s">
        <v>236</v>
      </c>
      <c r="B302">
        <v>32</v>
      </c>
      <c r="C302">
        <v>15</v>
      </c>
      <c r="D302">
        <v>17</v>
      </c>
      <c r="E302">
        <v>2.85</v>
      </c>
      <c r="F302">
        <v>2021</v>
      </c>
      <c r="G302">
        <v>727</v>
      </c>
      <c r="H302">
        <v>1588</v>
      </c>
      <c r="I302">
        <v>423</v>
      </c>
      <c r="J302">
        <v>619</v>
      </c>
      <c r="K302">
        <v>269</v>
      </c>
      <c r="L302">
        <v>928</v>
      </c>
      <c r="M302">
        <v>447</v>
      </c>
      <c r="N302">
        <v>151</v>
      </c>
      <c r="O302">
        <v>89</v>
      </c>
      <c r="P302">
        <v>431</v>
      </c>
      <c r="Q302">
        <v>540</v>
      </c>
      <c r="R302">
        <v>301</v>
      </c>
    </row>
    <row r="303" spans="1:18">
      <c r="A303" s="1" t="s">
        <v>237</v>
      </c>
      <c r="B303">
        <v>32</v>
      </c>
      <c r="C303">
        <v>11</v>
      </c>
      <c r="D303">
        <v>21</v>
      </c>
      <c r="E303">
        <v>-4.4400000000000004</v>
      </c>
      <c r="F303">
        <v>1993</v>
      </c>
      <c r="G303">
        <v>677</v>
      </c>
      <c r="H303">
        <v>1631</v>
      </c>
      <c r="I303">
        <v>409</v>
      </c>
      <c r="J303">
        <v>580</v>
      </c>
      <c r="K303">
        <v>268</v>
      </c>
      <c r="L303">
        <v>882</v>
      </c>
      <c r="M303">
        <v>423</v>
      </c>
      <c r="N303">
        <v>163</v>
      </c>
      <c r="O303">
        <v>63</v>
      </c>
      <c r="P303">
        <v>492</v>
      </c>
      <c r="Q303">
        <v>568</v>
      </c>
      <c r="R303">
        <v>302</v>
      </c>
    </row>
    <row r="304" spans="1:18">
      <c r="A304" s="1" t="s">
        <v>238</v>
      </c>
      <c r="B304">
        <v>32</v>
      </c>
      <c r="C304">
        <v>18</v>
      </c>
      <c r="D304">
        <v>14</v>
      </c>
      <c r="E304">
        <v>-4.4000000000000004</v>
      </c>
      <c r="F304">
        <v>2339</v>
      </c>
      <c r="G304">
        <v>793</v>
      </c>
      <c r="H304">
        <v>1775</v>
      </c>
      <c r="I304">
        <v>481</v>
      </c>
      <c r="J304">
        <v>647</v>
      </c>
      <c r="K304">
        <v>299</v>
      </c>
      <c r="L304">
        <v>967</v>
      </c>
      <c r="M304">
        <v>433</v>
      </c>
      <c r="N304">
        <v>263</v>
      </c>
      <c r="O304">
        <v>97</v>
      </c>
      <c r="P304">
        <v>443</v>
      </c>
      <c r="Q304">
        <v>557</v>
      </c>
      <c r="R304">
        <v>303</v>
      </c>
    </row>
    <row r="305" spans="1:18">
      <c r="A305" s="1" t="s">
        <v>239</v>
      </c>
      <c r="B305">
        <v>33</v>
      </c>
      <c r="C305">
        <v>15</v>
      </c>
      <c r="D305">
        <v>18</v>
      </c>
      <c r="E305">
        <v>-8.68</v>
      </c>
      <c r="F305">
        <v>2021</v>
      </c>
      <c r="G305">
        <v>684</v>
      </c>
      <c r="H305">
        <v>1656</v>
      </c>
      <c r="I305">
        <v>470</v>
      </c>
      <c r="J305">
        <v>746</v>
      </c>
      <c r="K305">
        <v>372</v>
      </c>
      <c r="L305">
        <v>1036</v>
      </c>
      <c r="M305">
        <v>331</v>
      </c>
      <c r="N305">
        <v>278</v>
      </c>
      <c r="O305">
        <v>139</v>
      </c>
      <c r="P305">
        <v>560</v>
      </c>
      <c r="Q305">
        <v>592</v>
      </c>
      <c r="R305">
        <v>304</v>
      </c>
    </row>
    <row r="306" spans="1:18">
      <c r="A306" s="1" t="s">
        <v>240</v>
      </c>
      <c r="B306">
        <v>30</v>
      </c>
      <c r="C306">
        <v>13</v>
      </c>
      <c r="D306">
        <v>17</v>
      </c>
      <c r="E306">
        <v>-5.31</v>
      </c>
      <c r="F306">
        <v>2292</v>
      </c>
      <c r="G306">
        <v>796</v>
      </c>
      <c r="H306">
        <v>1842</v>
      </c>
      <c r="I306">
        <v>455</v>
      </c>
      <c r="J306">
        <v>639</v>
      </c>
      <c r="K306">
        <v>361</v>
      </c>
      <c r="L306">
        <v>962</v>
      </c>
      <c r="M306">
        <v>419</v>
      </c>
      <c r="N306">
        <v>247</v>
      </c>
      <c r="O306">
        <v>95</v>
      </c>
      <c r="P306">
        <v>443</v>
      </c>
      <c r="Q306">
        <v>629</v>
      </c>
      <c r="R306">
        <v>305</v>
      </c>
    </row>
    <row r="307" spans="1:18">
      <c r="A307" s="1" t="s">
        <v>241</v>
      </c>
      <c r="B307">
        <v>31</v>
      </c>
      <c r="C307">
        <v>8</v>
      </c>
      <c r="D307">
        <v>23</v>
      </c>
      <c r="E307">
        <v>6.1</v>
      </c>
      <c r="F307">
        <v>1844</v>
      </c>
      <c r="G307">
        <v>644</v>
      </c>
      <c r="H307">
        <v>1470</v>
      </c>
      <c r="I307">
        <v>414</v>
      </c>
      <c r="J307">
        <v>590</v>
      </c>
      <c r="K307">
        <v>242</v>
      </c>
      <c r="L307">
        <v>848</v>
      </c>
      <c r="M307">
        <v>345</v>
      </c>
      <c r="N307">
        <v>161</v>
      </c>
      <c r="O307">
        <v>92</v>
      </c>
      <c r="P307">
        <v>530</v>
      </c>
      <c r="Q307">
        <v>658</v>
      </c>
      <c r="R307">
        <v>306</v>
      </c>
    </row>
    <row r="308" spans="1:18">
      <c r="A308" s="1" t="s">
        <v>362</v>
      </c>
      <c r="B308">
        <v>34</v>
      </c>
      <c r="C308">
        <v>20</v>
      </c>
      <c r="D308">
        <v>14</v>
      </c>
      <c r="E308">
        <v>8.1199999999999992</v>
      </c>
      <c r="F308">
        <v>2470</v>
      </c>
      <c r="G308">
        <v>836</v>
      </c>
      <c r="H308">
        <v>1927</v>
      </c>
      <c r="I308">
        <v>601</v>
      </c>
      <c r="J308">
        <v>820</v>
      </c>
      <c r="K308">
        <v>453</v>
      </c>
      <c r="L308">
        <v>1118</v>
      </c>
      <c r="M308">
        <v>419</v>
      </c>
      <c r="N308">
        <v>231</v>
      </c>
      <c r="O308">
        <v>125</v>
      </c>
      <c r="P308">
        <v>426</v>
      </c>
      <c r="Q308">
        <v>659</v>
      </c>
      <c r="R308">
        <v>307</v>
      </c>
    </row>
    <row r="309" spans="1:18">
      <c r="A309" s="1" t="s">
        <v>242</v>
      </c>
      <c r="B309">
        <v>36</v>
      </c>
      <c r="C309">
        <v>19</v>
      </c>
      <c r="D309">
        <v>17</v>
      </c>
      <c r="E309">
        <v>-3.64</v>
      </c>
      <c r="F309">
        <v>2500</v>
      </c>
      <c r="G309">
        <v>871</v>
      </c>
      <c r="H309">
        <v>1916</v>
      </c>
      <c r="I309">
        <v>543</v>
      </c>
      <c r="J309">
        <v>748</v>
      </c>
      <c r="K309">
        <v>382</v>
      </c>
      <c r="L309">
        <v>1104</v>
      </c>
      <c r="M309">
        <v>469</v>
      </c>
      <c r="N309">
        <v>251</v>
      </c>
      <c r="O309">
        <v>79</v>
      </c>
      <c r="P309">
        <v>490</v>
      </c>
      <c r="Q309">
        <v>605</v>
      </c>
      <c r="R309">
        <v>308</v>
      </c>
    </row>
    <row r="310" spans="1:18">
      <c r="A310" s="1" t="s">
        <v>243</v>
      </c>
      <c r="B310">
        <v>32</v>
      </c>
      <c r="C310">
        <v>1</v>
      </c>
      <c r="D310">
        <v>31</v>
      </c>
      <c r="E310">
        <v>1.54</v>
      </c>
      <c r="F310">
        <v>1647</v>
      </c>
      <c r="G310">
        <v>580</v>
      </c>
      <c r="H310">
        <v>1581</v>
      </c>
      <c r="I310">
        <v>379</v>
      </c>
      <c r="J310">
        <v>647</v>
      </c>
      <c r="K310">
        <v>439</v>
      </c>
      <c r="L310">
        <v>1056</v>
      </c>
      <c r="M310">
        <v>261</v>
      </c>
      <c r="N310">
        <v>177</v>
      </c>
      <c r="O310">
        <v>135</v>
      </c>
      <c r="P310">
        <v>580</v>
      </c>
      <c r="Q310">
        <v>587</v>
      </c>
      <c r="R310">
        <v>309</v>
      </c>
    </row>
    <row r="311" spans="1:18">
      <c r="A311" s="1" t="s">
        <v>244</v>
      </c>
      <c r="B311">
        <v>28</v>
      </c>
      <c r="C311">
        <v>10</v>
      </c>
      <c r="D311">
        <v>18</v>
      </c>
      <c r="E311">
        <v>-0.85</v>
      </c>
      <c r="F311">
        <v>1996</v>
      </c>
      <c r="G311">
        <v>721</v>
      </c>
      <c r="H311">
        <v>1758</v>
      </c>
      <c r="I311">
        <v>304</v>
      </c>
      <c r="J311">
        <v>450</v>
      </c>
      <c r="K311">
        <v>392</v>
      </c>
      <c r="L311">
        <v>910</v>
      </c>
      <c r="M311">
        <v>360</v>
      </c>
      <c r="N311">
        <v>188</v>
      </c>
      <c r="O311">
        <v>103</v>
      </c>
      <c r="P311">
        <v>347</v>
      </c>
      <c r="Q311">
        <v>478</v>
      </c>
      <c r="R311">
        <v>310</v>
      </c>
    </row>
    <row r="312" spans="1:18">
      <c r="A312" s="1" t="s">
        <v>245</v>
      </c>
      <c r="B312">
        <v>31</v>
      </c>
      <c r="C312">
        <v>15</v>
      </c>
      <c r="D312">
        <v>16</v>
      </c>
      <c r="E312">
        <v>-1.61</v>
      </c>
      <c r="F312">
        <v>2002</v>
      </c>
      <c r="G312">
        <v>693</v>
      </c>
      <c r="H312">
        <v>1641</v>
      </c>
      <c r="I312">
        <v>432</v>
      </c>
      <c r="J312">
        <v>653</v>
      </c>
      <c r="K312">
        <v>336</v>
      </c>
      <c r="L312">
        <v>944</v>
      </c>
      <c r="M312">
        <v>381</v>
      </c>
      <c r="N312">
        <v>219</v>
      </c>
      <c r="O312">
        <v>104</v>
      </c>
      <c r="P312">
        <v>394</v>
      </c>
      <c r="Q312">
        <v>515</v>
      </c>
      <c r="R312">
        <v>311</v>
      </c>
    </row>
    <row r="313" spans="1:18">
      <c r="A313" s="1" t="s">
        <v>299</v>
      </c>
      <c r="B313">
        <v>31</v>
      </c>
      <c r="C313">
        <v>17</v>
      </c>
      <c r="D313">
        <v>14</v>
      </c>
      <c r="E313">
        <v>2.85</v>
      </c>
      <c r="F313">
        <v>2093</v>
      </c>
      <c r="G313">
        <v>710</v>
      </c>
      <c r="H313">
        <v>1577</v>
      </c>
      <c r="I313">
        <v>495</v>
      </c>
      <c r="J313">
        <v>727</v>
      </c>
      <c r="K313">
        <v>339</v>
      </c>
      <c r="L313">
        <v>1026</v>
      </c>
      <c r="M313">
        <v>345</v>
      </c>
      <c r="N313">
        <v>149</v>
      </c>
      <c r="O313">
        <v>152</v>
      </c>
      <c r="P313">
        <v>458</v>
      </c>
      <c r="Q313">
        <v>575</v>
      </c>
      <c r="R313">
        <v>312</v>
      </c>
    </row>
    <row r="314" spans="1:18">
      <c r="A314" s="1" t="s">
        <v>324</v>
      </c>
      <c r="B314">
        <v>33</v>
      </c>
      <c r="C314">
        <v>19</v>
      </c>
      <c r="D314">
        <v>14</v>
      </c>
      <c r="E314">
        <v>5.28</v>
      </c>
      <c r="F314">
        <v>2263</v>
      </c>
      <c r="G314">
        <v>848</v>
      </c>
      <c r="H314">
        <v>1838</v>
      </c>
      <c r="I314">
        <v>398</v>
      </c>
      <c r="J314">
        <v>596</v>
      </c>
      <c r="K314">
        <v>363</v>
      </c>
      <c r="L314">
        <v>1062</v>
      </c>
      <c r="M314">
        <v>473</v>
      </c>
      <c r="N314">
        <v>260</v>
      </c>
      <c r="O314">
        <v>153</v>
      </c>
      <c r="P314">
        <v>395</v>
      </c>
      <c r="Q314">
        <v>560</v>
      </c>
      <c r="R314">
        <v>313</v>
      </c>
    </row>
    <row r="315" spans="1:18">
      <c r="A315" s="1" t="s">
        <v>316</v>
      </c>
      <c r="B315">
        <v>37</v>
      </c>
      <c r="C315">
        <v>21</v>
      </c>
      <c r="D315">
        <v>16</v>
      </c>
      <c r="E315">
        <v>-0.37</v>
      </c>
      <c r="F315">
        <v>2551</v>
      </c>
      <c r="G315">
        <v>896</v>
      </c>
      <c r="H315">
        <v>1887</v>
      </c>
      <c r="I315">
        <v>551</v>
      </c>
      <c r="J315">
        <v>766</v>
      </c>
      <c r="K315">
        <v>337</v>
      </c>
      <c r="L315">
        <v>1154</v>
      </c>
      <c r="M315">
        <v>497</v>
      </c>
      <c r="N315">
        <v>146</v>
      </c>
      <c r="O315">
        <v>119</v>
      </c>
      <c r="P315">
        <v>449</v>
      </c>
      <c r="Q315">
        <v>665</v>
      </c>
      <c r="R315">
        <v>314</v>
      </c>
    </row>
    <row r="316" spans="1:18">
      <c r="A316" s="1" t="s">
        <v>334</v>
      </c>
      <c r="B316">
        <v>33</v>
      </c>
      <c r="C316">
        <v>20</v>
      </c>
      <c r="D316">
        <v>13</v>
      </c>
      <c r="E316">
        <v>-7.11</v>
      </c>
      <c r="F316">
        <v>2305</v>
      </c>
      <c r="G316">
        <v>819</v>
      </c>
      <c r="H316">
        <v>1931</v>
      </c>
      <c r="I316">
        <v>478</v>
      </c>
      <c r="J316">
        <v>685</v>
      </c>
      <c r="K316">
        <v>422</v>
      </c>
      <c r="L316">
        <v>1198</v>
      </c>
      <c r="M316">
        <v>443</v>
      </c>
      <c r="N316">
        <v>214</v>
      </c>
      <c r="O316">
        <v>121</v>
      </c>
      <c r="P316">
        <v>418</v>
      </c>
      <c r="Q316">
        <v>524</v>
      </c>
      <c r="R316">
        <v>315</v>
      </c>
    </row>
    <row r="317" spans="1:18">
      <c r="A317" s="1" t="s">
        <v>300</v>
      </c>
      <c r="B317">
        <v>31</v>
      </c>
      <c r="C317">
        <v>6</v>
      </c>
      <c r="D317">
        <v>25</v>
      </c>
      <c r="E317">
        <v>5.49</v>
      </c>
      <c r="F317">
        <v>1720</v>
      </c>
      <c r="G317">
        <v>606</v>
      </c>
      <c r="H317">
        <v>1496</v>
      </c>
      <c r="I317">
        <v>345</v>
      </c>
      <c r="J317">
        <v>518</v>
      </c>
      <c r="K317">
        <v>226</v>
      </c>
      <c r="L317">
        <v>799</v>
      </c>
      <c r="M317">
        <v>320</v>
      </c>
      <c r="N317">
        <v>159</v>
      </c>
      <c r="O317">
        <v>78</v>
      </c>
      <c r="P317">
        <v>435</v>
      </c>
      <c r="Q317">
        <v>514</v>
      </c>
      <c r="R317">
        <v>316</v>
      </c>
    </row>
    <row r="318" spans="1:18">
      <c r="A318" s="1" t="s">
        <v>301</v>
      </c>
      <c r="B318">
        <v>34</v>
      </c>
      <c r="C318">
        <v>22</v>
      </c>
      <c r="D318">
        <v>12</v>
      </c>
      <c r="E318">
        <v>0.02</v>
      </c>
      <c r="F318">
        <v>2323</v>
      </c>
      <c r="G318">
        <v>786</v>
      </c>
      <c r="H318">
        <v>1682</v>
      </c>
      <c r="I318">
        <v>522</v>
      </c>
      <c r="J318">
        <v>730</v>
      </c>
      <c r="K318">
        <v>287</v>
      </c>
      <c r="L318">
        <v>1019</v>
      </c>
      <c r="M318">
        <v>466</v>
      </c>
      <c r="N318">
        <v>204</v>
      </c>
      <c r="O318">
        <v>98</v>
      </c>
      <c r="P318">
        <v>483</v>
      </c>
      <c r="Q318">
        <v>585</v>
      </c>
      <c r="R318">
        <v>317</v>
      </c>
    </row>
    <row r="319" spans="1:18">
      <c r="A319" s="1" t="s">
        <v>246</v>
      </c>
      <c r="B319">
        <v>36</v>
      </c>
      <c r="C319">
        <v>25</v>
      </c>
      <c r="D319">
        <v>11</v>
      </c>
      <c r="E319">
        <v>8.0399999999999991</v>
      </c>
      <c r="F319">
        <v>2615</v>
      </c>
      <c r="G319">
        <v>885</v>
      </c>
      <c r="H319">
        <v>1921</v>
      </c>
      <c r="I319">
        <v>538</v>
      </c>
      <c r="J319">
        <v>770</v>
      </c>
      <c r="K319">
        <v>361</v>
      </c>
      <c r="L319">
        <v>1125</v>
      </c>
      <c r="M319">
        <v>458</v>
      </c>
      <c r="N319">
        <v>214</v>
      </c>
      <c r="O319">
        <v>144</v>
      </c>
      <c r="P319">
        <v>465</v>
      </c>
      <c r="Q319">
        <v>580</v>
      </c>
      <c r="R319">
        <v>318</v>
      </c>
    </row>
    <row r="320" spans="1:18">
      <c r="A320" s="1" t="s">
        <v>247</v>
      </c>
      <c r="B320">
        <v>36</v>
      </c>
      <c r="C320">
        <v>24</v>
      </c>
      <c r="D320">
        <v>12</v>
      </c>
      <c r="E320">
        <v>-5.19</v>
      </c>
      <c r="F320">
        <v>2415</v>
      </c>
      <c r="G320">
        <v>848</v>
      </c>
      <c r="H320">
        <v>1914</v>
      </c>
      <c r="I320">
        <v>528</v>
      </c>
      <c r="J320">
        <v>714</v>
      </c>
      <c r="K320">
        <v>401</v>
      </c>
      <c r="L320">
        <v>1166</v>
      </c>
      <c r="M320">
        <v>475</v>
      </c>
      <c r="N320">
        <v>221</v>
      </c>
      <c r="O320">
        <v>86</v>
      </c>
      <c r="P320">
        <v>445</v>
      </c>
      <c r="Q320">
        <v>627</v>
      </c>
      <c r="R320">
        <v>319</v>
      </c>
    </row>
    <row r="321" spans="1:18">
      <c r="A321" s="1" t="s">
        <v>248</v>
      </c>
      <c r="B321">
        <v>32</v>
      </c>
      <c r="C321">
        <v>13</v>
      </c>
      <c r="D321">
        <v>19</v>
      </c>
      <c r="E321">
        <v>7.64</v>
      </c>
      <c r="F321">
        <v>2266</v>
      </c>
      <c r="G321">
        <v>762</v>
      </c>
      <c r="H321">
        <v>1848</v>
      </c>
      <c r="I321">
        <v>546</v>
      </c>
      <c r="J321">
        <v>724</v>
      </c>
      <c r="K321">
        <v>441</v>
      </c>
      <c r="L321">
        <v>1115</v>
      </c>
      <c r="M321">
        <v>394</v>
      </c>
      <c r="N321">
        <v>178</v>
      </c>
      <c r="O321">
        <v>101</v>
      </c>
      <c r="P321">
        <v>447</v>
      </c>
      <c r="Q321">
        <v>613</v>
      </c>
      <c r="R321">
        <v>320</v>
      </c>
    </row>
    <row r="322" spans="1:18">
      <c r="A322" s="1" t="s">
        <v>249</v>
      </c>
      <c r="B322">
        <v>36</v>
      </c>
      <c r="C322">
        <v>29</v>
      </c>
      <c r="D322">
        <v>7</v>
      </c>
      <c r="E322">
        <v>0.63</v>
      </c>
      <c r="F322">
        <v>2448</v>
      </c>
      <c r="G322">
        <v>837</v>
      </c>
      <c r="H322">
        <v>2040</v>
      </c>
      <c r="I322">
        <v>507</v>
      </c>
      <c r="J322">
        <v>740</v>
      </c>
      <c r="K322">
        <v>439</v>
      </c>
      <c r="L322">
        <v>1115</v>
      </c>
      <c r="M322">
        <v>433</v>
      </c>
      <c r="N322">
        <v>379</v>
      </c>
      <c r="O322">
        <v>131</v>
      </c>
      <c r="P322">
        <v>411</v>
      </c>
      <c r="Q322">
        <v>646</v>
      </c>
      <c r="R322">
        <v>321</v>
      </c>
    </row>
    <row r="323" spans="1:18">
      <c r="A323" s="1" t="s">
        <v>250</v>
      </c>
      <c r="B323">
        <v>33</v>
      </c>
      <c r="C323">
        <v>17</v>
      </c>
      <c r="D323">
        <v>16</v>
      </c>
      <c r="E323">
        <v>-5.16</v>
      </c>
      <c r="F323">
        <v>2631</v>
      </c>
      <c r="G323">
        <v>892</v>
      </c>
      <c r="H323">
        <v>2006</v>
      </c>
      <c r="I323">
        <v>564</v>
      </c>
      <c r="J323">
        <v>784</v>
      </c>
      <c r="K323">
        <v>338</v>
      </c>
      <c r="L323">
        <v>977</v>
      </c>
      <c r="M323">
        <v>438</v>
      </c>
      <c r="N323">
        <v>273</v>
      </c>
      <c r="O323">
        <v>124</v>
      </c>
      <c r="P323">
        <v>438</v>
      </c>
      <c r="Q323">
        <v>618</v>
      </c>
      <c r="R323">
        <v>322</v>
      </c>
    </row>
    <row r="324" spans="1:18">
      <c r="A324" s="1" t="s">
        <v>251</v>
      </c>
      <c r="B324">
        <v>33</v>
      </c>
      <c r="C324">
        <v>16</v>
      </c>
      <c r="D324">
        <v>17</v>
      </c>
      <c r="E324">
        <v>6.21</v>
      </c>
      <c r="F324">
        <v>2147</v>
      </c>
      <c r="G324">
        <v>754</v>
      </c>
      <c r="H324">
        <v>1797</v>
      </c>
      <c r="I324">
        <v>434</v>
      </c>
      <c r="J324">
        <v>599</v>
      </c>
      <c r="K324">
        <v>369</v>
      </c>
      <c r="L324">
        <v>1010</v>
      </c>
      <c r="M324">
        <v>386</v>
      </c>
      <c r="N324">
        <v>183</v>
      </c>
      <c r="O324">
        <v>107</v>
      </c>
      <c r="P324">
        <v>391</v>
      </c>
      <c r="Q324">
        <v>581</v>
      </c>
      <c r="R324">
        <v>323</v>
      </c>
    </row>
    <row r="325" spans="1:18">
      <c r="A325" s="1" t="s">
        <v>252</v>
      </c>
      <c r="B325">
        <v>32</v>
      </c>
      <c r="C325">
        <v>22</v>
      </c>
      <c r="D325">
        <v>10</v>
      </c>
      <c r="E325">
        <v>4.2300000000000004</v>
      </c>
      <c r="F325">
        <v>2000</v>
      </c>
      <c r="G325">
        <v>721</v>
      </c>
      <c r="H325">
        <v>1576</v>
      </c>
      <c r="I325">
        <v>403</v>
      </c>
      <c r="J325">
        <v>558</v>
      </c>
      <c r="K325">
        <v>253</v>
      </c>
      <c r="L325">
        <v>944</v>
      </c>
      <c r="M325">
        <v>394</v>
      </c>
      <c r="N325">
        <v>207</v>
      </c>
      <c r="O325">
        <v>88</v>
      </c>
      <c r="P325">
        <v>367</v>
      </c>
      <c r="Q325">
        <v>506</v>
      </c>
      <c r="R325">
        <v>324</v>
      </c>
    </row>
    <row r="326" spans="1:18">
      <c r="A326" s="1" t="s">
        <v>253</v>
      </c>
      <c r="B326">
        <v>31</v>
      </c>
      <c r="C326">
        <v>25</v>
      </c>
      <c r="D326">
        <v>6</v>
      </c>
      <c r="E326">
        <v>-5.5</v>
      </c>
      <c r="F326">
        <v>2275</v>
      </c>
      <c r="G326">
        <v>779</v>
      </c>
      <c r="H326">
        <v>1767</v>
      </c>
      <c r="I326">
        <v>513</v>
      </c>
      <c r="J326">
        <v>690</v>
      </c>
      <c r="K326">
        <v>384</v>
      </c>
      <c r="L326">
        <v>968</v>
      </c>
      <c r="M326">
        <v>400</v>
      </c>
      <c r="N326">
        <v>244</v>
      </c>
      <c r="O326">
        <v>126</v>
      </c>
      <c r="P326">
        <v>412</v>
      </c>
      <c r="Q326">
        <v>681</v>
      </c>
      <c r="R326">
        <v>325</v>
      </c>
    </row>
    <row r="327" spans="1:18">
      <c r="A327" s="1" t="s">
        <v>254</v>
      </c>
      <c r="B327">
        <v>31</v>
      </c>
      <c r="C327">
        <v>13</v>
      </c>
      <c r="D327">
        <v>18</v>
      </c>
      <c r="E327">
        <v>4.1900000000000004</v>
      </c>
      <c r="F327">
        <v>2029</v>
      </c>
      <c r="G327">
        <v>689</v>
      </c>
      <c r="H327">
        <v>1613</v>
      </c>
      <c r="I327">
        <v>485</v>
      </c>
      <c r="J327">
        <v>659</v>
      </c>
      <c r="K327">
        <v>262</v>
      </c>
      <c r="L327">
        <v>893</v>
      </c>
      <c r="M327">
        <v>362</v>
      </c>
      <c r="N327">
        <v>162</v>
      </c>
      <c r="O327">
        <v>142</v>
      </c>
      <c r="P327">
        <v>394</v>
      </c>
      <c r="Q327">
        <v>518</v>
      </c>
      <c r="R327">
        <v>326</v>
      </c>
    </row>
    <row r="328" spans="1:18">
      <c r="A328" s="1" t="s">
        <v>255</v>
      </c>
      <c r="B328">
        <v>37</v>
      </c>
      <c r="C328">
        <v>19</v>
      </c>
      <c r="D328">
        <v>18</v>
      </c>
      <c r="E328">
        <v>4.0599999999999996</v>
      </c>
      <c r="F328">
        <v>2521</v>
      </c>
      <c r="G328">
        <v>860</v>
      </c>
      <c r="H328">
        <v>1836</v>
      </c>
      <c r="I328">
        <v>573</v>
      </c>
      <c r="J328">
        <v>808</v>
      </c>
      <c r="K328">
        <v>339</v>
      </c>
      <c r="L328">
        <v>1107</v>
      </c>
      <c r="M328">
        <v>505</v>
      </c>
      <c r="N328">
        <v>178</v>
      </c>
      <c r="O328">
        <v>103</v>
      </c>
      <c r="P328">
        <v>485</v>
      </c>
      <c r="Q328">
        <v>643</v>
      </c>
      <c r="R328">
        <v>327</v>
      </c>
    </row>
    <row r="329" spans="1:18">
      <c r="A329" s="1" t="s">
        <v>256</v>
      </c>
      <c r="B329">
        <v>35</v>
      </c>
      <c r="C329">
        <v>24</v>
      </c>
      <c r="D329">
        <v>11</v>
      </c>
      <c r="E329">
        <v>5.27</v>
      </c>
      <c r="F329">
        <v>2646</v>
      </c>
      <c r="G329">
        <v>966</v>
      </c>
      <c r="H329">
        <v>2157</v>
      </c>
      <c r="I329">
        <v>497</v>
      </c>
      <c r="J329">
        <v>798</v>
      </c>
      <c r="K329">
        <v>510</v>
      </c>
      <c r="L329">
        <v>1294</v>
      </c>
      <c r="M329">
        <v>475</v>
      </c>
      <c r="N329">
        <v>233</v>
      </c>
      <c r="O329">
        <v>139</v>
      </c>
      <c r="P329">
        <v>460</v>
      </c>
      <c r="Q329">
        <v>693</v>
      </c>
      <c r="R329">
        <v>328</v>
      </c>
    </row>
    <row r="330" spans="1:18">
      <c r="A330" s="1" t="s">
        <v>257</v>
      </c>
      <c r="B330">
        <v>32</v>
      </c>
      <c r="C330">
        <v>25</v>
      </c>
      <c r="D330">
        <v>7</v>
      </c>
      <c r="E330">
        <v>-3.65</v>
      </c>
      <c r="F330">
        <v>2473</v>
      </c>
      <c r="G330">
        <v>825</v>
      </c>
      <c r="H330">
        <v>1797</v>
      </c>
      <c r="I330">
        <v>538</v>
      </c>
      <c r="J330">
        <v>661</v>
      </c>
      <c r="K330">
        <v>277</v>
      </c>
      <c r="L330">
        <v>1021</v>
      </c>
      <c r="M330">
        <v>424</v>
      </c>
      <c r="N330">
        <v>178</v>
      </c>
      <c r="O330">
        <v>78</v>
      </c>
      <c r="P330">
        <v>340</v>
      </c>
      <c r="Q330">
        <v>578</v>
      </c>
      <c r="R330">
        <v>329</v>
      </c>
    </row>
    <row r="331" spans="1:18">
      <c r="A331" s="1" t="s">
        <v>258</v>
      </c>
      <c r="B331">
        <v>33</v>
      </c>
      <c r="C331">
        <v>19</v>
      </c>
      <c r="D331">
        <v>14</v>
      </c>
      <c r="E331">
        <v>7.53</v>
      </c>
      <c r="F331">
        <v>2346</v>
      </c>
      <c r="G331">
        <v>838</v>
      </c>
      <c r="H331">
        <v>1914</v>
      </c>
      <c r="I331">
        <v>496</v>
      </c>
      <c r="J331">
        <v>739</v>
      </c>
      <c r="K331">
        <v>493</v>
      </c>
      <c r="L331">
        <v>1135</v>
      </c>
      <c r="M331">
        <v>477</v>
      </c>
      <c r="N331">
        <v>210</v>
      </c>
      <c r="O331">
        <v>85</v>
      </c>
      <c r="P331">
        <v>422</v>
      </c>
      <c r="Q331">
        <v>555</v>
      </c>
      <c r="R331">
        <v>330</v>
      </c>
    </row>
    <row r="332" spans="1:18">
      <c r="A332" s="1" t="s">
        <v>259</v>
      </c>
      <c r="B332">
        <v>35</v>
      </c>
      <c r="C332">
        <v>17</v>
      </c>
      <c r="D332">
        <v>18</v>
      </c>
      <c r="E332">
        <v>-3.42</v>
      </c>
      <c r="F332">
        <v>2503</v>
      </c>
      <c r="G332">
        <v>885</v>
      </c>
      <c r="H332">
        <v>2090</v>
      </c>
      <c r="I332">
        <v>470</v>
      </c>
      <c r="J332">
        <v>681</v>
      </c>
      <c r="K332">
        <v>460</v>
      </c>
      <c r="L332">
        <v>1127</v>
      </c>
      <c r="M332">
        <v>380</v>
      </c>
      <c r="N332">
        <v>284</v>
      </c>
      <c r="O332">
        <v>107</v>
      </c>
      <c r="P332">
        <v>459</v>
      </c>
      <c r="Q332">
        <v>667</v>
      </c>
      <c r="R332">
        <v>331</v>
      </c>
    </row>
    <row r="333" spans="1:18">
      <c r="A333" s="1" t="s">
        <v>260</v>
      </c>
      <c r="B333">
        <v>33</v>
      </c>
      <c r="C333">
        <v>18</v>
      </c>
      <c r="D333">
        <v>15</v>
      </c>
      <c r="E333">
        <v>-1.39</v>
      </c>
      <c r="F333">
        <v>2031</v>
      </c>
      <c r="G333">
        <v>744</v>
      </c>
      <c r="H333">
        <v>1626</v>
      </c>
      <c r="I333">
        <v>369</v>
      </c>
      <c r="J333">
        <v>538</v>
      </c>
      <c r="K333">
        <v>245</v>
      </c>
      <c r="L333">
        <v>854</v>
      </c>
      <c r="M333">
        <v>422</v>
      </c>
      <c r="N333">
        <v>200</v>
      </c>
      <c r="O333">
        <v>90</v>
      </c>
      <c r="P333">
        <v>375</v>
      </c>
      <c r="Q333">
        <v>496</v>
      </c>
      <c r="R333">
        <v>332</v>
      </c>
    </row>
    <row r="334" spans="1:18">
      <c r="A334" s="1" t="s">
        <v>261</v>
      </c>
      <c r="B334">
        <v>35</v>
      </c>
      <c r="C334">
        <v>16</v>
      </c>
      <c r="D334">
        <v>19</v>
      </c>
      <c r="E334">
        <v>0.51</v>
      </c>
      <c r="F334">
        <v>2272</v>
      </c>
      <c r="G334">
        <v>769</v>
      </c>
      <c r="H334">
        <v>1952</v>
      </c>
      <c r="I334">
        <v>539</v>
      </c>
      <c r="J334">
        <v>785</v>
      </c>
      <c r="K334">
        <v>449</v>
      </c>
      <c r="L334">
        <v>1173</v>
      </c>
      <c r="M334">
        <v>385</v>
      </c>
      <c r="N334">
        <v>195</v>
      </c>
      <c r="O334">
        <v>146</v>
      </c>
      <c r="P334">
        <v>534</v>
      </c>
      <c r="Q334">
        <v>691</v>
      </c>
      <c r="R334">
        <v>333</v>
      </c>
    </row>
    <row r="335" spans="1:18">
      <c r="A335" s="1" t="s">
        <v>262</v>
      </c>
      <c r="B335">
        <v>34</v>
      </c>
      <c r="C335">
        <v>14</v>
      </c>
      <c r="D335">
        <v>20</v>
      </c>
      <c r="E335">
        <v>0.17</v>
      </c>
      <c r="F335">
        <v>2332</v>
      </c>
      <c r="G335">
        <v>801</v>
      </c>
      <c r="H335">
        <v>1841</v>
      </c>
      <c r="I335">
        <v>525</v>
      </c>
      <c r="J335">
        <v>741</v>
      </c>
      <c r="K335">
        <v>423</v>
      </c>
      <c r="L335">
        <v>1183</v>
      </c>
      <c r="M335">
        <v>449</v>
      </c>
      <c r="N335">
        <v>159</v>
      </c>
      <c r="O335">
        <v>104</v>
      </c>
      <c r="P335">
        <v>495</v>
      </c>
      <c r="Q335">
        <v>644</v>
      </c>
      <c r="R335">
        <v>334</v>
      </c>
    </row>
    <row r="336" spans="1:18">
      <c r="A336" s="1" t="s">
        <v>263</v>
      </c>
      <c r="B336">
        <v>33</v>
      </c>
      <c r="C336">
        <v>27</v>
      </c>
      <c r="D336">
        <v>6</v>
      </c>
      <c r="E336">
        <v>3.8</v>
      </c>
      <c r="F336">
        <v>2545</v>
      </c>
      <c r="G336">
        <v>912</v>
      </c>
      <c r="H336">
        <v>1892</v>
      </c>
      <c r="I336">
        <v>491</v>
      </c>
      <c r="J336">
        <v>656</v>
      </c>
      <c r="K336">
        <v>359</v>
      </c>
      <c r="L336">
        <v>1157</v>
      </c>
      <c r="M336">
        <v>485</v>
      </c>
      <c r="N336">
        <v>209</v>
      </c>
      <c r="O336">
        <v>130</v>
      </c>
      <c r="P336">
        <v>403</v>
      </c>
      <c r="Q336">
        <v>553</v>
      </c>
      <c r="R336">
        <v>335</v>
      </c>
    </row>
    <row r="337" spans="1:18">
      <c r="A337" s="1" t="s">
        <v>264</v>
      </c>
      <c r="B337">
        <v>32</v>
      </c>
      <c r="C337">
        <v>6</v>
      </c>
      <c r="D337">
        <v>26</v>
      </c>
      <c r="E337">
        <v>-0.72</v>
      </c>
      <c r="F337">
        <v>1931</v>
      </c>
      <c r="G337">
        <v>662</v>
      </c>
      <c r="H337">
        <v>1632</v>
      </c>
      <c r="I337">
        <v>389</v>
      </c>
      <c r="J337">
        <v>547</v>
      </c>
      <c r="K337">
        <v>262</v>
      </c>
      <c r="L337">
        <v>890</v>
      </c>
      <c r="M337">
        <v>343</v>
      </c>
      <c r="N337">
        <v>154</v>
      </c>
      <c r="O337">
        <v>67</v>
      </c>
      <c r="P337">
        <v>411</v>
      </c>
      <c r="Q337">
        <v>545</v>
      </c>
      <c r="R337">
        <v>336</v>
      </c>
    </row>
    <row r="338" spans="1:18">
      <c r="A338" s="1" t="s">
        <v>325</v>
      </c>
      <c r="B338">
        <v>32</v>
      </c>
      <c r="C338">
        <v>12</v>
      </c>
      <c r="D338">
        <v>20</v>
      </c>
      <c r="E338">
        <v>-3.47</v>
      </c>
      <c r="F338">
        <v>2035</v>
      </c>
      <c r="G338">
        <v>754</v>
      </c>
      <c r="H338">
        <v>1793</v>
      </c>
      <c r="I338">
        <v>370</v>
      </c>
      <c r="J338">
        <v>564</v>
      </c>
      <c r="K338">
        <v>373</v>
      </c>
      <c r="L338">
        <v>976</v>
      </c>
      <c r="M338">
        <v>349</v>
      </c>
      <c r="N338">
        <v>217</v>
      </c>
      <c r="O338">
        <v>104</v>
      </c>
      <c r="P338">
        <v>393</v>
      </c>
      <c r="Q338">
        <v>594</v>
      </c>
      <c r="R338">
        <v>337</v>
      </c>
    </row>
    <row r="339" spans="1:18">
      <c r="A339" s="1" t="s">
        <v>367</v>
      </c>
      <c r="B339">
        <v>36</v>
      </c>
      <c r="C339">
        <v>26</v>
      </c>
      <c r="D339">
        <v>10</v>
      </c>
      <c r="E339">
        <v>8.24</v>
      </c>
      <c r="F339">
        <v>2304</v>
      </c>
      <c r="G339">
        <v>797</v>
      </c>
      <c r="H339">
        <v>1875</v>
      </c>
      <c r="I339">
        <v>425</v>
      </c>
      <c r="J339">
        <v>575</v>
      </c>
      <c r="K339">
        <v>349</v>
      </c>
      <c r="L339">
        <v>1112</v>
      </c>
      <c r="M339">
        <v>428</v>
      </c>
      <c r="N339">
        <v>181</v>
      </c>
      <c r="O339">
        <v>126</v>
      </c>
      <c r="P339">
        <v>320</v>
      </c>
      <c r="Q339">
        <v>512</v>
      </c>
      <c r="R339">
        <v>338</v>
      </c>
    </row>
    <row r="340" spans="1:18">
      <c r="A340" s="1" t="s">
        <v>265</v>
      </c>
      <c r="B340">
        <v>33</v>
      </c>
      <c r="C340">
        <v>19</v>
      </c>
      <c r="D340">
        <v>14</v>
      </c>
      <c r="E340">
        <v>-3.79</v>
      </c>
      <c r="F340">
        <v>2110</v>
      </c>
      <c r="G340">
        <v>777</v>
      </c>
      <c r="H340">
        <v>1792</v>
      </c>
      <c r="I340">
        <v>338</v>
      </c>
      <c r="J340">
        <v>508</v>
      </c>
      <c r="K340">
        <v>344</v>
      </c>
      <c r="L340">
        <v>993</v>
      </c>
      <c r="M340">
        <v>463</v>
      </c>
      <c r="N340">
        <v>173</v>
      </c>
      <c r="O340">
        <v>78</v>
      </c>
      <c r="P340">
        <v>382</v>
      </c>
      <c r="Q340">
        <v>536</v>
      </c>
      <c r="R340">
        <v>339</v>
      </c>
    </row>
    <row r="341" spans="1:18">
      <c r="A341" s="1" t="s">
        <v>266</v>
      </c>
      <c r="B341">
        <v>32</v>
      </c>
      <c r="C341">
        <v>13</v>
      </c>
      <c r="D341">
        <v>19</v>
      </c>
      <c r="E341">
        <v>0.25</v>
      </c>
      <c r="F341">
        <v>1857</v>
      </c>
      <c r="G341">
        <v>625</v>
      </c>
      <c r="H341">
        <v>1569</v>
      </c>
      <c r="I341">
        <v>418</v>
      </c>
      <c r="J341">
        <v>594</v>
      </c>
      <c r="K341">
        <v>260</v>
      </c>
      <c r="L341">
        <v>813</v>
      </c>
      <c r="M341">
        <v>319</v>
      </c>
      <c r="N341">
        <v>210</v>
      </c>
      <c r="O341">
        <v>50</v>
      </c>
      <c r="P341">
        <v>436</v>
      </c>
      <c r="Q341">
        <v>635</v>
      </c>
      <c r="R341">
        <v>340</v>
      </c>
    </row>
    <row r="342" spans="1:18">
      <c r="A342" s="1" t="s">
        <v>267</v>
      </c>
      <c r="B342">
        <v>33</v>
      </c>
      <c r="C342">
        <v>21</v>
      </c>
      <c r="D342">
        <v>12</v>
      </c>
      <c r="E342">
        <v>1.43</v>
      </c>
      <c r="F342">
        <v>2068</v>
      </c>
      <c r="G342">
        <v>710</v>
      </c>
      <c r="H342">
        <v>1585</v>
      </c>
      <c r="I342">
        <v>451</v>
      </c>
      <c r="J342">
        <v>610</v>
      </c>
      <c r="K342">
        <v>227</v>
      </c>
      <c r="L342">
        <v>884</v>
      </c>
      <c r="M342">
        <v>373</v>
      </c>
      <c r="N342">
        <v>227</v>
      </c>
      <c r="O342">
        <v>104</v>
      </c>
      <c r="P342">
        <v>388</v>
      </c>
      <c r="Q342">
        <v>557</v>
      </c>
      <c r="R342">
        <v>341</v>
      </c>
    </row>
    <row r="343" spans="1:18">
      <c r="A343" s="1" t="s">
        <v>268</v>
      </c>
      <c r="B343">
        <v>36</v>
      </c>
      <c r="C343">
        <v>23</v>
      </c>
      <c r="D343">
        <v>13</v>
      </c>
      <c r="E343">
        <v>6.22</v>
      </c>
      <c r="F343">
        <v>2543</v>
      </c>
      <c r="G343">
        <v>899</v>
      </c>
      <c r="H343">
        <v>1986</v>
      </c>
      <c r="I343">
        <v>569</v>
      </c>
      <c r="J343">
        <v>819</v>
      </c>
      <c r="K343">
        <v>378</v>
      </c>
      <c r="L343">
        <v>1183</v>
      </c>
      <c r="M343">
        <v>471</v>
      </c>
      <c r="N343">
        <v>216</v>
      </c>
      <c r="O343">
        <v>135</v>
      </c>
      <c r="P343">
        <v>448</v>
      </c>
      <c r="Q343">
        <v>665</v>
      </c>
      <c r="R343">
        <v>342</v>
      </c>
    </row>
    <row r="344" spans="1:18">
      <c r="A344" s="1" t="s">
        <v>269</v>
      </c>
      <c r="B344">
        <v>29</v>
      </c>
      <c r="C344">
        <v>19</v>
      </c>
      <c r="D344">
        <v>10</v>
      </c>
      <c r="E344">
        <v>-2.63</v>
      </c>
      <c r="F344">
        <v>1991</v>
      </c>
      <c r="G344">
        <v>678</v>
      </c>
      <c r="H344">
        <v>1571</v>
      </c>
      <c r="I344">
        <v>459</v>
      </c>
      <c r="J344">
        <v>646</v>
      </c>
      <c r="K344">
        <v>340</v>
      </c>
      <c r="L344">
        <v>978</v>
      </c>
      <c r="M344">
        <v>383</v>
      </c>
      <c r="N344">
        <v>151</v>
      </c>
      <c r="O344">
        <v>115</v>
      </c>
      <c r="P344">
        <v>410</v>
      </c>
      <c r="Q344">
        <v>522</v>
      </c>
      <c r="R344">
        <v>343</v>
      </c>
    </row>
    <row r="345" spans="1:18">
      <c r="A345" s="1" t="s">
        <v>270</v>
      </c>
      <c r="B345">
        <v>31</v>
      </c>
      <c r="C345">
        <v>16</v>
      </c>
      <c r="D345">
        <v>15</v>
      </c>
      <c r="E345">
        <v>-1.65</v>
      </c>
      <c r="F345">
        <v>2095</v>
      </c>
      <c r="G345">
        <v>746</v>
      </c>
      <c r="H345">
        <v>1729</v>
      </c>
      <c r="I345">
        <v>333</v>
      </c>
      <c r="J345">
        <v>514</v>
      </c>
      <c r="K345">
        <v>296</v>
      </c>
      <c r="L345">
        <v>887</v>
      </c>
      <c r="M345">
        <v>405</v>
      </c>
      <c r="N345">
        <v>201</v>
      </c>
      <c r="O345">
        <v>164</v>
      </c>
      <c r="P345">
        <v>347</v>
      </c>
      <c r="Q345">
        <v>504</v>
      </c>
      <c r="R345">
        <v>344</v>
      </c>
    </row>
    <row r="346" spans="1:18">
      <c r="R346">
        <v>345</v>
      </c>
    </row>
    <row r="347" spans="1:18">
      <c r="R347">
        <v>346</v>
      </c>
    </row>
    <row r="348" spans="1:18">
      <c r="R348">
        <v>347</v>
      </c>
    </row>
    <row r="349" spans="1:18">
      <c r="R349">
        <v>348</v>
      </c>
    </row>
    <row r="350" spans="1:18">
      <c r="R350">
        <v>349</v>
      </c>
    </row>
    <row r="351" spans="1:18">
      <c r="R351">
        <v>350</v>
      </c>
    </row>
    <row r="352" spans="1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687FC-4E7A-48D6-B1B7-EB70776785C6}">
  <sheetPr codeName="Sheet14"/>
  <dimension ref="A1:R357"/>
  <sheetViews>
    <sheetView workbookViewId="0">
      <selection activeCell="R214" sqref="R1:R1048576"/>
    </sheetView>
  </sheetViews>
  <sheetFormatPr defaultColWidth="8.85546875" defaultRowHeight="15"/>
  <cols>
    <col min="1" max="1" width="28.425781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32</v>
      </c>
      <c r="C2">
        <v>18</v>
      </c>
      <c r="D2">
        <v>14</v>
      </c>
      <c r="E2">
        <v>4.28</v>
      </c>
      <c r="F2">
        <v>2241</v>
      </c>
      <c r="G2">
        <v>795</v>
      </c>
      <c r="H2">
        <v>1690</v>
      </c>
      <c r="I2">
        <v>379</v>
      </c>
      <c r="J2">
        <v>531</v>
      </c>
      <c r="K2">
        <v>240</v>
      </c>
      <c r="L2">
        <v>889</v>
      </c>
      <c r="M2">
        <v>508</v>
      </c>
      <c r="N2">
        <v>206</v>
      </c>
      <c r="O2">
        <v>55</v>
      </c>
      <c r="P2">
        <v>380</v>
      </c>
      <c r="Q2">
        <v>557</v>
      </c>
      <c r="R2">
        <v>1</v>
      </c>
    </row>
    <row r="3" spans="1:18">
      <c r="A3" s="1" t="s">
        <v>18</v>
      </c>
      <c r="B3">
        <v>33</v>
      </c>
      <c r="C3">
        <v>26</v>
      </c>
      <c r="D3">
        <v>7</v>
      </c>
      <c r="E3">
        <v>0.18</v>
      </c>
      <c r="F3">
        <v>2369</v>
      </c>
      <c r="G3">
        <v>852</v>
      </c>
      <c r="H3">
        <v>1874</v>
      </c>
      <c r="I3">
        <v>436</v>
      </c>
      <c r="J3">
        <v>678</v>
      </c>
      <c r="K3">
        <v>425</v>
      </c>
      <c r="L3">
        <v>1145</v>
      </c>
      <c r="M3">
        <v>485</v>
      </c>
      <c r="N3">
        <v>231</v>
      </c>
      <c r="O3">
        <v>189</v>
      </c>
      <c r="P3">
        <v>458</v>
      </c>
      <c r="Q3">
        <v>577</v>
      </c>
      <c r="R3">
        <v>2</v>
      </c>
    </row>
    <row r="4" spans="1:18">
      <c r="A4" s="1" t="s">
        <v>19</v>
      </c>
      <c r="B4">
        <v>31</v>
      </c>
      <c r="C4">
        <v>11</v>
      </c>
      <c r="D4">
        <v>20</v>
      </c>
      <c r="E4">
        <v>-9.82</v>
      </c>
      <c r="F4">
        <v>1957</v>
      </c>
      <c r="G4">
        <v>696</v>
      </c>
      <c r="H4">
        <v>1746</v>
      </c>
      <c r="I4">
        <v>410</v>
      </c>
      <c r="J4">
        <v>651</v>
      </c>
      <c r="K4">
        <v>377</v>
      </c>
      <c r="L4">
        <v>992</v>
      </c>
      <c r="M4">
        <v>367</v>
      </c>
      <c r="N4">
        <v>182</v>
      </c>
      <c r="O4">
        <v>102</v>
      </c>
      <c r="P4">
        <v>444</v>
      </c>
      <c r="Q4">
        <v>550</v>
      </c>
      <c r="R4">
        <v>3</v>
      </c>
    </row>
    <row r="5" spans="1:18">
      <c r="A5" s="1" t="s">
        <v>20</v>
      </c>
      <c r="B5">
        <v>33</v>
      </c>
      <c r="C5">
        <v>16</v>
      </c>
      <c r="D5">
        <v>17</v>
      </c>
      <c r="E5">
        <v>1.51</v>
      </c>
      <c r="F5">
        <v>2357</v>
      </c>
      <c r="G5">
        <v>857</v>
      </c>
      <c r="H5">
        <v>1980</v>
      </c>
      <c r="I5">
        <v>424</v>
      </c>
      <c r="J5">
        <v>586</v>
      </c>
      <c r="K5">
        <v>408</v>
      </c>
      <c r="L5">
        <v>1078</v>
      </c>
      <c r="M5">
        <v>529</v>
      </c>
      <c r="N5">
        <v>269</v>
      </c>
      <c r="O5">
        <v>85</v>
      </c>
      <c r="P5">
        <v>510</v>
      </c>
      <c r="Q5">
        <v>621</v>
      </c>
      <c r="R5">
        <v>4</v>
      </c>
    </row>
    <row r="6" spans="1:18">
      <c r="A6" s="1" t="s">
        <v>21</v>
      </c>
      <c r="B6">
        <v>32</v>
      </c>
      <c r="C6">
        <v>10</v>
      </c>
      <c r="D6">
        <v>22</v>
      </c>
      <c r="E6">
        <v>-9.01</v>
      </c>
      <c r="F6">
        <v>1979</v>
      </c>
      <c r="G6">
        <v>734</v>
      </c>
      <c r="H6">
        <v>1800</v>
      </c>
      <c r="I6">
        <v>343</v>
      </c>
      <c r="J6">
        <v>575</v>
      </c>
      <c r="K6">
        <v>398</v>
      </c>
      <c r="L6">
        <v>1025</v>
      </c>
      <c r="M6">
        <v>371</v>
      </c>
      <c r="N6">
        <v>202</v>
      </c>
      <c r="O6">
        <v>103</v>
      </c>
      <c r="P6">
        <v>479</v>
      </c>
      <c r="Q6">
        <v>598</v>
      </c>
      <c r="R6">
        <v>5</v>
      </c>
    </row>
    <row r="7" spans="1:18">
      <c r="A7" s="1" t="s">
        <v>22</v>
      </c>
      <c r="B7">
        <v>36</v>
      </c>
      <c r="C7">
        <v>23</v>
      </c>
      <c r="D7">
        <v>13</v>
      </c>
      <c r="E7">
        <v>5.93</v>
      </c>
      <c r="F7">
        <v>2268</v>
      </c>
      <c r="G7">
        <v>808</v>
      </c>
      <c r="H7">
        <v>1887</v>
      </c>
      <c r="I7">
        <v>455</v>
      </c>
      <c r="J7">
        <v>648</v>
      </c>
      <c r="K7">
        <v>381</v>
      </c>
      <c r="L7">
        <v>1051</v>
      </c>
      <c r="M7">
        <v>380</v>
      </c>
      <c r="N7">
        <v>294</v>
      </c>
      <c r="O7">
        <v>160</v>
      </c>
      <c r="P7">
        <v>451</v>
      </c>
      <c r="Q7">
        <v>619</v>
      </c>
      <c r="R7">
        <v>6</v>
      </c>
    </row>
    <row r="8" spans="1:18">
      <c r="A8" s="1" t="s">
        <v>23</v>
      </c>
      <c r="B8">
        <v>35</v>
      </c>
      <c r="C8">
        <v>24</v>
      </c>
      <c r="D8">
        <v>11</v>
      </c>
      <c r="E8">
        <v>-4.53</v>
      </c>
      <c r="F8">
        <v>2251</v>
      </c>
      <c r="G8">
        <v>761</v>
      </c>
      <c r="H8">
        <v>1748</v>
      </c>
      <c r="I8">
        <v>516</v>
      </c>
      <c r="J8">
        <v>700</v>
      </c>
      <c r="K8">
        <v>345</v>
      </c>
      <c r="L8">
        <v>1022</v>
      </c>
      <c r="M8">
        <v>394</v>
      </c>
      <c r="N8">
        <v>192</v>
      </c>
      <c r="O8">
        <v>71</v>
      </c>
      <c r="P8">
        <v>468</v>
      </c>
      <c r="Q8">
        <v>564</v>
      </c>
      <c r="R8">
        <v>7</v>
      </c>
    </row>
    <row r="9" spans="1:18">
      <c r="A9" s="1" t="s">
        <v>24</v>
      </c>
      <c r="B9">
        <v>34</v>
      </c>
      <c r="C9">
        <v>10</v>
      </c>
      <c r="D9">
        <v>24</v>
      </c>
      <c r="E9">
        <v>-7.11</v>
      </c>
      <c r="F9">
        <v>2055</v>
      </c>
      <c r="G9">
        <v>726</v>
      </c>
      <c r="H9">
        <v>1888</v>
      </c>
      <c r="I9">
        <v>438</v>
      </c>
      <c r="J9">
        <v>705</v>
      </c>
      <c r="K9">
        <v>342</v>
      </c>
      <c r="L9">
        <v>1025</v>
      </c>
      <c r="M9">
        <v>308</v>
      </c>
      <c r="N9">
        <v>221</v>
      </c>
      <c r="O9">
        <v>130</v>
      </c>
      <c r="P9">
        <v>512</v>
      </c>
      <c r="Q9">
        <v>677</v>
      </c>
      <c r="R9">
        <v>8</v>
      </c>
    </row>
    <row r="10" spans="1:18">
      <c r="A10" s="1" t="s">
        <v>25</v>
      </c>
      <c r="B10">
        <v>30</v>
      </c>
      <c r="C10">
        <v>10</v>
      </c>
      <c r="D10">
        <v>20</v>
      </c>
      <c r="E10">
        <v>-2.5299999999999998</v>
      </c>
      <c r="F10">
        <v>1735</v>
      </c>
      <c r="G10">
        <v>616</v>
      </c>
      <c r="H10">
        <v>1491</v>
      </c>
      <c r="I10">
        <v>326</v>
      </c>
      <c r="J10">
        <v>460</v>
      </c>
      <c r="K10">
        <v>270</v>
      </c>
      <c r="L10">
        <v>885</v>
      </c>
      <c r="M10">
        <v>348</v>
      </c>
      <c r="N10">
        <v>101</v>
      </c>
      <c r="O10">
        <v>75</v>
      </c>
      <c r="P10">
        <v>364</v>
      </c>
      <c r="Q10">
        <v>431</v>
      </c>
      <c r="R10">
        <v>9</v>
      </c>
    </row>
    <row r="11" spans="1:18">
      <c r="A11" s="1" t="s">
        <v>271</v>
      </c>
      <c r="B11">
        <v>31</v>
      </c>
      <c r="C11">
        <v>15</v>
      </c>
      <c r="D11">
        <v>16</v>
      </c>
      <c r="E11">
        <v>-5.77</v>
      </c>
      <c r="F11">
        <v>2211</v>
      </c>
      <c r="G11">
        <v>777</v>
      </c>
      <c r="H11">
        <v>1781</v>
      </c>
      <c r="I11">
        <v>456</v>
      </c>
      <c r="J11">
        <v>662</v>
      </c>
      <c r="K11">
        <v>352</v>
      </c>
      <c r="L11">
        <v>986</v>
      </c>
      <c r="M11">
        <v>356</v>
      </c>
      <c r="N11">
        <v>212</v>
      </c>
      <c r="O11">
        <v>119</v>
      </c>
      <c r="P11">
        <v>420</v>
      </c>
      <c r="Q11">
        <v>575</v>
      </c>
      <c r="R11">
        <v>10</v>
      </c>
    </row>
    <row r="12" spans="1:18">
      <c r="A12" s="1" t="s">
        <v>26</v>
      </c>
      <c r="B12">
        <v>35</v>
      </c>
      <c r="C12">
        <v>22</v>
      </c>
      <c r="D12">
        <v>13</v>
      </c>
      <c r="E12">
        <v>4.5999999999999996</v>
      </c>
      <c r="F12">
        <v>2512</v>
      </c>
      <c r="G12">
        <v>902</v>
      </c>
      <c r="H12">
        <v>1964</v>
      </c>
      <c r="I12">
        <v>458</v>
      </c>
      <c r="J12">
        <v>706</v>
      </c>
      <c r="K12">
        <v>338</v>
      </c>
      <c r="L12">
        <v>1168</v>
      </c>
      <c r="M12">
        <v>497</v>
      </c>
      <c r="N12">
        <v>222</v>
      </c>
      <c r="O12">
        <v>211</v>
      </c>
      <c r="P12">
        <v>445</v>
      </c>
      <c r="Q12">
        <v>553</v>
      </c>
      <c r="R12">
        <v>11</v>
      </c>
    </row>
    <row r="13" spans="1:18">
      <c r="A13" s="1" t="s">
        <v>356</v>
      </c>
      <c r="B13">
        <v>35</v>
      </c>
      <c r="C13">
        <v>27</v>
      </c>
      <c r="D13">
        <v>8</v>
      </c>
      <c r="E13">
        <v>7.47</v>
      </c>
      <c r="F13">
        <v>2570</v>
      </c>
      <c r="G13">
        <v>880</v>
      </c>
      <c r="H13">
        <v>1933</v>
      </c>
      <c r="I13">
        <v>541</v>
      </c>
      <c r="J13">
        <v>722</v>
      </c>
      <c r="K13">
        <v>393</v>
      </c>
      <c r="L13">
        <v>1172</v>
      </c>
      <c r="M13">
        <v>476</v>
      </c>
      <c r="N13">
        <v>234</v>
      </c>
      <c r="O13">
        <v>134</v>
      </c>
      <c r="P13">
        <v>458</v>
      </c>
      <c r="Q13">
        <v>584</v>
      </c>
      <c r="R13">
        <v>12</v>
      </c>
    </row>
    <row r="14" spans="1:18">
      <c r="A14" s="1" t="s">
        <v>27</v>
      </c>
      <c r="B14">
        <v>32</v>
      </c>
      <c r="C14">
        <v>17</v>
      </c>
      <c r="D14">
        <v>15</v>
      </c>
      <c r="E14">
        <v>-2.23</v>
      </c>
      <c r="F14">
        <v>2127</v>
      </c>
      <c r="G14">
        <v>732</v>
      </c>
      <c r="H14">
        <v>1736</v>
      </c>
      <c r="I14">
        <v>501</v>
      </c>
      <c r="J14">
        <v>741</v>
      </c>
      <c r="K14">
        <v>361</v>
      </c>
      <c r="L14">
        <v>977</v>
      </c>
      <c r="M14">
        <v>372</v>
      </c>
      <c r="N14">
        <v>215</v>
      </c>
      <c r="O14">
        <v>121</v>
      </c>
      <c r="P14">
        <v>488</v>
      </c>
      <c r="Q14">
        <v>632</v>
      </c>
      <c r="R14">
        <v>13</v>
      </c>
    </row>
    <row r="15" spans="1:18">
      <c r="A15" s="1" t="s">
        <v>28</v>
      </c>
      <c r="B15">
        <v>30</v>
      </c>
      <c r="C15">
        <v>16</v>
      </c>
      <c r="D15">
        <v>14</v>
      </c>
      <c r="E15">
        <v>-8.1999999999999993</v>
      </c>
      <c r="F15">
        <v>1880</v>
      </c>
      <c r="G15">
        <v>683</v>
      </c>
      <c r="H15">
        <v>1707</v>
      </c>
      <c r="I15">
        <v>355</v>
      </c>
      <c r="J15">
        <v>563</v>
      </c>
      <c r="K15">
        <v>351</v>
      </c>
      <c r="L15">
        <v>944</v>
      </c>
      <c r="M15">
        <v>382</v>
      </c>
      <c r="N15">
        <v>297</v>
      </c>
      <c r="O15">
        <v>99</v>
      </c>
      <c r="P15">
        <v>433</v>
      </c>
      <c r="Q15">
        <v>533</v>
      </c>
      <c r="R15">
        <v>14</v>
      </c>
    </row>
    <row r="16" spans="1:18">
      <c r="A16" s="1" t="s">
        <v>29</v>
      </c>
      <c r="B16">
        <v>31</v>
      </c>
      <c r="C16">
        <v>19</v>
      </c>
      <c r="D16">
        <v>12</v>
      </c>
      <c r="E16">
        <v>-4.3600000000000003</v>
      </c>
      <c r="F16">
        <v>2127</v>
      </c>
      <c r="G16">
        <v>705</v>
      </c>
      <c r="H16">
        <v>1737</v>
      </c>
      <c r="I16">
        <v>520</v>
      </c>
      <c r="J16">
        <v>762</v>
      </c>
      <c r="K16">
        <v>392</v>
      </c>
      <c r="L16">
        <v>1037</v>
      </c>
      <c r="M16">
        <v>324</v>
      </c>
      <c r="N16">
        <v>256</v>
      </c>
      <c r="O16">
        <v>95</v>
      </c>
      <c r="P16">
        <v>408</v>
      </c>
      <c r="Q16">
        <v>543</v>
      </c>
      <c r="R16">
        <v>15</v>
      </c>
    </row>
    <row r="17" spans="1:18">
      <c r="A17" s="1" t="s">
        <v>302</v>
      </c>
      <c r="B17">
        <v>32</v>
      </c>
      <c r="C17">
        <v>19</v>
      </c>
      <c r="D17">
        <v>13</v>
      </c>
      <c r="E17">
        <v>4.97</v>
      </c>
      <c r="F17">
        <v>2358</v>
      </c>
      <c r="G17">
        <v>852</v>
      </c>
      <c r="H17">
        <v>1960</v>
      </c>
      <c r="I17">
        <v>462</v>
      </c>
      <c r="J17">
        <v>687</v>
      </c>
      <c r="K17">
        <v>386</v>
      </c>
      <c r="L17">
        <v>1018</v>
      </c>
      <c r="M17">
        <v>475</v>
      </c>
      <c r="N17">
        <v>295</v>
      </c>
      <c r="O17">
        <v>159</v>
      </c>
      <c r="P17">
        <v>372</v>
      </c>
      <c r="Q17">
        <v>649</v>
      </c>
      <c r="R17">
        <v>16</v>
      </c>
    </row>
    <row r="18" spans="1:18">
      <c r="A18" s="1" t="s">
        <v>30</v>
      </c>
      <c r="B18">
        <v>31</v>
      </c>
      <c r="C18">
        <v>16</v>
      </c>
      <c r="D18">
        <v>15</v>
      </c>
      <c r="E18">
        <v>-4.5199999999999996</v>
      </c>
      <c r="F18">
        <v>2245</v>
      </c>
      <c r="G18">
        <v>767</v>
      </c>
      <c r="H18">
        <v>1723</v>
      </c>
      <c r="I18">
        <v>461</v>
      </c>
      <c r="J18">
        <v>628</v>
      </c>
      <c r="K18">
        <v>328</v>
      </c>
      <c r="L18">
        <v>1015</v>
      </c>
      <c r="M18">
        <v>442</v>
      </c>
      <c r="N18">
        <v>160</v>
      </c>
      <c r="O18">
        <v>99</v>
      </c>
      <c r="P18">
        <v>437</v>
      </c>
      <c r="Q18">
        <v>601</v>
      </c>
      <c r="R18">
        <v>17</v>
      </c>
    </row>
    <row r="19" spans="1:18">
      <c r="A19" s="1" t="s">
        <v>272</v>
      </c>
      <c r="B19">
        <v>32</v>
      </c>
      <c r="C19">
        <v>9</v>
      </c>
      <c r="D19">
        <v>23</v>
      </c>
      <c r="E19">
        <v>4.18</v>
      </c>
      <c r="F19">
        <v>2074</v>
      </c>
      <c r="G19">
        <v>726</v>
      </c>
      <c r="H19">
        <v>1777</v>
      </c>
      <c r="I19">
        <v>439</v>
      </c>
      <c r="J19">
        <v>627</v>
      </c>
      <c r="K19">
        <v>329</v>
      </c>
      <c r="L19">
        <v>979</v>
      </c>
      <c r="M19">
        <v>396</v>
      </c>
      <c r="N19">
        <v>222</v>
      </c>
      <c r="O19">
        <v>124</v>
      </c>
      <c r="P19">
        <v>427</v>
      </c>
      <c r="Q19">
        <v>657</v>
      </c>
      <c r="R19">
        <v>18</v>
      </c>
    </row>
    <row r="20" spans="1:18">
      <c r="A20" s="1" t="s">
        <v>31</v>
      </c>
      <c r="B20">
        <v>31</v>
      </c>
      <c r="C20">
        <v>8</v>
      </c>
      <c r="D20">
        <v>23</v>
      </c>
      <c r="E20">
        <v>-4.3099999999999996</v>
      </c>
      <c r="F20">
        <v>2218</v>
      </c>
      <c r="G20">
        <v>783</v>
      </c>
      <c r="H20">
        <v>1714</v>
      </c>
      <c r="I20">
        <v>426</v>
      </c>
      <c r="J20">
        <v>633</v>
      </c>
      <c r="K20">
        <v>315</v>
      </c>
      <c r="L20">
        <v>962</v>
      </c>
      <c r="M20">
        <v>455</v>
      </c>
      <c r="N20">
        <v>194</v>
      </c>
      <c r="O20">
        <v>159</v>
      </c>
      <c r="P20">
        <v>502</v>
      </c>
      <c r="Q20">
        <v>490</v>
      </c>
      <c r="R20">
        <v>19</v>
      </c>
    </row>
    <row r="21" spans="1:18">
      <c r="A21" s="1" t="s">
        <v>273</v>
      </c>
      <c r="B21">
        <v>30</v>
      </c>
      <c r="C21">
        <v>15</v>
      </c>
      <c r="D21">
        <v>15</v>
      </c>
      <c r="E21">
        <v>-3.15</v>
      </c>
      <c r="F21">
        <v>1957</v>
      </c>
      <c r="G21">
        <v>656</v>
      </c>
      <c r="H21">
        <v>1542</v>
      </c>
      <c r="I21">
        <v>468</v>
      </c>
      <c r="J21">
        <v>718</v>
      </c>
      <c r="K21">
        <v>369</v>
      </c>
      <c r="L21">
        <v>990</v>
      </c>
      <c r="M21">
        <v>355</v>
      </c>
      <c r="N21">
        <v>193</v>
      </c>
      <c r="O21">
        <v>71</v>
      </c>
      <c r="P21">
        <v>455</v>
      </c>
      <c r="Q21">
        <v>516</v>
      </c>
      <c r="R21">
        <v>20</v>
      </c>
    </row>
    <row r="22" spans="1:18">
      <c r="A22" s="1" t="s">
        <v>32</v>
      </c>
      <c r="B22">
        <v>37</v>
      </c>
      <c r="C22">
        <v>23</v>
      </c>
      <c r="D22">
        <v>14</v>
      </c>
      <c r="E22">
        <v>7.13</v>
      </c>
      <c r="F22">
        <v>2811</v>
      </c>
      <c r="G22">
        <v>1002</v>
      </c>
      <c r="H22">
        <v>2178</v>
      </c>
      <c r="I22">
        <v>550</v>
      </c>
      <c r="J22">
        <v>796</v>
      </c>
      <c r="K22">
        <v>443</v>
      </c>
      <c r="L22">
        <v>1280</v>
      </c>
      <c r="M22">
        <v>586</v>
      </c>
      <c r="N22">
        <v>243</v>
      </c>
      <c r="O22">
        <v>166</v>
      </c>
      <c r="P22">
        <v>440</v>
      </c>
      <c r="Q22">
        <v>632</v>
      </c>
      <c r="R22">
        <v>21</v>
      </c>
    </row>
    <row r="23" spans="1:18">
      <c r="A23" s="1" t="s">
        <v>33</v>
      </c>
      <c r="B23">
        <v>33</v>
      </c>
      <c r="C23">
        <v>26</v>
      </c>
      <c r="D23">
        <v>7</v>
      </c>
      <c r="E23">
        <v>-0.96</v>
      </c>
      <c r="F23">
        <v>2533</v>
      </c>
      <c r="G23">
        <v>906</v>
      </c>
      <c r="H23">
        <v>1844</v>
      </c>
      <c r="I23">
        <v>442</v>
      </c>
      <c r="J23">
        <v>604</v>
      </c>
      <c r="K23">
        <v>306</v>
      </c>
      <c r="L23">
        <v>966</v>
      </c>
      <c r="M23">
        <v>516</v>
      </c>
      <c r="N23">
        <v>322</v>
      </c>
      <c r="O23">
        <v>88</v>
      </c>
      <c r="P23">
        <v>440</v>
      </c>
      <c r="Q23">
        <v>604</v>
      </c>
      <c r="R23">
        <v>22</v>
      </c>
    </row>
    <row r="24" spans="1:18">
      <c r="A24" s="1" t="s">
        <v>34</v>
      </c>
      <c r="B24">
        <v>34</v>
      </c>
      <c r="C24">
        <v>14</v>
      </c>
      <c r="D24">
        <v>20</v>
      </c>
      <c r="E24">
        <v>-6.44</v>
      </c>
      <c r="F24">
        <v>2283</v>
      </c>
      <c r="G24">
        <v>815</v>
      </c>
      <c r="H24">
        <v>1957</v>
      </c>
      <c r="I24">
        <v>463</v>
      </c>
      <c r="J24">
        <v>742</v>
      </c>
      <c r="K24">
        <v>425</v>
      </c>
      <c r="L24">
        <v>1068</v>
      </c>
      <c r="M24">
        <v>439</v>
      </c>
      <c r="N24">
        <v>246</v>
      </c>
      <c r="O24">
        <v>125</v>
      </c>
      <c r="P24">
        <v>420</v>
      </c>
      <c r="Q24">
        <v>698</v>
      </c>
      <c r="R24">
        <v>23</v>
      </c>
    </row>
    <row r="25" spans="1:18">
      <c r="A25" s="1" t="s">
        <v>303</v>
      </c>
      <c r="B25">
        <v>30</v>
      </c>
      <c r="C25">
        <v>3</v>
      </c>
      <c r="D25">
        <v>27</v>
      </c>
      <c r="E25">
        <v>-3.7</v>
      </c>
      <c r="F25">
        <v>1676</v>
      </c>
      <c r="G25">
        <v>588</v>
      </c>
      <c r="H25">
        <v>1580</v>
      </c>
      <c r="I25">
        <v>344</v>
      </c>
      <c r="J25">
        <v>533</v>
      </c>
      <c r="K25">
        <v>303</v>
      </c>
      <c r="L25">
        <v>943</v>
      </c>
      <c r="M25">
        <v>247</v>
      </c>
      <c r="N25">
        <v>173</v>
      </c>
      <c r="O25">
        <v>74</v>
      </c>
      <c r="P25">
        <v>461</v>
      </c>
      <c r="Q25">
        <v>507</v>
      </c>
      <c r="R25">
        <v>24</v>
      </c>
    </row>
    <row r="26" spans="1:18">
      <c r="A26" s="1" t="s">
        <v>35</v>
      </c>
      <c r="B26">
        <v>32</v>
      </c>
      <c r="C26">
        <v>21</v>
      </c>
      <c r="D26">
        <v>11</v>
      </c>
      <c r="E26">
        <v>5.27</v>
      </c>
      <c r="F26">
        <v>2343</v>
      </c>
      <c r="G26">
        <v>824</v>
      </c>
      <c r="H26">
        <v>1790</v>
      </c>
      <c r="I26">
        <v>446</v>
      </c>
      <c r="J26">
        <v>597</v>
      </c>
      <c r="K26">
        <v>323</v>
      </c>
      <c r="L26">
        <v>988</v>
      </c>
      <c r="M26">
        <v>423</v>
      </c>
      <c r="N26">
        <v>212</v>
      </c>
      <c r="O26">
        <v>54</v>
      </c>
      <c r="P26">
        <v>385</v>
      </c>
      <c r="Q26">
        <v>599</v>
      </c>
      <c r="R26">
        <v>25</v>
      </c>
    </row>
    <row r="27" spans="1:18">
      <c r="A27" s="1" t="s">
        <v>36</v>
      </c>
      <c r="B27">
        <v>33</v>
      </c>
      <c r="C27">
        <v>16</v>
      </c>
      <c r="D27">
        <v>17</v>
      </c>
      <c r="E27">
        <v>7.03</v>
      </c>
      <c r="F27">
        <v>2215</v>
      </c>
      <c r="G27">
        <v>750</v>
      </c>
      <c r="H27">
        <v>1701</v>
      </c>
      <c r="I27">
        <v>481</v>
      </c>
      <c r="J27">
        <v>676</v>
      </c>
      <c r="K27">
        <v>289</v>
      </c>
      <c r="L27">
        <v>951</v>
      </c>
      <c r="M27">
        <v>404</v>
      </c>
      <c r="N27">
        <v>184</v>
      </c>
      <c r="O27">
        <v>86</v>
      </c>
      <c r="P27">
        <v>376</v>
      </c>
      <c r="Q27">
        <v>519</v>
      </c>
      <c r="R27">
        <v>26</v>
      </c>
    </row>
    <row r="28" spans="1:18">
      <c r="A28" s="1" t="s">
        <v>37</v>
      </c>
      <c r="B28">
        <v>30</v>
      </c>
      <c r="C28">
        <v>17</v>
      </c>
      <c r="D28">
        <v>13</v>
      </c>
      <c r="E28">
        <v>-3.93</v>
      </c>
      <c r="F28">
        <v>2035</v>
      </c>
      <c r="G28">
        <v>739</v>
      </c>
      <c r="H28">
        <v>1647</v>
      </c>
      <c r="I28">
        <v>317</v>
      </c>
      <c r="J28">
        <v>436</v>
      </c>
      <c r="K28">
        <v>254</v>
      </c>
      <c r="L28">
        <v>862</v>
      </c>
      <c r="M28">
        <v>408</v>
      </c>
      <c r="N28">
        <v>223</v>
      </c>
      <c r="O28">
        <v>53</v>
      </c>
      <c r="P28">
        <v>374</v>
      </c>
      <c r="Q28">
        <v>504</v>
      </c>
      <c r="R28">
        <v>27</v>
      </c>
    </row>
    <row r="29" spans="1:18">
      <c r="A29" s="1" t="s">
        <v>38</v>
      </c>
      <c r="B29">
        <v>32</v>
      </c>
      <c r="C29">
        <v>13</v>
      </c>
      <c r="D29">
        <v>19</v>
      </c>
      <c r="E29">
        <v>-1.75</v>
      </c>
      <c r="F29">
        <v>2010</v>
      </c>
      <c r="G29">
        <v>753</v>
      </c>
      <c r="H29">
        <v>1795</v>
      </c>
      <c r="I29">
        <v>346</v>
      </c>
      <c r="J29">
        <v>484</v>
      </c>
      <c r="K29">
        <v>349</v>
      </c>
      <c r="L29">
        <v>1000</v>
      </c>
      <c r="M29">
        <v>385</v>
      </c>
      <c r="N29">
        <v>236</v>
      </c>
      <c r="O29">
        <v>136</v>
      </c>
      <c r="P29">
        <v>410</v>
      </c>
      <c r="Q29">
        <v>515</v>
      </c>
      <c r="R29">
        <v>28</v>
      </c>
    </row>
    <row r="30" spans="1:18">
      <c r="A30" s="1" t="s">
        <v>39</v>
      </c>
      <c r="B30">
        <v>35</v>
      </c>
      <c r="C30">
        <v>18</v>
      </c>
      <c r="D30">
        <v>17</v>
      </c>
      <c r="E30">
        <v>1.97</v>
      </c>
      <c r="F30">
        <v>2371</v>
      </c>
      <c r="G30">
        <v>876</v>
      </c>
      <c r="H30">
        <v>2006</v>
      </c>
      <c r="I30">
        <v>434</v>
      </c>
      <c r="J30">
        <v>600</v>
      </c>
      <c r="K30">
        <v>373</v>
      </c>
      <c r="L30">
        <v>1048</v>
      </c>
      <c r="M30">
        <v>439</v>
      </c>
      <c r="N30">
        <v>318</v>
      </c>
      <c r="O30">
        <v>84</v>
      </c>
      <c r="P30">
        <v>415</v>
      </c>
      <c r="Q30">
        <v>615</v>
      </c>
      <c r="R30">
        <v>29</v>
      </c>
    </row>
    <row r="31" spans="1:18">
      <c r="A31" s="1" t="s">
        <v>40</v>
      </c>
      <c r="B31">
        <v>36</v>
      </c>
      <c r="C31">
        <v>24</v>
      </c>
      <c r="D31">
        <v>12</v>
      </c>
      <c r="E31">
        <v>3.75</v>
      </c>
      <c r="F31">
        <v>2777</v>
      </c>
      <c r="G31">
        <v>999</v>
      </c>
      <c r="H31">
        <v>2188</v>
      </c>
      <c r="I31">
        <v>566</v>
      </c>
      <c r="J31">
        <v>777</v>
      </c>
      <c r="K31">
        <v>433</v>
      </c>
      <c r="L31">
        <v>1278</v>
      </c>
      <c r="M31">
        <v>575</v>
      </c>
      <c r="N31">
        <v>291</v>
      </c>
      <c r="O31">
        <v>89</v>
      </c>
      <c r="P31">
        <v>432</v>
      </c>
      <c r="Q31">
        <v>678</v>
      </c>
      <c r="R31">
        <v>30</v>
      </c>
    </row>
    <row r="32" spans="1:18">
      <c r="A32" s="1" t="s">
        <v>41</v>
      </c>
      <c r="B32">
        <v>28</v>
      </c>
      <c r="C32">
        <v>13</v>
      </c>
      <c r="D32">
        <v>15</v>
      </c>
      <c r="E32">
        <v>-3.03</v>
      </c>
      <c r="F32">
        <v>1748</v>
      </c>
      <c r="G32">
        <v>610</v>
      </c>
      <c r="H32">
        <v>1490</v>
      </c>
      <c r="I32">
        <v>323</v>
      </c>
      <c r="J32">
        <v>512</v>
      </c>
      <c r="K32">
        <v>306</v>
      </c>
      <c r="L32">
        <v>928</v>
      </c>
      <c r="M32">
        <v>349</v>
      </c>
      <c r="N32">
        <v>185</v>
      </c>
      <c r="O32">
        <v>103</v>
      </c>
      <c r="P32">
        <v>396</v>
      </c>
      <c r="Q32">
        <v>471</v>
      </c>
      <c r="R32">
        <v>31</v>
      </c>
    </row>
    <row r="33" spans="1:18">
      <c r="A33" s="1" t="s">
        <v>352</v>
      </c>
      <c r="B33">
        <v>31</v>
      </c>
      <c r="C33">
        <v>19</v>
      </c>
      <c r="D33">
        <v>12</v>
      </c>
      <c r="E33">
        <v>-4.72</v>
      </c>
      <c r="F33">
        <v>2294</v>
      </c>
      <c r="G33">
        <v>812</v>
      </c>
      <c r="H33">
        <v>1693</v>
      </c>
      <c r="I33">
        <v>453</v>
      </c>
      <c r="J33">
        <v>627</v>
      </c>
      <c r="K33">
        <v>303</v>
      </c>
      <c r="L33">
        <v>942</v>
      </c>
      <c r="M33">
        <v>470</v>
      </c>
      <c r="N33">
        <v>158</v>
      </c>
      <c r="O33">
        <v>35</v>
      </c>
      <c r="P33">
        <v>400</v>
      </c>
      <c r="Q33">
        <v>512</v>
      </c>
      <c r="R33">
        <v>32</v>
      </c>
    </row>
    <row r="34" spans="1:18">
      <c r="A34" s="1" t="s">
        <v>42</v>
      </c>
      <c r="B34">
        <v>34</v>
      </c>
      <c r="C34">
        <v>28</v>
      </c>
      <c r="D34">
        <v>6</v>
      </c>
      <c r="E34">
        <v>-1.96</v>
      </c>
      <c r="F34">
        <v>2277</v>
      </c>
      <c r="G34">
        <v>818</v>
      </c>
      <c r="H34">
        <v>1807</v>
      </c>
      <c r="I34">
        <v>484</v>
      </c>
      <c r="J34">
        <v>652</v>
      </c>
      <c r="K34">
        <v>308</v>
      </c>
      <c r="L34">
        <v>1142</v>
      </c>
      <c r="M34">
        <v>455</v>
      </c>
      <c r="N34">
        <v>118</v>
      </c>
      <c r="O34">
        <v>139</v>
      </c>
      <c r="P34">
        <v>321</v>
      </c>
      <c r="Q34">
        <v>498</v>
      </c>
      <c r="R34">
        <v>33</v>
      </c>
    </row>
    <row r="35" spans="1:18">
      <c r="A35" s="1" t="s">
        <v>43</v>
      </c>
      <c r="B35">
        <v>34</v>
      </c>
      <c r="C35">
        <v>14</v>
      </c>
      <c r="D35">
        <v>20</v>
      </c>
      <c r="E35">
        <v>-0.35</v>
      </c>
      <c r="F35">
        <v>2275</v>
      </c>
      <c r="G35">
        <v>794</v>
      </c>
      <c r="H35">
        <v>1767</v>
      </c>
      <c r="I35">
        <v>472</v>
      </c>
      <c r="J35">
        <v>671</v>
      </c>
      <c r="K35">
        <v>389</v>
      </c>
      <c r="L35">
        <v>1106</v>
      </c>
      <c r="M35">
        <v>510</v>
      </c>
      <c r="N35">
        <v>188</v>
      </c>
      <c r="O35">
        <v>156</v>
      </c>
      <c r="P35">
        <v>525</v>
      </c>
      <c r="Q35">
        <v>632</v>
      </c>
      <c r="R35">
        <v>34</v>
      </c>
    </row>
    <row r="36" spans="1:18">
      <c r="A36" s="1" t="s">
        <v>304</v>
      </c>
      <c r="B36">
        <v>36</v>
      </c>
      <c r="C36">
        <v>27</v>
      </c>
      <c r="D36">
        <v>9</v>
      </c>
      <c r="E36">
        <v>6.08</v>
      </c>
      <c r="F36">
        <v>2495</v>
      </c>
      <c r="G36">
        <v>869</v>
      </c>
      <c r="H36">
        <v>1931</v>
      </c>
      <c r="I36">
        <v>518</v>
      </c>
      <c r="J36">
        <v>744</v>
      </c>
      <c r="K36">
        <v>419</v>
      </c>
      <c r="L36">
        <v>1213</v>
      </c>
      <c r="M36">
        <v>465</v>
      </c>
      <c r="N36">
        <v>206</v>
      </c>
      <c r="O36">
        <v>94</v>
      </c>
      <c r="P36">
        <v>474</v>
      </c>
      <c r="Q36">
        <v>644</v>
      </c>
      <c r="R36">
        <v>35</v>
      </c>
    </row>
    <row r="37" spans="1:18">
      <c r="A37" s="1" t="s">
        <v>44</v>
      </c>
      <c r="B37">
        <v>32</v>
      </c>
      <c r="C37">
        <v>18</v>
      </c>
      <c r="D37">
        <v>14</v>
      </c>
      <c r="E37">
        <v>-0.62</v>
      </c>
      <c r="F37">
        <v>2074</v>
      </c>
      <c r="G37">
        <v>719</v>
      </c>
      <c r="H37">
        <v>1696</v>
      </c>
      <c r="I37">
        <v>409</v>
      </c>
      <c r="J37">
        <v>564</v>
      </c>
      <c r="K37">
        <v>336</v>
      </c>
      <c r="L37">
        <v>912</v>
      </c>
      <c r="M37">
        <v>441</v>
      </c>
      <c r="N37">
        <v>184</v>
      </c>
      <c r="O37">
        <v>55</v>
      </c>
      <c r="P37">
        <v>302</v>
      </c>
      <c r="Q37">
        <v>549</v>
      </c>
      <c r="R37">
        <v>36</v>
      </c>
    </row>
    <row r="38" spans="1:18">
      <c r="A38" s="1" t="s">
        <v>343</v>
      </c>
      <c r="B38">
        <v>30</v>
      </c>
      <c r="C38">
        <v>14</v>
      </c>
      <c r="D38">
        <v>16</v>
      </c>
      <c r="E38">
        <v>-2.17</v>
      </c>
      <c r="F38">
        <v>2041</v>
      </c>
      <c r="G38">
        <v>710</v>
      </c>
      <c r="H38">
        <v>1697</v>
      </c>
      <c r="I38">
        <v>422</v>
      </c>
      <c r="J38">
        <v>603</v>
      </c>
      <c r="K38">
        <v>342</v>
      </c>
      <c r="L38">
        <v>908</v>
      </c>
      <c r="M38">
        <v>380</v>
      </c>
      <c r="N38">
        <v>221</v>
      </c>
      <c r="O38">
        <v>56</v>
      </c>
      <c r="P38">
        <v>424</v>
      </c>
      <c r="Q38">
        <v>610</v>
      </c>
      <c r="R38">
        <v>37</v>
      </c>
    </row>
    <row r="39" spans="1:18">
      <c r="A39" s="1" t="s">
        <v>45</v>
      </c>
      <c r="B39">
        <v>32</v>
      </c>
      <c r="C39">
        <v>14</v>
      </c>
      <c r="D39">
        <v>18</v>
      </c>
      <c r="E39">
        <v>-3.03</v>
      </c>
      <c r="F39">
        <v>2451</v>
      </c>
      <c r="G39">
        <v>855</v>
      </c>
      <c r="H39">
        <v>1819</v>
      </c>
      <c r="I39">
        <v>475</v>
      </c>
      <c r="J39">
        <v>627</v>
      </c>
      <c r="K39">
        <v>268</v>
      </c>
      <c r="L39">
        <v>859</v>
      </c>
      <c r="M39">
        <v>472</v>
      </c>
      <c r="N39">
        <v>248</v>
      </c>
      <c r="O39">
        <v>52</v>
      </c>
      <c r="P39">
        <v>401</v>
      </c>
      <c r="Q39">
        <v>595</v>
      </c>
      <c r="R39">
        <v>38</v>
      </c>
    </row>
    <row r="40" spans="1:18">
      <c r="A40" s="1" t="s">
        <v>46</v>
      </c>
      <c r="B40">
        <v>31</v>
      </c>
      <c r="C40">
        <v>14</v>
      </c>
      <c r="D40">
        <v>17</v>
      </c>
      <c r="E40">
        <v>-1.93</v>
      </c>
      <c r="F40">
        <v>2333</v>
      </c>
      <c r="G40">
        <v>818</v>
      </c>
      <c r="H40">
        <v>1876</v>
      </c>
      <c r="I40">
        <v>534</v>
      </c>
      <c r="J40">
        <v>729</v>
      </c>
      <c r="K40">
        <v>426</v>
      </c>
      <c r="L40">
        <v>1053</v>
      </c>
      <c r="M40">
        <v>474</v>
      </c>
      <c r="N40">
        <v>262</v>
      </c>
      <c r="O40">
        <v>91</v>
      </c>
      <c r="P40">
        <v>423</v>
      </c>
      <c r="Q40">
        <v>605</v>
      </c>
      <c r="R40">
        <v>39</v>
      </c>
    </row>
    <row r="41" spans="1:18">
      <c r="A41" s="1" t="s">
        <v>330</v>
      </c>
      <c r="B41">
        <v>31</v>
      </c>
      <c r="C41">
        <v>14</v>
      </c>
      <c r="D41">
        <v>17</v>
      </c>
      <c r="E41">
        <v>-2.57</v>
      </c>
      <c r="F41">
        <v>2210</v>
      </c>
      <c r="G41">
        <v>781</v>
      </c>
      <c r="H41">
        <v>1651</v>
      </c>
      <c r="I41">
        <v>391</v>
      </c>
      <c r="J41">
        <v>544</v>
      </c>
      <c r="K41">
        <v>252</v>
      </c>
      <c r="L41">
        <v>950</v>
      </c>
      <c r="M41">
        <v>458</v>
      </c>
      <c r="N41">
        <v>144</v>
      </c>
      <c r="O41">
        <v>87</v>
      </c>
      <c r="P41">
        <v>434</v>
      </c>
      <c r="Q41">
        <v>533</v>
      </c>
      <c r="R41">
        <v>40</v>
      </c>
    </row>
    <row r="42" spans="1:18">
      <c r="A42" s="1" t="s">
        <v>47</v>
      </c>
      <c r="B42">
        <v>37</v>
      </c>
      <c r="C42">
        <v>21</v>
      </c>
      <c r="D42">
        <v>16</v>
      </c>
      <c r="E42">
        <v>-0.66</v>
      </c>
      <c r="F42">
        <v>2558</v>
      </c>
      <c r="G42">
        <v>932</v>
      </c>
      <c r="H42">
        <v>2151</v>
      </c>
      <c r="I42">
        <v>445</v>
      </c>
      <c r="J42">
        <v>669</v>
      </c>
      <c r="K42">
        <v>417</v>
      </c>
      <c r="L42">
        <v>1303</v>
      </c>
      <c r="M42">
        <v>580</v>
      </c>
      <c r="N42">
        <v>181</v>
      </c>
      <c r="O42">
        <v>159</v>
      </c>
      <c r="P42">
        <v>461</v>
      </c>
      <c r="Q42">
        <v>651</v>
      </c>
      <c r="R42">
        <v>41</v>
      </c>
    </row>
    <row r="43" spans="1:18">
      <c r="A43" s="1" t="s">
        <v>305</v>
      </c>
      <c r="B43">
        <v>31</v>
      </c>
      <c r="C43">
        <v>6</v>
      </c>
      <c r="D43">
        <v>25</v>
      </c>
      <c r="E43">
        <v>-1.71</v>
      </c>
      <c r="F43">
        <v>1829</v>
      </c>
      <c r="G43">
        <v>688</v>
      </c>
      <c r="H43">
        <v>1650</v>
      </c>
      <c r="I43">
        <v>307</v>
      </c>
      <c r="J43">
        <v>527</v>
      </c>
      <c r="K43">
        <v>347</v>
      </c>
      <c r="L43">
        <v>983</v>
      </c>
      <c r="M43">
        <v>382</v>
      </c>
      <c r="N43">
        <v>193</v>
      </c>
      <c r="O43">
        <v>91</v>
      </c>
      <c r="P43">
        <v>453</v>
      </c>
      <c r="Q43">
        <v>494</v>
      </c>
      <c r="R43">
        <v>42</v>
      </c>
    </row>
    <row r="44" spans="1:18">
      <c r="A44" s="1" t="s">
        <v>48</v>
      </c>
      <c r="B44">
        <v>31</v>
      </c>
      <c r="C44">
        <v>11</v>
      </c>
      <c r="D44">
        <v>20</v>
      </c>
      <c r="E44">
        <v>0.4</v>
      </c>
      <c r="F44">
        <v>2003</v>
      </c>
      <c r="G44">
        <v>703</v>
      </c>
      <c r="H44">
        <v>1676</v>
      </c>
      <c r="I44">
        <v>350</v>
      </c>
      <c r="J44">
        <v>506</v>
      </c>
      <c r="K44">
        <v>341</v>
      </c>
      <c r="L44">
        <v>995</v>
      </c>
      <c r="M44">
        <v>457</v>
      </c>
      <c r="N44">
        <v>165</v>
      </c>
      <c r="O44">
        <v>137</v>
      </c>
      <c r="P44">
        <v>446</v>
      </c>
      <c r="Q44">
        <v>556</v>
      </c>
      <c r="R44">
        <v>43</v>
      </c>
    </row>
    <row r="45" spans="1:18">
      <c r="A45" s="1" t="s">
        <v>49</v>
      </c>
      <c r="B45">
        <v>33</v>
      </c>
      <c r="C45">
        <v>21</v>
      </c>
      <c r="D45">
        <v>12</v>
      </c>
      <c r="E45">
        <v>7.77</v>
      </c>
      <c r="F45">
        <v>2218</v>
      </c>
      <c r="G45">
        <v>833</v>
      </c>
      <c r="H45">
        <v>1875</v>
      </c>
      <c r="I45">
        <v>418</v>
      </c>
      <c r="J45">
        <v>585</v>
      </c>
      <c r="K45">
        <v>361</v>
      </c>
      <c r="L45">
        <v>1134</v>
      </c>
      <c r="M45">
        <v>468</v>
      </c>
      <c r="N45">
        <v>192</v>
      </c>
      <c r="O45">
        <v>154</v>
      </c>
      <c r="P45">
        <v>417</v>
      </c>
      <c r="Q45">
        <v>549</v>
      </c>
      <c r="R45">
        <v>44</v>
      </c>
    </row>
    <row r="46" spans="1:18">
      <c r="A46" s="1" t="s">
        <v>50</v>
      </c>
      <c r="B46">
        <v>33</v>
      </c>
      <c r="C46">
        <v>13</v>
      </c>
      <c r="D46">
        <v>20</v>
      </c>
      <c r="E46">
        <v>-5.55</v>
      </c>
      <c r="F46">
        <v>2284</v>
      </c>
      <c r="G46">
        <v>855</v>
      </c>
      <c r="H46">
        <v>1921</v>
      </c>
      <c r="I46">
        <v>439</v>
      </c>
      <c r="J46">
        <v>619</v>
      </c>
      <c r="K46">
        <v>381</v>
      </c>
      <c r="L46">
        <v>1008</v>
      </c>
      <c r="M46">
        <v>461</v>
      </c>
      <c r="N46">
        <v>250</v>
      </c>
      <c r="O46">
        <v>110</v>
      </c>
      <c r="P46">
        <v>456</v>
      </c>
      <c r="Q46">
        <v>619</v>
      </c>
      <c r="R46">
        <v>45</v>
      </c>
    </row>
    <row r="47" spans="1:18">
      <c r="A47" s="1" t="s">
        <v>51</v>
      </c>
      <c r="B47">
        <v>34</v>
      </c>
      <c r="C47">
        <v>20</v>
      </c>
      <c r="D47">
        <v>14</v>
      </c>
      <c r="E47">
        <v>-0.99</v>
      </c>
      <c r="F47">
        <v>2499</v>
      </c>
      <c r="G47">
        <v>857</v>
      </c>
      <c r="H47">
        <v>1923</v>
      </c>
      <c r="I47">
        <v>472</v>
      </c>
      <c r="J47">
        <v>659</v>
      </c>
      <c r="K47">
        <v>400</v>
      </c>
      <c r="L47">
        <v>1073</v>
      </c>
      <c r="M47">
        <v>432</v>
      </c>
      <c r="N47">
        <v>198</v>
      </c>
      <c r="O47">
        <v>111</v>
      </c>
      <c r="P47">
        <v>450</v>
      </c>
      <c r="Q47">
        <v>578</v>
      </c>
      <c r="R47">
        <v>46</v>
      </c>
    </row>
    <row r="48" spans="1:18">
      <c r="A48" s="1" t="s">
        <v>344</v>
      </c>
      <c r="B48">
        <v>30</v>
      </c>
      <c r="C48">
        <v>13</v>
      </c>
      <c r="D48">
        <v>17</v>
      </c>
      <c r="E48">
        <v>-6.12</v>
      </c>
      <c r="F48">
        <v>2294</v>
      </c>
      <c r="G48">
        <v>856</v>
      </c>
      <c r="H48">
        <v>1967</v>
      </c>
      <c r="I48">
        <v>368</v>
      </c>
      <c r="J48">
        <v>582</v>
      </c>
      <c r="K48">
        <v>416</v>
      </c>
      <c r="L48">
        <v>1047</v>
      </c>
      <c r="M48">
        <v>423</v>
      </c>
      <c r="N48">
        <v>236</v>
      </c>
      <c r="O48">
        <v>120</v>
      </c>
      <c r="P48">
        <v>432</v>
      </c>
      <c r="Q48">
        <v>626</v>
      </c>
      <c r="R48">
        <v>47</v>
      </c>
    </row>
    <row r="49" spans="1:18">
      <c r="A49" s="1" t="s">
        <v>274</v>
      </c>
      <c r="B49">
        <v>30</v>
      </c>
      <c r="C49">
        <v>13</v>
      </c>
      <c r="D49">
        <v>17</v>
      </c>
      <c r="E49">
        <v>-4.04</v>
      </c>
      <c r="F49">
        <v>2186</v>
      </c>
      <c r="G49">
        <v>785</v>
      </c>
      <c r="H49">
        <v>1832</v>
      </c>
      <c r="I49">
        <v>404</v>
      </c>
      <c r="J49">
        <v>552</v>
      </c>
      <c r="K49">
        <v>311</v>
      </c>
      <c r="L49">
        <v>906</v>
      </c>
      <c r="M49">
        <v>378</v>
      </c>
      <c r="N49">
        <v>225</v>
      </c>
      <c r="O49">
        <v>130</v>
      </c>
      <c r="P49">
        <v>378</v>
      </c>
      <c r="Q49">
        <v>484</v>
      </c>
      <c r="R49">
        <v>48</v>
      </c>
    </row>
    <row r="50" spans="1:18">
      <c r="A50" s="1" t="s">
        <v>53</v>
      </c>
      <c r="B50">
        <v>31</v>
      </c>
      <c r="C50">
        <v>20</v>
      </c>
      <c r="D50">
        <v>11</v>
      </c>
      <c r="E50">
        <v>0.96</v>
      </c>
      <c r="F50">
        <v>2194</v>
      </c>
      <c r="G50">
        <v>768</v>
      </c>
      <c r="H50">
        <v>1695</v>
      </c>
      <c r="I50">
        <v>438</v>
      </c>
      <c r="J50">
        <v>680</v>
      </c>
      <c r="K50">
        <v>373</v>
      </c>
      <c r="L50">
        <v>1011</v>
      </c>
      <c r="M50">
        <v>431</v>
      </c>
      <c r="N50">
        <v>233</v>
      </c>
      <c r="O50">
        <v>141</v>
      </c>
      <c r="P50">
        <v>427</v>
      </c>
      <c r="Q50">
        <v>436</v>
      </c>
      <c r="R50">
        <v>49</v>
      </c>
    </row>
    <row r="51" spans="1:18">
      <c r="A51" s="1" t="s">
        <v>54</v>
      </c>
      <c r="B51">
        <v>31</v>
      </c>
      <c r="C51">
        <v>11</v>
      </c>
      <c r="D51">
        <v>20</v>
      </c>
      <c r="E51">
        <v>-1.21</v>
      </c>
      <c r="F51">
        <v>2092</v>
      </c>
      <c r="G51">
        <v>680</v>
      </c>
      <c r="H51">
        <v>1664</v>
      </c>
      <c r="I51">
        <v>482</v>
      </c>
      <c r="J51">
        <v>659</v>
      </c>
      <c r="K51">
        <v>330</v>
      </c>
      <c r="L51">
        <v>868</v>
      </c>
      <c r="M51">
        <v>404</v>
      </c>
      <c r="N51">
        <v>208</v>
      </c>
      <c r="O51">
        <v>65</v>
      </c>
      <c r="P51">
        <v>402</v>
      </c>
      <c r="Q51">
        <v>514</v>
      </c>
      <c r="R51">
        <v>50</v>
      </c>
    </row>
    <row r="52" spans="1:18">
      <c r="A52" s="1" t="s">
        <v>55</v>
      </c>
      <c r="B52">
        <v>32</v>
      </c>
      <c r="C52">
        <v>19</v>
      </c>
      <c r="D52">
        <v>13</v>
      </c>
      <c r="E52">
        <v>-5.62</v>
      </c>
      <c r="F52">
        <v>2361</v>
      </c>
      <c r="G52">
        <v>818</v>
      </c>
      <c r="H52">
        <v>1937</v>
      </c>
      <c r="I52">
        <v>428</v>
      </c>
      <c r="J52">
        <v>605</v>
      </c>
      <c r="K52">
        <v>427</v>
      </c>
      <c r="L52">
        <v>1121</v>
      </c>
      <c r="M52">
        <v>395</v>
      </c>
      <c r="N52">
        <v>235</v>
      </c>
      <c r="O52">
        <v>87</v>
      </c>
      <c r="P52">
        <v>394</v>
      </c>
      <c r="Q52">
        <v>507</v>
      </c>
      <c r="R52">
        <v>51</v>
      </c>
    </row>
    <row r="53" spans="1:18">
      <c r="A53" s="1" t="s">
        <v>56</v>
      </c>
      <c r="B53">
        <v>33</v>
      </c>
      <c r="C53">
        <v>21</v>
      </c>
      <c r="D53">
        <v>12</v>
      </c>
      <c r="E53">
        <v>2.75</v>
      </c>
      <c r="F53">
        <v>2229</v>
      </c>
      <c r="G53">
        <v>793</v>
      </c>
      <c r="H53">
        <v>1804</v>
      </c>
      <c r="I53">
        <v>529</v>
      </c>
      <c r="J53">
        <v>809</v>
      </c>
      <c r="K53">
        <v>422</v>
      </c>
      <c r="L53">
        <v>1131</v>
      </c>
      <c r="M53">
        <v>387</v>
      </c>
      <c r="N53">
        <v>246</v>
      </c>
      <c r="O53">
        <v>103</v>
      </c>
      <c r="P53">
        <v>505</v>
      </c>
      <c r="Q53">
        <v>651</v>
      </c>
      <c r="R53">
        <v>52</v>
      </c>
    </row>
    <row r="54" spans="1:18">
      <c r="A54" s="1" t="s">
        <v>57</v>
      </c>
      <c r="B54">
        <v>32</v>
      </c>
      <c r="C54">
        <v>13</v>
      </c>
      <c r="D54">
        <v>19</v>
      </c>
      <c r="E54">
        <v>-4.97</v>
      </c>
      <c r="F54">
        <v>2218</v>
      </c>
      <c r="G54">
        <v>762</v>
      </c>
      <c r="H54">
        <v>1822</v>
      </c>
      <c r="I54">
        <v>527</v>
      </c>
      <c r="J54">
        <v>793</v>
      </c>
      <c r="K54">
        <v>420</v>
      </c>
      <c r="L54">
        <v>1097</v>
      </c>
      <c r="M54">
        <v>381</v>
      </c>
      <c r="N54">
        <v>220</v>
      </c>
      <c r="O54">
        <v>65</v>
      </c>
      <c r="P54">
        <v>449</v>
      </c>
      <c r="Q54">
        <v>570</v>
      </c>
      <c r="R54">
        <v>53</v>
      </c>
    </row>
    <row r="55" spans="1:18">
      <c r="A55" s="1" t="s">
        <v>58</v>
      </c>
      <c r="B55">
        <v>33</v>
      </c>
      <c r="C55">
        <v>11</v>
      </c>
      <c r="D55">
        <v>22</v>
      </c>
      <c r="E55">
        <v>-4.91</v>
      </c>
      <c r="F55">
        <v>2151</v>
      </c>
      <c r="G55">
        <v>779</v>
      </c>
      <c r="H55">
        <v>1949</v>
      </c>
      <c r="I55">
        <v>362</v>
      </c>
      <c r="J55">
        <v>498</v>
      </c>
      <c r="K55">
        <v>369</v>
      </c>
      <c r="L55">
        <v>988</v>
      </c>
      <c r="M55">
        <v>407</v>
      </c>
      <c r="N55">
        <v>311</v>
      </c>
      <c r="O55">
        <v>94</v>
      </c>
      <c r="P55">
        <v>484</v>
      </c>
      <c r="Q55">
        <v>675</v>
      </c>
      <c r="R55">
        <v>54</v>
      </c>
    </row>
    <row r="56" spans="1:18">
      <c r="A56" s="1" t="s">
        <v>335</v>
      </c>
      <c r="B56">
        <v>34</v>
      </c>
      <c r="C56">
        <v>22</v>
      </c>
      <c r="D56">
        <v>12</v>
      </c>
      <c r="E56">
        <v>6.93</v>
      </c>
      <c r="F56">
        <v>2262</v>
      </c>
      <c r="G56">
        <v>791</v>
      </c>
      <c r="H56">
        <v>1963</v>
      </c>
      <c r="I56">
        <v>450</v>
      </c>
      <c r="J56">
        <v>696</v>
      </c>
      <c r="K56">
        <v>488</v>
      </c>
      <c r="L56">
        <v>1219</v>
      </c>
      <c r="M56">
        <v>415</v>
      </c>
      <c r="N56">
        <v>240</v>
      </c>
      <c r="O56">
        <v>208</v>
      </c>
      <c r="P56">
        <v>432</v>
      </c>
      <c r="Q56">
        <v>605</v>
      </c>
      <c r="R56">
        <v>55</v>
      </c>
    </row>
    <row r="57" spans="1:18">
      <c r="A57" s="1" t="s">
        <v>59</v>
      </c>
      <c r="B57">
        <v>30</v>
      </c>
      <c r="C57">
        <v>8</v>
      </c>
      <c r="D57">
        <v>22</v>
      </c>
      <c r="E57">
        <v>-5.45</v>
      </c>
      <c r="F57">
        <v>1931</v>
      </c>
      <c r="G57">
        <v>681</v>
      </c>
      <c r="H57">
        <v>1504</v>
      </c>
      <c r="I57">
        <v>393</v>
      </c>
      <c r="J57">
        <v>559</v>
      </c>
      <c r="K57">
        <v>283</v>
      </c>
      <c r="L57">
        <v>806</v>
      </c>
      <c r="M57">
        <v>452</v>
      </c>
      <c r="N57">
        <v>212</v>
      </c>
      <c r="O57">
        <v>69</v>
      </c>
      <c r="P57">
        <v>465</v>
      </c>
      <c r="Q57">
        <v>456</v>
      </c>
      <c r="R57">
        <v>56</v>
      </c>
    </row>
    <row r="58" spans="1:18">
      <c r="A58" s="1" t="s">
        <v>60</v>
      </c>
      <c r="B58">
        <v>31</v>
      </c>
      <c r="C58">
        <v>13</v>
      </c>
      <c r="D58">
        <v>18</v>
      </c>
      <c r="E58">
        <v>4.4400000000000004</v>
      </c>
      <c r="F58">
        <v>1907</v>
      </c>
      <c r="G58">
        <v>697</v>
      </c>
      <c r="H58">
        <v>1643</v>
      </c>
      <c r="I58">
        <v>356</v>
      </c>
      <c r="J58">
        <v>544</v>
      </c>
      <c r="K58">
        <v>330</v>
      </c>
      <c r="L58">
        <v>947</v>
      </c>
      <c r="M58">
        <v>334</v>
      </c>
      <c r="N58">
        <v>208</v>
      </c>
      <c r="O58">
        <v>148</v>
      </c>
      <c r="P58">
        <v>355</v>
      </c>
      <c r="Q58">
        <v>497</v>
      </c>
      <c r="R58">
        <v>57</v>
      </c>
    </row>
    <row r="59" spans="1:18">
      <c r="A59" s="1" t="s">
        <v>61</v>
      </c>
      <c r="B59">
        <v>32</v>
      </c>
      <c r="C59">
        <v>14</v>
      </c>
      <c r="D59">
        <v>18</v>
      </c>
      <c r="E59">
        <v>-0.16</v>
      </c>
      <c r="F59">
        <v>2051</v>
      </c>
      <c r="G59">
        <v>733</v>
      </c>
      <c r="H59">
        <v>1734</v>
      </c>
      <c r="I59">
        <v>379</v>
      </c>
      <c r="J59">
        <v>535</v>
      </c>
      <c r="K59">
        <v>340</v>
      </c>
      <c r="L59">
        <v>889</v>
      </c>
      <c r="M59">
        <v>389</v>
      </c>
      <c r="N59">
        <v>233</v>
      </c>
      <c r="O59">
        <v>95</v>
      </c>
      <c r="P59">
        <v>452</v>
      </c>
      <c r="Q59">
        <v>627</v>
      </c>
      <c r="R59">
        <v>58</v>
      </c>
    </row>
    <row r="60" spans="1:18">
      <c r="A60" s="1" t="s">
        <v>62</v>
      </c>
      <c r="B60">
        <v>29</v>
      </c>
      <c r="C60">
        <v>14</v>
      </c>
      <c r="D60">
        <v>15</v>
      </c>
      <c r="E60">
        <v>-5.22</v>
      </c>
      <c r="F60">
        <v>1943</v>
      </c>
      <c r="G60">
        <v>714</v>
      </c>
      <c r="H60">
        <v>1626</v>
      </c>
      <c r="I60">
        <v>385</v>
      </c>
      <c r="J60">
        <v>587</v>
      </c>
      <c r="K60">
        <v>401</v>
      </c>
      <c r="L60">
        <v>978</v>
      </c>
      <c r="M60">
        <v>308</v>
      </c>
      <c r="N60">
        <v>250</v>
      </c>
      <c r="O60">
        <v>61</v>
      </c>
      <c r="P60">
        <v>410</v>
      </c>
      <c r="Q60">
        <v>538</v>
      </c>
      <c r="R60">
        <v>59</v>
      </c>
    </row>
    <row r="61" spans="1:18">
      <c r="A61" s="1" t="s">
        <v>63</v>
      </c>
      <c r="B61">
        <v>32</v>
      </c>
      <c r="C61">
        <v>11</v>
      </c>
      <c r="D61">
        <v>21</v>
      </c>
      <c r="E61">
        <v>-2.58</v>
      </c>
      <c r="F61">
        <v>2033</v>
      </c>
      <c r="G61">
        <v>735</v>
      </c>
      <c r="H61">
        <v>1760</v>
      </c>
      <c r="I61">
        <v>343</v>
      </c>
      <c r="J61">
        <v>485</v>
      </c>
      <c r="K61">
        <v>290</v>
      </c>
      <c r="L61">
        <v>1031</v>
      </c>
      <c r="M61">
        <v>412</v>
      </c>
      <c r="N61">
        <v>148</v>
      </c>
      <c r="O61">
        <v>91</v>
      </c>
      <c r="P61">
        <v>423</v>
      </c>
      <c r="Q61">
        <v>561</v>
      </c>
      <c r="R61">
        <v>60</v>
      </c>
    </row>
    <row r="62" spans="1:18">
      <c r="A62" s="1" t="s">
        <v>64</v>
      </c>
      <c r="B62">
        <v>35</v>
      </c>
      <c r="C62">
        <v>24</v>
      </c>
      <c r="D62">
        <v>11</v>
      </c>
      <c r="E62">
        <v>-3.86</v>
      </c>
      <c r="F62">
        <v>2297</v>
      </c>
      <c r="G62">
        <v>803</v>
      </c>
      <c r="H62">
        <v>1819</v>
      </c>
      <c r="I62">
        <v>482</v>
      </c>
      <c r="J62">
        <v>703</v>
      </c>
      <c r="K62">
        <v>391</v>
      </c>
      <c r="L62">
        <v>1194</v>
      </c>
      <c r="M62">
        <v>392</v>
      </c>
      <c r="N62">
        <v>149</v>
      </c>
      <c r="O62">
        <v>150</v>
      </c>
      <c r="P62">
        <v>467</v>
      </c>
      <c r="Q62">
        <v>502</v>
      </c>
      <c r="R62">
        <v>61</v>
      </c>
    </row>
    <row r="63" spans="1:18">
      <c r="A63" s="1" t="s">
        <v>65</v>
      </c>
      <c r="B63">
        <v>35</v>
      </c>
      <c r="C63">
        <v>26</v>
      </c>
      <c r="D63">
        <v>9</v>
      </c>
      <c r="E63">
        <v>5.89</v>
      </c>
      <c r="F63">
        <v>2553</v>
      </c>
      <c r="G63">
        <v>881</v>
      </c>
      <c r="H63">
        <v>1961</v>
      </c>
      <c r="I63">
        <v>611</v>
      </c>
      <c r="J63">
        <v>855</v>
      </c>
      <c r="K63">
        <v>493</v>
      </c>
      <c r="L63">
        <v>1297</v>
      </c>
      <c r="M63">
        <v>445</v>
      </c>
      <c r="N63">
        <v>162</v>
      </c>
      <c r="O63">
        <v>74</v>
      </c>
      <c r="P63">
        <v>389</v>
      </c>
      <c r="Q63">
        <v>600</v>
      </c>
      <c r="R63">
        <v>62</v>
      </c>
    </row>
    <row r="64" spans="1:18">
      <c r="A64" s="1" t="s">
        <v>66</v>
      </c>
      <c r="B64">
        <v>33</v>
      </c>
      <c r="C64">
        <v>21</v>
      </c>
      <c r="D64">
        <v>12</v>
      </c>
      <c r="E64">
        <v>7.95</v>
      </c>
      <c r="F64">
        <v>2230</v>
      </c>
      <c r="G64">
        <v>775</v>
      </c>
      <c r="H64">
        <v>1788</v>
      </c>
      <c r="I64">
        <v>502</v>
      </c>
      <c r="J64">
        <v>732</v>
      </c>
      <c r="K64">
        <v>378</v>
      </c>
      <c r="L64">
        <v>1128</v>
      </c>
      <c r="M64">
        <v>328</v>
      </c>
      <c r="N64">
        <v>230</v>
      </c>
      <c r="O64">
        <v>105</v>
      </c>
      <c r="P64">
        <v>439</v>
      </c>
      <c r="Q64">
        <v>525</v>
      </c>
      <c r="R64">
        <v>63</v>
      </c>
    </row>
    <row r="65" spans="1:18">
      <c r="A65" s="1" t="s">
        <v>67</v>
      </c>
      <c r="B65">
        <v>28</v>
      </c>
      <c r="C65">
        <v>12</v>
      </c>
      <c r="D65">
        <v>16</v>
      </c>
      <c r="E65">
        <v>-3.48</v>
      </c>
      <c r="F65">
        <v>1746</v>
      </c>
      <c r="G65">
        <v>604</v>
      </c>
      <c r="H65">
        <v>1435</v>
      </c>
      <c r="I65">
        <v>357</v>
      </c>
      <c r="J65">
        <v>479</v>
      </c>
      <c r="K65">
        <v>260</v>
      </c>
      <c r="L65">
        <v>802</v>
      </c>
      <c r="M65">
        <v>337</v>
      </c>
      <c r="N65">
        <v>172</v>
      </c>
      <c r="O65">
        <v>72</v>
      </c>
      <c r="P65">
        <v>306</v>
      </c>
      <c r="Q65">
        <v>521</v>
      </c>
      <c r="R65">
        <v>64</v>
      </c>
    </row>
    <row r="66" spans="1:18">
      <c r="A66" s="1" t="s">
        <v>275</v>
      </c>
      <c r="B66">
        <v>30</v>
      </c>
      <c r="C66">
        <v>20</v>
      </c>
      <c r="D66">
        <v>10</v>
      </c>
      <c r="E66">
        <v>7.42</v>
      </c>
      <c r="F66">
        <v>2096</v>
      </c>
      <c r="G66">
        <v>727</v>
      </c>
      <c r="H66">
        <v>1644</v>
      </c>
      <c r="I66">
        <v>451</v>
      </c>
      <c r="J66">
        <v>607</v>
      </c>
      <c r="K66">
        <v>276</v>
      </c>
      <c r="L66">
        <v>877</v>
      </c>
      <c r="M66">
        <v>410</v>
      </c>
      <c r="N66">
        <v>224</v>
      </c>
      <c r="O66">
        <v>136</v>
      </c>
      <c r="P66">
        <v>367</v>
      </c>
      <c r="Q66">
        <v>486</v>
      </c>
      <c r="R66">
        <v>65</v>
      </c>
    </row>
    <row r="67" spans="1:18">
      <c r="A67" s="1" t="s">
        <v>68</v>
      </c>
      <c r="B67">
        <v>32</v>
      </c>
      <c r="C67">
        <v>8</v>
      </c>
      <c r="D67">
        <v>24</v>
      </c>
      <c r="E67">
        <v>-4.2</v>
      </c>
      <c r="F67">
        <v>2035</v>
      </c>
      <c r="G67">
        <v>687</v>
      </c>
      <c r="H67">
        <v>1878</v>
      </c>
      <c r="I67">
        <v>418</v>
      </c>
      <c r="J67">
        <v>601</v>
      </c>
      <c r="K67">
        <v>372</v>
      </c>
      <c r="L67">
        <v>937</v>
      </c>
      <c r="M67">
        <v>328</v>
      </c>
      <c r="N67">
        <v>250</v>
      </c>
      <c r="O67">
        <v>57</v>
      </c>
      <c r="P67">
        <v>472</v>
      </c>
      <c r="Q67">
        <v>577</v>
      </c>
      <c r="R67">
        <v>66</v>
      </c>
    </row>
    <row r="68" spans="1:18">
      <c r="A68" s="1" t="s">
        <v>69</v>
      </c>
      <c r="B68">
        <v>31</v>
      </c>
      <c r="C68">
        <v>13</v>
      </c>
      <c r="D68">
        <v>18</v>
      </c>
      <c r="E68">
        <v>-2.37</v>
      </c>
      <c r="F68">
        <v>2040</v>
      </c>
      <c r="G68">
        <v>732</v>
      </c>
      <c r="H68">
        <v>1727</v>
      </c>
      <c r="I68">
        <v>368</v>
      </c>
      <c r="J68">
        <v>523</v>
      </c>
      <c r="K68">
        <v>308</v>
      </c>
      <c r="L68">
        <v>925</v>
      </c>
      <c r="M68">
        <v>364</v>
      </c>
      <c r="N68">
        <v>210</v>
      </c>
      <c r="O68">
        <v>111</v>
      </c>
      <c r="P68">
        <v>412</v>
      </c>
      <c r="Q68">
        <v>550</v>
      </c>
      <c r="R68">
        <v>67</v>
      </c>
    </row>
    <row r="69" spans="1:18">
      <c r="A69" s="1" t="s">
        <v>326</v>
      </c>
      <c r="B69">
        <v>36</v>
      </c>
      <c r="C69">
        <v>28</v>
      </c>
      <c r="D69">
        <v>8</v>
      </c>
      <c r="E69">
        <v>5.16</v>
      </c>
      <c r="F69">
        <v>2680</v>
      </c>
      <c r="G69">
        <v>942</v>
      </c>
      <c r="H69">
        <v>1882</v>
      </c>
      <c r="I69">
        <v>489</v>
      </c>
      <c r="J69">
        <v>644</v>
      </c>
      <c r="K69">
        <v>300</v>
      </c>
      <c r="L69">
        <v>1172</v>
      </c>
      <c r="M69">
        <v>609</v>
      </c>
      <c r="N69">
        <v>174</v>
      </c>
      <c r="O69">
        <v>92</v>
      </c>
      <c r="P69">
        <v>443</v>
      </c>
      <c r="Q69">
        <v>588</v>
      </c>
      <c r="R69">
        <v>68</v>
      </c>
    </row>
    <row r="70" spans="1:18">
      <c r="A70" s="1" t="s">
        <v>70</v>
      </c>
      <c r="B70">
        <v>28</v>
      </c>
      <c r="C70">
        <v>9</v>
      </c>
      <c r="D70">
        <v>19</v>
      </c>
      <c r="E70">
        <v>-3.17</v>
      </c>
      <c r="F70">
        <v>1719</v>
      </c>
      <c r="G70">
        <v>598</v>
      </c>
      <c r="H70">
        <v>1467</v>
      </c>
      <c r="I70">
        <v>364</v>
      </c>
      <c r="J70">
        <v>499</v>
      </c>
      <c r="K70">
        <v>274</v>
      </c>
      <c r="L70">
        <v>817</v>
      </c>
      <c r="M70">
        <v>297</v>
      </c>
      <c r="N70">
        <v>195</v>
      </c>
      <c r="O70">
        <v>71</v>
      </c>
      <c r="P70">
        <v>378</v>
      </c>
      <c r="Q70">
        <v>530</v>
      </c>
      <c r="R70">
        <v>69</v>
      </c>
    </row>
    <row r="71" spans="1:18">
      <c r="A71" s="1" t="s">
        <v>71</v>
      </c>
      <c r="B71">
        <v>34</v>
      </c>
      <c r="C71">
        <v>26</v>
      </c>
      <c r="D71">
        <v>8</v>
      </c>
      <c r="E71">
        <v>-3.45</v>
      </c>
      <c r="F71">
        <v>2490</v>
      </c>
      <c r="G71">
        <v>837</v>
      </c>
      <c r="H71">
        <v>1813</v>
      </c>
      <c r="I71">
        <v>560</v>
      </c>
      <c r="J71">
        <v>704</v>
      </c>
      <c r="K71">
        <v>306</v>
      </c>
      <c r="L71">
        <v>1048</v>
      </c>
      <c r="M71">
        <v>473</v>
      </c>
      <c r="N71">
        <v>189</v>
      </c>
      <c r="O71">
        <v>101</v>
      </c>
      <c r="P71">
        <v>371</v>
      </c>
      <c r="Q71">
        <v>601</v>
      </c>
      <c r="R71">
        <v>70</v>
      </c>
    </row>
    <row r="72" spans="1:18">
      <c r="A72" s="1" t="s">
        <v>276</v>
      </c>
      <c r="B72">
        <v>31</v>
      </c>
      <c r="C72">
        <v>17</v>
      </c>
      <c r="D72">
        <v>14</v>
      </c>
      <c r="E72">
        <v>4.2699999999999996</v>
      </c>
      <c r="F72">
        <v>2225</v>
      </c>
      <c r="G72">
        <v>786</v>
      </c>
      <c r="H72">
        <v>1656</v>
      </c>
      <c r="I72">
        <v>471</v>
      </c>
      <c r="J72">
        <v>657</v>
      </c>
      <c r="K72">
        <v>342</v>
      </c>
      <c r="L72">
        <v>973</v>
      </c>
      <c r="M72">
        <v>433</v>
      </c>
      <c r="N72">
        <v>173</v>
      </c>
      <c r="O72">
        <v>80</v>
      </c>
      <c r="P72">
        <v>450</v>
      </c>
      <c r="Q72">
        <v>613</v>
      </c>
      <c r="R72">
        <v>71</v>
      </c>
    </row>
    <row r="73" spans="1:18">
      <c r="A73" s="1" t="s">
        <v>72</v>
      </c>
      <c r="B73">
        <v>33</v>
      </c>
      <c r="C73">
        <v>15</v>
      </c>
      <c r="D73">
        <v>18</v>
      </c>
      <c r="E73">
        <v>-5.9</v>
      </c>
      <c r="F73">
        <v>1997</v>
      </c>
      <c r="G73">
        <v>709</v>
      </c>
      <c r="H73">
        <v>1731</v>
      </c>
      <c r="I73">
        <v>396</v>
      </c>
      <c r="J73">
        <v>574</v>
      </c>
      <c r="K73">
        <v>366</v>
      </c>
      <c r="L73">
        <v>947</v>
      </c>
      <c r="M73">
        <v>326</v>
      </c>
      <c r="N73">
        <v>228</v>
      </c>
      <c r="O73">
        <v>185</v>
      </c>
      <c r="P73">
        <v>453</v>
      </c>
      <c r="Q73">
        <v>515</v>
      </c>
      <c r="R73">
        <v>72</v>
      </c>
    </row>
    <row r="74" spans="1:18">
      <c r="A74" s="1" t="s">
        <v>73</v>
      </c>
      <c r="B74">
        <v>33</v>
      </c>
      <c r="C74">
        <v>19</v>
      </c>
      <c r="D74">
        <v>14</v>
      </c>
      <c r="E74">
        <v>-0.81</v>
      </c>
      <c r="F74">
        <v>2276</v>
      </c>
      <c r="G74">
        <v>776</v>
      </c>
      <c r="H74">
        <v>1833</v>
      </c>
      <c r="I74">
        <v>580</v>
      </c>
      <c r="J74">
        <v>769</v>
      </c>
      <c r="K74">
        <v>381</v>
      </c>
      <c r="L74">
        <v>1169</v>
      </c>
      <c r="M74">
        <v>319</v>
      </c>
      <c r="N74">
        <v>178</v>
      </c>
      <c r="O74">
        <v>150</v>
      </c>
      <c r="P74">
        <v>418</v>
      </c>
      <c r="Q74">
        <v>556</v>
      </c>
      <c r="R74">
        <v>73</v>
      </c>
    </row>
    <row r="75" spans="1:18">
      <c r="A75" s="1" t="s">
        <v>74</v>
      </c>
      <c r="B75">
        <v>32</v>
      </c>
      <c r="C75">
        <v>22</v>
      </c>
      <c r="D75">
        <v>10</v>
      </c>
      <c r="E75">
        <v>0.26</v>
      </c>
      <c r="F75">
        <v>2076</v>
      </c>
      <c r="G75">
        <v>739</v>
      </c>
      <c r="H75">
        <v>1540</v>
      </c>
      <c r="I75">
        <v>346</v>
      </c>
      <c r="J75">
        <v>481</v>
      </c>
      <c r="K75">
        <v>200</v>
      </c>
      <c r="L75">
        <v>725</v>
      </c>
      <c r="M75">
        <v>516</v>
      </c>
      <c r="N75">
        <v>288</v>
      </c>
      <c r="O75">
        <v>145</v>
      </c>
      <c r="P75">
        <v>357</v>
      </c>
      <c r="Q75">
        <v>557</v>
      </c>
      <c r="R75">
        <v>74</v>
      </c>
    </row>
    <row r="76" spans="1:18">
      <c r="A76" s="1" t="s">
        <v>277</v>
      </c>
      <c r="B76">
        <v>32</v>
      </c>
      <c r="C76">
        <v>11</v>
      </c>
      <c r="D76">
        <v>21</v>
      </c>
      <c r="E76">
        <v>5.61</v>
      </c>
      <c r="F76">
        <v>2284</v>
      </c>
      <c r="G76">
        <v>847</v>
      </c>
      <c r="H76">
        <v>1951</v>
      </c>
      <c r="I76">
        <v>435</v>
      </c>
      <c r="J76">
        <v>618</v>
      </c>
      <c r="K76">
        <v>383</v>
      </c>
      <c r="L76">
        <v>972</v>
      </c>
      <c r="M76">
        <v>440</v>
      </c>
      <c r="N76">
        <v>265</v>
      </c>
      <c r="O76">
        <v>133</v>
      </c>
      <c r="P76">
        <v>457</v>
      </c>
      <c r="Q76">
        <v>612</v>
      </c>
      <c r="R76">
        <v>75</v>
      </c>
    </row>
    <row r="77" spans="1:18">
      <c r="A77" s="1" t="s">
        <v>75</v>
      </c>
      <c r="B77">
        <v>33</v>
      </c>
      <c r="C77">
        <v>20</v>
      </c>
      <c r="D77">
        <v>13</v>
      </c>
      <c r="E77">
        <v>1.62</v>
      </c>
      <c r="F77">
        <v>2568</v>
      </c>
      <c r="G77">
        <v>908</v>
      </c>
      <c r="H77">
        <v>1991</v>
      </c>
      <c r="I77">
        <v>518</v>
      </c>
      <c r="J77">
        <v>711</v>
      </c>
      <c r="K77">
        <v>374</v>
      </c>
      <c r="L77">
        <v>998</v>
      </c>
      <c r="M77">
        <v>481</v>
      </c>
      <c r="N77">
        <v>273</v>
      </c>
      <c r="O77">
        <v>112</v>
      </c>
      <c r="P77">
        <v>361</v>
      </c>
      <c r="Q77">
        <v>588</v>
      </c>
      <c r="R77">
        <v>76</v>
      </c>
    </row>
    <row r="78" spans="1:18">
      <c r="A78" s="1" t="s">
        <v>76</v>
      </c>
      <c r="B78">
        <v>32</v>
      </c>
      <c r="C78">
        <v>15</v>
      </c>
      <c r="D78">
        <v>17</v>
      </c>
      <c r="E78">
        <v>5.14</v>
      </c>
      <c r="F78">
        <v>2296</v>
      </c>
      <c r="G78">
        <v>775</v>
      </c>
      <c r="H78">
        <v>1732</v>
      </c>
      <c r="I78">
        <v>467</v>
      </c>
      <c r="J78">
        <v>651</v>
      </c>
      <c r="K78">
        <v>257</v>
      </c>
      <c r="L78">
        <v>926</v>
      </c>
      <c r="M78">
        <v>433</v>
      </c>
      <c r="N78">
        <v>183</v>
      </c>
      <c r="O78">
        <v>70</v>
      </c>
      <c r="P78">
        <v>440</v>
      </c>
      <c r="Q78">
        <v>625</v>
      </c>
      <c r="R78">
        <v>77</v>
      </c>
    </row>
    <row r="79" spans="1:18">
      <c r="A79" s="1" t="s">
        <v>77</v>
      </c>
      <c r="B79">
        <v>31</v>
      </c>
      <c r="C79">
        <v>13</v>
      </c>
      <c r="D79">
        <v>18</v>
      </c>
      <c r="E79">
        <v>-0.98</v>
      </c>
      <c r="F79">
        <v>1953</v>
      </c>
      <c r="G79">
        <v>680</v>
      </c>
      <c r="H79">
        <v>1651</v>
      </c>
      <c r="I79">
        <v>412</v>
      </c>
      <c r="J79">
        <v>553</v>
      </c>
      <c r="K79">
        <v>347</v>
      </c>
      <c r="L79">
        <v>965</v>
      </c>
      <c r="M79">
        <v>363</v>
      </c>
      <c r="N79">
        <v>158</v>
      </c>
      <c r="O79">
        <v>58</v>
      </c>
      <c r="P79">
        <v>366</v>
      </c>
      <c r="Q79">
        <v>579</v>
      </c>
      <c r="R79">
        <v>78</v>
      </c>
    </row>
    <row r="80" spans="1:18">
      <c r="A80" s="1" t="s">
        <v>373</v>
      </c>
      <c r="B80">
        <v>36</v>
      </c>
      <c r="C80">
        <v>30</v>
      </c>
      <c r="D80">
        <v>6</v>
      </c>
      <c r="E80">
        <v>9.5399999999999991</v>
      </c>
      <c r="F80">
        <v>2778</v>
      </c>
      <c r="G80">
        <v>960</v>
      </c>
      <c r="H80">
        <v>2033</v>
      </c>
      <c r="I80">
        <v>588</v>
      </c>
      <c r="J80">
        <v>796</v>
      </c>
      <c r="K80">
        <v>337</v>
      </c>
      <c r="L80">
        <v>1119</v>
      </c>
      <c r="M80">
        <v>515</v>
      </c>
      <c r="N80">
        <v>232</v>
      </c>
      <c r="O80">
        <v>135</v>
      </c>
      <c r="P80">
        <v>383</v>
      </c>
      <c r="Q80">
        <v>645</v>
      </c>
      <c r="R80">
        <v>79</v>
      </c>
    </row>
    <row r="81" spans="1:18">
      <c r="A81" s="1" t="s">
        <v>78</v>
      </c>
      <c r="B81">
        <v>30</v>
      </c>
      <c r="C81">
        <v>8</v>
      </c>
      <c r="D81">
        <v>22</v>
      </c>
      <c r="E81">
        <v>3.5</v>
      </c>
      <c r="F81">
        <v>2028</v>
      </c>
      <c r="G81">
        <v>714</v>
      </c>
      <c r="H81">
        <v>1747</v>
      </c>
      <c r="I81">
        <v>356</v>
      </c>
      <c r="J81">
        <v>553</v>
      </c>
      <c r="K81">
        <v>348</v>
      </c>
      <c r="L81">
        <v>967</v>
      </c>
      <c r="M81">
        <v>383</v>
      </c>
      <c r="N81">
        <v>156</v>
      </c>
      <c r="O81">
        <v>107</v>
      </c>
      <c r="P81">
        <v>437</v>
      </c>
      <c r="Q81">
        <v>523</v>
      </c>
      <c r="R81">
        <v>80</v>
      </c>
    </row>
    <row r="82" spans="1:18">
      <c r="A82" s="1" t="s">
        <v>79</v>
      </c>
      <c r="B82">
        <v>35</v>
      </c>
      <c r="C82">
        <v>23</v>
      </c>
      <c r="D82">
        <v>12</v>
      </c>
      <c r="E82">
        <v>0.81</v>
      </c>
      <c r="F82">
        <v>2679</v>
      </c>
      <c r="G82">
        <v>922</v>
      </c>
      <c r="H82">
        <v>2039</v>
      </c>
      <c r="I82">
        <v>561</v>
      </c>
      <c r="J82">
        <v>784</v>
      </c>
      <c r="K82">
        <v>375</v>
      </c>
      <c r="L82">
        <v>1160</v>
      </c>
      <c r="M82">
        <v>603</v>
      </c>
      <c r="N82">
        <v>279</v>
      </c>
      <c r="O82">
        <v>156</v>
      </c>
      <c r="P82">
        <v>444</v>
      </c>
      <c r="Q82">
        <v>618</v>
      </c>
      <c r="R82">
        <v>81</v>
      </c>
    </row>
    <row r="83" spans="1:18">
      <c r="A83" s="1" t="s">
        <v>80</v>
      </c>
      <c r="B83">
        <v>32</v>
      </c>
      <c r="C83">
        <v>10</v>
      </c>
      <c r="D83">
        <v>22</v>
      </c>
      <c r="E83">
        <v>-2.25</v>
      </c>
      <c r="F83">
        <v>1994</v>
      </c>
      <c r="G83">
        <v>708</v>
      </c>
      <c r="H83">
        <v>1751</v>
      </c>
      <c r="I83">
        <v>370</v>
      </c>
      <c r="J83">
        <v>554</v>
      </c>
      <c r="K83">
        <v>312</v>
      </c>
      <c r="L83">
        <v>897</v>
      </c>
      <c r="M83">
        <v>323</v>
      </c>
      <c r="N83">
        <v>203</v>
      </c>
      <c r="O83">
        <v>71</v>
      </c>
      <c r="P83">
        <v>423</v>
      </c>
      <c r="Q83">
        <v>512</v>
      </c>
      <c r="R83">
        <v>82</v>
      </c>
    </row>
    <row r="84" spans="1:18">
      <c r="A84" s="1" t="s">
        <v>81</v>
      </c>
      <c r="B84">
        <v>32</v>
      </c>
      <c r="C84">
        <v>11</v>
      </c>
      <c r="D84">
        <v>21</v>
      </c>
      <c r="E84">
        <v>-5.09</v>
      </c>
      <c r="F84">
        <v>1933</v>
      </c>
      <c r="G84">
        <v>691</v>
      </c>
      <c r="H84">
        <v>1582</v>
      </c>
      <c r="I84">
        <v>359</v>
      </c>
      <c r="J84">
        <v>541</v>
      </c>
      <c r="K84">
        <v>302</v>
      </c>
      <c r="L84">
        <v>859</v>
      </c>
      <c r="M84">
        <v>420</v>
      </c>
      <c r="N84">
        <v>207</v>
      </c>
      <c r="O84">
        <v>67</v>
      </c>
      <c r="P84">
        <v>413</v>
      </c>
      <c r="Q84">
        <v>529</v>
      </c>
      <c r="R84">
        <v>83</v>
      </c>
    </row>
    <row r="85" spans="1:18">
      <c r="A85" s="1" t="s">
        <v>82</v>
      </c>
      <c r="B85">
        <v>35</v>
      </c>
      <c r="C85">
        <v>25</v>
      </c>
      <c r="D85">
        <v>10</v>
      </c>
      <c r="E85">
        <v>-3.92</v>
      </c>
      <c r="F85">
        <v>2586</v>
      </c>
      <c r="G85">
        <v>888</v>
      </c>
      <c r="H85">
        <v>1903</v>
      </c>
      <c r="I85">
        <v>503</v>
      </c>
      <c r="J85">
        <v>644</v>
      </c>
      <c r="K85">
        <v>308</v>
      </c>
      <c r="L85">
        <v>880</v>
      </c>
      <c r="M85">
        <v>522</v>
      </c>
      <c r="N85">
        <v>310</v>
      </c>
      <c r="O85">
        <v>76</v>
      </c>
      <c r="P85">
        <v>414</v>
      </c>
      <c r="Q85">
        <v>679</v>
      </c>
      <c r="R85">
        <v>84</v>
      </c>
    </row>
    <row r="86" spans="1:18">
      <c r="A86" s="1" t="s">
        <v>83</v>
      </c>
      <c r="B86">
        <v>34</v>
      </c>
      <c r="C86">
        <v>16</v>
      </c>
      <c r="D86">
        <v>18</v>
      </c>
      <c r="E86">
        <v>-1.25</v>
      </c>
      <c r="F86">
        <v>1926</v>
      </c>
      <c r="G86">
        <v>702</v>
      </c>
      <c r="H86">
        <v>1751</v>
      </c>
      <c r="I86">
        <v>357</v>
      </c>
      <c r="J86">
        <v>533</v>
      </c>
      <c r="K86">
        <v>402</v>
      </c>
      <c r="L86">
        <v>1014</v>
      </c>
      <c r="M86">
        <v>364</v>
      </c>
      <c r="N86">
        <v>269</v>
      </c>
      <c r="O86">
        <v>169</v>
      </c>
      <c r="P86">
        <v>473</v>
      </c>
      <c r="Q86">
        <v>571</v>
      </c>
      <c r="R86">
        <v>85</v>
      </c>
    </row>
    <row r="87" spans="1:18">
      <c r="A87" s="1" t="s">
        <v>84</v>
      </c>
      <c r="B87">
        <v>31</v>
      </c>
      <c r="C87">
        <v>10</v>
      </c>
      <c r="D87">
        <v>21</v>
      </c>
      <c r="E87">
        <v>-5.48</v>
      </c>
      <c r="F87">
        <v>2146</v>
      </c>
      <c r="G87">
        <v>751</v>
      </c>
      <c r="H87">
        <v>1811</v>
      </c>
      <c r="I87">
        <v>380</v>
      </c>
      <c r="J87">
        <v>580</v>
      </c>
      <c r="K87">
        <v>342</v>
      </c>
      <c r="L87">
        <v>1024</v>
      </c>
      <c r="M87">
        <v>414</v>
      </c>
      <c r="N87">
        <v>164</v>
      </c>
      <c r="O87">
        <v>176</v>
      </c>
      <c r="P87">
        <v>416</v>
      </c>
      <c r="Q87">
        <v>571</v>
      </c>
      <c r="R87">
        <v>86</v>
      </c>
    </row>
    <row r="88" spans="1:18">
      <c r="A88" s="1" t="s">
        <v>85</v>
      </c>
      <c r="B88">
        <v>33</v>
      </c>
      <c r="C88">
        <v>21</v>
      </c>
      <c r="D88">
        <v>12</v>
      </c>
      <c r="E88">
        <v>-5.19</v>
      </c>
      <c r="F88">
        <v>2273</v>
      </c>
      <c r="G88">
        <v>814</v>
      </c>
      <c r="H88">
        <v>1884</v>
      </c>
      <c r="I88">
        <v>387</v>
      </c>
      <c r="J88">
        <v>543</v>
      </c>
      <c r="K88">
        <v>303</v>
      </c>
      <c r="L88">
        <v>1037</v>
      </c>
      <c r="M88">
        <v>447</v>
      </c>
      <c r="N88">
        <v>218</v>
      </c>
      <c r="O88">
        <v>113</v>
      </c>
      <c r="P88">
        <v>385</v>
      </c>
      <c r="Q88">
        <v>558</v>
      </c>
      <c r="R88">
        <v>87</v>
      </c>
    </row>
    <row r="89" spans="1:18">
      <c r="A89" s="1" t="s">
        <v>86</v>
      </c>
      <c r="B89">
        <v>36</v>
      </c>
      <c r="C89">
        <v>21</v>
      </c>
      <c r="D89">
        <v>15</v>
      </c>
      <c r="E89">
        <v>2.91</v>
      </c>
      <c r="F89">
        <v>2490</v>
      </c>
      <c r="G89">
        <v>900</v>
      </c>
      <c r="H89">
        <v>2056</v>
      </c>
      <c r="I89">
        <v>483</v>
      </c>
      <c r="J89">
        <v>652</v>
      </c>
      <c r="K89">
        <v>378</v>
      </c>
      <c r="L89">
        <v>1089</v>
      </c>
      <c r="M89">
        <v>574</v>
      </c>
      <c r="N89">
        <v>213</v>
      </c>
      <c r="O89">
        <v>106</v>
      </c>
      <c r="P89">
        <v>405</v>
      </c>
      <c r="Q89">
        <v>635</v>
      </c>
      <c r="R89">
        <v>88</v>
      </c>
    </row>
    <row r="90" spans="1:18">
      <c r="A90" s="1" t="s">
        <v>87</v>
      </c>
      <c r="B90">
        <v>35</v>
      </c>
      <c r="C90">
        <v>19</v>
      </c>
      <c r="D90">
        <v>16</v>
      </c>
      <c r="E90">
        <v>-2</v>
      </c>
      <c r="F90">
        <v>2122</v>
      </c>
      <c r="G90">
        <v>779</v>
      </c>
      <c r="H90">
        <v>1843</v>
      </c>
      <c r="I90">
        <v>365</v>
      </c>
      <c r="J90">
        <v>533</v>
      </c>
      <c r="K90">
        <v>388</v>
      </c>
      <c r="L90">
        <v>1058</v>
      </c>
      <c r="M90">
        <v>445</v>
      </c>
      <c r="N90">
        <v>248</v>
      </c>
      <c r="O90">
        <v>134</v>
      </c>
      <c r="P90">
        <v>471</v>
      </c>
      <c r="Q90">
        <v>690</v>
      </c>
      <c r="R90">
        <v>89</v>
      </c>
    </row>
    <row r="91" spans="1:18">
      <c r="A91" s="1" t="s">
        <v>88</v>
      </c>
      <c r="B91">
        <v>31</v>
      </c>
      <c r="C91">
        <v>7</v>
      </c>
      <c r="D91">
        <v>24</v>
      </c>
      <c r="E91">
        <v>-4.6500000000000004</v>
      </c>
      <c r="F91">
        <v>2034</v>
      </c>
      <c r="G91">
        <v>724</v>
      </c>
      <c r="H91">
        <v>1675</v>
      </c>
      <c r="I91">
        <v>396</v>
      </c>
      <c r="J91">
        <v>590</v>
      </c>
      <c r="K91">
        <v>274</v>
      </c>
      <c r="L91">
        <v>841</v>
      </c>
      <c r="M91">
        <v>404</v>
      </c>
      <c r="N91">
        <v>179</v>
      </c>
      <c r="O91">
        <v>101</v>
      </c>
      <c r="P91">
        <v>486</v>
      </c>
      <c r="Q91">
        <v>571</v>
      </c>
      <c r="R91">
        <v>90</v>
      </c>
    </row>
    <row r="92" spans="1:18">
      <c r="A92" s="1" t="s">
        <v>89</v>
      </c>
      <c r="B92">
        <v>31</v>
      </c>
      <c r="C92">
        <v>8</v>
      </c>
      <c r="D92">
        <v>23</v>
      </c>
      <c r="E92">
        <v>-6.21</v>
      </c>
      <c r="F92">
        <v>2015</v>
      </c>
      <c r="G92">
        <v>732</v>
      </c>
      <c r="H92">
        <v>1849</v>
      </c>
      <c r="I92">
        <v>380</v>
      </c>
      <c r="J92">
        <v>606</v>
      </c>
      <c r="K92">
        <v>393</v>
      </c>
      <c r="L92">
        <v>945</v>
      </c>
      <c r="M92">
        <v>340</v>
      </c>
      <c r="N92">
        <v>256</v>
      </c>
      <c r="O92">
        <v>103</v>
      </c>
      <c r="P92">
        <v>485</v>
      </c>
      <c r="Q92">
        <v>608</v>
      </c>
      <c r="R92">
        <v>91</v>
      </c>
    </row>
    <row r="93" spans="1:18">
      <c r="A93" s="1" t="s">
        <v>90</v>
      </c>
      <c r="B93">
        <v>32</v>
      </c>
      <c r="C93">
        <v>14</v>
      </c>
      <c r="D93">
        <v>18</v>
      </c>
      <c r="E93">
        <v>-2.4900000000000002</v>
      </c>
      <c r="F93">
        <v>2092</v>
      </c>
      <c r="G93">
        <v>732</v>
      </c>
      <c r="H93">
        <v>1735</v>
      </c>
      <c r="I93">
        <v>433</v>
      </c>
      <c r="J93">
        <v>618</v>
      </c>
      <c r="K93">
        <v>363</v>
      </c>
      <c r="L93">
        <v>1061</v>
      </c>
      <c r="M93">
        <v>322</v>
      </c>
      <c r="N93">
        <v>167</v>
      </c>
      <c r="O93">
        <v>165</v>
      </c>
      <c r="P93">
        <v>488</v>
      </c>
      <c r="Q93">
        <v>580</v>
      </c>
      <c r="R93">
        <v>92</v>
      </c>
    </row>
    <row r="94" spans="1:18">
      <c r="A94" s="1" t="s">
        <v>346</v>
      </c>
      <c r="B94">
        <v>37</v>
      </c>
      <c r="C94">
        <v>26</v>
      </c>
      <c r="D94">
        <v>11</v>
      </c>
      <c r="E94">
        <v>-2.0699999999999998</v>
      </c>
      <c r="F94">
        <v>2696</v>
      </c>
      <c r="G94">
        <v>976</v>
      </c>
      <c r="H94">
        <v>2112</v>
      </c>
      <c r="I94">
        <v>497</v>
      </c>
      <c r="J94">
        <v>736</v>
      </c>
      <c r="K94">
        <v>412</v>
      </c>
      <c r="L94">
        <v>1226</v>
      </c>
      <c r="M94">
        <v>523</v>
      </c>
      <c r="N94">
        <v>331</v>
      </c>
      <c r="O94">
        <v>139</v>
      </c>
      <c r="P94">
        <v>545</v>
      </c>
      <c r="Q94">
        <v>649</v>
      </c>
      <c r="R94">
        <v>93</v>
      </c>
    </row>
    <row r="95" spans="1:18">
      <c r="A95" s="1" t="s">
        <v>91</v>
      </c>
      <c r="B95">
        <v>32</v>
      </c>
      <c r="C95">
        <v>18</v>
      </c>
      <c r="D95">
        <v>14</v>
      </c>
      <c r="E95">
        <v>-2.11</v>
      </c>
      <c r="F95">
        <v>2210</v>
      </c>
      <c r="G95">
        <v>766</v>
      </c>
      <c r="H95">
        <v>1794</v>
      </c>
      <c r="I95">
        <v>454</v>
      </c>
      <c r="J95">
        <v>642</v>
      </c>
      <c r="K95">
        <v>353</v>
      </c>
      <c r="L95">
        <v>942</v>
      </c>
      <c r="M95">
        <v>369</v>
      </c>
      <c r="N95">
        <v>299</v>
      </c>
      <c r="O95">
        <v>87</v>
      </c>
      <c r="P95">
        <v>484</v>
      </c>
      <c r="Q95">
        <v>603</v>
      </c>
      <c r="R95">
        <v>94</v>
      </c>
    </row>
    <row r="96" spans="1:18">
      <c r="A96" s="1" t="s">
        <v>92</v>
      </c>
      <c r="B96">
        <v>34</v>
      </c>
      <c r="C96">
        <v>18</v>
      </c>
      <c r="D96">
        <v>16</v>
      </c>
      <c r="E96">
        <v>7.23</v>
      </c>
      <c r="F96">
        <v>2278</v>
      </c>
      <c r="G96">
        <v>780</v>
      </c>
      <c r="H96">
        <v>1758</v>
      </c>
      <c r="I96">
        <v>522</v>
      </c>
      <c r="J96">
        <v>710</v>
      </c>
      <c r="K96">
        <v>322</v>
      </c>
      <c r="L96">
        <v>956</v>
      </c>
      <c r="M96">
        <v>385</v>
      </c>
      <c r="N96">
        <v>210</v>
      </c>
      <c r="O96">
        <v>172</v>
      </c>
      <c r="P96">
        <v>497</v>
      </c>
      <c r="Q96">
        <v>601</v>
      </c>
      <c r="R96">
        <v>95</v>
      </c>
    </row>
    <row r="97" spans="1:18">
      <c r="A97" s="1" t="s">
        <v>347</v>
      </c>
      <c r="B97">
        <v>37</v>
      </c>
      <c r="C97">
        <v>29</v>
      </c>
      <c r="D97">
        <v>8</v>
      </c>
      <c r="E97">
        <v>6.83</v>
      </c>
      <c r="F97">
        <v>2642</v>
      </c>
      <c r="G97">
        <v>960</v>
      </c>
      <c r="H97">
        <v>2010</v>
      </c>
      <c r="I97">
        <v>422</v>
      </c>
      <c r="J97">
        <v>623</v>
      </c>
      <c r="K97">
        <v>381</v>
      </c>
      <c r="L97">
        <v>1179</v>
      </c>
      <c r="M97">
        <v>540</v>
      </c>
      <c r="N97">
        <v>265</v>
      </c>
      <c r="O97">
        <v>120</v>
      </c>
      <c r="P97">
        <v>401</v>
      </c>
      <c r="Q97">
        <v>518</v>
      </c>
      <c r="R97">
        <v>96</v>
      </c>
    </row>
    <row r="98" spans="1:18">
      <c r="A98" s="1" t="s">
        <v>93</v>
      </c>
      <c r="B98">
        <v>31</v>
      </c>
      <c r="C98">
        <v>7</v>
      </c>
      <c r="D98">
        <v>24</v>
      </c>
      <c r="E98">
        <v>4.59</v>
      </c>
      <c r="F98">
        <v>1997</v>
      </c>
      <c r="G98">
        <v>718</v>
      </c>
      <c r="H98">
        <v>1785</v>
      </c>
      <c r="I98">
        <v>393</v>
      </c>
      <c r="J98">
        <v>583</v>
      </c>
      <c r="K98">
        <v>416</v>
      </c>
      <c r="L98">
        <v>1071</v>
      </c>
      <c r="M98">
        <v>377</v>
      </c>
      <c r="N98">
        <v>153</v>
      </c>
      <c r="O98">
        <v>127</v>
      </c>
      <c r="P98">
        <v>486</v>
      </c>
      <c r="Q98">
        <v>630</v>
      </c>
      <c r="R98">
        <v>97</v>
      </c>
    </row>
    <row r="99" spans="1:18">
      <c r="A99" s="1" t="s">
        <v>306</v>
      </c>
      <c r="B99">
        <v>30</v>
      </c>
      <c r="C99">
        <v>11</v>
      </c>
      <c r="D99">
        <v>19</v>
      </c>
      <c r="E99">
        <v>6.56</v>
      </c>
      <c r="F99">
        <v>1798</v>
      </c>
      <c r="G99">
        <v>610</v>
      </c>
      <c r="H99">
        <v>1566</v>
      </c>
      <c r="I99">
        <v>396</v>
      </c>
      <c r="J99">
        <v>593</v>
      </c>
      <c r="K99">
        <v>319</v>
      </c>
      <c r="L99">
        <v>866</v>
      </c>
      <c r="M99">
        <v>275</v>
      </c>
      <c r="N99">
        <v>216</v>
      </c>
      <c r="O99">
        <v>104</v>
      </c>
      <c r="P99">
        <v>348</v>
      </c>
      <c r="Q99">
        <v>582</v>
      </c>
      <c r="R99">
        <v>98</v>
      </c>
    </row>
    <row r="100" spans="1:18">
      <c r="A100" s="1" t="s">
        <v>94</v>
      </c>
      <c r="B100">
        <v>31</v>
      </c>
      <c r="C100">
        <v>7</v>
      </c>
      <c r="D100">
        <v>24</v>
      </c>
      <c r="E100">
        <v>-5.29</v>
      </c>
      <c r="F100">
        <v>1869</v>
      </c>
      <c r="G100">
        <v>644</v>
      </c>
      <c r="H100">
        <v>1580</v>
      </c>
      <c r="I100">
        <v>392</v>
      </c>
      <c r="J100">
        <v>568</v>
      </c>
      <c r="K100">
        <v>294</v>
      </c>
      <c r="L100">
        <v>884</v>
      </c>
      <c r="M100">
        <v>340</v>
      </c>
      <c r="N100">
        <v>164</v>
      </c>
      <c r="O100">
        <v>116</v>
      </c>
      <c r="P100">
        <v>451</v>
      </c>
      <c r="Q100">
        <v>483</v>
      </c>
      <c r="R100">
        <v>99</v>
      </c>
    </row>
    <row r="101" spans="1:18">
      <c r="A101" s="1" t="s">
        <v>318</v>
      </c>
      <c r="B101">
        <v>34</v>
      </c>
      <c r="C101">
        <v>21</v>
      </c>
      <c r="D101">
        <v>13</v>
      </c>
      <c r="E101">
        <v>-5.93</v>
      </c>
      <c r="F101">
        <v>2236</v>
      </c>
      <c r="G101">
        <v>791</v>
      </c>
      <c r="H101">
        <v>1871</v>
      </c>
      <c r="I101">
        <v>464</v>
      </c>
      <c r="J101">
        <v>649</v>
      </c>
      <c r="K101">
        <v>420</v>
      </c>
      <c r="L101">
        <v>1090</v>
      </c>
      <c r="M101">
        <v>438</v>
      </c>
      <c r="N101">
        <v>267</v>
      </c>
      <c r="O101">
        <v>90</v>
      </c>
      <c r="P101">
        <v>459</v>
      </c>
      <c r="Q101">
        <v>584</v>
      </c>
      <c r="R101">
        <v>100</v>
      </c>
    </row>
    <row r="102" spans="1:18">
      <c r="A102" s="1" t="s">
        <v>95</v>
      </c>
      <c r="B102">
        <v>38</v>
      </c>
      <c r="C102">
        <v>22</v>
      </c>
      <c r="D102">
        <v>16</v>
      </c>
      <c r="E102">
        <v>-0.17</v>
      </c>
      <c r="F102">
        <v>2587</v>
      </c>
      <c r="G102">
        <v>922</v>
      </c>
      <c r="H102">
        <v>2112</v>
      </c>
      <c r="I102">
        <v>540</v>
      </c>
      <c r="J102">
        <v>745</v>
      </c>
      <c r="K102">
        <v>448</v>
      </c>
      <c r="L102">
        <v>1185</v>
      </c>
      <c r="M102">
        <v>473</v>
      </c>
      <c r="N102">
        <v>280</v>
      </c>
      <c r="O102">
        <v>103</v>
      </c>
      <c r="P102">
        <v>516</v>
      </c>
      <c r="Q102">
        <v>773</v>
      </c>
      <c r="R102">
        <v>101</v>
      </c>
    </row>
    <row r="103" spans="1:18">
      <c r="A103" s="1" t="s">
        <v>96</v>
      </c>
      <c r="B103">
        <v>30</v>
      </c>
      <c r="C103">
        <v>13</v>
      </c>
      <c r="D103">
        <v>17</v>
      </c>
      <c r="E103">
        <v>3.49</v>
      </c>
      <c r="F103">
        <v>1988</v>
      </c>
      <c r="G103">
        <v>732</v>
      </c>
      <c r="H103">
        <v>1660</v>
      </c>
      <c r="I103">
        <v>440</v>
      </c>
      <c r="J103">
        <v>670</v>
      </c>
      <c r="K103">
        <v>401</v>
      </c>
      <c r="L103">
        <v>1027</v>
      </c>
      <c r="M103">
        <v>403</v>
      </c>
      <c r="N103">
        <v>233</v>
      </c>
      <c r="O103">
        <v>147</v>
      </c>
      <c r="P103">
        <v>479</v>
      </c>
      <c r="Q103">
        <v>528</v>
      </c>
      <c r="R103">
        <v>102</v>
      </c>
    </row>
    <row r="104" spans="1:18">
      <c r="A104" s="1" t="s">
        <v>97</v>
      </c>
      <c r="B104">
        <v>32</v>
      </c>
      <c r="C104">
        <v>25</v>
      </c>
      <c r="D104">
        <v>7</v>
      </c>
      <c r="E104">
        <v>7.59</v>
      </c>
      <c r="F104">
        <v>2070</v>
      </c>
      <c r="G104">
        <v>737</v>
      </c>
      <c r="H104">
        <v>1627</v>
      </c>
      <c r="I104">
        <v>407</v>
      </c>
      <c r="J104">
        <v>599</v>
      </c>
      <c r="K104">
        <v>297</v>
      </c>
      <c r="L104">
        <v>959</v>
      </c>
      <c r="M104">
        <v>474</v>
      </c>
      <c r="N104">
        <v>240</v>
      </c>
      <c r="O104">
        <v>123</v>
      </c>
      <c r="P104">
        <v>407</v>
      </c>
      <c r="Q104">
        <v>556</v>
      </c>
      <c r="R104">
        <v>103</v>
      </c>
    </row>
    <row r="105" spans="1:18">
      <c r="A105" s="1" t="s">
        <v>98</v>
      </c>
      <c r="B105">
        <v>33</v>
      </c>
      <c r="C105">
        <v>14</v>
      </c>
      <c r="D105">
        <v>19</v>
      </c>
      <c r="E105">
        <v>-5.0199999999999996</v>
      </c>
      <c r="F105">
        <v>2050</v>
      </c>
      <c r="G105">
        <v>721</v>
      </c>
      <c r="H105">
        <v>1721</v>
      </c>
      <c r="I105">
        <v>423</v>
      </c>
      <c r="J105">
        <v>615</v>
      </c>
      <c r="K105">
        <v>341</v>
      </c>
      <c r="L105">
        <v>967</v>
      </c>
      <c r="M105">
        <v>318</v>
      </c>
      <c r="N105">
        <v>227</v>
      </c>
      <c r="O105">
        <v>73</v>
      </c>
      <c r="P105">
        <v>435</v>
      </c>
      <c r="Q105">
        <v>600</v>
      </c>
      <c r="R105">
        <v>104</v>
      </c>
    </row>
    <row r="106" spans="1:18">
      <c r="A106" s="1" t="s">
        <v>99</v>
      </c>
      <c r="B106">
        <v>31</v>
      </c>
      <c r="C106">
        <v>15</v>
      </c>
      <c r="D106">
        <v>16</v>
      </c>
      <c r="E106">
        <v>-2.4</v>
      </c>
      <c r="F106">
        <v>2114</v>
      </c>
      <c r="G106">
        <v>739</v>
      </c>
      <c r="H106">
        <v>1685</v>
      </c>
      <c r="I106">
        <v>417</v>
      </c>
      <c r="J106">
        <v>586</v>
      </c>
      <c r="K106">
        <v>302</v>
      </c>
      <c r="L106">
        <v>896</v>
      </c>
      <c r="M106">
        <v>362</v>
      </c>
      <c r="N106">
        <v>240</v>
      </c>
      <c r="O106">
        <v>127</v>
      </c>
      <c r="P106">
        <v>358</v>
      </c>
      <c r="Q106">
        <v>532</v>
      </c>
      <c r="R106">
        <v>105</v>
      </c>
    </row>
    <row r="107" spans="1:18">
      <c r="A107" s="1" t="s">
        <v>100</v>
      </c>
      <c r="B107">
        <v>31</v>
      </c>
      <c r="C107">
        <v>16</v>
      </c>
      <c r="D107">
        <v>15</v>
      </c>
      <c r="E107">
        <v>4.67</v>
      </c>
      <c r="F107">
        <v>1993</v>
      </c>
      <c r="G107">
        <v>751</v>
      </c>
      <c r="H107">
        <v>1791</v>
      </c>
      <c r="I107">
        <v>318</v>
      </c>
      <c r="J107">
        <v>501</v>
      </c>
      <c r="K107">
        <v>366</v>
      </c>
      <c r="L107">
        <v>1072</v>
      </c>
      <c r="M107">
        <v>394</v>
      </c>
      <c r="N107">
        <v>182</v>
      </c>
      <c r="O107">
        <v>129</v>
      </c>
      <c r="P107">
        <v>399</v>
      </c>
      <c r="Q107">
        <v>517</v>
      </c>
      <c r="R107">
        <v>106</v>
      </c>
    </row>
    <row r="108" spans="1:18">
      <c r="A108" s="1" t="s">
        <v>101</v>
      </c>
      <c r="B108">
        <v>32</v>
      </c>
      <c r="C108">
        <v>15</v>
      </c>
      <c r="D108">
        <v>17</v>
      </c>
      <c r="E108">
        <v>6.09</v>
      </c>
      <c r="F108">
        <v>1946</v>
      </c>
      <c r="G108">
        <v>636</v>
      </c>
      <c r="H108">
        <v>1557</v>
      </c>
      <c r="I108">
        <v>486</v>
      </c>
      <c r="J108">
        <v>700</v>
      </c>
      <c r="K108">
        <v>333</v>
      </c>
      <c r="L108">
        <v>1044</v>
      </c>
      <c r="M108">
        <v>371</v>
      </c>
      <c r="N108">
        <v>180</v>
      </c>
      <c r="O108">
        <v>133</v>
      </c>
      <c r="P108">
        <v>466</v>
      </c>
      <c r="Q108">
        <v>541</v>
      </c>
      <c r="R108">
        <v>107</v>
      </c>
    </row>
    <row r="109" spans="1:18">
      <c r="A109" s="1" t="s">
        <v>374</v>
      </c>
      <c r="B109">
        <v>35</v>
      </c>
      <c r="C109">
        <v>32</v>
      </c>
      <c r="D109">
        <v>3</v>
      </c>
      <c r="E109">
        <v>4.18</v>
      </c>
      <c r="F109">
        <v>2696</v>
      </c>
      <c r="G109">
        <v>961</v>
      </c>
      <c r="H109">
        <v>1934</v>
      </c>
      <c r="I109">
        <v>548</v>
      </c>
      <c r="J109">
        <v>777</v>
      </c>
      <c r="K109">
        <v>409</v>
      </c>
      <c r="L109">
        <v>1195</v>
      </c>
      <c r="M109">
        <v>530</v>
      </c>
      <c r="N109">
        <v>277</v>
      </c>
      <c r="O109">
        <v>96</v>
      </c>
      <c r="P109">
        <v>393</v>
      </c>
      <c r="Q109">
        <v>551</v>
      </c>
      <c r="R109">
        <v>108</v>
      </c>
    </row>
    <row r="110" spans="1:18">
      <c r="A110" s="1" t="s">
        <v>102</v>
      </c>
      <c r="B110">
        <v>28</v>
      </c>
      <c r="C110">
        <v>0</v>
      </c>
      <c r="D110">
        <v>28</v>
      </c>
      <c r="E110">
        <v>-9.17</v>
      </c>
      <c r="F110">
        <v>1391</v>
      </c>
      <c r="G110">
        <v>519</v>
      </c>
      <c r="H110">
        <v>1436</v>
      </c>
      <c r="I110">
        <v>210</v>
      </c>
      <c r="J110">
        <v>358</v>
      </c>
      <c r="K110">
        <v>275</v>
      </c>
      <c r="L110">
        <v>702</v>
      </c>
      <c r="M110">
        <v>290</v>
      </c>
      <c r="N110">
        <v>123</v>
      </c>
      <c r="O110">
        <v>64</v>
      </c>
      <c r="P110">
        <v>491</v>
      </c>
      <c r="Q110">
        <v>492</v>
      </c>
      <c r="R110">
        <v>109</v>
      </c>
    </row>
    <row r="111" spans="1:18">
      <c r="A111" s="1" t="s">
        <v>103</v>
      </c>
      <c r="B111">
        <v>34</v>
      </c>
      <c r="C111">
        <v>18</v>
      </c>
      <c r="D111">
        <v>16</v>
      </c>
      <c r="E111">
        <v>-0.27</v>
      </c>
      <c r="F111">
        <v>2247</v>
      </c>
      <c r="G111">
        <v>777</v>
      </c>
      <c r="H111">
        <v>1772</v>
      </c>
      <c r="I111">
        <v>529</v>
      </c>
      <c r="J111">
        <v>705</v>
      </c>
      <c r="K111">
        <v>354</v>
      </c>
      <c r="L111">
        <v>1093</v>
      </c>
      <c r="M111">
        <v>455</v>
      </c>
      <c r="N111">
        <v>201</v>
      </c>
      <c r="O111">
        <v>162</v>
      </c>
      <c r="P111">
        <v>456</v>
      </c>
      <c r="Q111">
        <v>587</v>
      </c>
      <c r="R111">
        <v>110</v>
      </c>
    </row>
    <row r="112" spans="1:18">
      <c r="A112" s="1" t="s">
        <v>104</v>
      </c>
      <c r="B112">
        <v>31</v>
      </c>
      <c r="C112">
        <v>14</v>
      </c>
      <c r="D112">
        <v>17</v>
      </c>
      <c r="E112">
        <v>-7.84</v>
      </c>
      <c r="F112">
        <v>1936</v>
      </c>
      <c r="G112">
        <v>678</v>
      </c>
      <c r="H112">
        <v>1731</v>
      </c>
      <c r="I112">
        <v>445</v>
      </c>
      <c r="J112">
        <v>668</v>
      </c>
      <c r="K112">
        <v>394</v>
      </c>
      <c r="L112">
        <v>1104</v>
      </c>
      <c r="M112">
        <v>352</v>
      </c>
      <c r="N112">
        <v>231</v>
      </c>
      <c r="O112">
        <v>148</v>
      </c>
      <c r="P112">
        <v>527</v>
      </c>
      <c r="Q112">
        <v>635</v>
      </c>
      <c r="R112">
        <v>111</v>
      </c>
    </row>
    <row r="113" spans="1:18">
      <c r="A113" s="1" t="s">
        <v>105</v>
      </c>
      <c r="B113">
        <v>31</v>
      </c>
      <c r="C113">
        <v>17</v>
      </c>
      <c r="D113">
        <v>14</v>
      </c>
      <c r="E113">
        <v>-4.71</v>
      </c>
      <c r="F113">
        <v>1863</v>
      </c>
      <c r="G113">
        <v>645</v>
      </c>
      <c r="H113">
        <v>1578</v>
      </c>
      <c r="I113">
        <v>338</v>
      </c>
      <c r="J113">
        <v>485</v>
      </c>
      <c r="K113">
        <v>264</v>
      </c>
      <c r="L113">
        <v>815</v>
      </c>
      <c r="M113">
        <v>382</v>
      </c>
      <c r="N113">
        <v>253</v>
      </c>
      <c r="O113">
        <v>61</v>
      </c>
      <c r="P113">
        <v>442</v>
      </c>
      <c r="Q113">
        <v>585</v>
      </c>
      <c r="R113">
        <v>112</v>
      </c>
    </row>
    <row r="114" spans="1:18">
      <c r="A114" s="1" t="s">
        <v>106</v>
      </c>
      <c r="B114">
        <v>30</v>
      </c>
      <c r="C114">
        <v>20</v>
      </c>
      <c r="D114">
        <v>10</v>
      </c>
      <c r="E114">
        <v>0.16</v>
      </c>
      <c r="F114">
        <v>2049</v>
      </c>
      <c r="G114">
        <v>677</v>
      </c>
      <c r="H114">
        <v>1425</v>
      </c>
      <c r="I114">
        <v>504</v>
      </c>
      <c r="J114">
        <v>697</v>
      </c>
      <c r="K114">
        <v>219</v>
      </c>
      <c r="L114">
        <v>796</v>
      </c>
      <c r="M114">
        <v>392</v>
      </c>
      <c r="N114">
        <v>218</v>
      </c>
      <c r="O114">
        <v>126</v>
      </c>
      <c r="P114">
        <v>399</v>
      </c>
      <c r="Q114">
        <v>457</v>
      </c>
      <c r="R114">
        <v>113</v>
      </c>
    </row>
    <row r="115" spans="1:18">
      <c r="A115" s="1" t="s">
        <v>107</v>
      </c>
      <c r="B115">
        <v>32</v>
      </c>
      <c r="C115">
        <v>17</v>
      </c>
      <c r="D115">
        <v>15</v>
      </c>
      <c r="E115">
        <v>-2.37</v>
      </c>
      <c r="F115">
        <v>2336</v>
      </c>
      <c r="G115">
        <v>836</v>
      </c>
      <c r="H115">
        <v>1850</v>
      </c>
      <c r="I115">
        <v>469</v>
      </c>
      <c r="J115">
        <v>683</v>
      </c>
      <c r="K115">
        <v>399</v>
      </c>
      <c r="L115">
        <v>1124</v>
      </c>
      <c r="M115">
        <v>444</v>
      </c>
      <c r="N115">
        <v>170</v>
      </c>
      <c r="O115">
        <v>110</v>
      </c>
      <c r="P115">
        <v>462</v>
      </c>
      <c r="Q115">
        <v>532</v>
      </c>
      <c r="R115">
        <v>114</v>
      </c>
    </row>
    <row r="116" spans="1:18">
      <c r="A116" s="1" t="s">
        <v>108</v>
      </c>
      <c r="B116">
        <v>31</v>
      </c>
      <c r="C116">
        <v>17</v>
      </c>
      <c r="D116">
        <v>14</v>
      </c>
      <c r="E116">
        <v>-7.25</v>
      </c>
      <c r="F116">
        <v>2221</v>
      </c>
      <c r="G116">
        <v>823</v>
      </c>
      <c r="H116">
        <v>1841</v>
      </c>
      <c r="I116">
        <v>437</v>
      </c>
      <c r="J116">
        <v>609</v>
      </c>
      <c r="K116">
        <v>396</v>
      </c>
      <c r="L116">
        <v>1057</v>
      </c>
      <c r="M116">
        <v>455</v>
      </c>
      <c r="N116">
        <v>227</v>
      </c>
      <c r="O116">
        <v>134</v>
      </c>
      <c r="P116">
        <v>376</v>
      </c>
      <c r="Q116">
        <v>578</v>
      </c>
      <c r="R116">
        <v>115</v>
      </c>
    </row>
    <row r="117" spans="1:18">
      <c r="A117" s="1" t="s">
        <v>307</v>
      </c>
      <c r="B117">
        <v>32</v>
      </c>
      <c r="C117">
        <v>7</v>
      </c>
      <c r="D117">
        <v>25</v>
      </c>
      <c r="E117">
        <v>-1.92</v>
      </c>
      <c r="F117">
        <v>1873</v>
      </c>
      <c r="G117">
        <v>658</v>
      </c>
      <c r="H117">
        <v>1719</v>
      </c>
      <c r="I117">
        <v>416</v>
      </c>
      <c r="J117">
        <v>664</v>
      </c>
      <c r="K117">
        <v>408</v>
      </c>
      <c r="L117">
        <v>1016</v>
      </c>
      <c r="M117">
        <v>312</v>
      </c>
      <c r="N117">
        <v>203</v>
      </c>
      <c r="O117">
        <v>110</v>
      </c>
      <c r="P117">
        <v>463</v>
      </c>
      <c r="Q117">
        <v>538</v>
      </c>
      <c r="R117">
        <v>116</v>
      </c>
    </row>
    <row r="118" spans="1:18">
      <c r="A118" s="1" t="s">
        <v>109</v>
      </c>
      <c r="B118">
        <v>30</v>
      </c>
      <c r="C118">
        <v>12</v>
      </c>
      <c r="D118">
        <v>18</v>
      </c>
      <c r="E118">
        <v>-2.97</v>
      </c>
      <c r="F118">
        <v>1834</v>
      </c>
      <c r="G118">
        <v>644</v>
      </c>
      <c r="H118">
        <v>1555</v>
      </c>
      <c r="I118">
        <v>351</v>
      </c>
      <c r="J118">
        <v>466</v>
      </c>
      <c r="K118">
        <v>272</v>
      </c>
      <c r="L118">
        <v>901</v>
      </c>
      <c r="M118">
        <v>366</v>
      </c>
      <c r="N118">
        <v>116</v>
      </c>
      <c r="O118">
        <v>105</v>
      </c>
      <c r="P118">
        <v>372</v>
      </c>
      <c r="Q118">
        <v>513</v>
      </c>
      <c r="R118">
        <v>117</v>
      </c>
    </row>
    <row r="119" spans="1:18">
      <c r="A119" s="1" t="s">
        <v>353</v>
      </c>
      <c r="B119">
        <v>31</v>
      </c>
      <c r="C119">
        <v>14</v>
      </c>
      <c r="D119">
        <v>17</v>
      </c>
      <c r="E119">
        <v>-8.0299999999999994</v>
      </c>
      <c r="F119">
        <v>1982</v>
      </c>
      <c r="G119">
        <v>712</v>
      </c>
      <c r="H119">
        <v>1720</v>
      </c>
      <c r="I119">
        <v>417</v>
      </c>
      <c r="J119">
        <v>628</v>
      </c>
      <c r="K119">
        <v>368</v>
      </c>
      <c r="L119">
        <v>994</v>
      </c>
      <c r="M119">
        <v>349</v>
      </c>
      <c r="N119">
        <v>215</v>
      </c>
      <c r="O119">
        <v>86</v>
      </c>
      <c r="P119">
        <v>534</v>
      </c>
      <c r="Q119">
        <v>613</v>
      </c>
      <c r="R119">
        <v>118</v>
      </c>
    </row>
    <row r="120" spans="1:18">
      <c r="A120" s="1" t="s">
        <v>110</v>
      </c>
      <c r="B120">
        <v>33</v>
      </c>
      <c r="C120">
        <v>20</v>
      </c>
      <c r="D120">
        <v>13</v>
      </c>
      <c r="E120">
        <v>-3.77</v>
      </c>
      <c r="F120">
        <v>2578</v>
      </c>
      <c r="G120">
        <v>912</v>
      </c>
      <c r="H120">
        <v>1965</v>
      </c>
      <c r="I120">
        <v>555</v>
      </c>
      <c r="J120">
        <v>782</v>
      </c>
      <c r="K120">
        <v>400</v>
      </c>
      <c r="L120">
        <v>1178</v>
      </c>
      <c r="M120">
        <v>500</v>
      </c>
      <c r="N120">
        <v>221</v>
      </c>
      <c r="O120">
        <v>127</v>
      </c>
      <c r="P120">
        <v>433</v>
      </c>
      <c r="Q120">
        <v>599</v>
      </c>
      <c r="R120">
        <v>119</v>
      </c>
    </row>
    <row r="121" spans="1:18">
      <c r="A121" s="1" t="s">
        <v>111</v>
      </c>
      <c r="B121">
        <v>31</v>
      </c>
      <c r="C121">
        <v>7</v>
      </c>
      <c r="D121">
        <v>24</v>
      </c>
      <c r="E121">
        <v>-5.35</v>
      </c>
      <c r="F121">
        <v>1615</v>
      </c>
      <c r="G121">
        <v>572</v>
      </c>
      <c r="H121">
        <v>1567</v>
      </c>
      <c r="I121">
        <v>370</v>
      </c>
      <c r="J121">
        <v>558</v>
      </c>
      <c r="K121">
        <v>381</v>
      </c>
      <c r="L121">
        <v>938</v>
      </c>
      <c r="M121">
        <v>275</v>
      </c>
      <c r="N121">
        <v>196</v>
      </c>
      <c r="O121">
        <v>102</v>
      </c>
      <c r="P121">
        <v>461</v>
      </c>
      <c r="Q121">
        <v>538</v>
      </c>
      <c r="R121">
        <v>120</v>
      </c>
    </row>
    <row r="122" spans="1:18">
      <c r="A122" s="1" t="s">
        <v>112</v>
      </c>
      <c r="B122">
        <v>30</v>
      </c>
      <c r="C122">
        <v>6</v>
      </c>
      <c r="D122">
        <v>24</v>
      </c>
      <c r="E122">
        <v>-4.8499999999999996</v>
      </c>
      <c r="F122">
        <v>1710</v>
      </c>
      <c r="G122">
        <v>587</v>
      </c>
      <c r="H122">
        <v>1444</v>
      </c>
      <c r="I122">
        <v>373</v>
      </c>
      <c r="J122">
        <v>548</v>
      </c>
      <c r="K122">
        <v>237</v>
      </c>
      <c r="L122">
        <v>765</v>
      </c>
      <c r="M122">
        <v>307</v>
      </c>
      <c r="N122">
        <v>209</v>
      </c>
      <c r="O122">
        <v>100</v>
      </c>
      <c r="P122">
        <v>361</v>
      </c>
      <c r="Q122">
        <v>473</v>
      </c>
      <c r="R122">
        <v>121</v>
      </c>
    </row>
    <row r="123" spans="1:18">
      <c r="A123" s="1" t="s">
        <v>113</v>
      </c>
      <c r="B123">
        <v>30</v>
      </c>
      <c r="C123">
        <v>12</v>
      </c>
      <c r="D123">
        <v>18</v>
      </c>
      <c r="E123">
        <v>0.33</v>
      </c>
      <c r="F123">
        <v>2050</v>
      </c>
      <c r="G123">
        <v>715</v>
      </c>
      <c r="H123">
        <v>1532</v>
      </c>
      <c r="I123">
        <v>428</v>
      </c>
      <c r="J123">
        <v>576</v>
      </c>
      <c r="K123">
        <v>294</v>
      </c>
      <c r="L123">
        <v>941</v>
      </c>
      <c r="M123">
        <v>394</v>
      </c>
      <c r="N123">
        <v>123</v>
      </c>
      <c r="O123">
        <v>85</v>
      </c>
      <c r="P123">
        <v>404</v>
      </c>
      <c r="Q123">
        <v>499</v>
      </c>
      <c r="R123">
        <v>122</v>
      </c>
    </row>
    <row r="124" spans="1:18">
      <c r="A124" s="1" t="s">
        <v>114</v>
      </c>
      <c r="B124">
        <v>34</v>
      </c>
      <c r="C124">
        <v>18</v>
      </c>
      <c r="D124">
        <v>16</v>
      </c>
      <c r="E124">
        <v>-0.69</v>
      </c>
      <c r="F124">
        <v>2136</v>
      </c>
      <c r="G124">
        <v>720</v>
      </c>
      <c r="H124">
        <v>1797</v>
      </c>
      <c r="I124">
        <v>474</v>
      </c>
      <c r="J124">
        <v>630</v>
      </c>
      <c r="K124">
        <v>329</v>
      </c>
      <c r="L124">
        <v>1008</v>
      </c>
      <c r="M124">
        <v>416</v>
      </c>
      <c r="N124">
        <v>222</v>
      </c>
      <c r="O124">
        <v>93</v>
      </c>
      <c r="P124">
        <v>423</v>
      </c>
      <c r="Q124">
        <v>573</v>
      </c>
      <c r="R124">
        <v>123</v>
      </c>
    </row>
    <row r="125" spans="1:18">
      <c r="A125" s="1" t="s">
        <v>115</v>
      </c>
      <c r="B125">
        <v>33</v>
      </c>
      <c r="C125">
        <v>18</v>
      </c>
      <c r="D125">
        <v>15</v>
      </c>
      <c r="E125">
        <v>3.72</v>
      </c>
      <c r="F125">
        <v>2460</v>
      </c>
      <c r="G125">
        <v>871</v>
      </c>
      <c r="H125">
        <v>1914</v>
      </c>
      <c r="I125">
        <v>476</v>
      </c>
      <c r="J125">
        <v>658</v>
      </c>
      <c r="K125">
        <v>342</v>
      </c>
      <c r="L125">
        <v>1073</v>
      </c>
      <c r="M125">
        <v>490</v>
      </c>
      <c r="N125">
        <v>239</v>
      </c>
      <c r="O125">
        <v>144</v>
      </c>
      <c r="P125">
        <v>431</v>
      </c>
      <c r="Q125">
        <v>599</v>
      </c>
      <c r="R125">
        <v>124</v>
      </c>
    </row>
    <row r="126" spans="1:18">
      <c r="A126" s="1" t="s">
        <v>348</v>
      </c>
      <c r="B126">
        <v>36</v>
      </c>
      <c r="C126">
        <v>23</v>
      </c>
      <c r="D126">
        <v>13</v>
      </c>
      <c r="E126">
        <v>10.08</v>
      </c>
      <c r="F126">
        <v>2465</v>
      </c>
      <c r="G126">
        <v>858</v>
      </c>
      <c r="H126">
        <v>2084</v>
      </c>
      <c r="I126">
        <v>469</v>
      </c>
      <c r="J126">
        <v>646</v>
      </c>
      <c r="K126">
        <v>427</v>
      </c>
      <c r="L126">
        <v>1098</v>
      </c>
      <c r="M126">
        <v>365</v>
      </c>
      <c r="N126">
        <v>245</v>
      </c>
      <c r="O126">
        <v>142</v>
      </c>
      <c r="P126">
        <v>411</v>
      </c>
      <c r="Q126">
        <v>648</v>
      </c>
      <c r="R126">
        <v>125</v>
      </c>
    </row>
    <row r="127" spans="1:18">
      <c r="A127" s="1" t="s">
        <v>308</v>
      </c>
      <c r="B127">
        <v>33</v>
      </c>
      <c r="C127">
        <v>18</v>
      </c>
      <c r="D127">
        <v>15</v>
      </c>
      <c r="E127">
        <v>5.64</v>
      </c>
      <c r="F127">
        <v>2159</v>
      </c>
      <c r="G127">
        <v>733</v>
      </c>
      <c r="H127">
        <v>1709</v>
      </c>
      <c r="I127">
        <v>507</v>
      </c>
      <c r="J127">
        <v>717</v>
      </c>
      <c r="K127">
        <v>290</v>
      </c>
      <c r="L127">
        <v>1003</v>
      </c>
      <c r="M127">
        <v>390</v>
      </c>
      <c r="N127">
        <v>185</v>
      </c>
      <c r="O127">
        <v>107</v>
      </c>
      <c r="P127">
        <v>427</v>
      </c>
      <c r="Q127">
        <v>583</v>
      </c>
      <c r="R127">
        <v>126</v>
      </c>
    </row>
    <row r="128" spans="1:18">
      <c r="A128" s="1" t="s">
        <v>327</v>
      </c>
      <c r="B128">
        <v>36</v>
      </c>
      <c r="C128">
        <v>29</v>
      </c>
      <c r="D128">
        <v>7</v>
      </c>
      <c r="E128">
        <v>8.3800000000000008</v>
      </c>
      <c r="F128">
        <v>2831</v>
      </c>
      <c r="G128">
        <v>951</v>
      </c>
      <c r="H128">
        <v>1971</v>
      </c>
      <c r="I128">
        <v>672</v>
      </c>
      <c r="J128">
        <v>904</v>
      </c>
      <c r="K128">
        <v>439</v>
      </c>
      <c r="L128">
        <v>1270</v>
      </c>
      <c r="M128">
        <v>514</v>
      </c>
      <c r="N128">
        <v>256</v>
      </c>
      <c r="O128">
        <v>130</v>
      </c>
      <c r="P128">
        <v>469</v>
      </c>
      <c r="Q128">
        <v>598</v>
      </c>
      <c r="R128">
        <v>127</v>
      </c>
    </row>
    <row r="129" spans="1:18">
      <c r="A129" s="1" t="s">
        <v>309</v>
      </c>
      <c r="B129">
        <v>34</v>
      </c>
      <c r="C129">
        <v>20</v>
      </c>
      <c r="D129">
        <v>14</v>
      </c>
      <c r="E129">
        <v>-0.02</v>
      </c>
      <c r="F129">
        <v>2733</v>
      </c>
      <c r="G129">
        <v>956</v>
      </c>
      <c r="H129">
        <v>2106</v>
      </c>
      <c r="I129">
        <v>538</v>
      </c>
      <c r="J129">
        <v>689</v>
      </c>
      <c r="K129">
        <v>395</v>
      </c>
      <c r="L129">
        <v>1094</v>
      </c>
      <c r="M129">
        <v>523</v>
      </c>
      <c r="N129">
        <v>222</v>
      </c>
      <c r="O129">
        <v>101</v>
      </c>
      <c r="P129">
        <v>421</v>
      </c>
      <c r="Q129">
        <v>582</v>
      </c>
      <c r="R129">
        <v>128</v>
      </c>
    </row>
    <row r="130" spans="1:18">
      <c r="A130" s="1" t="s">
        <v>310</v>
      </c>
      <c r="B130">
        <v>35</v>
      </c>
      <c r="C130">
        <v>23</v>
      </c>
      <c r="D130">
        <v>12</v>
      </c>
      <c r="E130">
        <v>6.13</v>
      </c>
      <c r="F130">
        <v>2779</v>
      </c>
      <c r="G130">
        <v>962</v>
      </c>
      <c r="H130">
        <v>2111</v>
      </c>
      <c r="I130">
        <v>509</v>
      </c>
      <c r="J130">
        <v>696</v>
      </c>
      <c r="K130">
        <v>422</v>
      </c>
      <c r="L130">
        <v>1238</v>
      </c>
      <c r="M130">
        <v>560</v>
      </c>
      <c r="N130">
        <v>223</v>
      </c>
      <c r="O130">
        <v>97</v>
      </c>
      <c r="P130">
        <v>460</v>
      </c>
      <c r="Q130">
        <v>593</v>
      </c>
      <c r="R130">
        <v>129</v>
      </c>
    </row>
    <row r="131" spans="1:18">
      <c r="A131" s="1" t="s">
        <v>116</v>
      </c>
      <c r="B131">
        <v>38</v>
      </c>
      <c r="C131">
        <v>25</v>
      </c>
      <c r="D131">
        <v>13</v>
      </c>
      <c r="E131">
        <v>6.93</v>
      </c>
      <c r="F131">
        <v>2665</v>
      </c>
      <c r="G131">
        <v>903</v>
      </c>
      <c r="H131">
        <v>2156</v>
      </c>
      <c r="I131">
        <v>655</v>
      </c>
      <c r="J131">
        <v>896</v>
      </c>
      <c r="K131">
        <v>499</v>
      </c>
      <c r="L131">
        <v>1365</v>
      </c>
      <c r="M131">
        <v>573</v>
      </c>
      <c r="N131">
        <v>263</v>
      </c>
      <c r="O131">
        <v>183</v>
      </c>
      <c r="P131">
        <v>476</v>
      </c>
      <c r="Q131">
        <v>648</v>
      </c>
      <c r="R131">
        <v>130</v>
      </c>
    </row>
    <row r="132" spans="1:18">
      <c r="A132" s="1" t="s">
        <v>319</v>
      </c>
      <c r="B132">
        <v>33</v>
      </c>
      <c r="C132">
        <v>16</v>
      </c>
      <c r="D132">
        <v>17</v>
      </c>
      <c r="E132">
        <v>-5.32</v>
      </c>
      <c r="F132">
        <v>2213</v>
      </c>
      <c r="G132">
        <v>777</v>
      </c>
      <c r="H132">
        <v>1771</v>
      </c>
      <c r="I132">
        <v>437</v>
      </c>
      <c r="J132">
        <v>681</v>
      </c>
      <c r="K132">
        <v>346</v>
      </c>
      <c r="L132">
        <v>1031</v>
      </c>
      <c r="M132">
        <v>413</v>
      </c>
      <c r="N132">
        <v>250</v>
      </c>
      <c r="O132">
        <v>87</v>
      </c>
      <c r="P132">
        <v>449</v>
      </c>
      <c r="Q132">
        <v>583</v>
      </c>
      <c r="R132">
        <v>131</v>
      </c>
    </row>
    <row r="133" spans="1:18">
      <c r="A133" s="1" t="s">
        <v>117</v>
      </c>
      <c r="B133">
        <v>32</v>
      </c>
      <c r="C133">
        <v>6</v>
      </c>
      <c r="D133">
        <v>26</v>
      </c>
      <c r="E133">
        <v>-2.79</v>
      </c>
      <c r="F133">
        <v>2096</v>
      </c>
      <c r="G133">
        <v>790</v>
      </c>
      <c r="H133">
        <v>1785</v>
      </c>
      <c r="I133">
        <v>294</v>
      </c>
      <c r="J133">
        <v>439</v>
      </c>
      <c r="K133">
        <v>249</v>
      </c>
      <c r="L133">
        <v>846</v>
      </c>
      <c r="M133">
        <v>420</v>
      </c>
      <c r="N133">
        <v>177</v>
      </c>
      <c r="O133">
        <v>75</v>
      </c>
      <c r="P133">
        <v>406</v>
      </c>
      <c r="Q133">
        <v>506</v>
      </c>
      <c r="R133">
        <v>132</v>
      </c>
    </row>
    <row r="134" spans="1:18">
      <c r="A134" s="1" t="s">
        <v>278</v>
      </c>
      <c r="B134">
        <v>29</v>
      </c>
      <c r="C134">
        <v>11</v>
      </c>
      <c r="D134">
        <v>18</v>
      </c>
      <c r="E134">
        <v>-9.52</v>
      </c>
      <c r="F134">
        <v>1920</v>
      </c>
      <c r="G134">
        <v>647</v>
      </c>
      <c r="H134">
        <v>1659</v>
      </c>
      <c r="I134">
        <v>445</v>
      </c>
      <c r="J134">
        <v>637</v>
      </c>
      <c r="K134">
        <v>292</v>
      </c>
      <c r="L134">
        <v>848</v>
      </c>
      <c r="M134">
        <v>275</v>
      </c>
      <c r="N134">
        <v>241</v>
      </c>
      <c r="O134">
        <v>65</v>
      </c>
      <c r="P134">
        <v>370</v>
      </c>
      <c r="Q134">
        <v>568</v>
      </c>
      <c r="R134">
        <v>133</v>
      </c>
    </row>
    <row r="135" spans="1:18">
      <c r="A135" s="1" t="s">
        <v>118</v>
      </c>
      <c r="B135">
        <v>28</v>
      </c>
      <c r="C135">
        <v>17</v>
      </c>
      <c r="D135">
        <v>11</v>
      </c>
      <c r="E135">
        <v>-4.29</v>
      </c>
      <c r="F135">
        <v>1857</v>
      </c>
      <c r="G135">
        <v>637</v>
      </c>
      <c r="H135">
        <v>1433</v>
      </c>
      <c r="I135">
        <v>424</v>
      </c>
      <c r="J135">
        <v>625</v>
      </c>
      <c r="K135">
        <v>292</v>
      </c>
      <c r="L135">
        <v>724</v>
      </c>
      <c r="M135">
        <v>363</v>
      </c>
      <c r="N135">
        <v>237</v>
      </c>
      <c r="O135">
        <v>116</v>
      </c>
      <c r="P135">
        <v>365</v>
      </c>
      <c r="Q135">
        <v>472</v>
      </c>
      <c r="R135">
        <v>134</v>
      </c>
    </row>
    <row r="136" spans="1:18">
      <c r="A136" s="1" t="s">
        <v>119</v>
      </c>
      <c r="B136">
        <v>32</v>
      </c>
      <c r="C136">
        <v>14</v>
      </c>
      <c r="D136">
        <v>18</v>
      </c>
      <c r="E136">
        <v>-4.74</v>
      </c>
      <c r="F136">
        <v>2181</v>
      </c>
      <c r="G136">
        <v>774</v>
      </c>
      <c r="H136">
        <v>1831</v>
      </c>
      <c r="I136">
        <v>467</v>
      </c>
      <c r="J136">
        <v>664</v>
      </c>
      <c r="K136">
        <v>384</v>
      </c>
      <c r="L136">
        <v>1066</v>
      </c>
      <c r="M136">
        <v>414</v>
      </c>
      <c r="N136">
        <v>215</v>
      </c>
      <c r="O136">
        <v>104</v>
      </c>
      <c r="P136">
        <v>488</v>
      </c>
      <c r="Q136">
        <v>615</v>
      </c>
      <c r="R136">
        <v>135</v>
      </c>
    </row>
    <row r="137" spans="1:18">
      <c r="A137" s="1" t="s">
        <v>120</v>
      </c>
      <c r="B137">
        <v>36</v>
      </c>
      <c r="C137">
        <v>21</v>
      </c>
      <c r="D137">
        <v>15</v>
      </c>
      <c r="E137">
        <v>-2.2799999999999998</v>
      </c>
      <c r="F137">
        <v>2346</v>
      </c>
      <c r="G137">
        <v>818</v>
      </c>
      <c r="H137">
        <v>1941</v>
      </c>
      <c r="I137">
        <v>499</v>
      </c>
      <c r="J137">
        <v>714</v>
      </c>
      <c r="K137">
        <v>365</v>
      </c>
      <c r="L137">
        <v>1064</v>
      </c>
      <c r="M137">
        <v>423</v>
      </c>
      <c r="N137">
        <v>272</v>
      </c>
      <c r="O137">
        <v>166</v>
      </c>
      <c r="P137">
        <v>401</v>
      </c>
      <c r="Q137">
        <v>620</v>
      </c>
      <c r="R137">
        <v>136</v>
      </c>
    </row>
    <row r="138" spans="1:18">
      <c r="A138" s="1" t="s">
        <v>121</v>
      </c>
      <c r="B138">
        <v>35</v>
      </c>
      <c r="C138">
        <v>27</v>
      </c>
      <c r="D138">
        <v>8</v>
      </c>
      <c r="E138">
        <v>6.53</v>
      </c>
      <c r="F138">
        <v>2414</v>
      </c>
      <c r="G138">
        <v>872</v>
      </c>
      <c r="H138">
        <v>2002</v>
      </c>
      <c r="I138">
        <v>432</v>
      </c>
      <c r="J138">
        <v>631</v>
      </c>
      <c r="K138">
        <v>470</v>
      </c>
      <c r="L138">
        <v>1145</v>
      </c>
      <c r="M138">
        <v>557</v>
      </c>
      <c r="N138">
        <v>247</v>
      </c>
      <c r="O138">
        <v>129</v>
      </c>
      <c r="P138">
        <v>403</v>
      </c>
      <c r="Q138">
        <v>631</v>
      </c>
      <c r="R138">
        <v>137</v>
      </c>
    </row>
    <row r="139" spans="1:18">
      <c r="A139" s="1" t="s">
        <v>375</v>
      </c>
      <c r="B139">
        <v>37</v>
      </c>
      <c r="C139">
        <v>31</v>
      </c>
      <c r="D139">
        <v>6</v>
      </c>
      <c r="E139">
        <v>7.54</v>
      </c>
      <c r="F139">
        <v>2782</v>
      </c>
      <c r="G139">
        <v>985</v>
      </c>
      <c r="H139">
        <v>2049</v>
      </c>
      <c r="I139">
        <v>596</v>
      </c>
      <c r="J139">
        <v>809</v>
      </c>
      <c r="K139">
        <v>399</v>
      </c>
      <c r="L139">
        <v>1354</v>
      </c>
      <c r="M139">
        <v>575</v>
      </c>
      <c r="N139">
        <v>260</v>
      </c>
      <c r="O139">
        <v>247</v>
      </c>
      <c r="P139">
        <v>517</v>
      </c>
      <c r="Q139">
        <v>620</v>
      </c>
      <c r="R139">
        <v>138</v>
      </c>
    </row>
    <row r="140" spans="1:18">
      <c r="A140" s="1" t="s">
        <v>336</v>
      </c>
      <c r="B140">
        <v>30</v>
      </c>
      <c r="C140">
        <v>3</v>
      </c>
      <c r="D140">
        <v>27</v>
      </c>
      <c r="E140">
        <v>-4.76</v>
      </c>
      <c r="F140">
        <v>1831</v>
      </c>
      <c r="G140">
        <v>644</v>
      </c>
      <c r="H140">
        <v>1609</v>
      </c>
      <c r="I140">
        <v>391</v>
      </c>
      <c r="J140">
        <v>601</v>
      </c>
      <c r="K140">
        <v>328</v>
      </c>
      <c r="L140">
        <v>798</v>
      </c>
      <c r="M140">
        <v>312</v>
      </c>
      <c r="N140">
        <v>211</v>
      </c>
      <c r="O140">
        <v>50</v>
      </c>
      <c r="P140">
        <v>414</v>
      </c>
      <c r="Q140">
        <v>603</v>
      </c>
      <c r="R140">
        <v>139</v>
      </c>
    </row>
    <row r="141" spans="1:18">
      <c r="A141" s="1" t="s">
        <v>122</v>
      </c>
      <c r="B141">
        <v>35</v>
      </c>
      <c r="C141">
        <v>21</v>
      </c>
      <c r="D141">
        <v>14</v>
      </c>
      <c r="E141">
        <v>-0.83</v>
      </c>
      <c r="F141">
        <v>2484</v>
      </c>
      <c r="G141">
        <v>823</v>
      </c>
      <c r="H141">
        <v>1921</v>
      </c>
      <c r="I141">
        <v>597</v>
      </c>
      <c r="J141">
        <v>842</v>
      </c>
      <c r="K141">
        <v>427</v>
      </c>
      <c r="L141">
        <v>1116</v>
      </c>
      <c r="M141">
        <v>402</v>
      </c>
      <c r="N141">
        <v>235</v>
      </c>
      <c r="O141">
        <v>93</v>
      </c>
      <c r="P141">
        <v>447</v>
      </c>
      <c r="Q141">
        <v>684</v>
      </c>
      <c r="R141">
        <v>140</v>
      </c>
    </row>
    <row r="142" spans="1:18">
      <c r="A142" s="1" t="s">
        <v>354</v>
      </c>
      <c r="B142">
        <v>33</v>
      </c>
      <c r="C142">
        <v>21</v>
      </c>
      <c r="D142">
        <v>12</v>
      </c>
      <c r="E142">
        <v>5.78</v>
      </c>
      <c r="F142">
        <v>2396</v>
      </c>
      <c r="G142">
        <v>863</v>
      </c>
      <c r="H142">
        <v>1815</v>
      </c>
      <c r="I142">
        <v>486</v>
      </c>
      <c r="J142">
        <v>757</v>
      </c>
      <c r="K142">
        <v>379</v>
      </c>
      <c r="L142">
        <v>1163</v>
      </c>
      <c r="M142">
        <v>441</v>
      </c>
      <c r="N142">
        <v>185</v>
      </c>
      <c r="O142">
        <v>217</v>
      </c>
      <c r="P142">
        <v>430</v>
      </c>
      <c r="Q142">
        <v>566</v>
      </c>
      <c r="R142">
        <v>141</v>
      </c>
    </row>
    <row r="143" spans="1:18">
      <c r="A143" s="1" t="s">
        <v>123</v>
      </c>
      <c r="B143">
        <v>34</v>
      </c>
      <c r="C143">
        <v>24</v>
      </c>
      <c r="D143">
        <v>10</v>
      </c>
      <c r="E143">
        <v>4.46</v>
      </c>
      <c r="F143">
        <v>2450</v>
      </c>
      <c r="G143">
        <v>871</v>
      </c>
      <c r="H143">
        <v>1931</v>
      </c>
      <c r="I143">
        <v>446</v>
      </c>
      <c r="J143">
        <v>605</v>
      </c>
      <c r="K143">
        <v>332</v>
      </c>
      <c r="L143">
        <v>958</v>
      </c>
      <c r="M143">
        <v>481</v>
      </c>
      <c r="N143">
        <v>263</v>
      </c>
      <c r="O143">
        <v>119</v>
      </c>
      <c r="P143">
        <v>390</v>
      </c>
      <c r="Q143">
        <v>520</v>
      </c>
      <c r="R143">
        <v>142</v>
      </c>
    </row>
    <row r="144" spans="1:18">
      <c r="A144" s="1" t="s">
        <v>279</v>
      </c>
      <c r="B144">
        <v>34</v>
      </c>
      <c r="C144">
        <v>19</v>
      </c>
      <c r="D144">
        <v>15</v>
      </c>
      <c r="E144">
        <v>-2.36</v>
      </c>
      <c r="F144">
        <v>2349</v>
      </c>
      <c r="G144">
        <v>842</v>
      </c>
      <c r="H144">
        <v>1842</v>
      </c>
      <c r="I144">
        <v>389</v>
      </c>
      <c r="J144">
        <v>516</v>
      </c>
      <c r="K144">
        <v>270</v>
      </c>
      <c r="L144">
        <v>896</v>
      </c>
      <c r="M144">
        <v>486</v>
      </c>
      <c r="N144">
        <v>231</v>
      </c>
      <c r="O144">
        <v>107</v>
      </c>
      <c r="P144">
        <v>424</v>
      </c>
      <c r="Q144">
        <v>530</v>
      </c>
      <c r="R144">
        <v>143</v>
      </c>
    </row>
    <row r="145" spans="1:18">
      <c r="A145" s="1" t="s">
        <v>280</v>
      </c>
      <c r="B145">
        <v>31</v>
      </c>
      <c r="C145">
        <v>3</v>
      </c>
      <c r="D145">
        <v>28</v>
      </c>
      <c r="E145">
        <v>-3.26</v>
      </c>
      <c r="F145">
        <v>1862</v>
      </c>
      <c r="G145">
        <v>710</v>
      </c>
      <c r="H145">
        <v>1741</v>
      </c>
      <c r="I145">
        <v>385</v>
      </c>
      <c r="J145">
        <v>548</v>
      </c>
      <c r="K145">
        <v>359</v>
      </c>
      <c r="L145">
        <v>1016</v>
      </c>
      <c r="M145">
        <v>353</v>
      </c>
      <c r="N145">
        <v>133</v>
      </c>
      <c r="O145">
        <v>128</v>
      </c>
      <c r="P145">
        <v>564</v>
      </c>
      <c r="Q145">
        <v>508</v>
      </c>
      <c r="R145">
        <v>144</v>
      </c>
    </row>
    <row r="146" spans="1:18">
      <c r="A146" s="1" t="s">
        <v>124</v>
      </c>
      <c r="B146">
        <v>31</v>
      </c>
      <c r="C146">
        <v>21</v>
      </c>
      <c r="D146">
        <v>10</v>
      </c>
      <c r="E146">
        <v>-3.01</v>
      </c>
      <c r="F146">
        <v>2266</v>
      </c>
      <c r="G146">
        <v>788</v>
      </c>
      <c r="H146">
        <v>1705</v>
      </c>
      <c r="I146">
        <v>455</v>
      </c>
      <c r="J146">
        <v>617</v>
      </c>
      <c r="K146">
        <v>272</v>
      </c>
      <c r="L146">
        <v>905</v>
      </c>
      <c r="M146">
        <v>453</v>
      </c>
      <c r="N146">
        <v>219</v>
      </c>
      <c r="O146">
        <v>105</v>
      </c>
      <c r="P146">
        <v>339</v>
      </c>
      <c r="Q146">
        <v>478</v>
      </c>
      <c r="R146">
        <v>145</v>
      </c>
    </row>
    <row r="147" spans="1:18">
      <c r="A147" s="1" t="s">
        <v>125</v>
      </c>
      <c r="B147">
        <v>36</v>
      </c>
      <c r="C147">
        <v>15</v>
      </c>
      <c r="D147">
        <v>21</v>
      </c>
      <c r="E147">
        <v>-5.8</v>
      </c>
      <c r="F147">
        <v>2489</v>
      </c>
      <c r="G147">
        <v>838</v>
      </c>
      <c r="H147">
        <v>1954</v>
      </c>
      <c r="I147">
        <v>562</v>
      </c>
      <c r="J147">
        <v>770</v>
      </c>
      <c r="K147">
        <v>367</v>
      </c>
      <c r="L147">
        <v>1164</v>
      </c>
      <c r="M147">
        <v>443</v>
      </c>
      <c r="N147">
        <v>197</v>
      </c>
      <c r="O147">
        <v>105</v>
      </c>
      <c r="P147">
        <v>478</v>
      </c>
      <c r="Q147">
        <v>685</v>
      </c>
      <c r="R147">
        <v>146</v>
      </c>
    </row>
    <row r="148" spans="1:18">
      <c r="A148" s="1" t="s">
        <v>320</v>
      </c>
      <c r="B148">
        <v>30</v>
      </c>
      <c r="C148">
        <v>12</v>
      </c>
      <c r="D148">
        <v>18</v>
      </c>
      <c r="E148">
        <v>-3.45</v>
      </c>
      <c r="F148">
        <v>2079</v>
      </c>
      <c r="G148">
        <v>717</v>
      </c>
      <c r="H148">
        <v>1690</v>
      </c>
      <c r="I148">
        <v>486</v>
      </c>
      <c r="J148">
        <v>753</v>
      </c>
      <c r="K148">
        <v>401</v>
      </c>
      <c r="L148">
        <v>1051</v>
      </c>
      <c r="M148">
        <v>345</v>
      </c>
      <c r="N148">
        <v>209</v>
      </c>
      <c r="O148">
        <v>52</v>
      </c>
      <c r="P148">
        <v>504</v>
      </c>
      <c r="Q148">
        <v>657</v>
      </c>
      <c r="R148">
        <v>147</v>
      </c>
    </row>
    <row r="149" spans="1:18">
      <c r="A149" s="1" t="s">
        <v>126</v>
      </c>
      <c r="B149">
        <v>33</v>
      </c>
      <c r="C149">
        <v>19</v>
      </c>
      <c r="D149">
        <v>14</v>
      </c>
      <c r="E149">
        <v>1.92</v>
      </c>
      <c r="F149">
        <v>2291</v>
      </c>
      <c r="G149">
        <v>811</v>
      </c>
      <c r="H149">
        <v>1836</v>
      </c>
      <c r="I149">
        <v>446</v>
      </c>
      <c r="J149">
        <v>675</v>
      </c>
      <c r="K149">
        <v>374</v>
      </c>
      <c r="L149">
        <v>1063</v>
      </c>
      <c r="M149">
        <v>398</v>
      </c>
      <c r="N149">
        <v>214</v>
      </c>
      <c r="O149">
        <v>114</v>
      </c>
      <c r="P149">
        <v>485</v>
      </c>
      <c r="Q149">
        <v>570</v>
      </c>
      <c r="R149">
        <v>148</v>
      </c>
    </row>
    <row r="150" spans="1:18">
      <c r="A150" s="1" t="s">
        <v>127</v>
      </c>
      <c r="B150">
        <v>34</v>
      </c>
      <c r="C150">
        <v>20</v>
      </c>
      <c r="D150">
        <v>14</v>
      </c>
      <c r="E150">
        <v>-5.8</v>
      </c>
      <c r="F150">
        <v>2677</v>
      </c>
      <c r="G150">
        <v>915</v>
      </c>
      <c r="H150">
        <v>1909</v>
      </c>
      <c r="I150">
        <v>601</v>
      </c>
      <c r="J150">
        <v>870</v>
      </c>
      <c r="K150">
        <v>404</v>
      </c>
      <c r="L150">
        <v>1083</v>
      </c>
      <c r="M150">
        <v>515</v>
      </c>
      <c r="N150">
        <v>232</v>
      </c>
      <c r="O150">
        <v>117</v>
      </c>
      <c r="P150">
        <v>486</v>
      </c>
      <c r="Q150">
        <v>597</v>
      </c>
      <c r="R150">
        <v>149</v>
      </c>
    </row>
    <row r="151" spans="1:18">
      <c r="A151" s="1" t="s">
        <v>331</v>
      </c>
      <c r="B151">
        <v>33</v>
      </c>
      <c r="C151">
        <v>8</v>
      </c>
      <c r="D151">
        <v>25</v>
      </c>
      <c r="E151">
        <v>-5.0999999999999996</v>
      </c>
      <c r="F151">
        <v>2270</v>
      </c>
      <c r="G151">
        <v>841</v>
      </c>
      <c r="H151">
        <v>1898</v>
      </c>
      <c r="I151">
        <v>421</v>
      </c>
      <c r="J151">
        <v>593</v>
      </c>
      <c r="K151">
        <v>341</v>
      </c>
      <c r="L151">
        <v>1003</v>
      </c>
      <c r="M151">
        <v>459</v>
      </c>
      <c r="N151">
        <v>226</v>
      </c>
      <c r="O151">
        <v>96</v>
      </c>
      <c r="P151">
        <v>548</v>
      </c>
      <c r="Q151">
        <v>592</v>
      </c>
      <c r="R151">
        <v>150</v>
      </c>
    </row>
    <row r="152" spans="1:18">
      <c r="A152" s="1" t="s">
        <v>281</v>
      </c>
      <c r="B152">
        <v>33</v>
      </c>
      <c r="C152">
        <v>13</v>
      </c>
      <c r="D152">
        <v>20</v>
      </c>
      <c r="E152">
        <v>-2.23</v>
      </c>
      <c r="F152">
        <v>2337</v>
      </c>
      <c r="G152">
        <v>827</v>
      </c>
      <c r="H152">
        <v>1935</v>
      </c>
      <c r="I152">
        <v>457</v>
      </c>
      <c r="J152">
        <v>681</v>
      </c>
      <c r="K152">
        <v>354</v>
      </c>
      <c r="L152">
        <v>1019</v>
      </c>
      <c r="M152">
        <v>367</v>
      </c>
      <c r="N152">
        <v>235</v>
      </c>
      <c r="O152">
        <v>121</v>
      </c>
      <c r="P152">
        <v>466</v>
      </c>
      <c r="Q152">
        <v>622</v>
      </c>
      <c r="R152">
        <v>151</v>
      </c>
    </row>
    <row r="153" spans="1:18">
      <c r="A153" s="1" t="s">
        <v>128</v>
      </c>
      <c r="B153">
        <v>27</v>
      </c>
      <c r="C153">
        <v>4</v>
      </c>
      <c r="D153">
        <v>23</v>
      </c>
      <c r="E153">
        <v>-1.45</v>
      </c>
      <c r="F153">
        <v>1621</v>
      </c>
      <c r="G153">
        <v>602</v>
      </c>
      <c r="H153">
        <v>1409</v>
      </c>
      <c r="I153">
        <v>256</v>
      </c>
      <c r="J153">
        <v>444</v>
      </c>
      <c r="K153">
        <v>245</v>
      </c>
      <c r="L153">
        <v>713</v>
      </c>
      <c r="M153">
        <v>367</v>
      </c>
      <c r="N153">
        <v>194</v>
      </c>
      <c r="O153">
        <v>36</v>
      </c>
      <c r="P153">
        <v>439</v>
      </c>
      <c r="Q153">
        <v>498</v>
      </c>
      <c r="R153">
        <v>152</v>
      </c>
    </row>
    <row r="154" spans="1:18">
      <c r="A154" s="1" t="s">
        <v>282</v>
      </c>
      <c r="B154">
        <v>31</v>
      </c>
      <c r="C154">
        <v>19</v>
      </c>
      <c r="D154">
        <v>12</v>
      </c>
      <c r="E154">
        <v>4.01</v>
      </c>
      <c r="F154">
        <v>2194</v>
      </c>
      <c r="G154">
        <v>788</v>
      </c>
      <c r="H154">
        <v>1839</v>
      </c>
      <c r="I154">
        <v>384</v>
      </c>
      <c r="J154">
        <v>614</v>
      </c>
      <c r="K154">
        <v>402</v>
      </c>
      <c r="L154">
        <v>1055</v>
      </c>
      <c r="M154">
        <v>442</v>
      </c>
      <c r="N154">
        <v>282</v>
      </c>
      <c r="O154">
        <v>119</v>
      </c>
      <c r="P154">
        <v>445</v>
      </c>
      <c r="Q154">
        <v>584</v>
      </c>
      <c r="R154">
        <v>153</v>
      </c>
    </row>
    <row r="155" spans="1:18">
      <c r="A155" s="1" t="s">
        <v>129</v>
      </c>
      <c r="B155">
        <v>34</v>
      </c>
      <c r="C155">
        <v>27</v>
      </c>
      <c r="D155">
        <v>7</v>
      </c>
      <c r="E155">
        <v>-2.06</v>
      </c>
      <c r="F155">
        <v>2470</v>
      </c>
      <c r="G155">
        <v>857</v>
      </c>
      <c r="H155">
        <v>2092</v>
      </c>
      <c r="I155">
        <v>503</v>
      </c>
      <c r="J155">
        <v>722</v>
      </c>
      <c r="K155">
        <v>465</v>
      </c>
      <c r="L155">
        <v>1168</v>
      </c>
      <c r="M155">
        <v>454</v>
      </c>
      <c r="N155">
        <v>309</v>
      </c>
      <c r="O155">
        <v>168</v>
      </c>
      <c r="P155">
        <v>421</v>
      </c>
      <c r="Q155">
        <v>624</v>
      </c>
      <c r="R155">
        <v>154</v>
      </c>
    </row>
    <row r="156" spans="1:18">
      <c r="A156" s="1" t="s">
        <v>283</v>
      </c>
      <c r="B156">
        <v>40</v>
      </c>
      <c r="C156">
        <v>35</v>
      </c>
      <c r="D156">
        <v>5</v>
      </c>
      <c r="E156">
        <v>9.1300000000000008</v>
      </c>
      <c r="F156">
        <v>2978</v>
      </c>
      <c r="G156">
        <v>1048</v>
      </c>
      <c r="H156">
        <v>2300</v>
      </c>
      <c r="I156">
        <v>652</v>
      </c>
      <c r="J156">
        <v>920</v>
      </c>
      <c r="K156">
        <v>531</v>
      </c>
      <c r="L156">
        <v>1385</v>
      </c>
      <c r="M156">
        <v>584</v>
      </c>
      <c r="N156">
        <v>430</v>
      </c>
      <c r="O156">
        <v>168</v>
      </c>
      <c r="P156">
        <v>495</v>
      </c>
      <c r="Q156">
        <v>727</v>
      </c>
      <c r="R156">
        <v>155</v>
      </c>
    </row>
    <row r="157" spans="1:18">
      <c r="A157" s="1" t="s">
        <v>130</v>
      </c>
      <c r="B157">
        <v>31</v>
      </c>
      <c r="C157">
        <v>15</v>
      </c>
      <c r="D157">
        <v>16</v>
      </c>
      <c r="E157">
        <v>-2.2999999999999998</v>
      </c>
      <c r="F157">
        <v>1995</v>
      </c>
      <c r="G157">
        <v>708</v>
      </c>
      <c r="H157">
        <v>1586</v>
      </c>
      <c r="I157">
        <v>395</v>
      </c>
      <c r="J157">
        <v>550</v>
      </c>
      <c r="K157">
        <v>296</v>
      </c>
      <c r="L157">
        <v>909</v>
      </c>
      <c r="M157">
        <v>430</v>
      </c>
      <c r="N157">
        <v>157</v>
      </c>
      <c r="O157">
        <v>83</v>
      </c>
      <c r="P157">
        <v>408</v>
      </c>
      <c r="Q157">
        <v>480</v>
      </c>
      <c r="R157">
        <v>156</v>
      </c>
    </row>
    <row r="158" spans="1:18">
      <c r="A158" s="1" t="s">
        <v>131</v>
      </c>
      <c r="B158">
        <v>34</v>
      </c>
      <c r="C158">
        <v>11</v>
      </c>
      <c r="D158">
        <v>23</v>
      </c>
      <c r="E158">
        <v>2.86</v>
      </c>
      <c r="F158">
        <v>2202</v>
      </c>
      <c r="G158">
        <v>769</v>
      </c>
      <c r="H158">
        <v>1915</v>
      </c>
      <c r="I158">
        <v>466</v>
      </c>
      <c r="J158">
        <v>663</v>
      </c>
      <c r="K158">
        <v>416</v>
      </c>
      <c r="L158">
        <v>1095</v>
      </c>
      <c r="M158">
        <v>367</v>
      </c>
      <c r="N158">
        <v>246</v>
      </c>
      <c r="O158">
        <v>83</v>
      </c>
      <c r="P158">
        <v>450</v>
      </c>
      <c r="Q158">
        <v>629</v>
      </c>
      <c r="R158">
        <v>157</v>
      </c>
    </row>
    <row r="159" spans="1:18">
      <c r="A159" s="1" t="s">
        <v>132</v>
      </c>
      <c r="B159">
        <v>35</v>
      </c>
      <c r="C159">
        <v>23</v>
      </c>
      <c r="D159">
        <v>12</v>
      </c>
      <c r="E159">
        <v>-2.1</v>
      </c>
      <c r="F159">
        <v>2341</v>
      </c>
      <c r="G159">
        <v>826</v>
      </c>
      <c r="H159">
        <v>1919</v>
      </c>
      <c r="I159">
        <v>542</v>
      </c>
      <c r="J159">
        <v>786</v>
      </c>
      <c r="K159">
        <v>441</v>
      </c>
      <c r="L159">
        <v>1091</v>
      </c>
      <c r="M159">
        <v>422</v>
      </c>
      <c r="N159">
        <v>250</v>
      </c>
      <c r="O159">
        <v>155</v>
      </c>
      <c r="P159">
        <v>418</v>
      </c>
      <c r="Q159">
        <v>648</v>
      </c>
      <c r="R159">
        <v>158</v>
      </c>
    </row>
    <row r="160" spans="1:18">
      <c r="A160" s="1" t="s">
        <v>133</v>
      </c>
      <c r="B160">
        <v>30</v>
      </c>
      <c r="C160">
        <v>11</v>
      </c>
      <c r="D160">
        <v>19</v>
      </c>
      <c r="E160">
        <v>-4.12</v>
      </c>
      <c r="F160">
        <v>1988</v>
      </c>
      <c r="G160">
        <v>733</v>
      </c>
      <c r="H160">
        <v>1688</v>
      </c>
      <c r="I160">
        <v>366</v>
      </c>
      <c r="J160">
        <v>559</v>
      </c>
      <c r="K160">
        <v>326</v>
      </c>
      <c r="L160">
        <v>1006</v>
      </c>
      <c r="M160">
        <v>384</v>
      </c>
      <c r="N160">
        <v>209</v>
      </c>
      <c r="O160">
        <v>123</v>
      </c>
      <c r="P160">
        <v>450</v>
      </c>
      <c r="Q160">
        <v>547</v>
      </c>
      <c r="R160">
        <v>159</v>
      </c>
    </row>
    <row r="161" spans="1:18">
      <c r="A161" s="1" t="s">
        <v>134</v>
      </c>
      <c r="B161">
        <v>32</v>
      </c>
      <c r="C161">
        <v>14</v>
      </c>
      <c r="D161">
        <v>18</v>
      </c>
      <c r="E161">
        <v>-0.38</v>
      </c>
      <c r="F161">
        <v>1865</v>
      </c>
      <c r="G161">
        <v>614</v>
      </c>
      <c r="H161">
        <v>1506</v>
      </c>
      <c r="I161">
        <v>456</v>
      </c>
      <c r="J161">
        <v>689</v>
      </c>
      <c r="K161">
        <v>328</v>
      </c>
      <c r="L161">
        <v>918</v>
      </c>
      <c r="M161">
        <v>341</v>
      </c>
      <c r="N161">
        <v>212</v>
      </c>
      <c r="O161">
        <v>134</v>
      </c>
      <c r="P161">
        <v>518</v>
      </c>
      <c r="Q161">
        <v>674</v>
      </c>
      <c r="R161">
        <v>160</v>
      </c>
    </row>
    <row r="162" spans="1:18">
      <c r="A162" s="1" t="s">
        <v>135</v>
      </c>
      <c r="B162">
        <v>31</v>
      </c>
      <c r="C162">
        <v>10</v>
      </c>
      <c r="D162">
        <v>21</v>
      </c>
      <c r="E162">
        <v>-1.63</v>
      </c>
      <c r="F162">
        <v>2045</v>
      </c>
      <c r="G162">
        <v>710</v>
      </c>
      <c r="H162">
        <v>1670</v>
      </c>
      <c r="I162">
        <v>428</v>
      </c>
      <c r="J162">
        <v>661</v>
      </c>
      <c r="K162">
        <v>293</v>
      </c>
      <c r="L162">
        <v>940</v>
      </c>
      <c r="M162">
        <v>396</v>
      </c>
      <c r="N162">
        <v>194</v>
      </c>
      <c r="O162">
        <v>128</v>
      </c>
      <c r="P162">
        <v>443</v>
      </c>
      <c r="Q162">
        <v>530</v>
      </c>
      <c r="R162">
        <v>161</v>
      </c>
    </row>
    <row r="163" spans="1:18">
      <c r="A163" s="1" t="s">
        <v>136</v>
      </c>
      <c r="B163">
        <v>35</v>
      </c>
      <c r="C163">
        <v>26</v>
      </c>
      <c r="D163">
        <v>9</v>
      </c>
      <c r="E163">
        <v>8.58</v>
      </c>
      <c r="F163">
        <v>2382</v>
      </c>
      <c r="G163">
        <v>842</v>
      </c>
      <c r="H163">
        <v>1844</v>
      </c>
      <c r="I163">
        <v>551</v>
      </c>
      <c r="J163">
        <v>755</v>
      </c>
      <c r="K163">
        <v>418</v>
      </c>
      <c r="L163">
        <v>1116</v>
      </c>
      <c r="M163">
        <v>483</v>
      </c>
      <c r="N163">
        <v>231</v>
      </c>
      <c r="O163">
        <v>123</v>
      </c>
      <c r="P163">
        <v>471</v>
      </c>
      <c r="Q163">
        <v>590</v>
      </c>
      <c r="R163">
        <v>162</v>
      </c>
    </row>
    <row r="164" spans="1:18">
      <c r="A164" s="1" t="s">
        <v>137</v>
      </c>
      <c r="B164">
        <v>32</v>
      </c>
      <c r="C164">
        <v>13</v>
      </c>
      <c r="D164">
        <v>19</v>
      </c>
      <c r="E164">
        <v>0.93</v>
      </c>
      <c r="F164">
        <v>2208</v>
      </c>
      <c r="G164">
        <v>767</v>
      </c>
      <c r="H164">
        <v>1796</v>
      </c>
      <c r="I164">
        <v>476</v>
      </c>
      <c r="J164">
        <v>796</v>
      </c>
      <c r="K164">
        <v>460</v>
      </c>
      <c r="L164">
        <v>1100</v>
      </c>
      <c r="M164">
        <v>448</v>
      </c>
      <c r="N164">
        <v>207</v>
      </c>
      <c r="O164">
        <v>145</v>
      </c>
      <c r="P164">
        <v>506</v>
      </c>
      <c r="Q164">
        <v>617</v>
      </c>
      <c r="R164">
        <v>163</v>
      </c>
    </row>
    <row r="165" spans="1:18">
      <c r="A165" s="1" t="s">
        <v>138</v>
      </c>
      <c r="B165">
        <v>31</v>
      </c>
      <c r="C165">
        <v>8</v>
      </c>
      <c r="D165">
        <v>23</v>
      </c>
      <c r="E165">
        <v>-3.7</v>
      </c>
      <c r="F165">
        <v>1970</v>
      </c>
      <c r="G165">
        <v>718</v>
      </c>
      <c r="H165">
        <v>1763</v>
      </c>
      <c r="I165">
        <v>328</v>
      </c>
      <c r="J165">
        <v>520</v>
      </c>
      <c r="K165">
        <v>335</v>
      </c>
      <c r="L165">
        <v>946</v>
      </c>
      <c r="M165">
        <v>368</v>
      </c>
      <c r="N165">
        <v>223</v>
      </c>
      <c r="O165">
        <v>69</v>
      </c>
      <c r="P165">
        <v>455</v>
      </c>
      <c r="Q165">
        <v>625</v>
      </c>
      <c r="R165">
        <v>164</v>
      </c>
    </row>
    <row r="166" spans="1:18">
      <c r="A166" s="1" t="s">
        <v>139</v>
      </c>
      <c r="B166">
        <v>28</v>
      </c>
      <c r="C166">
        <v>2</v>
      </c>
      <c r="D166">
        <v>26</v>
      </c>
      <c r="E166">
        <v>-5.1100000000000003</v>
      </c>
      <c r="F166">
        <v>1535</v>
      </c>
      <c r="G166">
        <v>538</v>
      </c>
      <c r="H166">
        <v>1507</v>
      </c>
      <c r="I166">
        <v>336</v>
      </c>
      <c r="J166">
        <v>532</v>
      </c>
      <c r="K166">
        <v>370</v>
      </c>
      <c r="L166">
        <v>828</v>
      </c>
      <c r="M166">
        <v>261</v>
      </c>
      <c r="N166">
        <v>187</v>
      </c>
      <c r="O166">
        <v>72</v>
      </c>
      <c r="P166">
        <v>429</v>
      </c>
      <c r="Q166">
        <v>462</v>
      </c>
      <c r="R166">
        <v>165</v>
      </c>
    </row>
    <row r="167" spans="1:18">
      <c r="A167" s="1" t="s">
        <v>332</v>
      </c>
      <c r="B167">
        <v>38</v>
      </c>
      <c r="C167">
        <v>25</v>
      </c>
      <c r="D167">
        <v>13</v>
      </c>
      <c r="E167">
        <v>4.66</v>
      </c>
      <c r="F167">
        <v>2688</v>
      </c>
      <c r="G167">
        <v>986</v>
      </c>
      <c r="H167">
        <v>2124</v>
      </c>
      <c r="I167">
        <v>497</v>
      </c>
      <c r="J167">
        <v>732</v>
      </c>
      <c r="K167">
        <v>464</v>
      </c>
      <c r="L167">
        <v>1419</v>
      </c>
      <c r="M167">
        <v>551</v>
      </c>
      <c r="N167">
        <v>195</v>
      </c>
      <c r="O167">
        <v>166</v>
      </c>
      <c r="P167">
        <v>569</v>
      </c>
      <c r="Q167">
        <v>633</v>
      </c>
      <c r="R167">
        <v>166</v>
      </c>
    </row>
    <row r="168" spans="1:18">
      <c r="A168" s="1" t="s">
        <v>140</v>
      </c>
      <c r="B168">
        <v>33</v>
      </c>
      <c r="C168">
        <v>21</v>
      </c>
      <c r="D168">
        <v>12</v>
      </c>
      <c r="E168">
        <v>4.55</v>
      </c>
      <c r="F168">
        <v>2408</v>
      </c>
      <c r="G168">
        <v>838</v>
      </c>
      <c r="H168">
        <v>1932</v>
      </c>
      <c r="I168">
        <v>497</v>
      </c>
      <c r="J168">
        <v>691</v>
      </c>
      <c r="K168">
        <v>383</v>
      </c>
      <c r="L168">
        <v>1109</v>
      </c>
      <c r="M168">
        <v>482</v>
      </c>
      <c r="N168">
        <v>248</v>
      </c>
      <c r="O168">
        <v>172</v>
      </c>
      <c r="P168">
        <v>476</v>
      </c>
      <c r="Q168">
        <v>632</v>
      </c>
      <c r="R168">
        <v>167</v>
      </c>
    </row>
    <row r="169" spans="1:18">
      <c r="A169" s="1" t="s">
        <v>141</v>
      </c>
      <c r="B169">
        <v>31</v>
      </c>
      <c r="C169">
        <v>14</v>
      </c>
      <c r="D169">
        <v>17</v>
      </c>
      <c r="E169">
        <v>-4.63</v>
      </c>
      <c r="F169">
        <v>2055</v>
      </c>
      <c r="G169">
        <v>771</v>
      </c>
      <c r="H169">
        <v>1847</v>
      </c>
      <c r="I169">
        <v>353</v>
      </c>
      <c r="J169">
        <v>549</v>
      </c>
      <c r="K169">
        <v>379</v>
      </c>
      <c r="L169">
        <v>1009</v>
      </c>
      <c r="M169">
        <v>380</v>
      </c>
      <c r="N169">
        <v>242</v>
      </c>
      <c r="O169">
        <v>149</v>
      </c>
      <c r="P169">
        <v>373</v>
      </c>
      <c r="Q169">
        <v>532</v>
      </c>
      <c r="R169">
        <v>168</v>
      </c>
    </row>
    <row r="170" spans="1:18">
      <c r="A170" s="1" t="s">
        <v>142</v>
      </c>
      <c r="B170">
        <v>36</v>
      </c>
      <c r="C170">
        <v>31</v>
      </c>
      <c r="D170">
        <v>5</v>
      </c>
      <c r="E170">
        <v>2.7</v>
      </c>
      <c r="F170">
        <v>2681</v>
      </c>
      <c r="G170">
        <v>976</v>
      </c>
      <c r="H170">
        <v>2071</v>
      </c>
      <c r="I170">
        <v>509</v>
      </c>
      <c r="J170">
        <v>771</v>
      </c>
      <c r="K170">
        <v>438</v>
      </c>
      <c r="L170">
        <v>1243</v>
      </c>
      <c r="M170">
        <v>605</v>
      </c>
      <c r="N170">
        <v>321</v>
      </c>
      <c r="O170">
        <v>231</v>
      </c>
      <c r="P170">
        <v>523</v>
      </c>
      <c r="Q170">
        <v>651</v>
      </c>
      <c r="R170">
        <v>169</v>
      </c>
    </row>
    <row r="171" spans="1:18">
      <c r="A171" s="1" t="s">
        <v>143</v>
      </c>
      <c r="B171">
        <v>36</v>
      </c>
      <c r="C171">
        <v>24</v>
      </c>
      <c r="D171">
        <v>12</v>
      </c>
      <c r="E171">
        <v>-4.08</v>
      </c>
      <c r="F171">
        <v>2371</v>
      </c>
      <c r="G171">
        <v>807</v>
      </c>
      <c r="H171">
        <v>1856</v>
      </c>
      <c r="I171">
        <v>492</v>
      </c>
      <c r="J171">
        <v>653</v>
      </c>
      <c r="K171">
        <v>342</v>
      </c>
      <c r="L171">
        <v>1045</v>
      </c>
      <c r="M171">
        <v>516</v>
      </c>
      <c r="N171">
        <v>239</v>
      </c>
      <c r="O171">
        <v>145</v>
      </c>
      <c r="P171">
        <v>454</v>
      </c>
      <c r="Q171">
        <v>644</v>
      </c>
      <c r="R171">
        <v>170</v>
      </c>
    </row>
    <row r="172" spans="1:18">
      <c r="A172" s="1" t="s">
        <v>284</v>
      </c>
      <c r="B172">
        <v>36</v>
      </c>
      <c r="C172">
        <v>29</v>
      </c>
      <c r="D172">
        <v>7</v>
      </c>
      <c r="E172">
        <v>7.88</v>
      </c>
      <c r="F172">
        <v>2509</v>
      </c>
      <c r="G172">
        <v>895</v>
      </c>
      <c r="H172">
        <v>1968</v>
      </c>
      <c r="I172">
        <v>465</v>
      </c>
      <c r="J172">
        <v>680</v>
      </c>
      <c r="K172">
        <v>357</v>
      </c>
      <c r="L172">
        <v>1179</v>
      </c>
      <c r="M172">
        <v>408</v>
      </c>
      <c r="N172">
        <v>223</v>
      </c>
      <c r="O172">
        <v>159</v>
      </c>
      <c r="P172">
        <v>377</v>
      </c>
      <c r="Q172">
        <v>525</v>
      </c>
      <c r="R172">
        <v>171</v>
      </c>
    </row>
    <row r="173" spans="1:18">
      <c r="A173" s="1" t="s">
        <v>144</v>
      </c>
      <c r="B173">
        <v>31</v>
      </c>
      <c r="C173">
        <v>9</v>
      </c>
      <c r="D173">
        <v>22</v>
      </c>
      <c r="E173">
        <v>-0.26</v>
      </c>
      <c r="F173">
        <v>1954</v>
      </c>
      <c r="G173">
        <v>687</v>
      </c>
      <c r="H173">
        <v>1598</v>
      </c>
      <c r="I173">
        <v>402</v>
      </c>
      <c r="J173">
        <v>591</v>
      </c>
      <c r="K173">
        <v>279</v>
      </c>
      <c r="L173">
        <v>821</v>
      </c>
      <c r="M173">
        <v>379</v>
      </c>
      <c r="N173">
        <v>258</v>
      </c>
      <c r="O173">
        <v>74</v>
      </c>
      <c r="P173">
        <v>441</v>
      </c>
      <c r="Q173">
        <v>558</v>
      </c>
      <c r="R173">
        <v>172</v>
      </c>
    </row>
    <row r="174" spans="1:18">
      <c r="A174" s="1" t="s">
        <v>377</v>
      </c>
      <c r="B174">
        <v>36</v>
      </c>
      <c r="C174">
        <v>27</v>
      </c>
      <c r="D174">
        <v>9</v>
      </c>
      <c r="E174">
        <v>10.55</v>
      </c>
      <c r="F174">
        <v>2448</v>
      </c>
      <c r="G174">
        <v>882</v>
      </c>
      <c r="H174">
        <v>1921</v>
      </c>
      <c r="I174">
        <v>507</v>
      </c>
      <c r="J174">
        <v>710</v>
      </c>
      <c r="K174">
        <v>421</v>
      </c>
      <c r="L174">
        <v>1241</v>
      </c>
      <c r="M174">
        <v>474</v>
      </c>
      <c r="N174">
        <v>289</v>
      </c>
      <c r="O174">
        <v>140</v>
      </c>
      <c r="P174">
        <v>489</v>
      </c>
      <c r="Q174">
        <v>579</v>
      </c>
      <c r="R174">
        <v>173</v>
      </c>
    </row>
    <row r="175" spans="1:18">
      <c r="A175" s="1" t="s">
        <v>145</v>
      </c>
      <c r="B175">
        <v>39</v>
      </c>
      <c r="C175">
        <v>31</v>
      </c>
      <c r="D175">
        <v>8</v>
      </c>
      <c r="E175">
        <v>10.050000000000001</v>
      </c>
      <c r="F175">
        <v>2932</v>
      </c>
      <c r="G175">
        <v>1093</v>
      </c>
      <c r="H175">
        <v>2260</v>
      </c>
      <c r="I175">
        <v>450</v>
      </c>
      <c r="J175">
        <v>642</v>
      </c>
      <c r="K175">
        <v>416</v>
      </c>
      <c r="L175">
        <v>1246</v>
      </c>
      <c r="M175">
        <v>565</v>
      </c>
      <c r="N175">
        <v>239</v>
      </c>
      <c r="O175">
        <v>108</v>
      </c>
      <c r="P175">
        <v>368</v>
      </c>
      <c r="Q175">
        <v>496</v>
      </c>
      <c r="R175">
        <v>174</v>
      </c>
    </row>
    <row r="176" spans="1:18">
      <c r="A176" s="1" t="s">
        <v>146</v>
      </c>
      <c r="B176">
        <v>34</v>
      </c>
      <c r="C176">
        <v>28</v>
      </c>
      <c r="D176">
        <v>6</v>
      </c>
      <c r="E176">
        <v>-1.52</v>
      </c>
      <c r="F176">
        <v>2405</v>
      </c>
      <c r="G176">
        <v>848</v>
      </c>
      <c r="H176">
        <v>1835</v>
      </c>
      <c r="I176">
        <v>528</v>
      </c>
      <c r="J176">
        <v>759</v>
      </c>
      <c r="K176">
        <v>407</v>
      </c>
      <c r="L176">
        <v>1147</v>
      </c>
      <c r="M176">
        <v>481</v>
      </c>
      <c r="N176">
        <v>238</v>
      </c>
      <c r="O176">
        <v>128</v>
      </c>
      <c r="P176">
        <v>464</v>
      </c>
      <c r="Q176">
        <v>700</v>
      </c>
      <c r="R176">
        <v>175</v>
      </c>
    </row>
    <row r="177" spans="1:18">
      <c r="A177" s="1" t="s">
        <v>147</v>
      </c>
      <c r="B177">
        <v>32</v>
      </c>
      <c r="C177">
        <v>8</v>
      </c>
      <c r="D177">
        <v>24</v>
      </c>
      <c r="E177">
        <v>-0.26</v>
      </c>
      <c r="F177">
        <v>2007</v>
      </c>
      <c r="G177">
        <v>675</v>
      </c>
      <c r="H177">
        <v>1741</v>
      </c>
      <c r="I177">
        <v>432</v>
      </c>
      <c r="J177">
        <v>632</v>
      </c>
      <c r="K177">
        <v>341</v>
      </c>
      <c r="L177">
        <v>932</v>
      </c>
      <c r="M177">
        <v>350</v>
      </c>
      <c r="N177">
        <v>172</v>
      </c>
      <c r="O177">
        <v>114</v>
      </c>
      <c r="P177">
        <v>453</v>
      </c>
      <c r="Q177">
        <v>523</v>
      </c>
      <c r="R177">
        <v>176</v>
      </c>
    </row>
    <row r="178" spans="1:18">
      <c r="A178" s="1" t="s">
        <v>148</v>
      </c>
      <c r="B178">
        <v>34</v>
      </c>
      <c r="C178">
        <v>21</v>
      </c>
      <c r="D178">
        <v>13</v>
      </c>
      <c r="E178">
        <v>10.31</v>
      </c>
      <c r="F178">
        <v>2337</v>
      </c>
      <c r="G178">
        <v>815</v>
      </c>
      <c r="H178">
        <v>1838</v>
      </c>
      <c r="I178">
        <v>523</v>
      </c>
      <c r="J178">
        <v>764</v>
      </c>
      <c r="K178">
        <v>501</v>
      </c>
      <c r="L178">
        <v>1186</v>
      </c>
      <c r="M178">
        <v>503</v>
      </c>
      <c r="N178">
        <v>253</v>
      </c>
      <c r="O178">
        <v>187</v>
      </c>
      <c r="P178">
        <v>467</v>
      </c>
      <c r="Q178">
        <v>605</v>
      </c>
      <c r="R178">
        <v>177</v>
      </c>
    </row>
    <row r="179" spans="1:18">
      <c r="A179" s="1" t="s">
        <v>149</v>
      </c>
      <c r="B179">
        <v>32</v>
      </c>
      <c r="C179">
        <v>10</v>
      </c>
      <c r="D179">
        <v>22</v>
      </c>
      <c r="E179">
        <v>4.34</v>
      </c>
      <c r="F179">
        <v>1940</v>
      </c>
      <c r="G179">
        <v>670</v>
      </c>
      <c r="H179">
        <v>1672</v>
      </c>
      <c r="I179">
        <v>449</v>
      </c>
      <c r="J179">
        <v>683</v>
      </c>
      <c r="K179">
        <v>343</v>
      </c>
      <c r="L179">
        <v>960</v>
      </c>
      <c r="M179">
        <v>321</v>
      </c>
      <c r="N179">
        <v>257</v>
      </c>
      <c r="O179">
        <v>124</v>
      </c>
      <c r="P179">
        <v>545</v>
      </c>
      <c r="Q179">
        <v>519</v>
      </c>
      <c r="R179">
        <v>178</v>
      </c>
    </row>
    <row r="180" spans="1:18">
      <c r="A180" s="1" t="s">
        <v>150</v>
      </c>
      <c r="B180">
        <v>28</v>
      </c>
      <c r="C180">
        <v>5</v>
      </c>
      <c r="D180">
        <v>23</v>
      </c>
      <c r="E180">
        <v>-8.2799999999999994</v>
      </c>
      <c r="F180">
        <v>1765</v>
      </c>
      <c r="G180">
        <v>593</v>
      </c>
      <c r="H180">
        <v>1604</v>
      </c>
      <c r="I180">
        <v>410</v>
      </c>
      <c r="J180">
        <v>633</v>
      </c>
      <c r="K180">
        <v>347</v>
      </c>
      <c r="L180">
        <v>844</v>
      </c>
      <c r="M180">
        <v>271</v>
      </c>
      <c r="N180">
        <v>198</v>
      </c>
      <c r="O180">
        <v>71</v>
      </c>
      <c r="P180">
        <v>427</v>
      </c>
      <c r="Q180">
        <v>564</v>
      </c>
      <c r="R180">
        <v>179</v>
      </c>
    </row>
    <row r="181" spans="1:18">
      <c r="A181" s="1" t="s">
        <v>151</v>
      </c>
      <c r="B181">
        <v>36</v>
      </c>
      <c r="C181">
        <v>27</v>
      </c>
      <c r="D181">
        <v>9</v>
      </c>
      <c r="E181">
        <v>4.1399999999999997</v>
      </c>
      <c r="F181">
        <v>2779</v>
      </c>
      <c r="G181">
        <v>977</v>
      </c>
      <c r="H181">
        <v>2230</v>
      </c>
      <c r="I181">
        <v>587</v>
      </c>
      <c r="J181">
        <v>866</v>
      </c>
      <c r="K181">
        <v>466</v>
      </c>
      <c r="L181">
        <v>1251</v>
      </c>
      <c r="M181">
        <v>450</v>
      </c>
      <c r="N181">
        <v>297</v>
      </c>
      <c r="O181">
        <v>185</v>
      </c>
      <c r="P181">
        <v>395</v>
      </c>
      <c r="Q181">
        <v>606</v>
      </c>
      <c r="R181">
        <v>180</v>
      </c>
    </row>
    <row r="182" spans="1:18">
      <c r="A182" s="1" t="s">
        <v>152</v>
      </c>
      <c r="B182">
        <v>32</v>
      </c>
      <c r="C182">
        <v>8</v>
      </c>
      <c r="D182">
        <v>24</v>
      </c>
      <c r="E182">
        <v>-2.74</v>
      </c>
      <c r="F182">
        <v>1950</v>
      </c>
      <c r="G182">
        <v>703</v>
      </c>
      <c r="H182">
        <v>1667</v>
      </c>
      <c r="I182">
        <v>345</v>
      </c>
      <c r="J182">
        <v>512</v>
      </c>
      <c r="K182">
        <v>310</v>
      </c>
      <c r="L182">
        <v>901</v>
      </c>
      <c r="M182">
        <v>315</v>
      </c>
      <c r="N182">
        <v>189</v>
      </c>
      <c r="O182">
        <v>97</v>
      </c>
      <c r="P182">
        <v>482</v>
      </c>
      <c r="Q182">
        <v>595</v>
      </c>
      <c r="R182">
        <v>181</v>
      </c>
    </row>
    <row r="183" spans="1:18">
      <c r="A183" s="1" t="s">
        <v>153</v>
      </c>
      <c r="B183">
        <v>33</v>
      </c>
      <c r="C183">
        <v>11</v>
      </c>
      <c r="D183">
        <v>22</v>
      </c>
      <c r="E183">
        <v>4.6500000000000004</v>
      </c>
      <c r="F183">
        <v>1966</v>
      </c>
      <c r="G183">
        <v>698</v>
      </c>
      <c r="H183">
        <v>1721</v>
      </c>
      <c r="I183">
        <v>391</v>
      </c>
      <c r="J183">
        <v>584</v>
      </c>
      <c r="K183">
        <v>297</v>
      </c>
      <c r="L183">
        <v>911</v>
      </c>
      <c r="M183">
        <v>334</v>
      </c>
      <c r="N183">
        <v>156</v>
      </c>
      <c r="O183">
        <v>46</v>
      </c>
      <c r="P183">
        <v>336</v>
      </c>
      <c r="Q183">
        <v>584</v>
      </c>
      <c r="R183">
        <v>182</v>
      </c>
    </row>
    <row r="184" spans="1:18">
      <c r="A184" s="1" t="s">
        <v>328</v>
      </c>
      <c r="B184">
        <v>34</v>
      </c>
      <c r="C184">
        <v>23</v>
      </c>
      <c r="D184">
        <v>11</v>
      </c>
      <c r="E184">
        <v>6</v>
      </c>
      <c r="F184">
        <v>2588</v>
      </c>
      <c r="G184">
        <v>924</v>
      </c>
      <c r="H184">
        <v>2015</v>
      </c>
      <c r="I184">
        <v>525</v>
      </c>
      <c r="J184">
        <v>706</v>
      </c>
      <c r="K184">
        <v>454</v>
      </c>
      <c r="L184">
        <v>1266</v>
      </c>
      <c r="M184">
        <v>472</v>
      </c>
      <c r="N184">
        <v>229</v>
      </c>
      <c r="O184">
        <v>119</v>
      </c>
      <c r="P184">
        <v>442</v>
      </c>
      <c r="Q184">
        <v>567</v>
      </c>
      <c r="R184">
        <v>183</v>
      </c>
    </row>
    <row r="185" spans="1:18">
      <c r="A185" s="1" t="s">
        <v>154</v>
      </c>
      <c r="B185">
        <v>31</v>
      </c>
      <c r="C185">
        <v>10</v>
      </c>
      <c r="D185">
        <v>21</v>
      </c>
      <c r="E185">
        <v>-4.1900000000000004</v>
      </c>
      <c r="F185">
        <v>2009</v>
      </c>
      <c r="G185">
        <v>715</v>
      </c>
      <c r="H185">
        <v>1800</v>
      </c>
      <c r="I185">
        <v>410</v>
      </c>
      <c r="J185">
        <v>581</v>
      </c>
      <c r="K185">
        <v>350</v>
      </c>
      <c r="L185">
        <v>860</v>
      </c>
      <c r="M185">
        <v>377</v>
      </c>
      <c r="N185">
        <v>273</v>
      </c>
      <c r="O185">
        <v>46</v>
      </c>
      <c r="P185">
        <v>460</v>
      </c>
      <c r="Q185">
        <v>631</v>
      </c>
      <c r="R185">
        <v>184</v>
      </c>
    </row>
    <row r="186" spans="1:18">
      <c r="A186" s="1" t="s">
        <v>155</v>
      </c>
      <c r="B186">
        <v>30</v>
      </c>
      <c r="C186">
        <v>13</v>
      </c>
      <c r="D186">
        <v>17</v>
      </c>
      <c r="E186">
        <v>-6.69</v>
      </c>
      <c r="F186">
        <v>2118</v>
      </c>
      <c r="G186">
        <v>733</v>
      </c>
      <c r="H186">
        <v>1717</v>
      </c>
      <c r="I186">
        <v>450</v>
      </c>
      <c r="J186">
        <v>626</v>
      </c>
      <c r="K186">
        <v>324</v>
      </c>
      <c r="L186">
        <v>883</v>
      </c>
      <c r="M186">
        <v>339</v>
      </c>
      <c r="N186">
        <v>238</v>
      </c>
      <c r="O186">
        <v>51</v>
      </c>
      <c r="P186">
        <v>353</v>
      </c>
      <c r="Q186">
        <v>536</v>
      </c>
      <c r="R186">
        <v>185</v>
      </c>
    </row>
    <row r="187" spans="1:18">
      <c r="A187" s="1" t="s">
        <v>156</v>
      </c>
      <c r="B187">
        <v>32</v>
      </c>
      <c r="C187">
        <v>25</v>
      </c>
      <c r="D187">
        <v>7</v>
      </c>
      <c r="E187">
        <v>-4.21</v>
      </c>
      <c r="F187">
        <v>2238</v>
      </c>
      <c r="G187">
        <v>760</v>
      </c>
      <c r="H187">
        <v>1635</v>
      </c>
      <c r="I187">
        <v>499</v>
      </c>
      <c r="J187">
        <v>651</v>
      </c>
      <c r="K187">
        <v>248</v>
      </c>
      <c r="L187">
        <v>905</v>
      </c>
      <c r="M187">
        <v>405</v>
      </c>
      <c r="N187">
        <v>187</v>
      </c>
      <c r="O187">
        <v>100</v>
      </c>
      <c r="P187">
        <v>391</v>
      </c>
      <c r="Q187">
        <v>543</v>
      </c>
      <c r="R187">
        <v>186</v>
      </c>
    </row>
    <row r="188" spans="1:18">
      <c r="A188" s="1" t="s">
        <v>157</v>
      </c>
      <c r="B188">
        <v>33</v>
      </c>
      <c r="C188">
        <v>15</v>
      </c>
      <c r="D188">
        <v>18</v>
      </c>
      <c r="E188">
        <v>-1.81</v>
      </c>
      <c r="F188">
        <v>2396</v>
      </c>
      <c r="G188">
        <v>842</v>
      </c>
      <c r="H188">
        <v>1934</v>
      </c>
      <c r="I188">
        <v>511</v>
      </c>
      <c r="J188">
        <v>739</v>
      </c>
      <c r="K188">
        <v>480</v>
      </c>
      <c r="L188">
        <v>1108</v>
      </c>
      <c r="M188">
        <v>489</v>
      </c>
      <c r="N188">
        <v>295</v>
      </c>
      <c r="O188">
        <v>96</v>
      </c>
      <c r="P188">
        <v>573</v>
      </c>
      <c r="Q188">
        <v>815</v>
      </c>
      <c r="R188">
        <v>187</v>
      </c>
    </row>
    <row r="189" spans="1:18">
      <c r="A189" s="1" t="s">
        <v>158</v>
      </c>
      <c r="B189">
        <v>32</v>
      </c>
      <c r="C189">
        <v>17</v>
      </c>
      <c r="D189">
        <v>15</v>
      </c>
      <c r="E189">
        <v>-7.51</v>
      </c>
      <c r="F189">
        <v>2162</v>
      </c>
      <c r="G189">
        <v>806</v>
      </c>
      <c r="H189">
        <v>1807</v>
      </c>
      <c r="I189">
        <v>417</v>
      </c>
      <c r="J189">
        <v>708</v>
      </c>
      <c r="K189">
        <v>445</v>
      </c>
      <c r="L189">
        <v>1070</v>
      </c>
      <c r="M189">
        <v>410</v>
      </c>
      <c r="N189">
        <v>206</v>
      </c>
      <c r="O189">
        <v>170</v>
      </c>
      <c r="P189">
        <v>487</v>
      </c>
      <c r="Q189">
        <v>568</v>
      </c>
      <c r="R189">
        <v>188</v>
      </c>
    </row>
    <row r="190" spans="1:18">
      <c r="A190" s="1" t="s">
        <v>159</v>
      </c>
      <c r="B190">
        <v>32</v>
      </c>
      <c r="C190">
        <v>18</v>
      </c>
      <c r="D190">
        <v>14</v>
      </c>
      <c r="E190">
        <v>-4.0999999999999996</v>
      </c>
      <c r="F190">
        <v>2233</v>
      </c>
      <c r="G190">
        <v>778</v>
      </c>
      <c r="H190">
        <v>1813</v>
      </c>
      <c r="I190">
        <v>403</v>
      </c>
      <c r="J190">
        <v>578</v>
      </c>
      <c r="K190">
        <v>319</v>
      </c>
      <c r="L190">
        <v>857</v>
      </c>
      <c r="M190">
        <v>389</v>
      </c>
      <c r="N190">
        <v>269</v>
      </c>
      <c r="O190">
        <v>67</v>
      </c>
      <c r="P190">
        <v>398</v>
      </c>
      <c r="Q190">
        <v>623</v>
      </c>
      <c r="R190">
        <v>189</v>
      </c>
    </row>
    <row r="191" spans="1:18">
      <c r="A191" s="1" t="s">
        <v>160</v>
      </c>
      <c r="B191">
        <v>31</v>
      </c>
      <c r="C191">
        <v>21</v>
      </c>
      <c r="D191">
        <v>10</v>
      </c>
      <c r="E191">
        <v>-2.89</v>
      </c>
      <c r="F191">
        <v>2257</v>
      </c>
      <c r="G191">
        <v>776</v>
      </c>
      <c r="H191">
        <v>1716</v>
      </c>
      <c r="I191">
        <v>462</v>
      </c>
      <c r="J191">
        <v>669</v>
      </c>
      <c r="K191">
        <v>356</v>
      </c>
      <c r="L191">
        <v>1018</v>
      </c>
      <c r="M191">
        <v>397</v>
      </c>
      <c r="N191">
        <v>210</v>
      </c>
      <c r="O191">
        <v>103</v>
      </c>
      <c r="P191">
        <v>433</v>
      </c>
      <c r="Q191">
        <v>536</v>
      </c>
      <c r="R191">
        <v>190</v>
      </c>
    </row>
    <row r="192" spans="1:18">
      <c r="A192" s="1" t="s">
        <v>161</v>
      </c>
      <c r="B192">
        <v>31</v>
      </c>
      <c r="C192">
        <v>8</v>
      </c>
      <c r="D192">
        <v>23</v>
      </c>
      <c r="E192">
        <v>-4.4400000000000004</v>
      </c>
      <c r="F192">
        <v>1709</v>
      </c>
      <c r="G192">
        <v>628</v>
      </c>
      <c r="H192">
        <v>1605</v>
      </c>
      <c r="I192">
        <v>281</v>
      </c>
      <c r="J192">
        <v>448</v>
      </c>
      <c r="K192">
        <v>280</v>
      </c>
      <c r="L192">
        <v>817</v>
      </c>
      <c r="M192">
        <v>364</v>
      </c>
      <c r="N192">
        <v>183</v>
      </c>
      <c r="O192">
        <v>68</v>
      </c>
      <c r="P192">
        <v>351</v>
      </c>
      <c r="Q192">
        <v>525</v>
      </c>
      <c r="R192">
        <v>191</v>
      </c>
    </row>
    <row r="193" spans="1:18">
      <c r="A193" s="1" t="s">
        <v>360</v>
      </c>
      <c r="B193">
        <v>31</v>
      </c>
      <c r="C193">
        <v>11</v>
      </c>
      <c r="D193">
        <v>20</v>
      </c>
      <c r="E193">
        <v>-3.9</v>
      </c>
      <c r="F193">
        <v>2215</v>
      </c>
      <c r="G193">
        <v>826</v>
      </c>
      <c r="H193">
        <v>1786</v>
      </c>
      <c r="I193">
        <v>374</v>
      </c>
      <c r="J193">
        <v>536</v>
      </c>
      <c r="K193">
        <v>262</v>
      </c>
      <c r="L193">
        <v>865</v>
      </c>
      <c r="M193">
        <v>409</v>
      </c>
      <c r="N193">
        <v>205</v>
      </c>
      <c r="O193">
        <v>86</v>
      </c>
      <c r="P193">
        <v>453</v>
      </c>
      <c r="Q193">
        <v>527</v>
      </c>
      <c r="R193">
        <v>192</v>
      </c>
    </row>
    <row r="194" spans="1:18">
      <c r="A194" s="1" t="s">
        <v>162</v>
      </c>
      <c r="B194">
        <v>33</v>
      </c>
      <c r="C194">
        <v>15</v>
      </c>
      <c r="D194">
        <v>18</v>
      </c>
      <c r="E194">
        <v>9.59</v>
      </c>
      <c r="F194">
        <v>1923</v>
      </c>
      <c r="G194">
        <v>708</v>
      </c>
      <c r="H194">
        <v>1741</v>
      </c>
      <c r="I194">
        <v>342</v>
      </c>
      <c r="J194">
        <v>494</v>
      </c>
      <c r="K194">
        <v>293</v>
      </c>
      <c r="L194">
        <v>924</v>
      </c>
      <c r="M194">
        <v>325</v>
      </c>
      <c r="N194">
        <v>167</v>
      </c>
      <c r="O194">
        <v>103</v>
      </c>
      <c r="P194">
        <v>352</v>
      </c>
      <c r="Q194">
        <v>571</v>
      </c>
      <c r="R194">
        <v>193</v>
      </c>
    </row>
    <row r="195" spans="1:18">
      <c r="A195" s="1" t="s">
        <v>285</v>
      </c>
      <c r="B195">
        <v>35</v>
      </c>
      <c r="C195">
        <v>25</v>
      </c>
      <c r="D195">
        <v>10</v>
      </c>
      <c r="E195">
        <v>5.71</v>
      </c>
      <c r="F195">
        <v>2498</v>
      </c>
      <c r="G195">
        <v>872</v>
      </c>
      <c r="H195">
        <v>2002</v>
      </c>
      <c r="I195">
        <v>525</v>
      </c>
      <c r="J195">
        <v>747</v>
      </c>
      <c r="K195">
        <v>418</v>
      </c>
      <c r="L195">
        <v>1281</v>
      </c>
      <c r="M195">
        <v>562</v>
      </c>
      <c r="N195">
        <v>253</v>
      </c>
      <c r="O195">
        <v>203</v>
      </c>
      <c r="P195">
        <v>487</v>
      </c>
      <c r="Q195">
        <v>593</v>
      </c>
      <c r="R195">
        <v>194</v>
      </c>
    </row>
    <row r="196" spans="1:18">
      <c r="A196" s="1" t="s">
        <v>163</v>
      </c>
      <c r="B196">
        <v>31</v>
      </c>
      <c r="C196">
        <v>12</v>
      </c>
      <c r="D196">
        <v>19</v>
      </c>
      <c r="E196">
        <v>5.35</v>
      </c>
      <c r="F196">
        <v>2092</v>
      </c>
      <c r="G196">
        <v>703</v>
      </c>
      <c r="H196">
        <v>1671</v>
      </c>
      <c r="I196">
        <v>503</v>
      </c>
      <c r="J196">
        <v>690</v>
      </c>
      <c r="K196">
        <v>310</v>
      </c>
      <c r="L196">
        <v>901</v>
      </c>
      <c r="M196">
        <v>351</v>
      </c>
      <c r="N196">
        <v>172</v>
      </c>
      <c r="O196">
        <v>99</v>
      </c>
      <c r="P196">
        <v>396</v>
      </c>
      <c r="Q196">
        <v>590</v>
      </c>
      <c r="R196">
        <v>195</v>
      </c>
    </row>
    <row r="197" spans="1:18">
      <c r="A197" s="1" t="s">
        <v>164</v>
      </c>
      <c r="B197">
        <v>29</v>
      </c>
      <c r="C197">
        <v>9</v>
      </c>
      <c r="D197">
        <v>20</v>
      </c>
      <c r="E197">
        <v>-4.1900000000000004</v>
      </c>
      <c r="F197">
        <v>1745</v>
      </c>
      <c r="G197">
        <v>609</v>
      </c>
      <c r="H197">
        <v>1566</v>
      </c>
      <c r="I197">
        <v>348</v>
      </c>
      <c r="J197">
        <v>545</v>
      </c>
      <c r="K197">
        <v>298</v>
      </c>
      <c r="L197">
        <v>909</v>
      </c>
      <c r="M197">
        <v>304</v>
      </c>
      <c r="N197">
        <v>169</v>
      </c>
      <c r="O197">
        <v>82</v>
      </c>
      <c r="P197">
        <v>351</v>
      </c>
      <c r="Q197">
        <v>498</v>
      </c>
      <c r="R197">
        <v>196</v>
      </c>
    </row>
    <row r="198" spans="1:18">
      <c r="A198" s="1" t="s">
        <v>165</v>
      </c>
      <c r="B198">
        <v>35</v>
      </c>
      <c r="C198">
        <v>24</v>
      </c>
      <c r="D198">
        <v>11</v>
      </c>
      <c r="E198">
        <v>0.7</v>
      </c>
      <c r="F198">
        <v>2355</v>
      </c>
      <c r="G198">
        <v>832</v>
      </c>
      <c r="H198">
        <v>1828</v>
      </c>
      <c r="I198">
        <v>554</v>
      </c>
      <c r="J198">
        <v>845</v>
      </c>
      <c r="K198">
        <v>429</v>
      </c>
      <c r="L198">
        <v>1235</v>
      </c>
      <c r="M198">
        <v>401</v>
      </c>
      <c r="N198">
        <v>198</v>
      </c>
      <c r="O198">
        <v>193</v>
      </c>
      <c r="P198">
        <v>506</v>
      </c>
      <c r="Q198">
        <v>525</v>
      </c>
      <c r="R198">
        <v>197</v>
      </c>
    </row>
    <row r="199" spans="1:18">
      <c r="A199" s="1" t="s">
        <v>166</v>
      </c>
      <c r="B199">
        <v>35</v>
      </c>
      <c r="C199">
        <v>29</v>
      </c>
      <c r="D199">
        <v>6</v>
      </c>
      <c r="E199">
        <v>6.63</v>
      </c>
      <c r="F199">
        <v>2355</v>
      </c>
      <c r="G199">
        <v>768</v>
      </c>
      <c r="H199">
        <v>1815</v>
      </c>
      <c r="I199">
        <v>598</v>
      </c>
      <c r="J199">
        <v>829</v>
      </c>
      <c r="K199">
        <v>335</v>
      </c>
      <c r="L199">
        <v>1123</v>
      </c>
      <c r="M199">
        <v>505</v>
      </c>
      <c r="N199">
        <v>220</v>
      </c>
      <c r="O199">
        <v>134</v>
      </c>
      <c r="P199">
        <v>402</v>
      </c>
      <c r="Q199">
        <v>542</v>
      </c>
      <c r="R199">
        <v>198</v>
      </c>
    </row>
    <row r="200" spans="1:18">
      <c r="A200" s="1" t="s">
        <v>167</v>
      </c>
      <c r="B200">
        <v>26</v>
      </c>
      <c r="C200">
        <v>8</v>
      </c>
      <c r="D200">
        <v>18</v>
      </c>
      <c r="E200">
        <v>-6.12</v>
      </c>
      <c r="F200">
        <v>1791</v>
      </c>
      <c r="G200">
        <v>666</v>
      </c>
      <c r="H200">
        <v>1513</v>
      </c>
      <c r="I200">
        <v>368</v>
      </c>
      <c r="J200">
        <v>557</v>
      </c>
      <c r="K200">
        <v>293</v>
      </c>
      <c r="L200">
        <v>813</v>
      </c>
      <c r="M200">
        <v>359</v>
      </c>
      <c r="N200">
        <v>224</v>
      </c>
      <c r="O200">
        <v>75</v>
      </c>
      <c r="P200">
        <v>461</v>
      </c>
      <c r="Q200">
        <v>531</v>
      </c>
      <c r="R200">
        <v>199</v>
      </c>
    </row>
    <row r="201" spans="1:18">
      <c r="A201" s="1" t="s">
        <v>168</v>
      </c>
      <c r="B201">
        <v>33</v>
      </c>
      <c r="C201">
        <v>19</v>
      </c>
      <c r="D201">
        <v>14</v>
      </c>
      <c r="E201">
        <v>-1.1499999999999999</v>
      </c>
      <c r="F201">
        <v>2436</v>
      </c>
      <c r="G201">
        <v>837</v>
      </c>
      <c r="H201">
        <v>1982</v>
      </c>
      <c r="I201">
        <v>521</v>
      </c>
      <c r="J201">
        <v>754</v>
      </c>
      <c r="K201">
        <v>412</v>
      </c>
      <c r="L201">
        <v>1028</v>
      </c>
      <c r="M201">
        <v>424</v>
      </c>
      <c r="N201">
        <v>262</v>
      </c>
      <c r="O201">
        <v>89</v>
      </c>
      <c r="P201">
        <v>379</v>
      </c>
      <c r="Q201">
        <v>653</v>
      </c>
      <c r="R201">
        <v>200</v>
      </c>
    </row>
    <row r="202" spans="1:18">
      <c r="A202" s="1" t="s">
        <v>169</v>
      </c>
      <c r="B202">
        <v>30</v>
      </c>
      <c r="C202">
        <v>9</v>
      </c>
      <c r="D202">
        <v>21</v>
      </c>
      <c r="E202">
        <v>-4.97</v>
      </c>
      <c r="F202">
        <v>2020</v>
      </c>
      <c r="G202">
        <v>713</v>
      </c>
      <c r="H202">
        <v>1627</v>
      </c>
      <c r="I202">
        <v>435</v>
      </c>
      <c r="J202">
        <v>651</v>
      </c>
      <c r="K202">
        <v>313</v>
      </c>
      <c r="L202">
        <v>827</v>
      </c>
      <c r="M202">
        <v>377</v>
      </c>
      <c r="N202">
        <v>190</v>
      </c>
      <c r="O202">
        <v>66</v>
      </c>
      <c r="P202">
        <v>414</v>
      </c>
      <c r="Q202">
        <v>564</v>
      </c>
      <c r="R202">
        <v>201</v>
      </c>
    </row>
    <row r="203" spans="1:18">
      <c r="A203" s="1" t="s">
        <v>337</v>
      </c>
      <c r="B203">
        <v>29</v>
      </c>
      <c r="C203">
        <v>16</v>
      </c>
      <c r="D203">
        <v>13</v>
      </c>
      <c r="E203">
        <v>-9.01</v>
      </c>
      <c r="F203">
        <v>2042</v>
      </c>
      <c r="G203">
        <v>702</v>
      </c>
      <c r="H203">
        <v>1667</v>
      </c>
      <c r="I203">
        <v>455</v>
      </c>
      <c r="J203">
        <v>678</v>
      </c>
      <c r="K203">
        <v>380</v>
      </c>
      <c r="L203">
        <v>1022</v>
      </c>
      <c r="M203">
        <v>374</v>
      </c>
      <c r="N203">
        <v>253</v>
      </c>
      <c r="O203">
        <v>147</v>
      </c>
      <c r="P203">
        <v>424</v>
      </c>
      <c r="Q203">
        <v>567</v>
      </c>
      <c r="R203">
        <v>202</v>
      </c>
    </row>
    <row r="204" spans="1:18">
      <c r="A204" s="1" t="s">
        <v>170</v>
      </c>
      <c r="B204">
        <v>33</v>
      </c>
      <c r="C204">
        <v>21</v>
      </c>
      <c r="D204">
        <v>12</v>
      </c>
      <c r="E204">
        <v>-6.56</v>
      </c>
      <c r="F204">
        <v>2188</v>
      </c>
      <c r="G204">
        <v>769</v>
      </c>
      <c r="H204">
        <v>1850</v>
      </c>
      <c r="I204">
        <v>478</v>
      </c>
      <c r="J204">
        <v>740</v>
      </c>
      <c r="K204">
        <v>407</v>
      </c>
      <c r="L204">
        <v>1088</v>
      </c>
      <c r="M204">
        <v>392</v>
      </c>
      <c r="N204">
        <v>242</v>
      </c>
      <c r="O204">
        <v>151</v>
      </c>
      <c r="P204">
        <v>481</v>
      </c>
      <c r="Q204">
        <v>617</v>
      </c>
      <c r="R204">
        <v>203</v>
      </c>
    </row>
    <row r="205" spans="1:18">
      <c r="A205" s="1" t="s">
        <v>171</v>
      </c>
      <c r="B205">
        <v>32</v>
      </c>
      <c r="C205">
        <v>16</v>
      </c>
      <c r="D205">
        <v>16</v>
      </c>
      <c r="E205">
        <v>-3.98</v>
      </c>
      <c r="F205">
        <v>2296</v>
      </c>
      <c r="G205">
        <v>824</v>
      </c>
      <c r="H205">
        <v>1831</v>
      </c>
      <c r="I205">
        <v>493</v>
      </c>
      <c r="J205">
        <v>690</v>
      </c>
      <c r="K205">
        <v>385</v>
      </c>
      <c r="L205">
        <v>1068</v>
      </c>
      <c r="M205">
        <v>457</v>
      </c>
      <c r="N205">
        <v>261</v>
      </c>
      <c r="O205">
        <v>169</v>
      </c>
      <c r="P205">
        <v>465</v>
      </c>
      <c r="Q205">
        <v>518</v>
      </c>
      <c r="R205">
        <v>204</v>
      </c>
    </row>
    <row r="206" spans="1:18">
      <c r="A206" s="1" t="s">
        <v>172</v>
      </c>
      <c r="B206">
        <v>37</v>
      </c>
      <c r="C206">
        <v>20</v>
      </c>
      <c r="D206">
        <v>17</v>
      </c>
      <c r="E206">
        <v>-6.3</v>
      </c>
      <c r="F206">
        <v>2299</v>
      </c>
      <c r="G206">
        <v>776</v>
      </c>
      <c r="H206">
        <v>1927</v>
      </c>
      <c r="I206">
        <v>532</v>
      </c>
      <c r="J206">
        <v>809</v>
      </c>
      <c r="K206">
        <v>387</v>
      </c>
      <c r="L206">
        <v>1166</v>
      </c>
      <c r="M206">
        <v>405</v>
      </c>
      <c r="N206">
        <v>261</v>
      </c>
      <c r="O206">
        <v>165</v>
      </c>
      <c r="P206">
        <v>564</v>
      </c>
      <c r="Q206">
        <v>716</v>
      </c>
      <c r="R206">
        <v>205</v>
      </c>
    </row>
    <row r="207" spans="1:18">
      <c r="A207" s="1" t="s">
        <v>349</v>
      </c>
      <c r="B207">
        <v>31</v>
      </c>
      <c r="C207">
        <v>22</v>
      </c>
      <c r="D207">
        <v>9</v>
      </c>
      <c r="E207">
        <v>-7.05</v>
      </c>
      <c r="F207">
        <v>2079</v>
      </c>
      <c r="G207">
        <v>706</v>
      </c>
      <c r="H207">
        <v>1536</v>
      </c>
      <c r="I207">
        <v>499</v>
      </c>
      <c r="J207">
        <v>680</v>
      </c>
      <c r="K207">
        <v>284</v>
      </c>
      <c r="L207">
        <v>922</v>
      </c>
      <c r="M207">
        <v>436</v>
      </c>
      <c r="N207">
        <v>236</v>
      </c>
      <c r="O207">
        <v>90</v>
      </c>
      <c r="P207">
        <v>444</v>
      </c>
      <c r="Q207">
        <v>548</v>
      </c>
      <c r="R207">
        <v>206</v>
      </c>
    </row>
    <row r="208" spans="1:18">
      <c r="A208" s="1" t="s">
        <v>173</v>
      </c>
      <c r="B208">
        <v>31</v>
      </c>
      <c r="C208">
        <v>9</v>
      </c>
      <c r="D208">
        <v>22</v>
      </c>
      <c r="E208">
        <v>-5.31</v>
      </c>
      <c r="F208">
        <v>2222</v>
      </c>
      <c r="G208">
        <v>788</v>
      </c>
      <c r="H208">
        <v>1886</v>
      </c>
      <c r="I208">
        <v>419</v>
      </c>
      <c r="J208">
        <v>623</v>
      </c>
      <c r="K208">
        <v>350</v>
      </c>
      <c r="L208">
        <v>1037</v>
      </c>
      <c r="M208">
        <v>374</v>
      </c>
      <c r="N208">
        <v>227</v>
      </c>
      <c r="O208">
        <v>50</v>
      </c>
      <c r="P208">
        <v>393</v>
      </c>
      <c r="Q208">
        <v>676</v>
      </c>
      <c r="R208">
        <v>207</v>
      </c>
    </row>
    <row r="209" spans="1:18">
      <c r="A209" s="1" t="s">
        <v>174</v>
      </c>
      <c r="B209">
        <v>35</v>
      </c>
      <c r="C209">
        <v>24</v>
      </c>
      <c r="D209">
        <v>11</v>
      </c>
      <c r="E209">
        <v>7.17</v>
      </c>
      <c r="F209">
        <v>2708</v>
      </c>
      <c r="G209">
        <v>985</v>
      </c>
      <c r="H209">
        <v>1987</v>
      </c>
      <c r="I209">
        <v>554</v>
      </c>
      <c r="J209">
        <v>813</v>
      </c>
      <c r="K209">
        <v>396</v>
      </c>
      <c r="L209">
        <v>1186</v>
      </c>
      <c r="M209">
        <v>511</v>
      </c>
      <c r="N209">
        <v>227</v>
      </c>
      <c r="O209">
        <v>147</v>
      </c>
      <c r="P209">
        <v>433</v>
      </c>
      <c r="Q209">
        <v>544</v>
      </c>
      <c r="R209">
        <v>208</v>
      </c>
    </row>
    <row r="210" spans="1:18">
      <c r="A210" s="1" t="s">
        <v>286</v>
      </c>
      <c r="B210">
        <v>30</v>
      </c>
      <c r="C210">
        <v>10</v>
      </c>
      <c r="D210">
        <v>20</v>
      </c>
      <c r="E210">
        <v>-2.27</v>
      </c>
      <c r="F210">
        <v>1899</v>
      </c>
      <c r="G210">
        <v>679</v>
      </c>
      <c r="H210">
        <v>1627</v>
      </c>
      <c r="I210">
        <v>381</v>
      </c>
      <c r="J210">
        <v>593</v>
      </c>
      <c r="K210">
        <v>339</v>
      </c>
      <c r="L210">
        <v>962</v>
      </c>
      <c r="M210">
        <v>338</v>
      </c>
      <c r="N210">
        <v>184</v>
      </c>
      <c r="O210">
        <v>126</v>
      </c>
      <c r="P210">
        <v>428</v>
      </c>
      <c r="Q210">
        <v>535</v>
      </c>
      <c r="R210">
        <v>209</v>
      </c>
    </row>
    <row r="211" spans="1:18">
      <c r="A211" s="1" t="s">
        <v>312</v>
      </c>
      <c r="B211">
        <v>36</v>
      </c>
      <c r="C211">
        <v>25</v>
      </c>
      <c r="D211">
        <v>11</v>
      </c>
      <c r="E211">
        <v>8.01</v>
      </c>
      <c r="F211">
        <v>2762</v>
      </c>
      <c r="G211">
        <v>1023</v>
      </c>
      <c r="H211">
        <v>2321</v>
      </c>
      <c r="I211">
        <v>442</v>
      </c>
      <c r="J211">
        <v>655</v>
      </c>
      <c r="K211">
        <v>478</v>
      </c>
      <c r="L211">
        <v>1254</v>
      </c>
      <c r="M211">
        <v>616</v>
      </c>
      <c r="N211">
        <v>303</v>
      </c>
      <c r="O211">
        <v>117</v>
      </c>
      <c r="P211">
        <v>433</v>
      </c>
      <c r="Q211">
        <v>539</v>
      </c>
      <c r="R211">
        <v>210</v>
      </c>
    </row>
    <row r="212" spans="1:18">
      <c r="A212" s="1" t="s">
        <v>338</v>
      </c>
      <c r="B212">
        <v>34</v>
      </c>
      <c r="C212">
        <v>24</v>
      </c>
      <c r="D212">
        <v>10</v>
      </c>
      <c r="E212">
        <v>-4.01</v>
      </c>
      <c r="F212">
        <v>2282</v>
      </c>
      <c r="G212">
        <v>838</v>
      </c>
      <c r="H212">
        <v>1789</v>
      </c>
      <c r="I212">
        <v>372</v>
      </c>
      <c r="J212">
        <v>515</v>
      </c>
      <c r="K212">
        <v>315</v>
      </c>
      <c r="L212">
        <v>1082</v>
      </c>
      <c r="M212">
        <v>426</v>
      </c>
      <c r="N212">
        <v>196</v>
      </c>
      <c r="O212">
        <v>144</v>
      </c>
      <c r="P212">
        <v>375</v>
      </c>
      <c r="Q212">
        <v>542</v>
      </c>
      <c r="R212">
        <v>211</v>
      </c>
    </row>
    <row r="213" spans="1:18">
      <c r="A213" s="1" t="s">
        <v>357</v>
      </c>
      <c r="B213">
        <v>33</v>
      </c>
      <c r="C213">
        <v>16</v>
      </c>
      <c r="D213">
        <v>17</v>
      </c>
      <c r="E213">
        <v>-5.34</v>
      </c>
      <c r="F213">
        <v>2222</v>
      </c>
      <c r="G213">
        <v>776</v>
      </c>
      <c r="H213">
        <v>1833</v>
      </c>
      <c r="I213">
        <v>463</v>
      </c>
      <c r="J213">
        <v>651</v>
      </c>
      <c r="K213">
        <v>348</v>
      </c>
      <c r="L213">
        <v>1011</v>
      </c>
      <c r="M213">
        <v>385</v>
      </c>
      <c r="N213">
        <v>258</v>
      </c>
      <c r="O213">
        <v>123</v>
      </c>
      <c r="P213">
        <v>421</v>
      </c>
      <c r="Q213">
        <v>544</v>
      </c>
      <c r="R213">
        <v>212</v>
      </c>
    </row>
    <row r="214" spans="1:18">
      <c r="A214" s="1" t="s">
        <v>339</v>
      </c>
      <c r="B214">
        <v>32</v>
      </c>
      <c r="C214">
        <v>13</v>
      </c>
      <c r="D214">
        <v>19</v>
      </c>
      <c r="E214">
        <v>-3.22</v>
      </c>
      <c r="F214">
        <v>2121</v>
      </c>
      <c r="G214">
        <v>763</v>
      </c>
      <c r="H214">
        <v>1746</v>
      </c>
      <c r="I214">
        <v>343</v>
      </c>
      <c r="J214">
        <v>519</v>
      </c>
      <c r="K214">
        <v>330</v>
      </c>
      <c r="L214">
        <v>949</v>
      </c>
      <c r="M214">
        <v>441</v>
      </c>
      <c r="N214">
        <v>195</v>
      </c>
      <c r="O214">
        <v>119</v>
      </c>
      <c r="P214">
        <v>469</v>
      </c>
      <c r="Q214">
        <v>562</v>
      </c>
      <c r="R214">
        <v>213</v>
      </c>
    </row>
    <row r="215" spans="1:18">
      <c r="A215" s="1" t="s">
        <v>175</v>
      </c>
      <c r="B215">
        <v>32</v>
      </c>
      <c r="C215">
        <v>12</v>
      </c>
      <c r="D215">
        <v>20</v>
      </c>
      <c r="E215">
        <v>-2.73</v>
      </c>
      <c r="F215">
        <v>2117</v>
      </c>
      <c r="G215">
        <v>740</v>
      </c>
      <c r="H215">
        <v>1793</v>
      </c>
      <c r="I215">
        <v>524</v>
      </c>
      <c r="J215">
        <v>740</v>
      </c>
      <c r="K215">
        <v>393</v>
      </c>
      <c r="L215">
        <v>1061</v>
      </c>
      <c r="M215">
        <v>325</v>
      </c>
      <c r="N215">
        <v>197</v>
      </c>
      <c r="O215">
        <v>153</v>
      </c>
      <c r="P215">
        <v>444</v>
      </c>
      <c r="Q215">
        <v>558</v>
      </c>
      <c r="R215">
        <v>214</v>
      </c>
    </row>
    <row r="216" spans="1:18">
      <c r="A216" s="1" t="s">
        <v>176</v>
      </c>
      <c r="B216">
        <v>33</v>
      </c>
      <c r="C216">
        <v>20</v>
      </c>
      <c r="D216">
        <v>13</v>
      </c>
      <c r="E216">
        <v>-1.93</v>
      </c>
      <c r="F216">
        <v>2273</v>
      </c>
      <c r="G216">
        <v>768</v>
      </c>
      <c r="H216">
        <v>1733</v>
      </c>
      <c r="I216">
        <v>506</v>
      </c>
      <c r="J216">
        <v>672</v>
      </c>
      <c r="K216">
        <v>328</v>
      </c>
      <c r="L216">
        <v>884</v>
      </c>
      <c r="M216">
        <v>453</v>
      </c>
      <c r="N216">
        <v>259</v>
      </c>
      <c r="O216">
        <v>83</v>
      </c>
      <c r="P216">
        <v>427</v>
      </c>
      <c r="Q216">
        <v>505</v>
      </c>
      <c r="R216">
        <v>215</v>
      </c>
    </row>
    <row r="217" spans="1:18">
      <c r="A217" s="1" t="s">
        <v>287</v>
      </c>
      <c r="B217">
        <v>32</v>
      </c>
      <c r="C217">
        <v>11</v>
      </c>
      <c r="D217">
        <v>21</v>
      </c>
      <c r="E217">
        <v>-3.55</v>
      </c>
      <c r="F217">
        <v>2140</v>
      </c>
      <c r="G217">
        <v>788</v>
      </c>
      <c r="H217">
        <v>1805</v>
      </c>
      <c r="I217">
        <v>383</v>
      </c>
      <c r="J217">
        <v>567</v>
      </c>
      <c r="K217">
        <v>305</v>
      </c>
      <c r="L217">
        <v>924</v>
      </c>
      <c r="M217">
        <v>434</v>
      </c>
      <c r="N217">
        <v>229</v>
      </c>
      <c r="O217">
        <v>77</v>
      </c>
      <c r="P217">
        <v>458</v>
      </c>
      <c r="Q217">
        <v>558</v>
      </c>
      <c r="R217">
        <v>216</v>
      </c>
    </row>
    <row r="218" spans="1:18">
      <c r="A218" s="1" t="s">
        <v>333</v>
      </c>
      <c r="B218">
        <v>31</v>
      </c>
      <c r="C218">
        <v>13</v>
      </c>
      <c r="D218">
        <v>18</v>
      </c>
      <c r="E218">
        <v>-5.19</v>
      </c>
      <c r="F218">
        <v>2184</v>
      </c>
      <c r="G218">
        <v>796</v>
      </c>
      <c r="H218">
        <v>1718</v>
      </c>
      <c r="I218">
        <v>381</v>
      </c>
      <c r="J218">
        <v>565</v>
      </c>
      <c r="K218">
        <v>330</v>
      </c>
      <c r="L218">
        <v>984</v>
      </c>
      <c r="M218">
        <v>405</v>
      </c>
      <c r="N218">
        <v>207</v>
      </c>
      <c r="O218">
        <v>71</v>
      </c>
      <c r="P218">
        <v>407</v>
      </c>
      <c r="Q218">
        <v>551</v>
      </c>
      <c r="R218">
        <v>217</v>
      </c>
    </row>
    <row r="219" spans="1:18">
      <c r="A219" s="1" t="s">
        <v>177</v>
      </c>
      <c r="B219">
        <v>30</v>
      </c>
      <c r="C219">
        <v>5</v>
      </c>
      <c r="D219">
        <v>25</v>
      </c>
      <c r="E219">
        <v>-2.2000000000000002</v>
      </c>
      <c r="F219">
        <v>1619</v>
      </c>
      <c r="G219">
        <v>561</v>
      </c>
      <c r="H219">
        <v>1565</v>
      </c>
      <c r="I219">
        <v>361</v>
      </c>
      <c r="J219">
        <v>553</v>
      </c>
      <c r="K219">
        <v>372</v>
      </c>
      <c r="L219">
        <v>887</v>
      </c>
      <c r="M219">
        <v>254</v>
      </c>
      <c r="N219">
        <v>213</v>
      </c>
      <c r="O219">
        <v>51</v>
      </c>
      <c r="P219">
        <v>434</v>
      </c>
      <c r="Q219">
        <v>612</v>
      </c>
      <c r="R219">
        <v>218</v>
      </c>
    </row>
    <row r="220" spans="1:18">
      <c r="A220" s="1" t="s">
        <v>178</v>
      </c>
      <c r="B220">
        <v>36</v>
      </c>
      <c r="C220">
        <v>21</v>
      </c>
      <c r="D220">
        <v>15</v>
      </c>
      <c r="E220">
        <v>5.23</v>
      </c>
      <c r="F220">
        <v>2400</v>
      </c>
      <c r="G220">
        <v>828</v>
      </c>
      <c r="H220">
        <v>1869</v>
      </c>
      <c r="I220">
        <v>464</v>
      </c>
      <c r="J220">
        <v>613</v>
      </c>
      <c r="K220">
        <v>281</v>
      </c>
      <c r="L220">
        <v>1061</v>
      </c>
      <c r="M220">
        <v>442</v>
      </c>
      <c r="N220">
        <v>223</v>
      </c>
      <c r="O220">
        <v>88</v>
      </c>
      <c r="P220">
        <v>432</v>
      </c>
      <c r="Q220">
        <v>527</v>
      </c>
      <c r="R220">
        <v>219</v>
      </c>
    </row>
    <row r="221" spans="1:18">
      <c r="A221" s="1" t="s">
        <v>361</v>
      </c>
      <c r="B221">
        <v>27</v>
      </c>
      <c r="C221">
        <v>11</v>
      </c>
      <c r="D221">
        <v>16</v>
      </c>
      <c r="E221">
        <v>-5.42</v>
      </c>
      <c r="F221">
        <v>1582</v>
      </c>
      <c r="G221">
        <v>553</v>
      </c>
      <c r="H221">
        <v>1363</v>
      </c>
      <c r="I221">
        <v>272</v>
      </c>
      <c r="J221">
        <v>387</v>
      </c>
      <c r="K221">
        <v>220</v>
      </c>
      <c r="L221">
        <v>709</v>
      </c>
      <c r="M221">
        <v>340</v>
      </c>
      <c r="N221">
        <v>165</v>
      </c>
      <c r="O221">
        <v>52</v>
      </c>
      <c r="P221">
        <v>308</v>
      </c>
      <c r="Q221">
        <v>427</v>
      </c>
      <c r="R221">
        <v>220</v>
      </c>
    </row>
    <row r="222" spans="1:18">
      <c r="A222" s="1" t="s">
        <v>179</v>
      </c>
      <c r="B222">
        <v>32</v>
      </c>
      <c r="C222">
        <v>23</v>
      </c>
      <c r="D222">
        <v>9</v>
      </c>
      <c r="E222">
        <v>-3.77</v>
      </c>
      <c r="F222">
        <v>2559</v>
      </c>
      <c r="G222">
        <v>919</v>
      </c>
      <c r="H222">
        <v>2007</v>
      </c>
      <c r="I222">
        <v>532</v>
      </c>
      <c r="J222">
        <v>775</v>
      </c>
      <c r="K222">
        <v>435</v>
      </c>
      <c r="L222">
        <v>1133</v>
      </c>
      <c r="M222">
        <v>489</v>
      </c>
      <c r="N222">
        <v>307</v>
      </c>
      <c r="O222">
        <v>151</v>
      </c>
      <c r="P222">
        <v>448</v>
      </c>
      <c r="Q222">
        <v>619</v>
      </c>
      <c r="R222">
        <v>221</v>
      </c>
    </row>
    <row r="223" spans="1:18">
      <c r="A223" s="1" t="s">
        <v>180</v>
      </c>
      <c r="B223">
        <v>32</v>
      </c>
      <c r="C223">
        <v>13</v>
      </c>
      <c r="D223">
        <v>19</v>
      </c>
      <c r="E223">
        <v>8.3000000000000007</v>
      </c>
      <c r="F223">
        <v>1943</v>
      </c>
      <c r="G223">
        <v>661</v>
      </c>
      <c r="H223">
        <v>1648</v>
      </c>
      <c r="I223">
        <v>379</v>
      </c>
      <c r="J223">
        <v>558</v>
      </c>
      <c r="K223">
        <v>282</v>
      </c>
      <c r="L223">
        <v>848</v>
      </c>
      <c r="M223">
        <v>467</v>
      </c>
      <c r="N223">
        <v>180</v>
      </c>
      <c r="O223">
        <v>102</v>
      </c>
      <c r="P223">
        <v>342</v>
      </c>
      <c r="Q223">
        <v>532</v>
      </c>
      <c r="R223">
        <v>222</v>
      </c>
    </row>
    <row r="224" spans="1:18">
      <c r="A224" s="1" t="s">
        <v>181</v>
      </c>
      <c r="B224">
        <v>35</v>
      </c>
      <c r="C224">
        <v>25</v>
      </c>
      <c r="D224">
        <v>10</v>
      </c>
      <c r="E224">
        <v>7.22</v>
      </c>
      <c r="F224">
        <v>2450</v>
      </c>
      <c r="G224">
        <v>892</v>
      </c>
      <c r="H224">
        <v>1929</v>
      </c>
      <c r="I224">
        <v>438</v>
      </c>
      <c r="J224">
        <v>618</v>
      </c>
      <c r="K224">
        <v>387</v>
      </c>
      <c r="L224">
        <v>1146</v>
      </c>
      <c r="M224">
        <v>587</v>
      </c>
      <c r="N224">
        <v>175</v>
      </c>
      <c r="O224">
        <v>132</v>
      </c>
      <c r="P224">
        <v>393</v>
      </c>
      <c r="Q224">
        <v>495</v>
      </c>
      <c r="R224">
        <v>223</v>
      </c>
    </row>
    <row r="225" spans="1:18">
      <c r="A225" s="1" t="s">
        <v>182</v>
      </c>
      <c r="B225">
        <v>33</v>
      </c>
      <c r="C225">
        <v>16</v>
      </c>
      <c r="D225">
        <v>17</v>
      </c>
      <c r="E225">
        <v>-1.61</v>
      </c>
      <c r="F225">
        <v>2444</v>
      </c>
      <c r="G225">
        <v>823</v>
      </c>
      <c r="H225">
        <v>1886</v>
      </c>
      <c r="I225">
        <v>559</v>
      </c>
      <c r="J225">
        <v>790</v>
      </c>
      <c r="K225">
        <v>370</v>
      </c>
      <c r="L225">
        <v>962</v>
      </c>
      <c r="M225">
        <v>433</v>
      </c>
      <c r="N225">
        <v>272</v>
      </c>
      <c r="O225">
        <v>39</v>
      </c>
      <c r="P225">
        <v>399</v>
      </c>
      <c r="Q225">
        <v>621</v>
      </c>
      <c r="R225">
        <v>224</v>
      </c>
    </row>
    <row r="226" spans="1:18">
      <c r="A226" s="1" t="s">
        <v>321</v>
      </c>
      <c r="B226">
        <v>37</v>
      </c>
      <c r="C226">
        <v>29</v>
      </c>
      <c r="D226">
        <v>8</v>
      </c>
      <c r="E226">
        <v>9.32</v>
      </c>
      <c r="F226">
        <v>2599</v>
      </c>
      <c r="G226">
        <v>928</v>
      </c>
      <c r="H226">
        <v>2057</v>
      </c>
      <c r="I226">
        <v>516</v>
      </c>
      <c r="J226">
        <v>729</v>
      </c>
      <c r="K226">
        <v>378</v>
      </c>
      <c r="L226">
        <v>1219</v>
      </c>
      <c r="M226">
        <v>493</v>
      </c>
      <c r="N226">
        <v>248</v>
      </c>
      <c r="O226">
        <v>162</v>
      </c>
      <c r="P226">
        <v>377</v>
      </c>
      <c r="Q226">
        <v>590</v>
      </c>
      <c r="R226">
        <v>225</v>
      </c>
    </row>
    <row r="227" spans="1:18">
      <c r="A227" s="1" t="s">
        <v>183</v>
      </c>
      <c r="B227">
        <v>34</v>
      </c>
      <c r="C227">
        <v>24</v>
      </c>
      <c r="D227">
        <v>10</v>
      </c>
      <c r="E227">
        <v>-1.06</v>
      </c>
      <c r="F227">
        <v>2464</v>
      </c>
      <c r="G227">
        <v>889</v>
      </c>
      <c r="H227">
        <v>1908</v>
      </c>
      <c r="I227">
        <v>418</v>
      </c>
      <c r="J227">
        <v>598</v>
      </c>
      <c r="K227">
        <v>305</v>
      </c>
      <c r="L227">
        <v>948</v>
      </c>
      <c r="M227">
        <v>594</v>
      </c>
      <c r="N227">
        <v>303</v>
      </c>
      <c r="O227">
        <v>120</v>
      </c>
      <c r="P227">
        <v>430</v>
      </c>
      <c r="Q227">
        <v>669</v>
      </c>
      <c r="R227">
        <v>226</v>
      </c>
    </row>
    <row r="228" spans="1:18">
      <c r="A228" s="1" t="s">
        <v>340</v>
      </c>
      <c r="B228">
        <v>33</v>
      </c>
      <c r="C228">
        <v>24</v>
      </c>
      <c r="D228">
        <v>9</v>
      </c>
      <c r="E228">
        <v>6.73</v>
      </c>
      <c r="F228">
        <v>2371</v>
      </c>
      <c r="G228">
        <v>814</v>
      </c>
      <c r="H228">
        <v>1854</v>
      </c>
      <c r="I228">
        <v>560</v>
      </c>
      <c r="J228">
        <v>751</v>
      </c>
      <c r="K228">
        <v>354</v>
      </c>
      <c r="L228">
        <v>1110</v>
      </c>
      <c r="M228">
        <v>398</v>
      </c>
      <c r="N228">
        <v>248</v>
      </c>
      <c r="O228">
        <v>155</v>
      </c>
      <c r="P228">
        <v>411</v>
      </c>
      <c r="Q228">
        <v>598</v>
      </c>
      <c r="R228">
        <v>227</v>
      </c>
    </row>
    <row r="229" spans="1:18">
      <c r="A229" s="1" t="s">
        <v>329</v>
      </c>
      <c r="B229">
        <v>32</v>
      </c>
      <c r="C229">
        <v>20</v>
      </c>
      <c r="D229">
        <v>12</v>
      </c>
      <c r="E229">
        <v>7.09</v>
      </c>
      <c r="F229">
        <v>2260</v>
      </c>
      <c r="G229">
        <v>803</v>
      </c>
      <c r="H229">
        <v>1847</v>
      </c>
      <c r="I229">
        <v>495</v>
      </c>
      <c r="J229">
        <v>654</v>
      </c>
      <c r="K229">
        <v>377</v>
      </c>
      <c r="L229">
        <v>1066</v>
      </c>
      <c r="M229">
        <v>394</v>
      </c>
      <c r="N229">
        <v>206</v>
      </c>
      <c r="O229">
        <v>89</v>
      </c>
      <c r="P229">
        <v>376</v>
      </c>
      <c r="Q229">
        <v>557</v>
      </c>
      <c r="R229">
        <v>228</v>
      </c>
    </row>
    <row r="230" spans="1:18">
      <c r="A230" s="1" t="s">
        <v>184</v>
      </c>
      <c r="B230">
        <v>30</v>
      </c>
      <c r="C230">
        <v>5</v>
      </c>
      <c r="D230">
        <v>25</v>
      </c>
      <c r="E230">
        <v>-1.55</v>
      </c>
      <c r="F230">
        <v>1947</v>
      </c>
      <c r="G230">
        <v>707</v>
      </c>
      <c r="H230">
        <v>1727</v>
      </c>
      <c r="I230">
        <v>395</v>
      </c>
      <c r="J230">
        <v>598</v>
      </c>
      <c r="K230">
        <v>437</v>
      </c>
      <c r="L230">
        <v>1012</v>
      </c>
      <c r="M230">
        <v>376</v>
      </c>
      <c r="N230">
        <v>215</v>
      </c>
      <c r="O230">
        <v>141</v>
      </c>
      <c r="P230">
        <v>412</v>
      </c>
      <c r="Q230">
        <v>577</v>
      </c>
      <c r="R230">
        <v>229</v>
      </c>
    </row>
    <row r="231" spans="1:18">
      <c r="A231" s="1" t="s">
        <v>185</v>
      </c>
      <c r="B231">
        <v>35</v>
      </c>
      <c r="C231">
        <v>20</v>
      </c>
      <c r="D231">
        <v>15</v>
      </c>
      <c r="E231">
        <v>-3</v>
      </c>
      <c r="F231">
        <v>2484</v>
      </c>
      <c r="G231">
        <v>890</v>
      </c>
      <c r="H231">
        <v>1931</v>
      </c>
      <c r="I231">
        <v>539</v>
      </c>
      <c r="J231">
        <v>730</v>
      </c>
      <c r="K231">
        <v>413</v>
      </c>
      <c r="L231">
        <v>1137</v>
      </c>
      <c r="M231">
        <v>442</v>
      </c>
      <c r="N231">
        <v>218</v>
      </c>
      <c r="O231">
        <v>133</v>
      </c>
      <c r="P231">
        <v>483</v>
      </c>
      <c r="Q231">
        <v>578</v>
      </c>
      <c r="R231">
        <v>230</v>
      </c>
    </row>
    <row r="232" spans="1:18">
      <c r="A232" s="1" t="s">
        <v>186</v>
      </c>
      <c r="B232">
        <v>32</v>
      </c>
      <c r="C232">
        <v>14</v>
      </c>
      <c r="D232">
        <v>18</v>
      </c>
      <c r="E232">
        <v>4.29</v>
      </c>
      <c r="F232">
        <v>2304</v>
      </c>
      <c r="G232">
        <v>829</v>
      </c>
      <c r="H232">
        <v>1855</v>
      </c>
      <c r="I232">
        <v>460</v>
      </c>
      <c r="J232">
        <v>687</v>
      </c>
      <c r="K232">
        <v>396</v>
      </c>
      <c r="L232">
        <v>1082</v>
      </c>
      <c r="M232">
        <v>457</v>
      </c>
      <c r="N232">
        <v>202</v>
      </c>
      <c r="O232">
        <v>147</v>
      </c>
      <c r="P232">
        <v>432</v>
      </c>
      <c r="Q232">
        <v>509</v>
      </c>
      <c r="R232">
        <v>231</v>
      </c>
    </row>
    <row r="233" spans="1:18">
      <c r="A233" s="1" t="s">
        <v>288</v>
      </c>
      <c r="B233">
        <v>37</v>
      </c>
      <c r="C233">
        <v>28</v>
      </c>
      <c r="D233">
        <v>9</v>
      </c>
      <c r="E233">
        <v>5.77</v>
      </c>
      <c r="F233">
        <v>2650</v>
      </c>
      <c r="G233">
        <v>944</v>
      </c>
      <c r="H233">
        <v>2110</v>
      </c>
      <c r="I233">
        <v>570</v>
      </c>
      <c r="J233">
        <v>809</v>
      </c>
      <c r="K233">
        <v>451</v>
      </c>
      <c r="L233">
        <v>1285</v>
      </c>
      <c r="M233">
        <v>484</v>
      </c>
      <c r="N233">
        <v>314</v>
      </c>
      <c r="O233">
        <v>146</v>
      </c>
      <c r="P233">
        <v>555</v>
      </c>
      <c r="Q233">
        <v>651</v>
      </c>
      <c r="R233">
        <v>232</v>
      </c>
    </row>
    <row r="234" spans="1:18">
      <c r="A234" s="1" t="s">
        <v>187</v>
      </c>
      <c r="B234">
        <v>35</v>
      </c>
      <c r="C234">
        <v>22</v>
      </c>
      <c r="D234">
        <v>13</v>
      </c>
      <c r="E234">
        <v>1.05</v>
      </c>
      <c r="F234">
        <v>2344</v>
      </c>
      <c r="G234">
        <v>824</v>
      </c>
      <c r="H234">
        <v>1839</v>
      </c>
      <c r="I234">
        <v>471</v>
      </c>
      <c r="J234">
        <v>684</v>
      </c>
      <c r="K234">
        <v>333</v>
      </c>
      <c r="L234">
        <v>1037</v>
      </c>
      <c r="M234">
        <v>510</v>
      </c>
      <c r="N234">
        <v>194</v>
      </c>
      <c r="O234">
        <v>46</v>
      </c>
      <c r="P234">
        <v>390</v>
      </c>
      <c r="Q234">
        <v>621</v>
      </c>
      <c r="R234">
        <v>233</v>
      </c>
    </row>
    <row r="235" spans="1:18">
      <c r="A235" s="1" t="s">
        <v>188</v>
      </c>
      <c r="B235">
        <v>31</v>
      </c>
      <c r="C235">
        <v>10</v>
      </c>
      <c r="D235">
        <v>21</v>
      </c>
      <c r="E235">
        <v>9.4600000000000009</v>
      </c>
      <c r="F235">
        <v>1910</v>
      </c>
      <c r="G235">
        <v>661</v>
      </c>
      <c r="H235">
        <v>1672</v>
      </c>
      <c r="I235">
        <v>432</v>
      </c>
      <c r="J235">
        <v>621</v>
      </c>
      <c r="K235">
        <v>341</v>
      </c>
      <c r="L235">
        <v>963</v>
      </c>
      <c r="M235">
        <v>305</v>
      </c>
      <c r="N235">
        <v>164</v>
      </c>
      <c r="O235">
        <v>100</v>
      </c>
      <c r="P235">
        <v>381</v>
      </c>
      <c r="Q235">
        <v>679</v>
      </c>
      <c r="R235">
        <v>234</v>
      </c>
    </row>
    <row r="236" spans="1:18">
      <c r="A236" s="1" t="s">
        <v>289</v>
      </c>
      <c r="B236">
        <v>31</v>
      </c>
      <c r="C236">
        <v>9</v>
      </c>
      <c r="D236">
        <v>22</v>
      </c>
      <c r="E236">
        <v>-1.48</v>
      </c>
      <c r="F236">
        <v>1947</v>
      </c>
      <c r="G236">
        <v>689</v>
      </c>
      <c r="H236">
        <v>1620</v>
      </c>
      <c r="I236">
        <v>400</v>
      </c>
      <c r="J236">
        <v>558</v>
      </c>
      <c r="K236">
        <v>272</v>
      </c>
      <c r="L236">
        <v>867</v>
      </c>
      <c r="M236">
        <v>418</v>
      </c>
      <c r="N236">
        <v>201</v>
      </c>
      <c r="O236">
        <v>80</v>
      </c>
      <c r="P236">
        <v>495</v>
      </c>
      <c r="Q236">
        <v>644</v>
      </c>
      <c r="R236">
        <v>235</v>
      </c>
    </row>
    <row r="237" spans="1:18">
      <c r="A237" s="1" t="s">
        <v>290</v>
      </c>
      <c r="B237">
        <v>30</v>
      </c>
      <c r="C237">
        <v>12</v>
      </c>
      <c r="D237">
        <v>18</v>
      </c>
      <c r="E237">
        <v>1.06</v>
      </c>
      <c r="F237">
        <v>1883</v>
      </c>
      <c r="G237">
        <v>673</v>
      </c>
      <c r="H237">
        <v>1551</v>
      </c>
      <c r="I237">
        <v>372</v>
      </c>
      <c r="J237">
        <v>529</v>
      </c>
      <c r="K237">
        <v>309</v>
      </c>
      <c r="L237">
        <v>931</v>
      </c>
      <c r="M237">
        <v>360</v>
      </c>
      <c r="N237">
        <v>169</v>
      </c>
      <c r="O237">
        <v>66</v>
      </c>
      <c r="P237">
        <v>442</v>
      </c>
      <c r="Q237">
        <v>515</v>
      </c>
      <c r="R237">
        <v>236</v>
      </c>
    </row>
    <row r="238" spans="1:18">
      <c r="A238" s="1" t="s">
        <v>189</v>
      </c>
      <c r="B238">
        <v>33</v>
      </c>
      <c r="C238">
        <v>24</v>
      </c>
      <c r="D238">
        <v>9</v>
      </c>
      <c r="E238">
        <v>5.63</v>
      </c>
      <c r="F238">
        <v>2282</v>
      </c>
      <c r="G238">
        <v>837</v>
      </c>
      <c r="H238">
        <v>1775</v>
      </c>
      <c r="I238">
        <v>445</v>
      </c>
      <c r="J238">
        <v>666</v>
      </c>
      <c r="K238">
        <v>425</v>
      </c>
      <c r="L238">
        <v>1067</v>
      </c>
      <c r="M238">
        <v>537</v>
      </c>
      <c r="N238">
        <v>218</v>
      </c>
      <c r="O238">
        <v>131</v>
      </c>
      <c r="P238">
        <v>364</v>
      </c>
      <c r="Q238">
        <v>575</v>
      </c>
      <c r="R238">
        <v>237</v>
      </c>
    </row>
    <row r="239" spans="1:18">
      <c r="A239" s="1" t="s">
        <v>190</v>
      </c>
      <c r="B239">
        <v>28</v>
      </c>
      <c r="C239">
        <v>8</v>
      </c>
      <c r="D239">
        <v>20</v>
      </c>
      <c r="E239">
        <v>-5.54</v>
      </c>
      <c r="F239">
        <v>1929</v>
      </c>
      <c r="G239">
        <v>701</v>
      </c>
      <c r="H239">
        <v>1542</v>
      </c>
      <c r="I239">
        <v>376</v>
      </c>
      <c r="J239">
        <v>506</v>
      </c>
      <c r="K239">
        <v>280</v>
      </c>
      <c r="L239">
        <v>779</v>
      </c>
      <c r="M239">
        <v>368</v>
      </c>
      <c r="N239">
        <v>153</v>
      </c>
      <c r="O239">
        <v>66</v>
      </c>
      <c r="P239">
        <v>335</v>
      </c>
      <c r="Q239">
        <v>462</v>
      </c>
      <c r="R239">
        <v>238</v>
      </c>
    </row>
    <row r="240" spans="1:18">
      <c r="A240" s="1" t="s">
        <v>191</v>
      </c>
      <c r="B240">
        <v>32</v>
      </c>
      <c r="C240">
        <v>11</v>
      </c>
      <c r="D240">
        <v>21</v>
      </c>
      <c r="E240">
        <v>3.28</v>
      </c>
      <c r="F240">
        <v>1951</v>
      </c>
      <c r="G240">
        <v>701</v>
      </c>
      <c r="H240">
        <v>1709</v>
      </c>
      <c r="I240">
        <v>408</v>
      </c>
      <c r="J240">
        <v>603</v>
      </c>
      <c r="K240">
        <v>369</v>
      </c>
      <c r="L240">
        <v>1023</v>
      </c>
      <c r="M240">
        <v>386</v>
      </c>
      <c r="N240">
        <v>188</v>
      </c>
      <c r="O240">
        <v>124</v>
      </c>
      <c r="P240">
        <v>479</v>
      </c>
      <c r="Q240">
        <v>563</v>
      </c>
      <c r="R240">
        <v>239</v>
      </c>
    </row>
    <row r="241" spans="1:18">
      <c r="A241" s="1" t="s">
        <v>192</v>
      </c>
      <c r="B241">
        <v>34</v>
      </c>
      <c r="C241">
        <v>15</v>
      </c>
      <c r="D241">
        <v>19</v>
      </c>
      <c r="E241">
        <v>-10.1</v>
      </c>
      <c r="F241">
        <v>2182</v>
      </c>
      <c r="G241">
        <v>822</v>
      </c>
      <c r="H241">
        <v>2065</v>
      </c>
      <c r="I241">
        <v>409</v>
      </c>
      <c r="J241">
        <v>665</v>
      </c>
      <c r="K241">
        <v>530</v>
      </c>
      <c r="L241">
        <v>1225</v>
      </c>
      <c r="M241">
        <v>370</v>
      </c>
      <c r="N241">
        <v>261</v>
      </c>
      <c r="O241">
        <v>112</v>
      </c>
      <c r="P241">
        <v>509</v>
      </c>
      <c r="Q241">
        <v>690</v>
      </c>
      <c r="R241">
        <v>240</v>
      </c>
    </row>
    <row r="242" spans="1:18">
      <c r="A242" s="1" t="s">
        <v>350</v>
      </c>
      <c r="B242">
        <v>32</v>
      </c>
      <c r="C242">
        <v>8</v>
      </c>
      <c r="D242">
        <v>24</v>
      </c>
      <c r="E242">
        <v>-4.71</v>
      </c>
      <c r="F242">
        <v>1987</v>
      </c>
      <c r="G242">
        <v>739</v>
      </c>
      <c r="H242">
        <v>1640</v>
      </c>
      <c r="I242">
        <v>317</v>
      </c>
      <c r="J242">
        <v>421</v>
      </c>
      <c r="K242">
        <v>218</v>
      </c>
      <c r="L242">
        <v>835</v>
      </c>
      <c r="M242">
        <v>382</v>
      </c>
      <c r="N242">
        <v>145</v>
      </c>
      <c r="O242">
        <v>57</v>
      </c>
      <c r="P242">
        <v>418</v>
      </c>
      <c r="Q242">
        <v>490</v>
      </c>
      <c r="R242">
        <v>241</v>
      </c>
    </row>
    <row r="243" spans="1:18">
      <c r="A243" s="1" t="s">
        <v>193</v>
      </c>
      <c r="B243">
        <v>28</v>
      </c>
      <c r="C243">
        <v>17</v>
      </c>
      <c r="D243">
        <v>11</v>
      </c>
      <c r="E243">
        <v>-1.65</v>
      </c>
      <c r="F243">
        <v>1803</v>
      </c>
      <c r="G243">
        <v>633</v>
      </c>
      <c r="H243">
        <v>1369</v>
      </c>
      <c r="I243">
        <v>349</v>
      </c>
      <c r="J243">
        <v>483</v>
      </c>
      <c r="K243">
        <v>251</v>
      </c>
      <c r="L243">
        <v>797</v>
      </c>
      <c r="M243">
        <v>405</v>
      </c>
      <c r="N243">
        <v>178</v>
      </c>
      <c r="O243">
        <v>85</v>
      </c>
      <c r="P243">
        <v>344</v>
      </c>
      <c r="Q243">
        <v>453</v>
      </c>
      <c r="R243">
        <v>242</v>
      </c>
    </row>
    <row r="244" spans="1:18">
      <c r="A244" s="1" t="s">
        <v>194</v>
      </c>
      <c r="B244">
        <v>34</v>
      </c>
      <c r="C244">
        <v>19</v>
      </c>
      <c r="D244">
        <v>15</v>
      </c>
      <c r="E244">
        <v>6.55</v>
      </c>
      <c r="F244">
        <v>2299</v>
      </c>
      <c r="G244">
        <v>801</v>
      </c>
      <c r="H244">
        <v>1947</v>
      </c>
      <c r="I244">
        <v>511</v>
      </c>
      <c r="J244">
        <v>728</v>
      </c>
      <c r="K244">
        <v>471</v>
      </c>
      <c r="L244">
        <v>1161</v>
      </c>
      <c r="M244">
        <v>485</v>
      </c>
      <c r="N244">
        <v>211</v>
      </c>
      <c r="O244">
        <v>110</v>
      </c>
      <c r="P244">
        <v>431</v>
      </c>
      <c r="Q244">
        <v>582</v>
      </c>
      <c r="R244">
        <v>243</v>
      </c>
    </row>
    <row r="245" spans="1:18">
      <c r="A245" s="1" t="s">
        <v>291</v>
      </c>
      <c r="B245">
        <v>34</v>
      </c>
      <c r="C245">
        <v>16</v>
      </c>
      <c r="D245">
        <v>18</v>
      </c>
      <c r="E245">
        <v>7.87</v>
      </c>
      <c r="F245">
        <v>2252</v>
      </c>
      <c r="G245">
        <v>838</v>
      </c>
      <c r="H245">
        <v>1968</v>
      </c>
      <c r="I245">
        <v>431</v>
      </c>
      <c r="J245">
        <v>660</v>
      </c>
      <c r="K245">
        <v>459</v>
      </c>
      <c r="L245">
        <v>1179</v>
      </c>
      <c r="M245">
        <v>468</v>
      </c>
      <c r="N245">
        <v>168</v>
      </c>
      <c r="O245">
        <v>153</v>
      </c>
      <c r="P245">
        <v>427</v>
      </c>
      <c r="Q245">
        <v>606</v>
      </c>
      <c r="R245">
        <v>244</v>
      </c>
    </row>
    <row r="246" spans="1:18">
      <c r="A246" s="1" t="s">
        <v>195</v>
      </c>
      <c r="B246">
        <v>31</v>
      </c>
      <c r="C246">
        <v>15</v>
      </c>
      <c r="D246">
        <v>16</v>
      </c>
      <c r="E246">
        <v>-4.91</v>
      </c>
      <c r="F246">
        <v>2225</v>
      </c>
      <c r="G246">
        <v>789</v>
      </c>
      <c r="H246">
        <v>1844</v>
      </c>
      <c r="I246">
        <v>510</v>
      </c>
      <c r="J246">
        <v>758</v>
      </c>
      <c r="K246">
        <v>494</v>
      </c>
      <c r="L246">
        <v>1200</v>
      </c>
      <c r="M246">
        <v>389</v>
      </c>
      <c r="N246">
        <v>128</v>
      </c>
      <c r="O246">
        <v>115</v>
      </c>
      <c r="P246">
        <v>432</v>
      </c>
      <c r="Q246">
        <v>609</v>
      </c>
      <c r="R246">
        <v>245</v>
      </c>
    </row>
    <row r="247" spans="1:18">
      <c r="A247" s="1" t="s">
        <v>196</v>
      </c>
      <c r="B247">
        <v>32</v>
      </c>
      <c r="C247">
        <v>13</v>
      </c>
      <c r="D247">
        <v>19</v>
      </c>
      <c r="E247">
        <v>-7.32</v>
      </c>
      <c r="F247">
        <v>2136</v>
      </c>
      <c r="G247">
        <v>750</v>
      </c>
      <c r="H247">
        <v>1888</v>
      </c>
      <c r="I247">
        <v>442</v>
      </c>
      <c r="J247">
        <v>682</v>
      </c>
      <c r="K247">
        <v>425</v>
      </c>
      <c r="L247">
        <v>1056</v>
      </c>
      <c r="M247">
        <v>382</v>
      </c>
      <c r="N247">
        <v>274</v>
      </c>
      <c r="O247">
        <v>116</v>
      </c>
      <c r="P247">
        <v>432</v>
      </c>
      <c r="Q247">
        <v>612</v>
      </c>
      <c r="R247">
        <v>246</v>
      </c>
    </row>
    <row r="248" spans="1:18">
      <c r="A248" s="1" t="s">
        <v>197</v>
      </c>
      <c r="B248">
        <v>29</v>
      </c>
      <c r="C248">
        <v>8</v>
      </c>
      <c r="D248">
        <v>21</v>
      </c>
      <c r="E248">
        <v>4.95</v>
      </c>
      <c r="F248">
        <v>1786</v>
      </c>
      <c r="G248">
        <v>616</v>
      </c>
      <c r="H248">
        <v>1539</v>
      </c>
      <c r="I248">
        <v>371</v>
      </c>
      <c r="J248">
        <v>553</v>
      </c>
      <c r="K248">
        <v>292</v>
      </c>
      <c r="L248">
        <v>825</v>
      </c>
      <c r="M248">
        <v>316</v>
      </c>
      <c r="N248">
        <v>161</v>
      </c>
      <c r="O248">
        <v>117</v>
      </c>
      <c r="P248">
        <v>350</v>
      </c>
      <c r="Q248">
        <v>561</v>
      </c>
      <c r="R248">
        <v>247</v>
      </c>
    </row>
    <row r="249" spans="1:18">
      <c r="A249" s="1" t="s">
        <v>198</v>
      </c>
      <c r="B249">
        <v>31</v>
      </c>
      <c r="C249">
        <v>5</v>
      </c>
      <c r="D249">
        <v>26</v>
      </c>
      <c r="E249">
        <v>0.01</v>
      </c>
      <c r="F249">
        <v>1875</v>
      </c>
      <c r="G249">
        <v>644</v>
      </c>
      <c r="H249">
        <v>1621</v>
      </c>
      <c r="I249">
        <v>358</v>
      </c>
      <c r="J249">
        <v>493</v>
      </c>
      <c r="K249">
        <v>209</v>
      </c>
      <c r="L249">
        <v>706</v>
      </c>
      <c r="M249">
        <v>351</v>
      </c>
      <c r="N249">
        <v>204</v>
      </c>
      <c r="O249">
        <v>32</v>
      </c>
      <c r="P249">
        <v>346</v>
      </c>
      <c r="Q249">
        <v>583</v>
      </c>
      <c r="R249">
        <v>248</v>
      </c>
    </row>
    <row r="250" spans="1:18">
      <c r="A250" s="1" t="s">
        <v>199</v>
      </c>
      <c r="B250">
        <v>34</v>
      </c>
      <c r="C250">
        <v>19</v>
      </c>
      <c r="D250">
        <v>15</v>
      </c>
      <c r="E250">
        <v>3.43</v>
      </c>
      <c r="F250">
        <v>2380</v>
      </c>
      <c r="G250">
        <v>776</v>
      </c>
      <c r="H250">
        <v>1748</v>
      </c>
      <c r="I250">
        <v>546</v>
      </c>
      <c r="J250">
        <v>756</v>
      </c>
      <c r="K250">
        <v>295</v>
      </c>
      <c r="L250">
        <v>914</v>
      </c>
      <c r="M250">
        <v>436</v>
      </c>
      <c r="N250">
        <v>248</v>
      </c>
      <c r="O250">
        <v>131</v>
      </c>
      <c r="P250">
        <v>414</v>
      </c>
      <c r="Q250">
        <v>666</v>
      </c>
      <c r="R250">
        <v>249</v>
      </c>
    </row>
    <row r="251" spans="1:18">
      <c r="A251" s="1" t="s">
        <v>200</v>
      </c>
      <c r="B251">
        <v>34</v>
      </c>
      <c r="C251">
        <v>19</v>
      </c>
      <c r="D251">
        <v>15</v>
      </c>
      <c r="E251">
        <v>-1.66</v>
      </c>
      <c r="F251">
        <v>2166</v>
      </c>
      <c r="G251">
        <v>748</v>
      </c>
      <c r="H251">
        <v>1733</v>
      </c>
      <c r="I251">
        <v>463</v>
      </c>
      <c r="J251">
        <v>683</v>
      </c>
      <c r="K251">
        <v>340</v>
      </c>
      <c r="L251">
        <v>1046</v>
      </c>
      <c r="M251">
        <v>344</v>
      </c>
      <c r="N251">
        <v>226</v>
      </c>
      <c r="O251">
        <v>148</v>
      </c>
      <c r="P251">
        <v>525</v>
      </c>
      <c r="Q251">
        <v>621</v>
      </c>
      <c r="R251">
        <v>250</v>
      </c>
    </row>
    <row r="252" spans="1:18">
      <c r="A252" s="1" t="s">
        <v>201</v>
      </c>
      <c r="B252">
        <v>35</v>
      </c>
      <c r="C252">
        <v>24</v>
      </c>
      <c r="D252">
        <v>11</v>
      </c>
      <c r="E252">
        <v>-4.9000000000000004</v>
      </c>
      <c r="F252">
        <v>2480</v>
      </c>
      <c r="G252">
        <v>825</v>
      </c>
      <c r="H252">
        <v>1912</v>
      </c>
      <c r="I252">
        <v>530</v>
      </c>
      <c r="J252">
        <v>708</v>
      </c>
      <c r="K252">
        <v>367</v>
      </c>
      <c r="L252">
        <v>965</v>
      </c>
      <c r="M252">
        <v>491</v>
      </c>
      <c r="N252">
        <v>313</v>
      </c>
      <c r="O252">
        <v>92</v>
      </c>
      <c r="P252">
        <v>448</v>
      </c>
      <c r="Q252">
        <v>685</v>
      </c>
      <c r="R252">
        <v>251</v>
      </c>
    </row>
    <row r="253" spans="1:18">
      <c r="A253" s="1" t="s">
        <v>202</v>
      </c>
      <c r="B253">
        <v>31</v>
      </c>
      <c r="C253">
        <v>15</v>
      </c>
      <c r="D253">
        <v>16</v>
      </c>
      <c r="E253">
        <v>6.77</v>
      </c>
      <c r="F253">
        <v>2027</v>
      </c>
      <c r="G253">
        <v>747</v>
      </c>
      <c r="H253">
        <v>1689</v>
      </c>
      <c r="I253">
        <v>383</v>
      </c>
      <c r="J253">
        <v>548</v>
      </c>
      <c r="K253">
        <v>368</v>
      </c>
      <c r="L253">
        <v>949</v>
      </c>
      <c r="M253">
        <v>390</v>
      </c>
      <c r="N253">
        <v>216</v>
      </c>
      <c r="O253">
        <v>113</v>
      </c>
      <c r="P253">
        <v>428</v>
      </c>
      <c r="Q253">
        <v>603</v>
      </c>
      <c r="R253">
        <v>252</v>
      </c>
    </row>
    <row r="254" spans="1:18">
      <c r="A254" s="1" t="s">
        <v>203</v>
      </c>
      <c r="B254">
        <v>29</v>
      </c>
      <c r="C254">
        <v>14</v>
      </c>
      <c r="D254">
        <v>15</v>
      </c>
      <c r="E254">
        <v>-6.77</v>
      </c>
      <c r="F254">
        <v>1876</v>
      </c>
      <c r="G254">
        <v>640</v>
      </c>
      <c r="H254">
        <v>1546</v>
      </c>
      <c r="I254">
        <v>436</v>
      </c>
      <c r="J254">
        <v>599</v>
      </c>
      <c r="K254">
        <v>304</v>
      </c>
      <c r="L254">
        <v>881</v>
      </c>
      <c r="M254">
        <v>358</v>
      </c>
      <c r="N254">
        <v>151</v>
      </c>
      <c r="O254">
        <v>71</v>
      </c>
      <c r="P254">
        <v>325</v>
      </c>
      <c r="Q254">
        <v>464</v>
      </c>
      <c r="R254">
        <v>253</v>
      </c>
    </row>
    <row r="255" spans="1:18">
      <c r="A255" s="1" t="s">
        <v>204</v>
      </c>
      <c r="B255">
        <v>29</v>
      </c>
      <c r="C255">
        <v>9</v>
      </c>
      <c r="D255">
        <v>20</v>
      </c>
      <c r="E255">
        <v>-3.69</v>
      </c>
      <c r="F255">
        <v>2036</v>
      </c>
      <c r="G255">
        <v>729</v>
      </c>
      <c r="H255">
        <v>1656</v>
      </c>
      <c r="I255">
        <v>385</v>
      </c>
      <c r="J255">
        <v>533</v>
      </c>
      <c r="K255">
        <v>333</v>
      </c>
      <c r="L255">
        <v>903</v>
      </c>
      <c r="M255">
        <v>388</v>
      </c>
      <c r="N255">
        <v>182</v>
      </c>
      <c r="O255">
        <v>104</v>
      </c>
      <c r="P255">
        <v>441</v>
      </c>
      <c r="Q255">
        <v>534</v>
      </c>
      <c r="R255">
        <v>254</v>
      </c>
    </row>
    <row r="256" spans="1:18">
      <c r="A256" s="1" t="s">
        <v>205</v>
      </c>
      <c r="B256">
        <v>29</v>
      </c>
      <c r="C256">
        <v>5</v>
      </c>
      <c r="D256">
        <v>24</v>
      </c>
      <c r="E256">
        <v>-4.37</v>
      </c>
      <c r="F256">
        <v>1804</v>
      </c>
      <c r="G256">
        <v>633</v>
      </c>
      <c r="H256">
        <v>1527</v>
      </c>
      <c r="I256">
        <v>331</v>
      </c>
      <c r="J256">
        <v>482</v>
      </c>
      <c r="K256">
        <v>267</v>
      </c>
      <c r="L256">
        <v>768</v>
      </c>
      <c r="M256">
        <v>364</v>
      </c>
      <c r="N256">
        <v>161</v>
      </c>
      <c r="O256">
        <v>62</v>
      </c>
      <c r="P256">
        <v>419</v>
      </c>
      <c r="Q256">
        <v>537</v>
      </c>
      <c r="R256">
        <v>255</v>
      </c>
    </row>
    <row r="257" spans="1:18">
      <c r="A257" s="1" t="s">
        <v>206</v>
      </c>
      <c r="B257">
        <v>32</v>
      </c>
      <c r="C257">
        <v>18</v>
      </c>
      <c r="D257">
        <v>14</v>
      </c>
      <c r="E257">
        <v>4.03</v>
      </c>
      <c r="F257">
        <v>2150</v>
      </c>
      <c r="G257">
        <v>746</v>
      </c>
      <c r="H257">
        <v>1702</v>
      </c>
      <c r="I257">
        <v>429</v>
      </c>
      <c r="J257">
        <v>616</v>
      </c>
      <c r="K257">
        <v>332</v>
      </c>
      <c r="L257">
        <v>1009</v>
      </c>
      <c r="M257">
        <v>450</v>
      </c>
      <c r="N257">
        <v>165</v>
      </c>
      <c r="O257">
        <v>183</v>
      </c>
      <c r="P257">
        <v>381</v>
      </c>
      <c r="Q257">
        <v>419</v>
      </c>
      <c r="R257">
        <v>256</v>
      </c>
    </row>
    <row r="258" spans="1:18">
      <c r="A258" s="1" t="s">
        <v>292</v>
      </c>
      <c r="B258">
        <v>35</v>
      </c>
      <c r="C258">
        <v>28</v>
      </c>
      <c r="D258">
        <v>7</v>
      </c>
      <c r="E258">
        <v>4.28</v>
      </c>
      <c r="F258">
        <v>2388</v>
      </c>
      <c r="G258">
        <v>808</v>
      </c>
      <c r="H258">
        <v>1812</v>
      </c>
      <c r="I258">
        <v>562</v>
      </c>
      <c r="J258">
        <v>798</v>
      </c>
      <c r="K258">
        <v>306</v>
      </c>
      <c r="L258">
        <v>1032</v>
      </c>
      <c r="M258">
        <v>453</v>
      </c>
      <c r="N258">
        <v>267</v>
      </c>
      <c r="O258">
        <v>109</v>
      </c>
      <c r="P258">
        <v>383</v>
      </c>
      <c r="Q258">
        <v>603</v>
      </c>
      <c r="R258">
        <v>257</v>
      </c>
    </row>
    <row r="259" spans="1:18">
      <c r="A259" s="1" t="s">
        <v>207</v>
      </c>
      <c r="B259">
        <v>35</v>
      </c>
      <c r="C259">
        <v>28</v>
      </c>
      <c r="D259">
        <v>7</v>
      </c>
      <c r="E259">
        <v>3.31</v>
      </c>
      <c r="F259">
        <v>2610</v>
      </c>
      <c r="G259">
        <v>910</v>
      </c>
      <c r="H259">
        <v>1939</v>
      </c>
      <c r="I259">
        <v>517</v>
      </c>
      <c r="J259">
        <v>713</v>
      </c>
      <c r="K259">
        <v>422</v>
      </c>
      <c r="L259">
        <v>1199</v>
      </c>
      <c r="M259">
        <v>502</v>
      </c>
      <c r="N259">
        <v>214</v>
      </c>
      <c r="O259">
        <v>98</v>
      </c>
      <c r="P259">
        <v>416</v>
      </c>
      <c r="Q259">
        <v>612</v>
      </c>
      <c r="R259">
        <v>258</v>
      </c>
    </row>
    <row r="260" spans="1:18">
      <c r="A260" s="1" t="s">
        <v>208</v>
      </c>
      <c r="B260">
        <v>30</v>
      </c>
      <c r="C260">
        <v>9</v>
      </c>
      <c r="D260">
        <v>21</v>
      </c>
      <c r="E260">
        <v>-2.92</v>
      </c>
      <c r="F260">
        <v>1788</v>
      </c>
      <c r="G260">
        <v>674</v>
      </c>
      <c r="H260">
        <v>1633</v>
      </c>
      <c r="I260">
        <v>293</v>
      </c>
      <c r="J260">
        <v>495</v>
      </c>
      <c r="K260">
        <v>322</v>
      </c>
      <c r="L260">
        <v>843</v>
      </c>
      <c r="M260">
        <v>340</v>
      </c>
      <c r="N260">
        <v>209</v>
      </c>
      <c r="O260">
        <v>105</v>
      </c>
      <c r="P260">
        <v>387</v>
      </c>
      <c r="Q260">
        <v>567</v>
      </c>
      <c r="R260">
        <v>259</v>
      </c>
    </row>
    <row r="261" spans="1:18">
      <c r="A261" s="1" t="s">
        <v>209</v>
      </c>
      <c r="B261">
        <v>34</v>
      </c>
      <c r="C261">
        <v>17</v>
      </c>
      <c r="D261">
        <v>17</v>
      </c>
      <c r="E261">
        <v>-5.16</v>
      </c>
      <c r="F261">
        <v>2168</v>
      </c>
      <c r="G261">
        <v>740</v>
      </c>
      <c r="H261">
        <v>1918</v>
      </c>
      <c r="I261">
        <v>464</v>
      </c>
      <c r="J261">
        <v>707</v>
      </c>
      <c r="K261">
        <v>453</v>
      </c>
      <c r="L261">
        <v>1179</v>
      </c>
      <c r="M261">
        <v>472</v>
      </c>
      <c r="N261">
        <v>239</v>
      </c>
      <c r="O261">
        <v>77</v>
      </c>
      <c r="P261">
        <v>449</v>
      </c>
      <c r="Q261">
        <v>719</v>
      </c>
      <c r="R261">
        <v>260</v>
      </c>
    </row>
    <row r="262" spans="1:18">
      <c r="A262" s="1" t="s">
        <v>293</v>
      </c>
      <c r="B262">
        <v>32</v>
      </c>
      <c r="C262">
        <v>11</v>
      </c>
      <c r="D262">
        <v>21</v>
      </c>
      <c r="E262">
        <v>-4.38</v>
      </c>
      <c r="F262">
        <v>1957</v>
      </c>
      <c r="G262">
        <v>711</v>
      </c>
      <c r="H262">
        <v>1601</v>
      </c>
      <c r="I262">
        <v>332</v>
      </c>
      <c r="J262">
        <v>502</v>
      </c>
      <c r="K262">
        <v>266</v>
      </c>
      <c r="L262">
        <v>830</v>
      </c>
      <c r="M262">
        <v>402</v>
      </c>
      <c r="N262">
        <v>206</v>
      </c>
      <c r="O262">
        <v>81</v>
      </c>
      <c r="P262">
        <v>422</v>
      </c>
      <c r="Q262">
        <v>537</v>
      </c>
      <c r="R262">
        <v>261</v>
      </c>
    </row>
    <row r="263" spans="1:18">
      <c r="A263" s="1" t="s">
        <v>210</v>
      </c>
      <c r="B263">
        <v>34</v>
      </c>
      <c r="C263">
        <v>23</v>
      </c>
      <c r="D263">
        <v>11</v>
      </c>
      <c r="E263">
        <v>6.19</v>
      </c>
      <c r="F263">
        <v>2356</v>
      </c>
      <c r="G263">
        <v>839</v>
      </c>
      <c r="H263">
        <v>1916</v>
      </c>
      <c r="I263">
        <v>476</v>
      </c>
      <c r="J263">
        <v>697</v>
      </c>
      <c r="K263">
        <v>376</v>
      </c>
      <c r="L263">
        <v>1144</v>
      </c>
      <c r="M263">
        <v>425</v>
      </c>
      <c r="N263">
        <v>235</v>
      </c>
      <c r="O263">
        <v>155</v>
      </c>
      <c r="P263">
        <v>410</v>
      </c>
      <c r="Q263">
        <v>497</v>
      </c>
      <c r="R263">
        <v>262</v>
      </c>
    </row>
    <row r="264" spans="1:18">
      <c r="A264" s="1" t="s">
        <v>211</v>
      </c>
      <c r="B264">
        <v>34</v>
      </c>
      <c r="C264">
        <v>16</v>
      </c>
      <c r="D264">
        <v>18</v>
      </c>
      <c r="E264">
        <v>2.6</v>
      </c>
      <c r="F264">
        <v>2215</v>
      </c>
      <c r="G264">
        <v>782</v>
      </c>
      <c r="H264">
        <v>1796</v>
      </c>
      <c r="I264">
        <v>448</v>
      </c>
      <c r="J264">
        <v>663</v>
      </c>
      <c r="K264">
        <v>353</v>
      </c>
      <c r="L264">
        <v>1008</v>
      </c>
      <c r="M264">
        <v>392</v>
      </c>
      <c r="N264">
        <v>205</v>
      </c>
      <c r="O264">
        <v>131</v>
      </c>
      <c r="P264">
        <v>458</v>
      </c>
      <c r="Q264">
        <v>580</v>
      </c>
      <c r="R264">
        <v>263</v>
      </c>
    </row>
    <row r="265" spans="1:18">
      <c r="A265" s="1" t="s">
        <v>212</v>
      </c>
      <c r="B265">
        <v>31</v>
      </c>
      <c r="C265">
        <v>15</v>
      </c>
      <c r="D265">
        <v>16</v>
      </c>
      <c r="E265">
        <v>2.83</v>
      </c>
      <c r="F265">
        <v>2161</v>
      </c>
      <c r="G265">
        <v>756</v>
      </c>
      <c r="H265">
        <v>1669</v>
      </c>
      <c r="I265">
        <v>400</v>
      </c>
      <c r="J265">
        <v>600</v>
      </c>
      <c r="K265">
        <v>253</v>
      </c>
      <c r="L265">
        <v>915</v>
      </c>
      <c r="M265">
        <v>382</v>
      </c>
      <c r="N265">
        <v>169</v>
      </c>
      <c r="O265">
        <v>63</v>
      </c>
      <c r="P265">
        <v>375</v>
      </c>
      <c r="Q265">
        <v>548</v>
      </c>
      <c r="R265">
        <v>264</v>
      </c>
    </row>
    <row r="266" spans="1:18">
      <c r="A266" s="1" t="s">
        <v>213</v>
      </c>
      <c r="B266">
        <v>29</v>
      </c>
      <c r="C266">
        <v>9</v>
      </c>
      <c r="D266">
        <v>20</v>
      </c>
      <c r="E266">
        <v>-0.92</v>
      </c>
      <c r="F266">
        <v>1802</v>
      </c>
      <c r="G266">
        <v>629</v>
      </c>
      <c r="H266">
        <v>1669</v>
      </c>
      <c r="I266">
        <v>397</v>
      </c>
      <c r="J266">
        <v>605</v>
      </c>
      <c r="K266">
        <v>379</v>
      </c>
      <c r="L266">
        <v>961</v>
      </c>
      <c r="M266">
        <v>317</v>
      </c>
      <c r="N266">
        <v>175</v>
      </c>
      <c r="O266">
        <v>96</v>
      </c>
      <c r="P266">
        <v>402</v>
      </c>
      <c r="Q266">
        <v>514</v>
      </c>
      <c r="R266">
        <v>265</v>
      </c>
    </row>
    <row r="267" spans="1:18">
      <c r="A267" s="1" t="s">
        <v>214</v>
      </c>
      <c r="B267">
        <v>38</v>
      </c>
      <c r="C267">
        <v>26</v>
      </c>
      <c r="D267">
        <v>12</v>
      </c>
      <c r="E267">
        <v>1.72</v>
      </c>
      <c r="F267">
        <v>2827</v>
      </c>
      <c r="G267">
        <v>970</v>
      </c>
      <c r="H267">
        <v>2195</v>
      </c>
      <c r="I267">
        <v>584</v>
      </c>
      <c r="J267">
        <v>803</v>
      </c>
      <c r="K267">
        <v>448</v>
      </c>
      <c r="L267">
        <v>1247</v>
      </c>
      <c r="M267">
        <v>560</v>
      </c>
      <c r="N267">
        <v>301</v>
      </c>
      <c r="O267">
        <v>173</v>
      </c>
      <c r="P267">
        <v>468</v>
      </c>
      <c r="Q267">
        <v>747</v>
      </c>
      <c r="R267">
        <v>266</v>
      </c>
    </row>
    <row r="268" spans="1:18">
      <c r="A268" s="1" t="s">
        <v>322</v>
      </c>
      <c r="B268">
        <v>34</v>
      </c>
      <c r="C268">
        <v>19</v>
      </c>
      <c r="D268">
        <v>15</v>
      </c>
      <c r="E268">
        <v>-4.7300000000000004</v>
      </c>
      <c r="F268">
        <v>1931</v>
      </c>
      <c r="G268">
        <v>710</v>
      </c>
      <c r="H268">
        <v>1691</v>
      </c>
      <c r="I268">
        <v>380</v>
      </c>
      <c r="J268">
        <v>615</v>
      </c>
      <c r="K268">
        <v>391</v>
      </c>
      <c r="L268">
        <v>1023</v>
      </c>
      <c r="M268">
        <v>348</v>
      </c>
      <c r="N268">
        <v>307</v>
      </c>
      <c r="O268">
        <v>138</v>
      </c>
      <c r="P268">
        <v>586</v>
      </c>
      <c r="Q268">
        <v>628</v>
      </c>
      <c r="R268">
        <v>267</v>
      </c>
    </row>
    <row r="269" spans="1:18">
      <c r="A269" s="1" t="s">
        <v>358</v>
      </c>
      <c r="B269">
        <v>30</v>
      </c>
      <c r="C269">
        <v>8</v>
      </c>
      <c r="D269">
        <v>22</v>
      </c>
      <c r="E269">
        <v>-1.05</v>
      </c>
      <c r="F269">
        <v>1966</v>
      </c>
      <c r="G269">
        <v>734</v>
      </c>
      <c r="H269">
        <v>1750</v>
      </c>
      <c r="I269">
        <v>317</v>
      </c>
      <c r="J269">
        <v>507</v>
      </c>
      <c r="K269">
        <v>409</v>
      </c>
      <c r="L269">
        <v>1106</v>
      </c>
      <c r="M269">
        <v>420</v>
      </c>
      <c r="N269">
        <v>231</v>
      </c>
      <c r="O269">
        <v>89</v>
      </c>
      <c r="P269">
        <v>546</v>
      </c>
      <c r="Q269">
        <v>588</v>
      </c>
      <c r="R269">
        <v>268</v>
      </c>
    </row>
    <row r="270" spans="1:18">
      <c r="A270" s="1" t="s">
        <v>294</v>
      </c>
      <c r="B270">
        <v>33</v>
      </c>
      <c r="C270">
        <v>15</v>
      </c>
      <c r="D270">
        <v>18</v>
      </c>
      <c r="E270">
        <v>5.96</v>
      </c>
      <c r="F270">
        <v>2136</v>
      </c>
      <c r="G270">
        <v>744</v>
      </c>
      <c r="H270">
        <v>1704</v>
      </c>
      <c r="I270">
        <v>387</v>
      </c>
      <c r="J270">
        <v>588</v>
      </c>
      <c r="K270">
        <v>331</v>
      </c>
      <c r="L270">
        <v>1019</v>
      </c>
      <c r="M270">
        <v>461</v>
      </c>
      <c r="N270">
        <v>225</v>
      </c>
      <c r="O270">
        <v>86</v>
      </c>
      <c r="P270">
        <v>514</v>
      </c>
      <c r="Q270">
        <v>624</v>
      </c>
      <c r="R270">
        <v>269</v>
      </c>
    </row>
    <row r="271" spans="1:18">
      <c r="A271" s="1" t="s">
        <v>215</v>
      </c>
      <c r="B271">
        <v>32</v>
      </c>
      <c r="C271">
        <v>8</v>
      </c>
      <c r="D271">
        <v>24</v>
      </c>
      <c r="E271">
        <v>-1.87</v>
      </c>
      <c r="F271">
        <v>1921</v>
      </c>
      <c r="G271">
        <v>659</v>
      </c>
      <c r="H271">
        <v>1631</v>
      </c>
      <c r="I271">
        <v>418</v>
      </c>
      <c r="J271">
        <v>622</v>
      </c>
      <c r="K271">
        <v>349</v>
      </c>
      <c r="L271">
        <v>952</v>
      </c>
      <c r="M271">
        <v>331</v>
      </c>
      <c r="N271">
        <v>180</v>
      </c>
      <c r="O271">
        <v>88</v>
      </c>
      <c r="P271">
        <v>490</v>
      </c>
      <c r="Q271">
        <v>501</v>
      </c>
      <c r="R271">
        <v>270</v>
      </c>
    </row>
    <row r="272" spans="1:18">
      <c r="A272" s="1" t="s">
        <v>216</v>
      </c>
      <c r="B272">
        <v>30</v>
      </c>
      <c r="C272">
        <v>17</v>
      </c>
      <c r="D272">
        <v>13</v>
      </c>
      <c r="E272">
        <v>-2.96</v>
      </c>
      <c r="F272">
        <v>2060</v>
      </c>
      <c r="G272">
        <v>679</v>
      </c>
      <c r="H272">
        <v>1655</v>
      </c>
      <c r="I272">
        <v>531</v>
      </c>
      <c r="J272">
        <v>741</v>
      </c>
      <c r="K272">
        <v>396</v>
      </c>
      <c r="L272">
        <v>1024</v>
      </c>
      <c r="M272">
        <v>322</v>
      </c>
      <c r="N272">
        <v>199</v>
      </c>
      <c r="O272">
        <v>150</v>
      </c>
      <c r="P272">
        <v>475</v>
      </c>
      <c r="Q272">
        <v>563</v>
      </c>
      <c r="R272">
        <v>271</v>
      </c>
    </row>
    <row r="273" spans="1:18">
      <c r="A273" s="1" t="s">
        <v>295</v>
      </c>
      <c r="B273">
        <v>30</v>
      </c>
      <c r="C273">
        <v>6</v>
      </c>
      <c r="D273">
        <v>24</v>
      </c>
      <c r="E273">
        <v>-5.0999999999999996</v>
      </c>
      <c r="F273">
        <v>1808</v>
      </c>
      <c r="G273">
        <v>678</v>
      </c>
      <c r="H273">
        <v>1731</v>
      </c>
      <c r="I273">
        <v>315</v>
      </c>
      <c r="J273">
        <v>487</v>
      </c>
      <c r="K273">
        <v>413</v>
      </c>
      <c r="L273">
        <v>981</v>
      </c>
      <c r="M273">
        <v>363</v>
      </c>
      <c r="N273">
        <v>181</v>
      </c>
      <c r="O273">
        <v>119</v>
      </c>
      <c r="P273">
        <v>449</v>
      </c>
      <c r="Q273">
        <v>518</v>
      </c>
      <c r="R273">
        <v>272</v>
      </c>
    </row>
    <row r="274" spans="1:18">
      <c r="A274" s="1" t="s">
        <v>351</v>
      </c>
      <c r="B274">
        <v>33</v>
      </c>
      <c r="C274">
        <v>16</v>
      </c>
      <c r="D274">
        <v>17</v>
      </c>
      <c r="E274">
        <v>-4.79</v>
      </c>
      <c r="F274">
        <v>2315</v>
      </c>
      <c r="G274">
        <v>843</v>
      </c>
      <c r="H274">
        <v>1896</v>
      </c>
      <c r="I274">
        <v>416</v>
      </c>
      <c r="J274">
        <v>640</v>
      </c>
      <c r="K274">
        <v>424</v>
      </c>
      <c r="L274">
        <v>1121</v>
      </c>
      <c r="M274">
        <v>513</v>
      </c>
      <c r="N274">
        <v>233</v>
      </c>
      <c r="O274">
        <v>131</v>
      </c>
      <c r="P274">
        <v>445</v>
      </c>
      <c r="Q274">
        <v>547</v>
      </c>
      <c r="R274">
        <v>273</v>
      </c>
    </row>
    <row r="275" spans="1:18">
      <c r="A275" s="1" t="s">
        <v>217</v>
      </c>
      <c r="B275">
        <v>32</v>
      </c>
      <c r="C275">
        <v>14</v>
      </c>
      <c r="D275">
        <v>18</v>
      </c>
      <c r="E275">
        <v>2.11</v>
      </c>
      <c r="F275">
        <v>2115</v>
      </c>
      <c r="G275">
        <v>743</v>
      </c>
      <c r="H275">
        <v>1802</v>
      </c>
      <c r="I275">
        <v>437</v>
      </c>
      <c r="J275">
        <v>635</v>
      </c>
      <c r="K275">
        <v>436</v>
      </c>
      <c r="L275">
        <v>1018</v>
      </c>
      <c r="M275">
        <v>392</v>
      </c>
      <c r="N275">
        <v>164</v>
      </c>
      <c r="O275">
        <v>111</v>
      </c>
      <c r="P275">
        <v>491</v>
      </c>
      <c r="Q275">
        <v>641</v>
      </c>
      <c r="R275">
        <v>274</v>
      </c>
    </row>
    <row r="276" spans="1:18">
      <c r="A276" s="1" t="s">
        <v>341</v>
      </c>
      <c r="B276">
        <v>35</v>
      </c>
      <c r="C276">
        <v>25</v>
      </c>
      <c r="D276">
        <v>10</v>
      </c>
      <c r="E276">
        <v>-3.27</v>
      </c>
      <c r="F276">
        <v>2568</v>
      </c>
      <c r="G276">
        <v>910</v>
      </c>
      <c r="H276">
        <v>1938</v>
      </c>
      <c r="I276">
        <v>478</v>
      </c>
      <c r="J276">
        <v>627</v>
      </c>
      <c r="K276">
        <v>331</v>
      </c>
      <c r="L276">
        <v>1125</v>
      </c>
      <c r="M276">
        <v>506</v>
      </c>
      <c r="N276">
        <v>175</v>
      </c>
      <c r="O276">
        <v>78</v>
      </c>
      <c r="P276">
        <v>365</v>
      </c>
      <c r="Q276">
        <v>492</v>
      </c>
      <c r="R276">
        <v>275</v>
      </c>
    </row>
    <row r="277" spans="1:18">
      <c r="A277" s="1" t="s">
        <v>359</v>
      </c>
      <c r="B277">
        <v>30</v>
      </c>
      <c r="C277">
        <v>10</v>
      </c>
      <c r="D277">
        <v>20</v>
      </c>
      <c r="E277">
        <v>-2.92</v>
      </c>
      <c r="F277">
        <v>2113</v>
      </c>
      <c r="G277">
        <v>721</v>
      </c>
      <c r="H277">
        <v>1607</v>
      </c>
      <c r="I277">
        <v>463</v>
      </c>
      <c r="J277">
        <v>593</v>
      </c>
      <c r="K277">
        <v>234</v>
      </c>
      <c r="L277">
        <v>825</v>
      </c>
      <c r="M277">
        <v>375</v>
      </c>
      <c r="N277">
        <v>184</v>
      </c>
      <c r="O277">
        <v>84</v>
      </c>
      <c r="P277">
        <v>363</v>
      </c>
      <c r="Q277">
        <v>437</v>
      </c>
      <c r="R277">
        <v>276</v>
      </c>
    </row>
    <row r="278" spans="1:18">
      <c r="A278" s="1" t="s">
        <v>218</v>
      </c>
      <c r="B278">
        <v>31</v>
      </c>
      <c r="C278">
        <v>12</v>
      </c>
      <c r="D278">
        <v>19</v>
      </c>
      <c r="E278">
        <v>7.7</v>
      </c>
      <c r="F278">
        <v>1822</v>
      </c>
      <c r="G278">
        <v>647</v>
      </c>
      <c r="H278">
        <v>1665</v>
      </c>
      <c r="I278">
        <v>338</v>
      </c>
      <c r="J278">
        <v>487</v>
      </c>
      <c r="K278">
        <v>331</v>
      </c>
      <c r="L278">
        <v>911</v>
      </c>
      <c r="M278">
        <v>351</v>
      </c>
      <c r="N278">
        <v>193</v>
      </c>
      <c r="O278">
        <v>104</v>
      </c>
      <c r="P278">
        <v>338</v>
      </c>
      <c r="Q278">
        <v>483</v>
      </c>
      <c r="R278">
        <v>277</v>
      </c>
    </row>
    <row r="279" spans="1:18">
      <c r="A279" s="1" t="s">
        <v>296</v>
      </c>
      <c r="B279">
        <v>33</v>
      </c>
      <c r="C279">
        <v>17</v>
      </c>
      <c r="D279">
        <v>16</v>
      </c>
      <c r="E279">
        <v>-6.06</v>
      </c>
      <c r="F279">
        <v>2446</v>
      </c>
      <c r="G279">
        <v>880</v>
      </c>
      <c r="H279">
        <v>1876</v>
      </c>
      <c r="I279">
        <v>430</v>
      </c>
      <c r="J279">
        <v>614</v>
      </c>
      <c r="K279">
        <v>308</v>
      </c>
      <c r="L279">
        <v>1113</v>
      </c>
      <c r="M279">
        <v>522</v>
      </c>
      <c r="N279">
        <v>173</v>
      </c>
      <c r="O279">
        <v>159</v>
      </c>
      <c r="P279">
        <v>423</v>
      </c>
      <c r="Q279">
        <v>605</v>
      </c>
      <c r="R279">
        <v>278</v>
      </c>
    </row>
    <row r="280" spans="1:18">
      <c r="A280" s="1" t="s">
        <v>219</v>
      </c>
      <c r="B280">
        <v>31</v>
      </c>
      <c r="C280">
        <v>13</v>
      </c>
      <c r="D280">
        <v>18</v>
      </c>
      <c r="E280">
        <v>-3.76</v>
      </c>
      <c r="F280">
        <v>1965</v>
      </c>
      <c r="G280">
        <v>690</v>
      </c>
      <c r="H280">
        <v>1686</v>
      </c>
      <c r="I280">
        <v>402</v>
      </c>
      <c r="J280">
        <v>607</v>
      </c>
      <c r="K280">
        <v>300</v>
      </c>
      <c r="L280">
        <v>932</v>
      </c>
      <c r="M280">
        <v>303</v>
      </c>
      <c r="N280">
        <v>147</v>
      </c>
      <c r="O280">
        <v>93</v>
      </c>
      <c r="P280">
        <v>398</v>
      </c>
      <c r="Q280">
        <v>591</v>
      </c>
      <c r="R280">
        <v>279</v>
      </c>
    </row>
    <row r="281" spans="1:18">
      <c r="A281" s="1" t="s">
        <v>220</v>
      </c>
      <c r="B281">
        <v>32</v>
      </c>
      <c r="C281">
        <v>14</v>
      </c>
      <c r="D281">
        <v>18</v>
      </c>
      <c r="E281">
        <v>8.25</v>
      </c>
      <c r="F281">
        <v>2101</v>
      </c>
      <c r="G281">
        <v>778</v>
      </c>
      <c r="H281">
        <v>1826</v>
      </c>
      <c r="I281">
        <v>379</v>
      </c>
      <c r="J281">
        <v>547</v>
      </c>
      <c r="K281">
        <v>328</v>
      </c>
      <c r="L281">
        <v>1024</v>
      </c>
      <c r="M281">
        <v>403</v>
      </c>
      <c r="N281">
        <v>181</v>
      </c>
      <c r="O281">
        <v>162</v>
      </c>
      <c r="P281">
        <v>426</v>
      </c>
      <c r="Q281">
        <v>580</v>
      </c>
      <c r="R281">
        <v>280</v>
      </c>
    </row>
    <row r="282" spans="1:18">
      <c r="A282" s="1" t="s">
        <v>355</v>
      </c>
      <c r="B282">
        <v>27</v>
      </c>
      <c r="C282">
        <v>9</v>
      </c>
      <c r="D282">
        <v>18</v>
      </c>
      <c r="E282">
        <v>-4.67</v>
      </c>
      <c r="F282">
        <v>1699</v>
      </c>
      <c r="G282">
        <v>609</v>
      </c>
      <c r="H282">
        <v>1428</v>
      </c>
      <c r="I282">
        <v>322</v>
      </c>
      <c r="J282">
        <v>481</v>
      </c>
      <c r="K282">
        <v>260</v>
      </c>
      <c r="L282">
        <v>772</v>
      </c>
      <c r="M282">
        <v>340</v>
      </c>
      <c r="N282">
        <v>148</v>
      </c>
      <c r="O282">
        <v>58</v>
      </c>
      <c r="P282">
        <v>388</v>
      </c>
      <c r="Q282">
        <v>478</v>
      </c>
      <c r="R282">
        <v>281</v>
      </c>
    </row>
    <row r="283" spans="1:18">
      <c r="A283" s="1" t="s">
        <v>221</v>
      </c>
      <c r="B283">
        <v>31</v>
      </c>
      <c r="C283">
        <v>14</v>
      </c>
      <c r="D283">
        <v>17</v>
      </c>
      <c r="E283">
        <v>2.2799999999999998</v>
      </c>
      <c r="F283">
        <v>1964</v>
      </c>
      <c r="G283">
        <v>733</v>
      </c>
      <c r="H283">
        <v>1645</v>
      </c>
      <c r="I283">
        <v>359</v>
      </c>
      <c r="J283">
        <v>559</v>
      </c>
      <c r="K283">
        <v>325</v>
      </c>
      <c r="L283">
        <v>845</v>
      </c>
      <c r="M283">
        <v>321</v>
      </c>
      <c r="N283">
        <v>250</v>
      </c>
      <c r="O283">
        <v>68</v>
      </c>
      <c r="P283">
        <v>377</v>
      </c>
      <c r="Q283">
        <v>543</v>
      </c>
      <c r="R283">
        <v>282</v>
      </c>
    </row>
    <row r="284" spans="1:18">
      <c r="A284" s="1" t="s">
        <v>222</v>
      </c>
      <c r="B284">
        <v>32</v>
      </c>
      <c r="C284">
        <v>15</v>
      </c>
      <c r="D284">
        <v>17</v>
      </c>
      <c r="E284">
        <v>-1.33</v>
      </c>
      <c r="F284">
        <v>2064</v>
      </c>
      <c r="G284">
        <v>729</v>
      </c>
      <c r="H284">
        <v>1624</v>
      </c>
      <c r="I284">
        <v>493</v>
      </c>
      <c r="J284">
        <v>662</v>
      </c>
      <c r="K284">
        <v>341</v>
      </c>
      <c r="L284">
        <v>989</v>
      </c>
      <c r="M284">
        <v>383</v>
      </c>
      <c r="N284">
        <v>220</v>
      </c>
      <c r="O284">
        <v>132</v>
      </c>
      <c r="P284">
        <v>462</v>
      </c>
      <c r="Q284">
        <v>559</v>
      </c>
      <c r="R284">
        <v>283</v>
      </c>
    </row>
    <row r="285" spans="1:18">
      <c r="A285" s="1" t="s">
        <v>223</v>
      </c>
      <c r="B285">
        <v>37</v>
      </c>
      <c r="C285">
        <v>27</v>
      </c>
      <c r="D285">
        <v>10</v>
      </c>
      <c r="E285">
        <v>1.49</v>
      </c>
      <c r="F285">
        <v>2733</v>
      </c>
      <c r="G285">
        <v>985</v>
      </c>
      <c r="H285">
        <v>2058</v>
      </c>
      <c r="I285">
        <v>518</v>
      </c>
      <c r="J285">
        <v>746</v>
      </c>
      <c r="K285">
        <v>471</v>
      </c>
      <c r="L285">
        <v>1202</v>
      </c>
      <c r="M285">
        <v>551</v>
      </c>
      <c r="N285">
        <v>356</v>
      </c>
      <c r="O285">
        <v>101</v>
      </c>
      <c r="P285">
        <v>545</v>
      </c>
      <c r="Q285">
        <v>705</v>
      </c>
      <c r="R285">
        <v>284</v>
      </c>
    </row>
    <row r="286" spans="1:18">
      <c r="A286" s="1" t="s">
        <v>224</v>
      </c>
      <c r="B286">
        <v>31</v>
      </c>
      <c r="C286">
        <v>11</v>
      </c>
      <c r="D286">
        <v>20</v>
      </c>
      <c r="E286">
        <v>-5</v>
      </c>
      <c r="F286">
        <v>2066</v>
      </c>
      <c r="G286">
        <v>718</v>
      </c>
      <c r="H286">
        <v>1768</v>
      </c>
      <c r="I286">
        <v>468</v>
      </c>
      <c r="J286">
        <v>646</v>
      </c>
      <c r="K286">
        <v>376</v>
      </c>
      <c r="L286">
        <v>1043</v>
      </c>
      <c r="M286">
        <v>378</v>
      </c>
      <c r="N286">
        <v>154</v>
      </c>
      <c r="O286">
        <v>154</v>
      </c>
      <c r="P286">
        <v>472</v>
      </c>
      <c r="Q286">
        <v>724</v>
      </c>
      <c r="R286">
        <v>285</v>
      </c>
    </row>
    <row r="287" spans="1:18">
      <c r="A287" s="1" t="s">
        <v>225</v>
      </c>
      <c r="B287">
        <v>33</v>
      </c>
      <c r="C287">
        <v>23</v>
      </c>
      <c r="D287">
        <v>10</v>
      </c>
      <c r="E287">
        <v>-10.31</v>
      </c>
      <c r="F287">
        <v>2223</v>
      </c>
      <c r="G287">
        <v>761</v>
      </c>
      <c r="H287">
        <v>1757</v>
      </c>
      <c r="I287">
        <v>475</v>
      </c>
      <c r="J287">
        <v>689</v>
      </c>
      <c r="K287">
        <v>288</v>
      </c>
      <c r="L287">
        <v>1035</v>
      </c>
      <c r="M287">
        <v>376</v>
      </c>
      <c r="N287">
        <v>244</v>
      </c>
      <c r="O287">
        <v>134</v>
      </c>
      <c r="P287">
        <v>359</v>
      </c>
      <c r="Q287">
        <v>562</v>
      </c>
      <c r="R287">
        <v>286</v>
      </c>
    </row>
    <row r="288" spans="1:18">
      <c r="A288" s="1" t="s">
        <v>297</v>
      </c>
      <c r="B288">
        <v>29</v>
      </c>
      <c r="C288">
        <v>14</v>
      </c>
      <c r="D288">
        <v>15</v>
      </c>
      <c r="E288">
        <v>2.71</v>
      </c>
      <c r="F288">
        <v>2109</v>
      </c>
      <c r="G288">
        <v>708</v>
      </c>
      <c r="H288">
        <v>1579</v>
      </c>
      <c r="I288">
        <v>481</v>
      </c>
      <c r="J288">
        <v>630</v>
      </c>
      <c r="K288">
        <v>306</v>
      </c>
      <c r="L288">
        <v>832</v>
      </c>
      <c r="M288">
        <v>415</v>
      </c>
      <c r="N288">
        <v>188</v>
      </c>
      <c r="O288">
        <v>84</v>
      </c>
      <c r="P288">
        <v>393</v>
      </c>
      <c r="Q288">
        <v>570</v>
      </c>
      <c r="R288">
        <v>287</v>
      </c>
    </row>
    <row r="289" spans="1:18">
      <c r="A289" s="1" t="s">
        <v>226</v>
      </c>
      <c r="B289">
        <v>30</v>
      </c>
      <c r="C289">
        <v>12</v>
      </c>
      <c r="D289">
        <v>18</v>
      </c>
      <c r="E289">
        <v>-4.75</v>
      </c>
      <c r="F289">
        <v>2108</v>
      </c>
      <c r="G289">
        <v>763</v>
      </c>
      <c r="H289">
        <v>1789</v>
      </c>
      <c r="I289">
        <v>376</v>
      </c>
      <c r="J289">
        <v>565</v>
      </c>
      <c r="K289">
        <v>387</v>
      </c>
      <c r="L289">
        <v>945</v>
      </c>
      <c r="M289">
        <v>387</v>
      </c>
      <c r="N289">
        <v>196</v>
      </c>
      <c r="O289">
        <v>69</v>
      </c>
      <c r="P289">
        <v>370</v>
      </c>
      <c r="Q289">
        <v>566</v>
      </c>
      <c r="R289">
        <v>288</v>
      </c>
    </row>
    <row r="290" spans="1:18">
      <c r="A290" s="1" t="s">
        <v>298</v>
      </c>
      <c r="B290">
        <v>33</v>
      </c>
      <c r="C290">
        <v>17</v>
      </c>
      <c r="D290">
        <v>16</v>
      </c>
      <c r="E290">
        <v>7.16</v>
      </c>
      <c r="F290">
        <v>2138</v>
      </c>
      <c r="G290">
        <v>825</v>
      </c>
      <c r="H290">
        <v>1989</v>
      </c>
      <c r="I290">
        <v>368</v>
      </c>
      <c r="J290">
        <v>575</v>
      </c>
      <c r="K290">
        <v>388</v>
      </c>
      <c r="L290">
        <v>1076</v>
      </c>
      <c r="M290">
        <v>404</v>
      </c>
      <c r="N290">
        <v>220</v>
      </c>
      <c r="O290">
        <v>241</v>
      </c>
      <c r="P290">
        <v>376</v>
      </c>
      <c r="Q290">
        <v>548</v>
      </c>
      <c r="R290">
        <v>289</v>
      </c>
    </row>
    <row r="291" spans="1:18">
      <c r="A291" s="1" t="s">
        <v>342</v>
      </c>
      <c r="B291">
        <v>34</v>
      </c>
      <c r="C291">
        <v>19</v>
      </c>
      <c r="D291">
        <v>15</v>
      </c>
      <c r="E291">
        <v>7.37</v>
      </c>
      <c r="F291">
        <v>2397</v>
      </c>
      <c r="G291">
        <v>832</v>
      </c>
      <c r="H291">
        <v>2002</v>
      </c>
      <c r="I291">
        <v>496</v>
      </c>
      <c r="J291">
        <v>668</v>
      </c>
      <c r="K291">
        <v>397</v>
      </c>
      <c r="L291">
        <v>1122</v>
      </c>
      <c r="M291">
        <v>413</v>
      </c>
      <c r="N291">
        <v>200</v>
      </c>
      <c r="O291">
        <v>137</v>
      </c>
      <c r="P291">
        <v>402</v>
      </c>
      <c r="Q291">
        <v>589</v>
      </c>
      <c r="R291">
        <v>290</v>
      </c>
    </row>
    <row r="292" spans="1:18">
      <c r="A292" s="1" t="s">
        <v>227</v>
      </c>
      <c r="B292">
        <v>32</v>
      </c>
      <c r="C292">
        <v>27</v>
      </c>
      <c r="D292">
        <v>5</v>
      </c>
      <c r="E292">
        <v>-6.64</v>
      </c>
      <c r="F292">
        <v>2075</v>
      </c>
      <c r="G292">
        <v>772</v>
      </c>
      <c r="H292">
        <v>1649</v>
      </c>
      <c r="I292">
        <v>397</v>
      </c>
      <c r="J292">
        <v>651</v>
      </c>
      <c r="K292">
        <v>359</v>
      </c>
      <c r="L292">
        <v>1042</v>
      </c>
      <c r="M292">
        <v>495</v>
      </c>
      <c r="N292">
        <v>251</v>
      </c>
      <c r="O292">
        <v>121</v>
      </c>
      <c r="P292">
        <v>405</v>
      </c>
      <c r="Q292">
        <v>494</v>
      </c>
      <c r="R292">
        <v>291</v>
      </c>
    </row>
    <row r="293" spans="1:18">
      <c r="A293" s="1" t="s">
        <v>228</v>
      </c>
      <c r="B293">
        <v>31</v>
      </c>
      <c r="C293">
        <v>15</v>
      </c>
      <c r="D293">
        <v>16</v>
      </c>
      <c r="E293">
        <v>-4.45</v>
      </c>
      <c r="F293">
        <v>2180</v>
      </c>
      <c r="G293">
        <v>768</v>
      </c>
      <c r="H293">
        <v>1683</v>
      </c>
      <c r="I293">
        <v>414</v>
      </c>
      <c r="J293">
        <v>587</v>
      </c>
      <c r="K293">
        <v>316</v>
      </c>
      <c r="L293">
        <v>975</v>
      </c>
      <c r="M293">
        <v>502</v>
      </c>
      <c r="N293">
        <v>165</v>
      </c>
      <c r="O293">
        <v>78</v>
      </c>
      <c r="P293">
        <v>490</v>
      </c>
      <c r="Q293">
        <v>519</v>
      </c>
      <c r="R293">
        <v>292</v>
      </c>
    </row>
    <row r="294" spans="1:18">
      <c r="A294" s="1" t="s">
        <v>229</v>
      </c>
      <c r="B294">
        <v>33</v>
      </c>
      <c r="C294">
        <v>25</v>
      </c>
      <c r="D294">
        <v>8</v>
      </c>
      <c r="E294">
        <v>-4.12</v>
      </c>
      <c r="F294">
        <v>2245</v>
      </c>
      <c r="G294">
        <v>790</v>
      </c>
      <c r="H294">
        <v>1779</v>
      </c>
      <c r="I294">
        <v>472</v>
      </c>
      <c r="J294">
        <v>670</v>
      </c>
      <c r="K294">
        <v>359</v>
      </c>
      <c r="L294">
        <v>1127</v>
      </c>
      <c r="M294">
        <v>407</v>
      </c>
      <c r="N294">
        <v>212</v>
      </c>
      <c r="O294">
        <v>125</v>
      </c>
      <c r="P294">
        <v>390</v>
      </c>
      <c r="Q294">
        <v>515</v>
      </c>
      <c r="R294">
        <v>293</v>
      </c>
    </row>
    <row r="295" spans="1:18">
      <c r="A295" s="1" t="s">
        <v>313</v>
      </c>
      <c r="B295">
        <v>40</v>
      </c>
      <c r="C295">
        <v>30</v>
      </c>
      <c r="D295">
        <v>10</v>
      </c>
      <c r="E295">
        <v>8.57</v>
      </c>
      <c r="F295">
        <v>2816</v>
      </c>
      <c r="G295">
        <v>1007</v>
      </c>
      <c r="H295">
        <v>2293</v>
      </c>
      <c r="I295">
        <v>569</v>
      </c>
      <c r="J295">
        <v>843</v>
      </c>
      <c r="K295">
        <v>560</v>
      </c>
      <c r="L295">
        <v>1380</v>
      </c>
      <c r="M295">
        <v>562</v>
      </c>
      <c r="N295">
        <v>360</v>
      </c>
      <c r="O295">
        <v>248</v>
      </c>
      <c r="P295">
        <v>495</v>
      </c>
      <c r="Q295">
        <v>637</v>
      </c>
      <c r="R295">
        <v>294</v>
      </c>
    </row>
    <row r="296" spans="1:18">
      <c r="A296" s="1" t="s">
        <v>314</v>
      </c>
      <c r="B296">
        <v>34</v>
      </c>
      <c r="C296">
        <v>24</v>
      </c>
      <c r="D296">
        <v>10</v>
      </c>
      <c r="E296">
        <v>5.2</v>
      </c>
      <c r="F296">
        <v>2456</v>
      </c>
      <c r="G296">
        <v>851</v>
      </c>
      <c r="H296">
        <v>1986</v>
      </c>
      <c r="I296">
        <v>511</v>
      </c>
      <c r="J296">
        <v>707</v>
      </c>
      <c r="K296">
        <v>381</v>
      </c>
      <c r="L296">
        <v>1057</v>
      </c>
      <c r="M296">
        <v>497</v>
      </c>
      <c r="N296">
        <v>267</v>
      </c>
      <c r="O296">
        <v>126</v>
      </c>
      <c r="P296">
        <v>366</v>
      </c>
      <c r="Q296">
        <v>558</v>
      </c>
      <c r="R296">
        <v>295</v>
      </c>
    </row>
    <row r="297" spans="1:18">
      <c r="A297" s="1" t="s">
        <v>230</v>
      </c>
      <c r="B297">
        <v>30</v>
      </c>
      <c r="C297">
        <v>9</v>
      </c>
      <c r="D297">
        <v>21</v>
      </c>
      <c r="E297">
        <v>-4.1900000000000004</v>
      </c>
      <c r="F297">
        <v>2008</v>
      </c>
      <c r="G297">
        <v>682</v>
      </c>
      <c r="H297">
        <v>1733</v>
      </c>
      <c r="I297">
        <v>475</v>
      </c>
      <c r="J297">
        <v>640</v>
      </c>
      <c r="K297">
        <v>376</v>
      </c>
      <c r="L297">
        <v>964</v>
      </c>
      <c r="M297">
        <v>370</v>
      </c>
      <c r="N297">
        <v>206</v>
      </c>
      <c r="O297">
        <v>76</v>
      </c>
      <c r="P297">
        <v>452</v>
      </c>
      <c r="Q297">
        <v>634</v>
      </c>
      <c r="R297">
        <v>296</v>
      </c>
    </row>
    <row r="298" spans="1:18">
      <c r="A298" s="1" t="s">
        <v>231</v>
      </c>
      <c r="B298">
        <v>33</v>
      </c>
      <c r="C298">
        <v>18</v>
      </c>
      <c r="D298">
        <v>15</v>
      </c>
      <c r="E298">
        <v>-1.3</v>
      </c>
      <c r="F298">
        <v>2360</v>
      </c>
      <c r="G298">
        <v>800</v>
      </c>
      <c r="H298">
        <v>1822</v>
      </c>
      <c r="I298">
        <v>554</v>
      </c>
      <c r="J298">
        <v>741</v>
      </c>
      <c r="K298">
        <v>399</v>
      </c>
      <c r="L298">
        <v>1095</v>
      </c>
      <c r="M298">
        <v>432</v>
      </c>
      <c r="N298">
        <v>238</v>
      </c>
      <c r="O298">
        <v>145</v>
      </c>
      <c r="P298">
        <v>508</v>
      </c>
      <c r="Q298">
        <v>631</v>
      </c>
      <c r="R298">
        <v>297</v>
      </c>
    </row>
    <row r="299" spans="1:18">
      <c r="A299" s="1" t="s">
        <v>232</v>
      </c>
      <c r="B299">
        <v>29</v>
      </c>
      <c r="C299">
        <v>12</v>
      </c>
      <c r="D299">
        <v>17</v>
      </c>
      <c r="E299">
        <v>-3.31</v>
      </c>
      <c r="F299">
        <v>1878</v>
      </c>
      <c r="G299">
        <v>650</v>
      </c>
      <c r="H299">
        <v>1527</v>
      </c>
      <c r="I299">
        <v>401</v>
      </c>
      <c r="J299">
        <v>566</v>
      </c>
      <c r="K299">
        <v>346</v>
      </c>
      <c r="L299">
        <v>896</v>
      </c>
      <c r="M299">
        <v>340</v>
      </c>
      <c r="N299">
        <v>185</v>
      </c>
      <c r="O299">
        <v>104</v>
      </c>
      <c r="P299">
        <v>468</v>
      </c>
      <c r="Q299">
        <v>605</v>
      </c>
      <c r="R299">
        <v>298</v>
      </c>
    </row>
    <row r="300" spans="1:18">
      <c r="A300" s="1" t="s">
        <v>315</v>
      </c>
      <c r="B300">
        <v>33</v>
      </c>
      <c r="C300">
        <v>20</v>
      </c>
      <c r="D300">
        <v>13</v>
      </c>
      <c r="E300">
        <v>6.03</v>
      </c>
      <c r="F300">
        <v>2189</v>
      </c>
      <c r="G300">
        <v>753</v>
      </c>
      <c r="H300">
        <v>1751</v>
      </c>
      <c r="I300">
        <v>510</v>
      </c>
      <c r="J300">
        <v>739</v>
      </c>
      <c r="K300">
        <v>409</v>
      </c>
      <c r="L300">
        <v>1121</v>
      </c>
      <c r="M300">
        <v>354</v>
      </c>
      <c r="N300">
        <v>140</v>
      </c>
      <c r="O300">
        <v>130</v>
      </c>
      <c r="P300">
        <v>425</v>
      </c>
      <c r="Q300">
        <v>597</v>
      </c>
      <c r="R300">
        <v>299</v>
      </c>
    </row>
    <row r="301" spans="1:18">
      <c r="A301" s="1" t="s">
        <v>323</v>
      </c>
      <c r="B301">
        <v>29</v>
      </c>
      <c r="C301">
        <v>6</v>
      </c>
      <c r="D301">
        <v>23</v>
      </c>
      <c r="E301">
        <v>-3.65</v>
      </c>
      <c r="F301">
        <v>1746</v>
      </c>
      <c r="G301">
        <v>634</v>
      </c>
      <c r="H301">
        <v>1560</v>
      </c>
      <c r="I301">
        <v>340</v>
      </c>
      <c r="J301">
        <v>500</v>
      </c>
      <c r="K301">
        <v>308</v>
      </c>
      <c r="L301">
        <v>824</v>
      </c>
      <c r="M301">
        <v>316</v>
      </c>
      <c r="N301">
        <v>184</v>
      </c>
      <c r="O301">
        <v>107</v>
      </c>
      <c r="P301">
        <v>351</v>
      </c>
      <c r="Q301">
        <v>568</v>
      </c>
      <c r="R301">
        <v>300</v>
      </c>
    </row>
    <row r="302" spans="1:18">
      <c r="A302" s="1" t="s">
        <v>233</v>
      </c>
      <c r="B302">
        <v>33</v>
      </c>
      <c r="C302">
        <v>18</v>
      </c>
      <c r="D302">
        <v>15</v>
      </c>
      <c r="E302">
        <v>4.8600000000000003</v>
      </c>
      <c r="F302">
        <v>2103</v>
      </c>
      <c r="G302">
        <v>767</v>
      </c>
      <c r="H302">
        <v>1742</v>
      </c>
      <c r="I302">
        <v>404</v>
      </c>
      <c r="J302">
        <v>573</v>
      </c>
      <c r="K302">
        <v>374</v>
      </c>
      <c r="L302">
        <v>988</v>
      </c>
      <c r="M302">
        <v>380</v>
      </c>
      <c r="N302">
        <v>213</v>
      </c>
      <c r="O302">
        <v>98</v>
      </c>
      <c r="P302">
        <v>438</v>
      </c>
      <c r="Q302">
        <v>568</v>
      </c>
      <c r="R302">
        <v>301</v>
      </c>
    </row>
    <row r="303" spans="1:18">
      <c r="A303" s="1" t="s">
        <v>234</v>
      </c>
      <c r="B303">
        <v>33</v>
      </c>
      <c r="C303">
        <v>19</v>
      </c>
      <c r="D303">
        <v>14</v>
      </c>
      <c r="E303">
        <v>-0.9</v>
      </c>
      <c r="F303">
        <v>2121</v>
      </c>
      <c r="G303">
        <v>750</v>
      </c>
      <c r="H303">
        <v>1820</v>
      </c>
      <c r="I303">
        <v>432</v>
      </c>
      <c r="J303">
        <v>663</v>
      </c>
      <c r="K303">
        <v>435</v>
      </c>
      <c r="L303">
        <v>1130</v>
      </c>
      <c r="M303">
        <v>411</v>
      </c>
      <c r="N303">
        <v>251</v>
      </c>
      <c r="O303">
        <v>118</v>
      </c>
      <c r="P303">
        <v>486</v>
      </c>
      <c r="Q303">
        <v>685</v>
      </c>
      <c r="R303">
        <v>302</v>
      </c>
    </row>
    <row r="304" spans="1:18">
      <c r="A304" s="1" t="s">
        <v>235</v>
      </c>
      <c r="B304">
        <v>32</v>
      </c>
      <c r="C304">
        <v>11</v>
      </c>
      <c r="D304">
        <v>21</v>
      </c>
      <c r="E304">
        <v>4.41</v>
      </c>
      <c r="F304">
        <v>1761</v>
      </c>
      <c r="G304">
        <v>631</v>
      </c>
      <c r="H304">
        <v>1573</v>
      </c>
      <c r="I304">
        <v>382</v>
      </c>
      <c r="J304">
        <v>636</v>
      </c>
      <c r="K304">
        <v>345</v>
      </c>
      <c r="L304">
        <v>928</v>
      </c>
      <c r="M304">
        <v>322</v>
      </c>
      <c r="N304">
        <v>172</v>
      </c>
      <c r="O304">
        <v>90</v>
      </c>
      <c r="P304">
        <v>432</v>
      </c>
      <c r="Q304">
        <v>528</v>
      </c>
      <c r="R304">
        <v>303</v>
      </c>
    </row>
    <row r="305" spans="1:18">
      <c r="A305" s="1" t="s">
        <v>236</v>
      </c>
      <c r="B305">
        <v>32</v>
      </c>
      <c r="C305">
        <v>18</v>
      </c>
      <c r="D305">
        <v>14</v>
      </c>
      <c r="E305">
        <v>2.38</v>
      </c>
      <c r="F305">
        <v>2042</v>
      </c>
      <c r="G305">
        <v>706</v>
      </c>
      <c r="H305">
        <v>1571</v>
      </c>
      <c r="I305">
        <v>453</v>
      </c>
      <c r="J305">
        <v>669</v>
      </c>
      <c r="K305">
        <v>274</v>
      </c>
      <c r="L305">
        <v>898</v>
      </c>
      <c r="M305">
        <v>428</v>
      </c>
      <c r="N305">
        <v>171</v>
      </c>
      <c r="O305">
        <v>118</v>
      </c>
      <c r="P305">
        <v>396</v>
      </c>
      <c r="Q305">
        <v>548</v>
      </c>
      <c r="R305">
        <v>304</v>
      </c>
    </row>
    <row r="306" spans="1:18">
      <c r="A306" s="1" t="s">
        <v>237</v>
      </c>
      <c r="B306">
        <v>32</v>
      </c>
      <c r="C306">
        <v>16</v>
      </c>
      <c r="D306">
        <v>16</v>
      </c>
      <c r="E306">
        <v>-8.18</v>
      </c>
      <c r="F306">
        <v>2101</v>
      </c>
      <c r="G306">
        <v>739</v>
      </c>
      <c r="H306">
        <v>1713</v>
      </c>
      <c r="I306">
        <v>413</v>
      </c>
      <c r="J306">
        <v>648</v>
      </c>
      <c r="K306">
        <v>328</v>
      </c>
      <c r="L306">
        <v>937</v>
      </c>
      <c r="M306">
        <v>412</v>
      </c>
      <c r="N306">
        <v>217</v>
      </c>
      <c r="O306">
        <v>62</v>
      </c>
      <c r="P306">
        <v>459</v>
      </c>
      <c r="Q306">
        <v>560</v>
      </c>
      <c r="R306">
        <v>305</v>
      </c>
    </row>
    <row r="307" spans="1:18">
      <c r="A307" s="1" t="s">
        <v>238</v>
      </c>
      <c r="B307">
        <v>32</v>
      </c>
      <c r="C307">
        <v>10</v>
      </c>
      <c r="D307">
        <v>22</v>
      </c>
      <c r="E307">
        <v>-1</v>
      </c>
      <c r="F307">
        <v>2048</v>
      </c>
      <c r="G307">
        <v>693</v>
      </c>
      <c r="H307">
        <v>1729</v>
      </c>
      <c r="I307">
        <v>426</v>
      </c>
      <c r="J307">
        <v>630</v>
      </c>
      <c r="K307">
        <v>356</v>
      </c>
      <c r="L307">
        <v>916</v>
      </c>
      <c r="M307">
        <v>322</v>
      </c>
      <c r="N307">
        <v>199</v>
      </c>
      <c r="O307">
        <v>43</v>
      </c>
      <c r="P307">
        <v>431</v>
      </c>
      <c r="Q307">
        <v>530</v>
      </c>
      <c r="R307">
        <v>306</v>
      </c>
    </row>
    <row r="308" spans="1:18">
      <c r="A308" s="1" t="s">
        <v>239</v>
      </c>
      <c r="B308">
        <v>31</v>
      </c>
      <c r="C308">
        <v>17</v>
      </c>
      <c r="D308">
        <v>14</v>
      </c>
      <c r="E308">
        <v>-7.25</v>
      </c>
      <c r="F308">
        <v>2179</v>
      </c>
      <c r="G308">
        <v>776</v>
      </c>
      <c r="H308">
        <v>1763</v>
      </c>
      <c r="I308">
        <v>350</v>
      </c>
      <c r="J308">
        <v>550</v>
      </c>
      <c r="K308">
        <v>341</v>
      </c>
      <c r="L308">
        <v>1002</v>
      </c>
      <c r="M308">
        <v>437</v>
      </c>
      <c r="N308">
        <v>159</v>
      </c>
      <c r="O308">
        <v>142</v>
      </c>
      <c r="P308">
        <v>367</v>
      </c>
      <c r="Q308">
        <v>508</v>
      </c>
      <c r="R308">
        <v>307</v>
      </c>
    </row>
    <row r="309" spans="1:18">
      <c r="A309" s="1" t="s">
        <v>240</v>
      </c>
      <c r="B309">
        <v>34</v>
      </c>
      <c r="C309">
        <v>12</v>
      </c>
      <c r="D309">
        <v>22</v>
      </c>
      <c r="E309">
        <v>-0.9</v>
      </c>
      <c r="F309">
        <v>2398</v>
      </c>
      <c r="G309">
        <v>829</v>
      </c>
      <c r="H309">
        <v>1974</v>
      </c>
      <c r="I309">
        <v>513</v>
      </c>
      <c r="J309">
        <v>727</v>
      </c>
      <c r="K309">
        <v>347</v>
      </c>
      <c r="L309">
        <v>1012</v>
      </c>
      <c r="M309">
        <v>413</v>
      </c>
      <c r="N309">
        <v>255</v>
      </c>
      <c r="O309">
        <v>106</v>
      </c>
      <c r="P309">
        <v>469</v>
      </c>
      <c r="Q309">
        <v>646</v>
      </c>
      <c r="R309">
        <v>308</v>
      </c>
    </row>
    <row r="310" spans="1:18">
      <c r="A310" s="1" t="s">
        <v>241</v>
      </c>
      <c r="B310">
        <v>31</v>
      </c>
      <c r="C310">
        <v>11</v>
      </c>
      <c r="D310">
        <v>20</v>
      </c>
      <c r="E310">
        <v>4.3099999999999996</v>
      </c>
      <c r="F310">
        <v>2026</v>
      </c>
      <c r="G310">
        <v>721</v>
      </c>
      <c r="H310">
        <v>1712</v>
      </c>
      <c r="I310">
        <v>435</v>
      </c>
      <c r="J310">
        <v>652</v>
      </c>
      <c r="K310">
        <v>349</v>
      </c>
      <c r="L310">
        <v>907</v>
      </c>
      <c r="M310">
        <v>344</v>
      </c>
      <c r="N310">
        <v>255</v>
      </c>
      <c r="O310">
        <v>94</v>
      </c>
      <c r="P310">
        <v>456</v>
      </c>
      <c r="Q310">
        <v>594</v>
      </c>
      <c r="R310">
        <v>309</v>
      </c>
    </row>
    <row r="311" spans="1:18">
      <c r="A311" s="1" t="s">
        <v>362</v>
      </c>
      <c r="B311">
        <v>34</v>
      </c>
      <c r="C311">
        <v>16</v>
      </c>
      <c r="D311">
        <v>18</v>
      </c>
      <c r="E311">
        <v>6.55</v>
      </c>
      <c r="F311">
        <v>2229</v>
      </c>
      <c r="G311">
        <v>776</v>
      </c>
      <c r="H311">
        <v>1880</v>
      </c>
      <c r="I311">
        <v>505</v>
      </c>
      <c r="J311">
        <v>766</v>
      </c>
      <c r="K311">
        <v>418</v>
      </c>
      <c r="L311">
        <v>1179</v>
      </c>
      <c r="M311">
        <v>391</v>
      </c>
      <c r="N311">
        <v>219</v>
      </c>
      <c r="O311">
        <v>163</v>
      </c>
      <c r="P311">
        <v>500</v>
      </c>
      <c r="Q311">
        <v>657</v>
      </c>
      <c r="R311">
        <v>310</v>
      </c>
    </row>
    <row r="312" spans="1:18">
      <c r="A312" s="1" t="s">
        <v>242</v>
      </c>
      <c r="B312">
        <v>28</v>
      </c>
      <c r="C312">
        <v>15</v>
      </c>
      <c r="D312">
        <v>13</v>
      </c>
      <c r="E312">
        <v>-3.04</v>
      </c>
      <c r="F312">
        <v>1928</v>
      </c>
      <c r="G312">
        <v>661</v>
      </c>
      <c r="H312">
        <v>1541</v>
      </c>
      <c r="I312">
        <v>440</v>
      </c>
      <c r="J312">
        <v>578</v>
      </c>
      <c r="K312">
        <v>272</v>
      </c>
      <c r="L312">
        <v>811</v>
      </c>
      <c r="M312">
        <v>365</v>
      </c>
      <c r="N312">
        <v>197</v>
      </c>
      <c r="O312">
        <v>93</v>
      </c>
      <c r="P312">
        <v>336</v>
      </c>
      <c r="Q312">
        <v>479</v>
      </c>
      <c r="R312">
        <v>311</v>
      </c>
    </row>
    <row r="313" spans="1:18">
      <c r="A313" s="1" t="s">
        <v>243</v>
      </c>
      <c r="B313">
        <v>31</v>
      </c>
      <c r="C313">
        <v>18</v>
      </c>
      <c r="D313">
        <v>13</v>
      </c>
      <c r="E313">
        <v>-2.59</v>
      </c>
      <c r="F313">
        <v>2125</v>
      </c>
      <c r="G313">
        <v>754</v>
      </c>
      <c r="H313">
        <v>1717</v>
      </c>
      <c r="I313">
        <v>449</v>
      </c>
      <c r="J313">
        <v>687</v>
      </c>
      <c r="K313">
        <v>430</v>
      </c>
      <c r="L313">
        <v>1131</v>
      </c>
      <c r="M313">
        <v>315</v>
      </c>
      <c r="N313">
        <v>159</v>
      </c>
      <c r="O313">
        <v>169</v>
      </c>
      <c r="P313">
        <v>460</v>
      </c>
      <c r="Q313">
        <v>593</v>
      </c>
      <c r="R313">
        <v>312</v>
      </c>
    </row>
    <row r="314" spans="1:18">
      <c r="A314" s="1" t="s">
        <v>244</v>
      </c>
      <c r="B314">
        <v>33</v>
      </c>
      <c r="C314">
        <v>12</v>
      </c>
      <c r="D314">
        <v>21</v>
      </c>
      <c r="E314">
        <v>-4.01</v>
      </c>
      <c r="F314">
        <v>2046</v>
      </c>
      <c r="G314">
        <v>758</v>
      </c>
      <c r="H314">
        <v>1907</v>
      </c>
      <c r="I314">
        <v>318</v>
      </c>
      <c r="J314">
        <v>468</v>
      </c>
      <c r="K314">
        <v>378</v>
      </c>
      <c r="L314">
        <v>982</v>
      </c>
      <c r="M314">
        <v>374</v>
      </c>
      <c r="N314">
        <v>179</v>
      </c>
      <c r="O314">
        <v>81</v>
      </c>
      <c r="P314">
        <v>345</v>
      </c>
      <c r="Q314">
        <v>514</v>
      </c>
      <c r="R314">
        <v>313</v>
      </c>
    </row>
    <row r="315" spans="1:18">
      <c r="A315" s="1" t="s">
        <v>245</v>
      </c>
      <c r="B315">
        <v>35</v>
      </c>
      <c r="C315">
        <v>20</v>
      </c>
      <c r="D315">
        <v>15</v>
      </c>
      <c r="E315">
        <v>-1.8</v>
      </c>
      <c r="F315">
        <v>2436</v>
      </c>
      <c r="G315">
        <v>789</v>
      </c>
      <c r="H315">
        <v>1896</v>
      </c>
      <c r="I315">
        <v>634</v>
      </c>
      <c r="J315">
        <v>872</v>
      </c>
      <c r="K315">
        <v>447</v>
      </c>
      <c r="L315">
        <v>1121</v>
      </c>
      <c r="M315">
        <v>402</v>
      </c>
      <c r="N315">
        <v>233</v>
      </c>
      <c r="O315">
        <v>66</v>
      </c>
      <c r="P315">
        <v>430</v>
      </c>
      <c r="Q315">
        <v>585</v>
      </c>
      <c r="R315">
        <v>314</v>
      </c>
    </row>
    <row r="316" spans="1:18">
      <c r="A316" s="1" t="s">
        <v>299</v>
      </c>
      <c r="B316">
        <v>33</v>
      </c>
      <c r="C316">
        <v>17</v>
      </c>
      <c r="D316">
        <v>16</v>
      </c>
      <c r="E316">
        <v>0.95</v>
      </c>
      <c r="F316">
        <v>2241</v>
      </c>
      <c r="G316">
        <v>763</v>
      </c>
      <c r="H316">
        <v>1760</v>
      </c>
      <c r="I316">
        <v>514</v>
      </c>
      <c r="J316">
        <v>767</v>
      </c>
      <c r="K316">
        <v>351</v>
      </c>
      <c r="L316">
        <v>1068</v>
      </c>
      <c r="M316">
        <v>389</v>
      </c>
      <c r="N316">
        <v>213</v>
      </c>
      <c r="O316">
        <v>101</v>
      </c>
      <c r="P316">
        <v>484</v>
      </c>
      <c r="Q316">
        <v>655</v>
      </c>
      <c r="R316">
        <v>315</v>
      </c>
    </row>
    <row r="317" spans="1:18">
      <c r="A317" s="1" t="s">
        <v>324</v>
      </c>
      <c r="B317">
        <v>35</v>
      </c>
      <c r="C317">
        <v>25</v>
      </c>
      <c r="D317">
        <v>10</v>
      </c>
      <c r="E317">
        <v>7.82</v>
      </c>
      <c r="F317">
        <v>2604</v>
      </c>
      <c r="G317">
        <v>961</v>
      </c>
      <c r="H317">
        <v>2131</v>
      </c>
      <c r="I317">
        <v>511</v>
      </c>
      <c r="J317">
        <v>706</v>
      </c>
      <c r="K317">
        <v>387</v>
      </c>
      <c r="L317">
        <v>1165</v>
      </c>
      <c r="M317">
        <v>559</v>
      </c>
      <c r="N317">
        <v>283</v>
      </c>
      <c r="O317">
        <v>127</v>
      </c>
      <c r="P317">
        <v>391</v>
      </c>
      <c r="Q317">
        <v>526</v>
      </c>
      <c r="R317">
        <v>316</v>
      </c>
    </row>
    <row r="318" spans="1:18">
      <c r="A318" s="1" t="s">
        <v>316</v>
      </c>
      <c r="B318">
        <v>31</v>
      </c>
      <c r="C318">
        <v>21</v>
      </c>
      <c r="D318">
        <v>10</v>
      </c>
      <c r="E318">
        <v>-0.68</v>
      </c>
      <c r="F318">
        <v>2134</v>
      </c>
      <c r="G318">
        <v>750</v>
      </c>
      <c r="H318">
        <v>1598</v>
      </c>
      <c r="I318">
        <v>456</v>
      </c>
      <c r="J318">
        <v>631</v>
      </c>
      <c r="K318">
        <v>356</v>
      </c>
      <c r="L318">
        <v>1100</v>
      </c>
      <c r="M318">
        <v>455</v>
      </c>
      <c r="N318">
        <v>150</v>
      </c>
      <c r="O318">
        <v>125</v>
      </c>
      <c r="P318">
        <v>408</v>
      </c>
      <c r="Q318">
        <v>499</v>
      </c>
      <c r="R318">
        <v>317</v>
      </c>
    </row>
    <row r="319" spans="1:18">
      <c r="A319" s="1" t="s">
        <v>334</v>
      </c>
      <c r="B319">
        <v>32</v>
      </c>
      <c r="C319">
        <v>14</v>
      </c>
      <c r="D319">
        <v>18</v>
      </c>
      <c r="E319">
        <v>-7.02</v>
      </c>
      <c r="F319">
        <v>2157</v>
      </c>
      <c r="G319">
        <v>793</v>
      </c>
      <c r="H319">
        <v>1749</v>
      </c>
      <c r="I319">
        <v>390</v>
      </c>
      <c r="J319">
        <v>549</v>
      </c>
      <c r="K319">
        <v>271</v>
      </c>
      <c r="L319">
        <v>973</v>
      </c>
      <c r="M319">
        <v>458</v>
      </c>
      <c r="N319">
        <v>203</v>
      </c>
      <c r="O319">
        <v>97</v>
      </c>
      <c r="P319">
        <v>390</v>
      </c>
      <c r="Q319">
        <v>468</v>
      </c>
      <c r="R319">
        <v>318</v>
      </c>
    </row>
    <row r="320" spans="1:18">
      <c r="A320" s="1" t="s">
        <v>300</v>
      </c>
      <c r="B320">
        <v>33</v>
      </c>
      <c r="C320">
        <v>15</v>
      </c>
      <c r="D320">
        <v>18</v>
      </c>
      <c r="E320">
        <v>6.68</v>
      </c>
      <c r="F320">
        <v>2117</v>
      </c>
      <c r="G320">
        <v>754</v>
      </c>
      <c r="H320">
        <v>1717</v>
      </c>
      <c r="I320">
        <v>413</v>
      </c>
      <c r="J320">
        <v>547</v>
      </c>
      <c r="K320">
        <v>297</v>
      </c>
      <c r="L320">
        <v>1016</v>
      </c>
      <c r="M320">
        <v>458</v>
      </c>
      <c r="N320">
        <v>183</v>
      </c>
      <c r="O320">
        <v>110</v>
      </c>
      <c r="P320">
        <v>425</v>
      </c>
      <c r="Q320">
        <v>510</v>
      </c>
      <c r="R320">
        <v>319</v>
      </c>
    </row>
    <row r="321" spans="1:18">
      <c r="A321" s="1" t="s">
        <v>301</v>
      </c>
      <c r="B321">
        <v>34</v>
      </c>
      <c r="C321">
        <v>26</v>
      </c>
      <c r="D321">
        <v>8</v>
      </c>
      <c r="E321">
        <v>-1.1299999999999999</v>
      </c>
      <c r="F321">
        <v>2420</v>
      </c>
      <c r="G321">
        <v>823</v>
      </c>
      <c r="H321">
        <v>1699</v>
      </c>
      <c r="I321">
        <v>521</v>
      </c>
      <c r="J321">
        <v>713</v>
      </c>
      <c r="K321">
        <v>303</v>
      </c>
      <c r="L321">
        <v>1008</v>
      </c>
      <c r="M321">
        <v>467</v>
      </c>
      <c r="N321">
        <v>232</v>
      </c>
      <c r="O321">
        <v>114</v>
      </c>
      <c r="P321">
        <v>486</v>
      </c>
      <c r="Q321">
        <v>586</v>
      </c>
      <c r="R321">
        <v>320</v>
      </c>
    </row>
    <row r="322" spans="1:18">
      <c r="A322" s="1" t="s">
        <v>246</v>
      </c>
      <c r="B322">
        <v>33</v>
      </c>
      <c r="C322">
        <v>16</v>
      </c>
      <c r="D322">
        <v>17</v>
      </c>
      <c r="E322">
        <v>6.03</v>
      </c>
      <c r="F322">
        <v>1991</v>
      </c>
      <c r="G322">
        <v>681</v>
      </c>
      <c r="H322">
        <v>1671</v>
      </c>
      <c r="I322">
        <v>372</v>
      </c>
      <c r="J322">
        <v>586</v>
      </c>
      <c r="K322">
        <v>307</v>
      </c>
      <c r="L322">
        <v>1006</v>
      </c>
      <c r="M322">
        <v>385</v>
      </c>
      <c r="N322">
        <v>160</v>
      </c>
      <c r="O322">
        <v>120</v>
      </c>
      <c r="P322">
        <v>398</v>
      </c>
      <c r="Q322">
        <v>543</v>
      </c>
      <c r="R322">
        <v>321</v>
      </c>
    </row>
    <row r="323" spans="1:18">
      <c r="A323" s="1" t="s">
        <v>247</v>
      </c>
      <c r="B323">
        <v>33</v>
      </c>
      <c r="C323">
        <v>21</v>
      </c>
      <c r="D323">
        <v>12</v>
      </c>
      <c r="E323">
        <v>-4.46</v>
      </c>
      <c r="F323">
        <v>2097</v>
      </c>
      <c r="G323">
        <v>711</v>
      </c>
      <c r="H323">
        <v>1626</v>
      </c>
      <c r="I323">
        <v>517</v>
      </c>
      <c r="J323">
        <v>729</v>
      </c>
      <c r="K323">
        <v>353</v>
      </c>
      <c r="L323">
        <v>1048</v>
      </c>
      <c r="M323">
        <v>375</v>
      </c>
      <c r="N323">
        <v>216</v>
      </c>
      <c r="O323">
        <v>93</v>
      </c>
      <c r="P323">
        <v>421</v>
      </c>
      <c r="Q323">
        <v>537</v>
      </c>
      <c r="R323">
        <v>322</v>
      </c>
    </row>
    <row r="324" spans="1:18">
      <c r="A324" s="1" t="s">
        <v>248</v>
      </c>
      <c r="B324">
        <v>34</v>
      </c>
      <c r="C324">
        <v>20</v>
      </c>
      <c r="D324">
        <v>14</v>
      </c>
      <c r="E324">
        <v>8.5299999999999994</v>
      </c>
      <c r="F324">
        <v>2307</v>
      </c>
      <c r="G324">
        <v>732</v>
      </c>
      <c r="H324">
        <v>1760</v>
      </c>
      <c r="I324">
        <v>639</v>
      </c>
      <c r="J324">
        <v>889</v>
      </c>
      <c r="K324">
        <v>383</v>
      </c>
      <c r="L324">
        <v>1116</v>
      </c>
      <c r="M324">
        <v>413</v>
      </c>
      <c r="N324">
        <v>263</v>
      </c>
      <c r="O324">
        <v>114</v>
      </c>
      <c r="P324">
        <v>533</v>
      </c>
      <c r="Q324">
        <v>651</v>
      </c>
      <c r="R324">
        <v>323</v>
      </c>
    </row>
    <row r="325" spans="1:18">
      <c r="A325" s="1" t="s">
        <v>249</v>
      </c>
      <c r="B325">
        <v>36</v>
      </c>
      <c r="C325">
        <v>27</v>
      </c>
      <c r="D325">
        <v>9</v>
      </c>
      <c r="E325">
        <v>4.47</v>
      </c>
      <c r="F325">
        <v>2770</v>
      </c>
      <c r="G325">
        <v>1010</v>
      </c>
      <c r="H325">
        <v>2243</v>
      </c>
      <c r="I325">
        <v>469</v>
      </c>
      <c r="J325">
        <v>669</v>
      </c>
      <c r="K325">
        <v>479</v>
      </c>
      <c r="L325">
        <v>1155</v>
      </c>
      <c r="M325">
        <v>521</v>
      </c>
      <c r="N325">
        <v>422</v>
      </c>
      <c r="O325">
        <v>109</v>
      </c>
      <c r="P325">
        <v>407</v>
      </c>
      <c r="Q325">
        <v>708</v>
      </c>
      <c r="R325">
        <v>324</v>
      </c>
    </row>
    <row r="326" spans="1:18">
      <c r="A326" s="1" t="s">
        <v>250</v>
      </c>
      <c r="B326">
        <v>31</v>
      </c>
      <c r="C326">
        <v>14</v>
      </c>
      <c r="D326">
        <v>17</v>
      </c>
      <c r="E326">
        <v>-7.11</v>
      </c>
      <c r="F326">
        <v>2423</v>
      </c>
      <c r="G326">
        <v>872</v>
      </c>
      <c r="H326">
        <v>2011</v>
      </c>
      <c r="I326">
        <v>397</v>
      </c>
      <c r="J326">
        <v>604</v>
      </c>
      <c r="K326">
        <v>417</v>
      </c>
      <c r="L326">
        <v>1077</v>
      </c>
      <c r="M326">
        <v>465</v>
      </c>
      <c r="N326">
        <v>250</v>
      </c>
      <c r="O326">
        <v>135</v>
      </c>
      <c r="P326">
        <v>409</v>
      </c>
      <c r="Q326">
        <v>538</v>
      </c>
      <c r="R326">
        <v>325</v>
      </c>
    </row>
    <row r="327" spans="1:18">
      <c r="A327" s="1" t="s">
        <v>251</v>
      </c>
      <c r="B327">
        <v>32</v>
      </c>
      <c r="C327">
        <v>13</v>
      </c>
      <c r="D327">
        <v>19</v>
      </c>
      <c r="E327">
        <v>6.27</v>
      </c>
      <c r="F327">
        <v>2248</v>
      </c>
      <c r="G327">
        <v>791</v>
      </c>
      <c r="H327">
        <v>1857</v>
      </c>
      <c r="I327">
        <v>484</v>
      </c>
      <c r="J327">
        <v>683</v>
      </c>
      <c r="K327">
        <v>356</v>
      </c>
      <c r="L327">
        <v>1037</v>
      </c>
      <c r="M327">
        <v>325</v>
      </c>
      <c r="N327">
        <v>138</v>
      </c>
      <c r="O327">
        <v>125</v>
      </c>
      <c r="P327">
        <v>385</v>
      </c>
      <c r="Q327">
        <v>603</v>
      </c>
      <c r="R327">
        <v>326</v>
      </c>
    </row>
    <row r="328" spans="1:18">
      <c r="A328" s="1" t="s">
        <v>252</v>
      </c>
      <c r="B328">
        <v>35</v>
      </c>
      <c r="C328">
        <v>23</v>
      </c>
      <c r="D328">
        <v>12</v>
      </c>
      <c r="E328">
        <v>4.2300000000000004</v>
      </c>
      <c r="F328">
        <v>2248</v>
      </c>
      <c r="G328">
        <v>818</v>
      </c>
      <c r="H328">
        <v>1790</v>
      </c>
      <c r="I328">
        <v>399</v>
      </c>
      <c r="J328">
        <v>565</v>
      </c>
      <c r="K328">
        <v>298</v>
      </c>
      <c r="L328">
        <v>1023</v>
      </c>
      <c r="M328">
        <v>491</v>
      </c>
      <c r="N328">
        <v>206</v>
      </c>
      <c r="O328">
        <v>154</v>
      </c>
      <c r="P328">
        <v>391</v>
      </c>
      <c r="Q328">
        <v>549</v>
      </c>
      <c r="R328">
        <v>327</v>
      </c>
    </row>
    <row r="329" spans="1:18">
      <c r="A329" s="1" t="s">
        <v>253</v>
      </c>
      <c r="B329">
        <v>31</v>
      </c>
      <c r="C329">
        <v>19</v>
      </c>
      <c r="D329">
        <v>12</v>
      </c>
      <c r="E329">
        <v>-5.07</v>
      </c>
      <c r="F329">
        <v>2136</v>
      </c>
      <c r="G329">
        <v>756</v>
      </c>
      <c r="H329">
        <v>1731</v>
      </c>
      <c r="I329">
        <v>492</v>
      </c>
      <c r="J329">
        <v>698</v>
      </c>
      <c r="K329">
        <v>378</v>
      </c>
      <c r="L329">
        <v>1048</v>
      </c>
      <c r="M329">
        <v>381</v>
      </c>
      <c r="N329">
        <v>253</v>
      </c>
      <c r="O329">
        <v>163</v>
      </c>
      <c r="P329">
        <v>472</v>
      </c>
      <c r="Q329">
        <v>635</v>
      </c>
      <c r="R329">
        <v>328</v>
      </c>
    </row>
    <row r="330" spans="1:18">
      <c r="A330" s="1" t="s">
        <v>254</v>
      </c>
      <c r="B330">
        <v>31</v>
      </c>
      <c r="C330">
        <v>13</v>
      </c>
      <c r="D330">
        <v>18</v>
      </c>
      <c r="E330">
        <v>6.15</v>
      </c>
      <c r="F330">
        <v>2093</v>
      </c>
      <c r="G330">
        <v>717</v>
      </c>
      <c r="H330">
        <v>1652</v>
      </c>
      <c r="I330">
        <v>491</v>
      </c>
      <c r="J330">
        <v>722</v>
      </c>
      <c r="K330">
        <v>293</v>
      </c>
      <c r="L330">
        <v>941</v>
      </c>
      <c r="M330">
        <v>352</v>
      </c>
      <c r="N330">
        <v>220</v>
      </c>
      <c r="O330">
        <v>131</v>
      </c>
      <c r="P330">
        <v>445</v>
      </c>
      <c r="Q330">
        <v>562</v>
      </c>
      <c r="R330">
        <v>329</v>
      </c>
    </row>
    <row r="331" spans="1:18">
      <c r="A331" s="1" t="s">
        <v>255</v>
      </c>
      <c r="B331">
        <v>32</v>
      </c>
      <c r="C331">
        <v>13</v>
      </c>
      <c r="D331">
        <v>19</v>
      </c>
      <c r="E331">
        <v>5.26</v>
      </c>
      <c r="F331">
        <v>2061</v>
      </c>
      <c r="G331">
        <v>717</v>
      </c>
      <c r="H331">
        <v>1681</v>
      </c>
      <c r="I331">
        <v>395</v>
      </c>
      <c r="J331">
        <v>574</v>
      </c>
      <c r="K331">
        <v>330</v>
      </c>
      <c r="L331">
        <v>948</v>
      </c>
      <c r="M331">
        <v>392</v>
      </c>
      <c r="N331">
        <v>144</v>
      </c>
      <c r="O331">
        <v>77</v>
      </c>
      <c r="P331">
        <v>385</v>
      </c>
      <c r="Q331">
        <v>488</v>
      </c>
      <c r="R331">
        <v>330</v>
      </c>
    </row>
    <row r="332" spans="1:18">
      <c r="A332" s="1" t="s">
        <v>256</v>
      </c>
      <c r="B332">
        <v>34</v>
      </c>
      <c r="C332">
        <v>18</v>
      </c>
      <c r="D332">
        <v>16</v>
      </c>
      <c r="E332">
        <v>7.22</v>
      </c>
      <c r="F332">
        <v>2309</v>
      </c>
      <c r="G332">
        <v>841</v>
      </c>
      <c r="H332">
        <v>1931</v>
      </c>
      <c r="I332">
        <v>446</v>
      </c>
      <c r="J332">
        <v>653</v>
      </c>
      <c r="K332">
        <v>439</v>
      </c>
      <c r="L332">
        <v>1119</v>
      </c>
      <c r="M332">
        <v>405</v>
      </c>
      <c r="N332">
        <v>178</v>
      </c>
      <c r="O332">
        <v>141</v>
      </c>
      <c r="P332">
        <v>449</v>
      </c>
      <c r="Q332">
        <v>584</v>
      </c>
      <c r="R332">
        <v>331</v>
      </c>
    </row>
    <row r="333" spans="1:18">
      <c r="A333" s="1" t="s">
        <v>257</v>
      </c>
      <c r="B333">
        <v>37</v>
      </c>
      <c r="C333">
        <v>30</v>
      </c>
      <c r="D333">
        <v>7</v>
      </c>
      <c r="E333">
        <v>-5.61</v>
      </c>
      <c r="F333">
        <v>2800</v>
      </c>
      <c r="G333">
        <v>990</v>
      </c>
      <c r="H333">
        <v>1957</v>
      </c>
      <c r="I333">
        <v>554</v>
      </c>
      <c r="J333">
        <v>768</v>
      </c>
      <c r="K333">
        <v>334</v>
      </c>
      <c r="L333">
        <v>1257</v>
      </c>
      <c r="M333">
        <v>518</v>
      </c>
      <c r="N333">
        <v>195</v>
      </c>
      <c r="O333">
        <v>165</v>
      </c>
      <c r="P333">
        <v>457</v>
      </c>
      <c r="Q333">
        <v>623</v>
      </c>
      <c r="R333">
        <v>332</v>
      </c>
    </row>
    <row r="334" spans="1:18">
      <c r="A334" s="1" t="s">
        <v>258</v>
      </c>
      <c r="B334">
        <v>32</v>
      </c>
      <c r="C334">
        <v>13</v>
      </c>
      <c r="D334">
        <v>19</v>
      </c>
      <c r="E334">
        <v>6.54</v>
      </c>
      <c r="F334">
        <v>2116</v>
      </c>
      <c r="G334">
        <v>722</v>
      </c>
      <c r="H334">
        <v>1769</v>
      </c>
      <c r="I334">
        <v>501</v>
      </c>
      <c r="J334">
        <v>721</v>
      </c>
      <c r="K334">
        <v>429</v>
      </c>
      <c r="L334">
        <v>1021</v>
      </c>
      <c r="M334">
        <v>396</v>
      </c>
      <c r="N334">
        <v>234</v>
      </c>
      <c r="O334">
        <v>118</v>
      </c>
      <c r="P334">
        <v>417</v>
      </c>
      <c r="Q334">
        <v>626</v>
      </c>
      <c r="R334">
        <v>333</v>
      </c>
    </row>
    <row r="335" spans="1:18">
      <c r="A335" s="1" t="s">
        <v>259</v>
      </c>
      <c r="B335">
        <v>33</v>
      </c>
      <c r="C335">
        <v>14</v>
      </c>
      <c r="D335">
        <v>19</v>
      </c>
      <c r="E335">
        <v>-4.42</v>
      </c>
      <c r="F335">
        <v>2288</v>
      </c>
      <c r="G335">
        <v>828</v>
      </c>
      <c r="H335">
        <v>1925</v>
      </c>
      <c r="I335">
        <v>425</v>
      </c>
      <c r="J335">
        <v>604</v>
      </c>
      <c r="K335">
        <v>417</v>
      </c>
      <c r="L335">
        <v>1031</v>
      </c>
      <c r="M335">
        <v>373</v>
      </c>
      <c r="N335">
        <v>250</v>
      </c>
      <c r="O335">
        <v>100</v>
      </c>
      <c r="P335">
        <v>429</v>
      </c>
      <c r="Q335">
        <v>652</v>
      </c>
      <c r="R335">
        <v>334</v>
      </c>
    </row>
    <row r="336" spans="1:18">
      <c r="A336" s="1" t="s">
        <v>260</v>
      </c>
      <c r="B336">
        <v>31</v>
      </c>
      <c r="C336">
        <v>22</v>
      </c>
      <c r="D336">
        <v>9</v>
      </c>
      <c r="E336">
        <v>-5.42</v>
      </c>
      <c r="F336">
        <v>1845</v>
      </c>
      <c r="G336">
        <v>659</v>
      </c>
      <c r="H336">
        <v>1414</v>
      </c>
      <c r="I336">
        <v>366</v>
      </c>
      <c r="J336">
        <v>570</v>
      </c>
      <c r="K336">
        <v>220</v>
      </c>
      <c r="L336">
        <v>874</v>
      </c>
      <c r="M336">
        <v>371</v>
      </c>
      <c r="N336">
        <v>181</v>
      </c>
      <c r="O336">
        <v>125</v>
      </c>
      <c r="P336">
        <v>352</v>
      </c>
      <c r="Q336">
        <v>391</v>
      </c>
      <c r="R336">
        <v>335</v>
      </c>
    </row>
    <row r="337" spans="1:18">
      <c r="A337" s="1" t="s">
        <v>261</v>
      </c>
      <c r="B337">
        <v>36</v>
      </c>
      <c r="C337">
        <v>20</v>
      </c>
      <c r="D337">
        <v>16</v>
      </c>
      <c r="E337">
        <v>-1.1399999999999999</v>
      </c>
      <c r="F337">
        <v>2409</v>
      </c>
      <c r="G337">
        <v>837</v>
      </c>
      <c r="H337">
        <v>1959</v>
      </c>
      <c r="I337">
        <v>509</v>
      </c>
      <c r="J337">
        <v>755</v>
      </c>
      <c r="K337">
        <v>441</v>
      </c>
      <c r="L337">
        <v>1204</v>
      </c>
      <c r="M337">
        <v>400</v>
      </c>
      <c r="N337">
        <v>223</v>
      </c>
      <c r="O337">
        <v>115</v>
      </c>
      <c r="P337">
        <v>537</v>
      </c>
      <c r="Q337">
        <v>691</v>
      </c>
      <c r="R337">
        <v>336</v>
      </c>
    </row>
    <row r="338" spans="1:18">
      <c r="A338" s="1" t="s">
        <v>262</v>
      </c>
      <c r="B338">
        <v>35</v>
      </c>
      <c r="C338">
        <v>22</v>
      </c>
      <c r="D338">
        <v>13</v>
      </c>
      <c r="E338">
        <v>-1.43</v>
      </c>
      <c r="F338">
        <v>2345</v>
      </c>
      <c r="G338">
        <v>785</v>
      </c>
      <c r="H338">
        <v>1816</v>
      </c>
      <c r="I338">
        <v>587</v>
      </c>
      <c r="J338">
        <v>835</v>
      </c>
      <c r="K338">
        <v>417</v>
      </c>
      <c r="L338">
        <v>1172</v>
      </c>
      <c r="M338">
        <v>412</v>
      </c>
      <c r="N338">
        <v>198</v>
      </c>
      <c r="O338">
        <v>114</v>
      </c>
      <c r="P338">
        <v>510</v>
      </c>
      <c r="Q338">
        <v>628</v>
      </c>
      <c r="R338">
        <v>337</v>
      </c>
    </row>
    <row r="339" spans="1:18">
      <c r="A339" s="1" t="s">
        <v>263</v>
      </c>
      <c r="B339">
        <v>39</v>
      </c>
      <c r="C339">
        <v>30</v>
      </c>
      <c r="D339">
        <v>9</v>
      </c>
      <c r="E339">
        <v>6.09</v>
      </c>
      <c r="F339">
        <v>2720</v>
      </c>
      <c r="G339">
        <v>954</v>
      </c>
      <c r="H339">
        <v>2166</v>
      </c>
      <c r="I339">
        <v>553</v>
      </c>
      <c r="J339">
        <v>791</v>
      </c>
      <c r="K339">
        <v>512</v>
      </c>
      <c r="L339">
        <v>1355</v>
      </c>
      <c r="M339">
        <v>530</v>
      </c>
      <c r="N339">
        <v>289</v>
      </c>
      <c r="O339">
        <v>173</v>
      </c>
      <c r="P339">
        <v>492</v>
      </c>
      <c r="Q339">
        <v>700</v>
      </c>
      <c r="R339">
        <v>338</v>
      </c>
    </row>
    <row r="340" spans="1:18">
      <c r="A340" s="1" t="s">
        <v>264</v>
      </c>
      <c r="B340">
        <v>30</v>
      </c>
      <c r="C340">
        <v>13</v>
      </c>
      <c r="D340">
        <v>17</v>
      </c>
      <c r="E340">
        <v>-3.45</v>
      </c>
      <c r="F340">
        <v>2064</v>
      </c>
      <c r="G340">
        <v>718</v>
      </c>
      <c r="H340">
        <v>1536</v>
      </c>
      <c r="I340">
        <v>405</v>
      </c>
      <c r="J340">
        <v>571</v>
      </c>
      <c r="K340">
        <v>260</v>
      </c>
      <c r="L340">
        <v>909</v>
      </c>
      <c r="M340">
        <v>428</v>
      </c>
      <c r="N340">
        <v>154</v>
      </c>
      <c r="O340">
        <v>91</v>
      </c>
      <c r="P340">
        <v>391</v>
      </c>
      <c r="Q340">
        <v>466</v>
      </c>
      <c r="R340">
        <v>339</v>
      </c>
    </row>
    <row r="341" spans="1:18">
      <c r="A341" s="1" t="s">
        <v>325</v>
      </c>
      <c r="B341">
        <v>31</v>
      </c>
      <c r="C341">
        <v>14</v>
      </c>
      <c r="D341">
        <v>17</v>
      </c>
      <c r="E341">
        <v>-4.43</v>
      </c>
      <c r="F341">
        <v>1859</v>
      </c>
      <c r="G341">
        <v>647</v>
      </c>
      <c r="H341">
        <v>1555</v>
      </c>
      <c r="I341">
        <v>385</v>
      </c>
      <c r="J341">
        <v>560</v>
      </c>
      <c r="K341">
        <v>294</v>
      </c>
      <c r="L341">
        <v>893</v>
      </c>
      <c r="M341">
        <v>294</v>
      </c>
      <c r="N341">
        <v>150</v>
      </c>
      <c r="O341">
        <v>67</v>
      </c>
      <c r="P341">
        <v>403</v>
      </c>
      <c r="Q341">
        <v>541</v>
      </c>
      <c r="R341">
        <v>340</v>
      </c>
    </row>
    <row r="342" spans="1:18">
      <c r="A342" s="1" t="s">
        <v>367</v>
      </c>
      <c r="B342">
        <v>35</v>
      </c>
      <c r="C342">
        <v>23</v>
      </c>
      <c r="D342">
        <v>12</v>
      </c>
      <c r="E342">
        <v>9.73</v>
      </c>
      <c r="F342">
        <v>2274</v>
      </c>
      <c r="G342">
        <v>823</v>
      </c>
      <c r="H342">
        <v>1960</v>
      </c>
      <c r="I342">
        <v>369</v>
      </c>
      <c r="J342">
        <v>582</v>
      </c>
      <c r="K342">
        <v>401</v>
      </c>
      <c r="L342">
        <v>1202</v>
      </c>
      <c r="M342">
        <v>465</v>
      </c>
      <c r="N342">
        <v>200</v>
      </c>
      <c r="O342">
        <v>153</v>
      </c>
      <c r="P342">
        <v>334</v>
      </c>
      <c r="Q342">
        <v>491</v>
      </c>
      <c r="R342">
        <v>341</v>
      </c>
    </row>
    <row r="343" spans="1:18">
      <c r="A343" s="1" t="s">
        <v>265</v>
      </c>
      <c r="B343">
        <v>32</v>
      </c>
      <c r="C343">
        <v>13</v>
      </c>
      <c r="D343">
        <v>19</v>
      </c>
      <c r="E343">
        <v>-4.6500000000000004</v>
      </c>
      <c r="F343">
        <v>1858</v>
      </c>
      <c r="G343">
        <v>665</v>
      </c>
      <c r="H343">
        <v>1696</v>
      </c>
      <c r="I343">
        <v>346</v>
      </c>
      <c r="J343">
        <v>477</v>
      </c>
      <c r="K343">
        <v>293</v>
      </c>
      <c r="L343">
        <v>910</v>
      </c>
      <c r="M343">
        <v>369</v>
      </c>
      <c r="N343">
        <v>238</v>
      </c>
      <c r="O343">
        <v>72</v>
      </c>
      <c r="P343">
        <v>413</v>
      </c>
      <c r="Q343">
        <v>554</v>
      </c>
      <c r="R343">
        <v>342</v>
      </c>
    </row>
    <row r="344" spans="1:18">
      <c r="A344" s="1" t="s">
        <v>266</v>
      </c>
      <c r="B344">
        <v>36</v>
      </c>
      <c r="C344">
        <v>23</v>
      </c>
      <c r="D344">
        <v>13</v>
      </c>
      <c r="E344">
        <v>-1.1499999999999999</v>
      </c>
      <c r="F344">
        <v>2233</v>
      </c>
      <c r="G344">
        <v>801</v>
      </c>
      <c r="H344">
        <v>1826</v>
      </c>
      <c r="I344">
        <v>427</v>
      </c>
      <c r="J344">
        <v>607</v>
      </c>
      <c r="K344">
        <v>302</v>
      </c>
      <c r="L344">
        <v>990</v>
      </c>
      <c r="M344">
        <v>430</v>
      </c>
      <c r="N344">
        <v>267</v>
      </c>
      <c r="O344">
        <v>69</v>
      </c>
      <c r="P344">
        <v>467</v>
      </c>
      <c r="Q344">
        <v>656</v>
      </c>
      <c r="R344">
        <v>343</v>
      </c>
    </row>
    <row r="345" spans="1:18">
      <c r="A345" s="1" t="s">
        <v>267</v>
      </c>
      <c r="B345">
        <v>34</v>
      </c>
      <c r="C345">
        <v>20</v>
      </c>
      <c r="D345">
        <v>14</v>
      </c>
      <c r="E345">
        <v>4.6100000000000003</v>
      </c>
      <c r="F345">
        <v>2074</v>
      </c>
      <c r="G345">
        <v>707</v>
      </c>
      <c r="H345">
        <v>1655</v>
      </c>
      <c r="I345">
        <v>436</v>
      </c>
      <c r="J345">
        <v>646</v>
      </c>
      <c r="K345">
        <v>258</v>
      </c>
      <c r="L345">
        <v>881</v>
      </c>
      <c r="M345">
        <v>397</v>
      </c>
      <c r="N345">
        <v>214</v>
      </c>
      <c r="O345">
        <v>110</v>
      </c>
      <c r="P345">
        <v>387</v>
      </c>
      <c r="Q345">
        <v>521</v>
      </c>
      <c r="R345">
        <v>344</v>
      </c>
    </row>
    <row r="346" spans="1:18">
      <c r="A346" s="1" t="s">
        <v>268</v>
      </c>
      <c r="B346">
        <v>31</v>
      </c>
      <c r="C346">
        <v>17</v>
      </c>
      <c r="D346">
        <v>14</v>
      </c>
      <c r="E346">
        <v>4.96</v>
      </c>
      <c r="F346">
        <v>2021</v>
      </c>
      <c r="G346">
        <v>722</v>
      </c>
      <c r="H346">
        <v>1582</v>
      </c>
      <c r="I346">
        <v>437</v>
      </c>
      <c r="J346">
        <v>655</v>
      </c>
      <c r="K346">
        <v>329</v>
      </c>
      <c r="L346">
        <v>989</v>
      </c>
      <c r="M346">
        <v>348</v>
      </c>
      <c r="N346">
        <v>164</v>
      </c>
      <c r="O346">
        <v>86</v>
      </c>
      <c r="P346">
        <v>402</v>
      </c>
      <c r="Q346">
        <v>541</v>
      </c>
      <c r="R346">
        <v>345</v>
      </c>
    </row>
    <row r="347" spans="1:18">
      <c r="A347" s="1" t="s">
        <v>269</v>
      </c>
      <c r="B347">
        <v>31</v>
      </c>
      <c r="C347">
        <v>14</v>
      </c>
      <c r="D347">
        <v>17</v>
      </c>
      <c r="E347">
        <v>-0.81</v>
      </c>
      <c r="F347">
        <v>2079</v>
      </c>
      <c r="G347">
        <v>697</v>
      </c>
      <c r="H347">
        <v>1620</v>
      </c>
      <c r="I347">
        <v>501</v>
      </c>
      <c r="J347">
        <v>688</v>
      </c>
      <c r="K347">
        <v>368</v>
      </c>
      <c r="L347">
        <v>977</v>
      </c>
      <c r="M347">
        <v>400</v>
      </c>
      <c r="N347">
        <v>197</v>
      </c>
      <c r="O347">
        <v>92</v>
      </c>
      <c r="P347">
        <v>443</v>
      </c>
      <c r="Q347">
        <v>579</v>
      </c>
      <c r="R347">
        <v>346</v>
      </c>
    </row>
    <row r="348" spans="1:18">
      <c r="A348" s="1" t="s">
        <v>270</v>
      </c>
      <c r="B348">
        <v>34</v>
      </c>
      <c r="C348">
        <v>18</v>
      </c>
      <c r="D348">
        <v>16</v>
      </c>
      <c r="E348">
        <v>-0.81</v>
      </c>
      <c r="F348">
        <v>2426</v>
      </c>
      <c r="G348">
        <v>853</v>
      </c>
      <c r="H348">
        <v>1979</v>
      </c>
      <c r="I348">
        <v>475</v>
      </c>
      <c r="J348">
        <v>686</v>
      </c>
      <c r="K348">
        <v>345</v>
      </c>
      <c r="L348">
        <v>1084</v>
      </c>
      <c r="M348">
        <v>504</v>
      </c>
      <c r="N348">
        <v>231</v>
      </c>
      <c r="O348">
        <v>182</v>
      </c>
      <c r="P348">
        <v>398</v>
      </c>
      <c r="Q348">
        <v>579</v>
      </c>
      <c r="R348">
        <v>347</v>
      </c>
    </row>
    <row r="349" spans="1:18">
      <c r="R349">
        <v>348</v>
      </c>
    </row>
    <row r="350" spans="1:18">
      <c r="R350">
        <v>349</v>
      </c>
    </row>
    <row r="351" spans="1:18">
      <c r="R351">
        <v>350</v>
      </c>
    </row>
    <row r="352" spans="1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B539-1927-4292-820C-1FE16E4F37F9}">
  <sheetPr codeName="Sheet15"/>
  <dimension ref="A1:R357"/>
  <sheetViews>
    <sheetView topLeftCell="A310" workbookViewId="0">
      <selection activeCell="R310" sqref="R1:R1048576"/>
    </sheetView>
  </sheetViews>
  <sheetFormatPr defaultColWidth="8.85546875" defaultRowHeight="15"/>
  <cols>
    <col min="1" max="1" width="28.425781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363</v>
      </c>
      <c r="B2">
        <v>31</v>
      </c>
      <c r="C2">
        <v>11</v>
      </c>
      <c r="D2">
        <v>20</v>
      </c>
      <c r="E2">
        <v>-4.12</v>
      </c>
      <c r="F2">
        <v>2214</v>
      </c>
      <c r="G2">
        <v>737</v>
      </c>
      <c r="H2">
        <v>1664</v>
      </c>
      <c r="I2">
        <v>499</v>
      </c>
      <c r="J2">
        <v>666</v>
      </c>
      <c r="K2">
        <v>306</v>
      </c>
      <c r="L2">
        <v>1011</v>
      </c>
      <c r="M2">
        <v>402</v>
      </c>
      <c r="N2">
        <v>221</v>
      </c>
      <c r="O2">
        <v>72</v>
      </c>
      <c r="P2">
        <v>453</v>
      </c>
      <c r="Q2">
        <v>641</v>
      </c>
      <c r="R2">
        <v>1</v>
      </c>
    </row>
    <row r="3" spans="1:18">
      <c r="A3" s="1" t="s">
        <v>17</v>
      </c>
      <c r="B3">
        <v>30</v>
      </c>
      <c r="C3">
        <v>12</v>
      </c>
      <c r="D3">
        <v>18</v>
      </c>
      <c r="E3">
        <v>1.71</v>
      </c>
      <c r="F3">
        <v>1980</v>
      </c>
      <c r="G3">
        <v>679</v>
      </c>
      <c r="H3">
        <v>1561</v>
      </c>
      <c r="I3">
        <v>406</v>
      </c>
      <c r="J3">
        <v>588</v>
      </c>
      <c r="K3">
        <v>263</v>
      </c>
      <c r="L3">
        <v>970</v>
      </c>
      <c r="M3">
        <v>419</v>
      </c>
      <c r="N3">
        <v>164</v>
      </c>
      <c r="O3">
        <v>94</v>
      </c>
      <c r="P3">
        <v>400</v>
      </c>
      <c r="Q3">
        <v>563</v>
      </c>
      <c r="R3">
        <v>2</v>
      </c>
    </row>
    <row r="4" spans="1:18">
      <c r="A4" s="1" t="s">
        <v>18</v>
      </c>
      <c r="B4">
        <v>34</v>
      </c>
      <c r="C4">
        <v>21</v>
      </c>
      <c r="D4">
        <v>13</v>
      </c>
      <c r="E4">
        <v>-0.48</v>
      </c>
      <c r="F4">
        <v>2332</v>
      </c>
      <c r="G4">
        <v>813</v>
      </c>
      <c r="H4">
        <v>1855</v>
      </c>
      <c r="I4">
        <v>467</v>
      </c>
      <c r="J4">
        <v>750</v>
      </c>
      <c r="K4">
        <v>412</v>
      </c>
      <c r="L4">
        <v>1175</v>
      </c>
      <c r="M4">
        <v>387</v>
      </c>
      <c r="N4">
        <v>225</v>
      </c>
      <c r="O4">
        <v>142</v>
      </c>
      <c r="P4">
        <v>446</v>
      </c>
      <c r="Q4">
        <v>606</v>
      </c>
      <c r="R4">
        <v>3</v>
      </c>
    </row>
    <row r="5" spans="1:18">
      <c r="A5" s="1" t="s">
        <v>19</v>
      </c>
      <c r="B5">
        <v>30</v>
      </c>
      <c r="C5">
        <v>14</v>
      </c>
      <c r="D5">
        <v>16</v>
      </c>
      <c r="E5">
        <v>-10.58</v>
      </c>
      <c r="F5">
        <v>1936</v>
      </c>
      <c r="G5">
        <v>656</v>
      </c>
      <c r="H5">
        <v>1601</v>
      </c>
      <c r="I5">
        <v>442</v>
      </c>
      <c r="J5">
        <v>674</v>
      </c>
      <c r="K5">
        <v>300</v>
      </c>
      <c r="L5">
        <v>1015</v>
      </c>
      <c r="M5">
        <v>380</v>
      </c>
      <c r="N5">
        <v>187</v>
      </c>
      <c r="O5">
        <v>125</v>
      </c>
      <c r="P5">
        <v>396</v>
      </c>
      <c r="Q5">
        <v>643</v>
      </c>
      <c r="R5">
        <v>4</v>
      </c>
    </row>
    <row r="6" spans="1:18">
      <c r="A6" s="1" t="s">
        <v>20</v>
      </c>
      <c r="B6">
        <v>31</v>
      </c>
      <c r="C6">
        <v>18</v>
      </c>
      <c r="D6">
        <v>13</v>
      </c>
      <c r="E6">
        <v>-0.77</v>
      </c>
      <c r="F6">
        <v>2266</v>
      </c>
      <c r="G6">
        <v>800</v>
      </c>
      <c r="H6">
        <v>1919</v>
      </c>
      <c r="I6">
        <v>508</v>
      </c>
      <c r="J6">
        <v>772</v>
      </c>
      <c r="K6">
        <v>508</v>
      </c>
      <c r="L6">
        <v>1381</v>
      </c>
      <c r="M6">
        <v>392</v>
      </c>
      <c r="N6">
        <v>169</v>
      </c>
      <c r="O6">
        <v>128</v>
      </c>
      <c r="P6">
        <v>403</v>
      </c>
      <c r="Q6">
        <v>543</v>
      </c>
      <c r="R6">
        <v>5</v>
      </c>
    </row>
    <row r="7" spans="1:18">
      <c r="A7" s="1" t="s">
        <v>21</v>
      </c>
      <c r="B7">
        <v>32</v>
      </c>
      <c r="C7">
        <v>19</v>
      </c>
      <c r="D7">
        <v>13</v>
      </c>
      <c r="E7">
        <v>-11.4</v>
      </c>
      <c r="F7">
        <v>2265</v>
      </c>
      <c r="G7">
        <v>792</v>
      </c>
      <c r="H7">
        <v>1892</v>
      </c>
      <c r="I7">
        <v>506</v>
      </c>
      <c r="J7">
        <v>748</v>
      </c>
      <c r="K7">
        <v>407</v>
      </c>
      <c r="L7">
        <v>1158</v>
      </c>
      <c r="M7">
        <v>415</v>
      </c>
      <c r="N7">
        <v>217</v>
      </c>
      <c r="O7">
        <v>115</v>
      </c>
      <c r="P7">
        <v>377</v>
      </c>
      <c r="Q7">
        <v>578</v>
      </c>
      <c r="R7">
        <v>6</v>
      </c>
    </row>
    <row r="8" spans="1:18">
      <c r="A8" s="1" t="s">
        <v>22</v>
      </c>
      <c r="B8">
        <v>32</v>
      </c>
      <c r="C8">
        <v>13</v>
      </c>
      <c r="D8">
        <v>19</v>
      </c>
      <c r="E8">
        <v>8.8800000000000008</v>
      </c>
      <c r="F8">
        <v>2170</v>
      </c>
      <c r="G8">
        <v>741</v>
      </c>
      <c r="H8">
        <v>1669</v>
      </c>
      <c r="I8">
        <v>505</v>
      </c>
      <c r="J8">
        <v>737</v>
      </c>
      <c r="K8">
        <v>320</v>
      </c>
      <c r="L8">
        <v>1050</v>
      </c>
      <c r="M8">
        <v>351</v>
      </c>
      <c r="N8">
        <v>218</v>
      </c>
      <c r="O8">
        <v>137</v>
      </c>
      <c r="P8">
        <v>380</v>
      </c>
      <c r="Q8">
        <v>607</v>
      </c>
      <c r="R8">
        <v>7</v>
      </c>
    </row>
    <row r="9" spans="1:18">
      <c r="A9" s="1" t="s">
        <v>23</v>
      </c>
      <c r="B9">
        <v>34</v>
      </c>
      <c r="C9">
        <v>19</v>
      </c>
      <c r="D9">
        <v>15</v>
      </c>
      <c r="E9">
        <v>-5.22</v>
      </c>
      <c r="F9">
        <v>2239</v>
      </c>
      <c r="G9">
        <v>765</v>
      </c>
      <c r="H9">
        <v>1733</v>
      </c>
      <c r="I9">
        <v>546</v>
      </c>
      <c r="J9">
        <v>728</v>
      </c>
      <c r="K9">
        <v>343</v>
      </c>
      <c r="L9">
        <v>1175</v>
      </c>
      <c r="M9">
        <v>376</v>
      </c>
      <c r="N9">
        <v>184</v>
      </c>
      <c r="O9">
        <v>101</v>
      </c>
      <c r="P9">
        <v>428</v>
      </c>
      <c r="Q9">
        <v>580</v>
      </c>
      <c r="R9">
        <v>8</v>
      </c>
    </row>
    <row r="10" spans="1:18">
      <c r="A10" s="1" t="s">
        <v>24</v>
      </c>
      <c r="B10">
        <v>31</v>
      </c>
      <c r="C10">
        <v>12</v>
      </c>
      <c r="D10">
        <v>19</v>
      </c>
      <c r="E10">
        <v>-9.27</v>
      </c>
      <c r="F10">
        <v>1985</v>
      </c>
      <c r="G10">
        <v>693</v>
      </c>
      <c r="H10">
        <v>1658</v>
      </c>
      <c r="I10">
        <v>463</v>
      </c>
      <c r="J10">
        <v>708</v>
      </c>
      <c r="K10">
        <v>302</v>
      </c>
      <c r="L10">
        <v>959</v>
      </c>
      <c r="M10">
        <v>283</v>
      </c>
      <c r="N10">
        <v>185</v>
      </c>
      <c r="O10">
        <v>116</v>
      </c>
      <c r="P10">
        <v>356</v>
      </c>
      <c r="Q10">
        <v>577</v>
      </c>
      <c r="R10">
        <v>9</v>
      </c>
    </row>
    <row r="11" spans="1:18">
      <c r="A11" s="1" t="s">
        <v>25</v>
      </c>
      <c r="B11">
        <v>33</v>
      </c>
      <c r="C11">
        <v>20</v>
      </c>
      <c r="D11">
        <v>13</v>
      </c>
      <c r="E11">
        <v>-3.25</v>
      </c>
      <c r="F11">
        <v>2081</v>
      </c>
      <c r="G11">
        <v>748</v>
      </c>
      <c r="H11">
        <v>1527</v>
      </c>
      <c r="I11">
        <v>378</v>
      </c>
      <c r="J11">
        <v>535</v>
      </c>
      <c r="K11">
        <v>232</v>
      </c>
      <c r="L11">
        <v>986</v>
      </c>
      <c r="M11">
        <v>492</v>
      </c>
      <c r="N11">
        <v>198</v>
      </c>
      <c r="O11">
        <v>110</v>
      </c>
      <c r="P11">
        <v>464</v>
      </c>
      <c r="Q11">
        <v>567</v>
      </c>
      <c r="R11">
        <v>10</v>
      </c>
    </row>
    <row r="12" spans="1:18">
      <c r="A12" s="1" t="s">
        <v>271</v>
      </c>
      <c r="B12">
        <v>30</v>
      </c>
      <c r="C12">
        <v>9</v>
      </c>
      <c r="D12">
        <v>21</v>
      </c>
      <c r="E12">
        <v>-7.13</v>
      </c>
      <c r="F12">
        <v>2034</v>
      </c>
      <c r="G12">
        <v>719</v>
      </c>
      <c r="H12">
        <v>1730</v>
      </c>
      <c r="I12">
        <v>445</v>
      </c>
      <c r="J12">
        <v>697</v>
      </c>
      <c r="K12">
        <v>392</v>
      </c>
      <c r="L12">
        <v>1091</v>
      </c>
      <c r="M12">
        <v>327</v>
      </c>
      <c r="N12">
        <v>187</v>
      </c>
      <c r="O12">
        <v>83</v>
      </c>
      <c r="P12">
        <v>362</v>
      </c>
      <c r="Q12">
        <v>597</v>
      </c>
      <c r="R12">
        <v>11</v>
      </c>
    </row>
    <row r="13" spans="1:18">
      <c r="A13" s="1" t="s">
        <v>26</v>
      </c>
      <c r="B13">
        <v>33</v>
      </c>
      <c r="C13">
        <v>21</v>
      </c>
      <c r="D13">
        <v>12</v>
      </c>
      <c r="E13">
        <v>7.41</v>
      </c>
      <c r="F13">
        <v>2486</v>
      </c>
      <c r="G13">
        <v>836</v>
      </c>
      <c r="H13">
        <v>1852</v>
      </c>
      <c r="I13">
        <v>546</v>
      </c>
      <c r="J13">
        <v>787</v>
      </c>
      <c r="K13">
        <v>281</v>
      </c>
      <c r="L13">
        <v>1172</v>
      </c>
      <c r="M13">
        <v>471</v>
      </c>
      <c r="N13">
        <v>167</v>
      </c>
      <c r="O13">
        <v>182</v>
      </c>
      <c r="P13">
        <v>377</v>
      </c>
      <c r="Q13">
        <v>635</v>
      </c>
      <c r="R13">
        <v>12</v>
      </c>
    </row>
    <row r="14" spans="1:18">
      <c r="A14" s="1" t="s">
        <v>356</v>
      </c>
      <c r="B14">
        <v>38</v>
      </c>
      <c r="C14">
        <v>33</v>
      </c>
      <c r="D14">
        <v>5</v>
      </c>
      <c r="E14">
        <v>9.0399999999999991</v>
      </c>
      <c r="F14">
        <v>2769</v>
      </c>
      <c r="G14">
        <v>996</v>
      </c>
      <c r="H14">
        <v>2123</v>
      </c>
      <c r="I14">
        <v>573</v>
      </c>
      <c r="J14">
        <v>870</v>
      </c>
      <c r="K14">
        <v>465</v>
      </c>
      <c r="L14">
        <v>1449</v>
      </c>
      <c r="M14">
        <v>574</v>
      </c>
      <c r="N14">
        <v>223</v>
      </c>
      <c r="O14">
        <v>173</v>
      </c>
      <c r="P14">
        <v>387</v>
      </c>
      <c r="Q14">
        <v>630</v>
      </c>
      <c r="R14">
        <v>13</v>
      </c>
    </row>
    <row r="15" spans="1:18">
      <c r="A15" s="1" t="s">
        <v>27</v>
      </c>
      <c r="B15">
        <v>32</v>
      </c>
      <c r="C15">
        <v>15</v>
      </c>
      <c r="D15">
        <v>17</v>
      </c>
      <c r="E15">
        <v>-1.0900000000000001</v>
      </c>
      <c r="F15">
        <v>2288</v>
      </c>
      <c r="G15">
        <v>784</v>
      </c>
      <c r="H15">
        <v>1844</v>
      </c>
      <c r="I15">
        <v>556</v>
      </c>
      <c r="J15">
        <v>754</v>
      </c>
      <c r="K15">
        <v>369</v>
      </c>
      <c r="L15">
        <v>1174</v>
      </c>
      <c r="M15">
        <v>376</v>
      </c>
      <c r="N15">
        <v>190</v>
      </c>
      <c r="O15">
        <v>125</v>
      </c>
      <c r="P15">
        <v>422</v>
      </c>
      <c r="Q15">
        <v>689</v>
      </c>
      <c r="R15">
        <v>14</v>
      </c>
    </row>
    <row r="16" spans="1:18">
      <c r="A16" s="1" t="s">
        <v>28</v>
      </c>
      <c r="B16">
        <v>31</v>
      </c>
      <c r="C16">
        <v>13</v>
      </c>
      <c r="D16">
        <v>18</v>
      </c>
      <c r="E16">
        <v>-6.9</v>
      </c>
      <c r="F16">
        <v>1957</v>
      </c>
      <c r="G16">
        <v>659</v>
      </c>
      <c r="H16">
        <v>1605</v>
      </c>
      <c r="I16">
        <v>446</v>
      </c>
      <c r="J16">
        <v>675</v>
      </c>
      <c r="K16">
        <v>307</v>
      </c>
      <c r="L16">
        <v>946</v>
      </c>
      <c r="M16">
        <v>350</v>
      </c>
      <c r="N16">
        <v>296</v>
      </c>
      <c r="O16">
        <v>72</v>
      </c>
      <c r="P16">
        <v>478</v>
      </c>
      <c r="Q16">
        <v>605</v>
      </c>
      <c r="R16">
        <v>15</v>
      </c>
    </row>
    <row r="17" spans="1:18">
      <c r="A17" s="1" t="s">
        <v>29</v>
      </c>
      <c r="B17">
        <v>32</v>
      </c>
      <c r="C17">
        <v>19</v>
      </c>
      <c r="D17">
        <v>13</v>
      </c>
      <c r="E17">
        <v>-3.18</v>
      </c>
      <c r="F17">
        <v>2432</v>
      </c>
      <c r="G17">
        <v>797</v>
      </c>
      <c r="H17">
        <v>1795</v>
      </c>
      <c r="I17">
        <v>556</v>
      </c>
      <c r="J17">
        <v>766</v>
      </c>
      <c r="K17">
        <v>301</v>
      </c>
      <c r="L17">
        <v>1104</v>
      </c>
      <c r="M17">
        <v>425</v>
      </c>
      <c r="N17">
        <v>216</v>
      </c>
      <c r="O17">
        <v>89</v>
      </c>
      <c r="P17">
        <v>390</v>
      </c>
      <c r="Q17">
        <v>570</v>
      </c>
      <c r="R17">
        <v>16</v>
      </c>
    </row>
    <row r="18" spans="1:18">
      <c r="A18" s="1" t="s">
        <v>302</v>
      </c>
      <c r="B18">
        <v>34</v>
      </c>
      <c r="C18">
        <v>22</v>
      </c>
      <c r="D18">
        <v>12</v>
      </c>
      <c r="E18">
        <v>5.57</v>
      </c>
      <c r="F18">
        <v>2723</v>
      </c>
      <c r="G18">
        <v>928</v>
      </c>
      <c r="H18">
        <v>2105</v>
      </c>
      <c r="I18">
        <v>614</v>
      </c>
      <c r="J18">
        <v>846</v>
      </c>
      <c r="K18">
        <v>404</v>
      </c>
      <c r="L18">
        <v>1222</v>
      </c>
      <c r="M18">
        <v>521</v>
      </c>
      <c r="N18">
        <v>287</v>
      </c>
      <c r="O18">
        <v>189</v>
      </c>
      <c r="P18">
        <v>392</v>
      </c>
      <c r="Q18">
        <v>706</v>
      </c>
      <c r="R18">
        <v>17</v>
      </c>
    </row>
    <row r="19" spans="1:18">
      <c r="A19" s="1" t="s">
        <v>30</v>
      </c>
      <c r="B19">
        <v>31</v>
      </c>
      <c r="C19">
        <v>15</v>
      </c>
      <c r="D19">
        <v>16</v>
      </c>
      <c r="E19">
        <v>-4.66</v>
      </c>
      <c r="F19">
        <v>2244</v>
      </c>
      <c r="G19">
        <v>801</v>
      </c>
      <c r="H19">
        <v>1804</v>
      </c>
      <c r="I19">
        <v>406</v>
      </c>
      <c r="J19">
        <v>580</v>
      </c>
      <c r="K19">
        <v>352</v>
      </c>
      <c r="L19">
        <v>1043</v>
      </c>
      <c r="M19">
        <v>436</v>
      </c>
      <c r="N19">
        <v>187</v>
      </c>
      <c r="O19">
        <v>132</v>
      </c>
      <c r="P19">
        <v>401</v>
      </c>
      <c r="Q19">
        <v>567</v>
      </c>
      <c r="R19">
        <v>18</v>
      </c>
    </row>
    <row r="20" spans="1:18">
      <c r="A20" s="1" t="s">
        <v>272</v>
      </c>
      <c r="B20">
        <v>30</v>
      </c>
      <c r="C20">
        <v>14</v>
      </c>
      <c r="D20">
        <v>16</v>
      </c>
      <c r="E20">
        <v>5.47</v>
      </c>
      <c r="F20">
        <v>2144</v>
      </c>
      <c r="G20">
        <v>723</v>
      </c>
      <c r="H20">
        <v>1656</v>
      </c>
      <c r="I20">
        <v>526</v>
      </c>
      <c r="J20">
        <v>730</v>
      </c>
      <c r="K20">
        <v>330</v>
      </c>
      <c r="L20">
        <v>1022</v>
      </c>
      <c r="M20">
        <v>349</v>
      </c>
      <c r="N20">
        <v>183</v>
      </c>
      <c r="O20">
        <v>134</v>
      </c>
      <c r="P20">
        <v>363</v>
      </c>
      <c r="Q20">
        <v>645</v>
      </c>
      <c r="R20">
        <v>19</v>
      </c>
    </row>
    <row r="21" spans="1:18">
      <c r="A21" s="1" t="s">
        <v>31</v>
      </c>
      <c r="B21">
        <v>30</v>
      </c>
      <c r="C21">
        <v>12</v>
      </c>
      <c r="D21">
        <v>18</v>
      </c>
      <c r="E21">
        <v>-5.78</v>
      </c>
      <c r="F21">
        <v>2287</v>
      </c>
      <c r="G21">
        <v>797</v>
      </c>
      <c r="H21">
        <v>1632</v>
      </c>
      <c r="I21">
        <v>535</v>
      </c>
      <c r="J21">
        <v>804</v>
      </c>
      <c r="K21">
        <v>298</v>
      </c>
      <c r="L21">
        <v>999</v>
      </c>
      <c r="M21">
        <v>444</v>
      </c>
      <c r="N21">
        <v>206</v>
      </c>
      <c r="O21">
        <v>156</v>
      </c>
      <c r="P21">
        <v>471</v>
      </c>
      <c r="Q21">
        <v>517</v>
      </c>
      <c r="R21">
        <v>20</v>
      </c>
    </row>
    <row r="22" spans="1:18">
      <c r="A22" s="1" t="s">
        <v>273</v>
      </c>
      <c r="B22">
        <v>30</v>
      </c>
      <c r="C22">
        <v>5</v>
      </c>
      <c r="D22">
        <v>25</v>
      </c>
      <c r="E22">
        <v>0.65</v>
      </c>
      <c r="F22">
        <v>1967</v>
      </c>
      <c r="G22">
        <v>651</v>
      </c>
      <c r="H22">
        <v>1601</v>
      </c>
      <c r="I22">
        <v>469</v>
      </c>
      <c r="J22">
        <v>679</v>
      </c>
      <c r="K22">
        <v>383</v>
      </c>
      <c r="L22">
        <v>1108</v>
      </c>
      <c r="M22">
        <v>375</v>
      </c>
      <c r="N22">
        <v>136</v>
      </c>
      <c r="O22">
        <v>70</v>
      </c>
      <c r="P22">
        <v>505</v>
      </c>
      <c r="Q22">
        <v>615</v>
      </c>
      <c r="R22">
        <v>21</v>
      </c>
    </row>
    <row r="23" spans="1:18">
      <c r="A23" s="1" t="s">
        <v>32</v>
      </c>
      <c r="B23">
        <v>38</v>
      </c>
      <c r="C23">
        <v>26</v>
      </c>
      <c r="D23">
        <v>12</v>
      </c>
      <c r="E23">
        <v>10.11</v>
      </c>
      <c r="F23">
        <v>2843</v>
      </c>
      <c r="G23">
        <v>959</v>
      </c>
      <c r="H23">
        <v>2108</v>
      </c>
      <c r="I23">
        <v>645</v>
      </c>
      <c r="J23">
        <v>949</v>
      </c>
      <c r="K23">
        <v>525</v>
      </c>
      <c r="L23">
        <v>1456</v>
      </c>
      <c r="M23">
        <v>563</v>
      </c>
      <c r="N23">
        <v>197</v>
      </c>
      <c r="O23">
        <v>202</v>
      </c>
      <c r="P23">
        <v>440</v>
      </c>
      <c r="Q23">
        <v>648</v>
      </c>
      <c r="R23">
        <v>22</v>
      </c>
    </row>
    <row r="24" spans="1:18">
      <c r="A24" s="1" t="s">
        <v>33</v>
      </c>
      <c r="B24">
        <v>36</v>
      </c>
      <c r="C24">
        <v>26</v>
      </c>
      <c r="D24">
        <v>10</v>
      </c>
      <c r="E24">
        <v>-1.88</v>
      </c>
      <c r="F24">
        <v>2876</v>
      </c>
      <c r="G24">
        <v>983</v>
      </c>
      <c r="H24">
        <v>1973</v>
      </c>
      <c r="I24">
        <v>587</v>
      </c>
      <c r="J24">
        <v>794</v>
      </c>
      <c r="K24">
        <v>315</v>
      </c>
      <c r="L24">
        <v>1123</v>
      </c>
      <c r="M24">
        <v>571</v>
      </c>
      <c r="N24">
        <v>248</v>
      </c>
      <c r="O24">
        <v>88</v>
      </c>
      <c r="P24">
        <v>463</v>
      </c>
      <c r="Q24">
        <v>735</v>
      </c>
      <c r="R24">
        <v>23</v>
      </c>
    </row>
    <row r="25" spans="1:18">
      <c r="A25" s="1" t="s">
        <v>34</v>
      </c>
      <c r="B25">
        <v>32</v>
      </c>
      <c r="C25">
        <v>7</v>
      </c>
      <c r="D25">
        <v>25</v>
      </c>
      <c r="E25">
        <v>-7.53</v>
      </c>
      <c r="F25">
        <v>2032</v>
      </c>
      <c r="G25">
        <v>686</v>
      </c>
      <c r="H25">
        <v>1713</v>
      </c>
      <c r="I25">
        <v>442</v>
      </c>
      <c r="J25">
        <v>615</v>
      </c>
      <c r="K25">
        <v>367</v>
      </c>
      <c r="L25">
        <v>1002</v>
      </c>
      <c r="M25">
        <v>316</v>
      </c>
      <c r="N25">
        <v>199</v>
      </c>
      <c r="O25">
        <v>80</v>
      </c>
      <c r="P25">
        <v>408</v>
      </c>
      <c r="Q25">
        <v>681</v>
      </c>
      <c r="R25">
        <v>24</v>
      </c>
    </row>
    <row r="26" spans="1:18">
      <c r="A26" s="1" t="s">
        <v>303</v>
      </c>
      <c r="B26">
        <v>30</v>
      </c>
      <c r="C26">
        <v>7</v>
      </c>
      <c r="D26">
        <v>23</v>
      </c>
      <c r="E26">
        <v>-6.15</v>
      </c>
      <c r="F26">
        <v>1840</v>
      </c>
      <c r="G26">
        <v>591</v>
      </c>
      <c r="H26">
        <v>1554</v>
      </c>
      <c r="I26">
        <v>476</v>
      </c>
      <c r="J26">
        <v>687</v>
      </c>
      <c r="K26">
        <v>312</v>
      </c>
      <c r="L26">
        <v>970</v>
      </c>
      <c r="M26">
        <v>282</v>
      </c>
      <c r="N26">
        <v>184</v>
      </c>
      <c r="O26">
        <v>60</v>
      </c>
      <c r="P26">
        <v>428</v>
      </c>
      <c r="Q26">
        <v>596</v>
      </c>
      <c r="R26">
        <v>25</v>
      </c>
    </row>
    <row r="27" spans="1:18">
      <c r="A27" s="1" t="s">
        <v>35</v>
      </c>
      <c r="B27">
        <v>34</v>
      </c>
      <c r="C27">
        <v>21</v>
      </c>
      <c r="D27">
        <v>13</v>
      </c>
      <c r="E27">
        <v>3.86</v>
      </c>
      <c r="F27">
        <v>2591</v>
      </c>
      <c r="G27">
        <v>890</v>
      </c>
      <c r="H27">
        <v>1952</v>
      </c>
      <c r="I27">
        <v>547</v>
      </c>
      <c r="J27">
        <v>730</v>
      </c>
      <c r="K27">
        <v>374</v>
      </c>
      <c r="L27">
        <v>1169</v>
      </c>
      <c r="M27">
        <v>407</v>
      </c>
      <c r="N27">
        <v>203</v>
      </c>
      <c r="O27">
        <v>71</v>
      </c>
      <c r="P27">
        <v>340</v>
      </c>
      <c r="Q27">
        <v>653</v>
      </c>
      <c r="R27">
        <v>26</v>
      </c>
    </row>
    <row r="28" spans="1:18">
      <c r="A28" s="1" t="s">
        <v>36</v>
      </c>
      <c r="B28">
        <v>32</v>
      </c>
      <c r="C28">
        <v>8</v>
      </c>
      <c r="D28">
        <v>24</v>
      </c>
      <c r="E28">
        <v>8.6199999999999992</v>
      </c>
      <c r="F28">
        <v>2197</v>
      </c>
      <c r="G28">
        <v>716</v>
      </c>
      <c r="H28">
        <v>1606</v>
      </c>
      <c r="I28">
        <v>518</v>
      </c>
      <c r="J28">
        <v>699</v>
      </c>
      <c r="K28">
        <v>265</v>
      </c>
      <c r="L28">
        <v>951</v>
      </c>
      <c r="M28">
        <v>397</v>
      </c>
      <c r="N28">
        <v>140</v>
      </c>
      <c r="O28">
        <v>86</v>
      </c>
      <c r="P28">
        <v>358</v>
      </c>
      <c r="Q28">
        <v>603</v>
      </c>
      <c r="R28">
        <v>27</v>
      </c>
    </row>
    <row r="29" spans="1:18">
      <c r="A29" s="1" t="s">
        <v>37</v>
      </c>
      <c r="B29">
        <v>35</v>
      </c>
      <c r="C29">
        <v>24</v>
      </c>
      <c r="D29">
        <v>11</v>
      </c>
      <c r="E29">
        <v>-2.4</v>
      </c>
      <c r="F29">
        <v>2492</v>
      </c>
      <c r="G29">
        <v>894</v>
      </c>
      <c r="H29">
        <v>1978</v>
      </c>
      <c r="I29">
        <v>422</v>
      </c>
      <c r="J29">
        <v>591</v>
      </c>
      <c r="K29">
        <v>333</v>
      </c>
      <c r="L29">
        <v>1161</v>
      </c>
      <c r="M29">
        <v>491</v>
      </c>
      <c r="N29">
        <v>245</v>
      </c>
      <c r="O29">
        <v>62</v>
      </c>
      <c r="P29">
        <v>411</v>
      </c>
      <c r="Q29">
        <v>590</v>
      </c>
      <c r="R29">
        <v>28</v>
      </c>
    </row>
    <row r="30" spans="1:18">
      <c r="A30" s="1" t="s">
        <v>38</v>
      </c>
      <c r="B30">
        <v>32</v>
      </c>
      <c r="C30">
        <v>12</v>
      </c>
      <c r="D30">
        <v>20</v>
      </c>
      <c r="E30">
        <v>-0.2</v>
      </c>
      <c r="F30">
        <v>2007</v>
      </c>
      <c r="G30">
        <v>743</v>
      </c>
      <c r="H30">
        <v>1745</v>
      </c>
      <c r="I30">
        <v>401</v>
      </c>
      <c r="J30">
        <v>630</v>
      </c>
      <c r="K30">
        <v>339</v>
      </c>
      <c r="L30">
        <v>1131</v>
      </c>
      <c r="M30">
        <v>387</v>
      </c>
      <c r="N30">
        <v>246</v>
      </c>
      <c r="O30">
        <v>177</v>
      </c>
      <c r="P30">
        <v>469</v>
      </c>
      <c r="Q30">
        <v>564</v>
      </c>
      <c r="R30">
        <v>29</v>
      </c>
    </row>
    <row r="31" spans="1:18">
      <c r="A31" s="1" t="s">
        <v>39</v>
      </c>
      <c r="B31">
        <v>32</v>
      </c>
      <c r="C31">
        <v>12</v>
      </c>
      <c r="D31">
        <v>20</v>
      </c>
      <c r="E31">
        <v>-0.31</v>
      </c>
      <c r="F31">
        <v>2036</v>
      </c>
      <c r="G31">
        <v>721</v>
      </c>
      <c r="H31">
        <v>1720</v>
      </c>
      <c r="I31">
        <v>440</v>
      </c>
      <c r="J31">
        <v>628</v>
      </c>
      <c r="K31">
        <v>356</v>
      </c>
      <c r="L31">
        <v>1064</v>
      </c>
      <c r="M31">
        <v>306</v>
      </c>
      <c r="N31">
        <v>226</v>
      </c>
      <c r="O31">
        <v>84</v>
      </c>
      <c r="P31">
        <v>383</v>
      </c>
      <c r="Q31">
        <v>635</v>
      </c>
      <c r="R31">
        <v>30</v>
      </c>
    </row>
    <row r="32" spans="1:18">
      <c r="A32" s="1" t="s">
        <v>40</v>
      </c>
      <c r="B32">
        <v>35</v>
      </c>
      <c r="C32">
        <v>23</v>
      </c>
      <c r="D32">
        <v>12</v>
      </c>
      <c r="E32">
        <v>5.72</v>
      </c>
      <c r="F32">
        <v>2931</v>
      </c>
      <c r="G32">
        <v>1012</v>
      </c>
      <c r="H32">
        <v>2186</v>
      </c>
      <c r="I32">
        <v>730</v>
      </c>
      <c r="J32">
        <v>1055</v>
      </c>
      <c r="K32">
        <v>463</v>
      </c>
      <c r="L32">
        <v>1432</v>
      </c>
      <c r="M32">
        <v>544</v>
      </c>
      <c r="N32">
        <v>251</v>
      </c>
      <c r="O32">
        <v>103</v>
      </c>
      <c r="P32">
        <v>395</v>
      </c>
      <c r="Q32">
        <v>690</v>
      </c>
      <c r="R32">
        <v>31</v>
      </c>
    </row>
    <row r="33" spans="1:18">
      <c r="A33" s="1" t="s">
        <v>41</v>
      </c>
      <c r="B33">
        <v>29</v>
      </c>
      <c r="C33">
        <v>15</v>
      </c>
      <c r="D33">
        <v>14</v>
      </c>
      <c r="E33">
        <v>-4.04</v>
      </c>
      <c r="F33">
        <v>2065</v>
      </c>
      <c r="G33">
        <v>735</v>
      </c>
      <c r="H33">
        <v>1705</v>
      </c>
      <c r="I33">
        <v>399</v>
      </c>
      <c r="J33">
        <v>593</v>
      </c>
      <c r="K33">
        <v>329</v>
      </c>
      <c r="L33">
        <v>1154</v>
      </c>
      <c r="M33">
        <v>388</v>
      </c>
      <c r="N33">
        <v>164</v>
      </c>
      <c r="O33">
        <v>138</v>
      </c>
      <c r="P33">
        <v>375</v>
      </c>
      <c r="Q33">
        <v>570</v>
      </c>
      <c r="R33">
        <v>32</v>
      </c>
    </row>
    <row r="34" spans="1:18">
      <c r="A34" s="1" t="s">
        <v>352</v>
      </c>
      <c r="B34">
        <v>32</v>
      </c>
      <c r="C34">
        <v>18</v>
      </c>
      <c r="D34">
        <v>14</v>
      </c>
      <c r="E34">
        <v>-4.8899999999999997</v>
      </c>
      <c r="F34">
        <v>2351</v>
      </c>
      <c r="G34">
        <v>840</v>
      </c>
      <c r="H34">
        <v>1788</v>
      </c>
      <c r="I34">
        <v>470</v>
      </c>
      <c r="J34">
        <v>669</v>
      </c>
      <c r="K34">
        <v>307</v>
      </c>
      <c r="L34">
        <v>1095</v>
      </c>
      <c r="M34">
        <v>420</v>
      </c>
      <c r="N34">
        <v>207</v>
      </c>
      <c r="O34">
        <v>93</v>
      </c>
      <c r="P34">
        <v>397</v>
      </c>
      <c r="Q34">
        <v>568</v>
      </c>
      <c r="R34">
        <v>33</v>
      </c>
    </row>
    <row r="35" spans="1:18">
      <c r="A35" s="1" t="s">
        <v>42</v>
      </c>
      <c r="B35">
        <v>30</v>
      </c>
      <c r="C35">
        <v>16</v>
      </c>
      <c r="D35">
        <v>14</v>
      </c>
      <c r="E35">
        <v>-3.14</v>
      </c>
      <c r="F35">
        <v>1977</v>
      </c>
      <c r="G35">
        <v>698</v>
      </c>
      <c r="H35">
        <v>1627</v>
      </c>
      <c r="I35">
        <v>385</v>
      </c>
      <c r="J35">
        <v>516</v>
      </c>
      <c r="K35">
        <v>287</v>
      </c>
      <c r="L35">
        <v>1067</v>
      </c>
      <c r="M35">
        <v>357</v>
      </c>
      <c r="N35">
        <v>138</v>
      </c>
      <c r="O35">
        <v>49</v>
      </c>
      <c r="P35">
        <v>321</v>
      </c>
      <c r="Q35">
        <v>500</v>
      </c>
      <c r="R35">
        <v>34</v>
      </c>
    </row>
    <row r="36" spans="1:18">
      <c r="A36" s="1" t="s">
        <v>43</v>
      </c>
      <c r="B36">
        <v>29</v>
      </c>
      <c r="C36">
        <v>19</v>
      </c>
      <c r="D36">
        <v>10</v>
      </c>
      <c r="E36">
        <v>-2.13</v>
      </c>
      <c r="F36">
        <v>2132</v>
      </c>
      <c r="G36">
        <v>729</v>
      </c>
      <c r="H36">
        <v>1631</v>
      </c>
      <c r="I36">
        <v>487</v>
      </c>
      <c r="J36">
        <v>684</v>
      </c>
      <c r="K36">
        <v>355</v>
      </c>
      <c r="L36">
        <v>1074</v>
      </c>
      <c r="M36">
        <v>436</v>
      </c>
      <c r="N36">
        <v>198</v>
      </c>
      <c r="O36">
        <v>137</v>
      </c>
      <c r="P36">
        <v>365</v>
      </c>
      <c r="Q36">
        <v>535</v>
      </c>
      <c r="R36">
        <v>35</v>
      </c>
    </row>
    <row r="37" spans="1:18">
      <c r="A37" s="1" t="s">
        <v>304</v>
      </c>
      <c r="B37">
        <v>31</v>
      </c>
      <c r="C37">
        <v>14</v>
      </c>
      <c r="D37">
        <v>17</v>
      </c>
      <c r="E37">
        <v>6.98</v>
      </c>
      <c r="F37">
        <v>2125</v>
      </c>
      <c r="G37">
        <v>755</v>
      </c>
      <c r="H37">
        <v>1758</v>
      </c>
      <c r="I37">
        <v>432</v>
      </c>
      <c r="J37">
        <v>654</v>
      </c>
      <c r="K37">
        <v>340</v>
      </c>
      <c r="L37">
        <v>1072</v>
      </c>
      <c r="M37">
        <v>345</v>
      </c>
      <c r="N37">
        <v>186</v>
      </c>
      <c r="O37">
        <v>88</v>
      </c>
      <c r="P37">
        <v>310</v>
      </c>
      <c r="Q37">
        <v>523</v>
      </c>
      <c r="R37">
        <v>36</v>
      </c>
    </row>
    <row r="38" spans="1:18">
      <c r="A38" s="1" t="s">
        <v>44</v>
      </c>
      <c r="B38">
        <v>34</v>
      </c>
      <c r="C38">
        <v>14</v>
      </c>
      <c r="D38">
        <v>20</v>
      </c>
      <c r="E38">
        <v>1.69</v>
      </c>
      <c r="F38">
        <v>2141</v>
      </c>
      <c r="G38">
        <v>754</v>
      </c>
      <c r="H38">
        <v>1850</v>
      </c>
      <c r="I38">
        <v>415</v>
      </c>
      <c r="J38">
        <v>603</v>
      </c>
      <c r="K38">
        <v>377</v>
      </c>
      <c r="L38">
        <v>1096</v>
      </c>
      <c r="M38">
        <v>394</v>
      </c>
      <c r="N38">
        <v>198</v>
      </c>
      <c r="O38">
        <v>93</v>
      </c>
      <c r="P38">
        <v>303</v>
      </c>
      <c r="Q38">
        <v>621</v>
      </c>
      <c r="R38">
        <v>37</v>
      </c>
    </row>
    <row r="39" spans="1:18">
      <c r="A39" s="1" t="s">
        <v>343</v>
      </c>
      <c r="B39">
        <v>32</v>
      </c>
      <c r="C39">
        <v>13</v>
      </c>
      <c r="D39">
        <v>19</v>
      </c>
      <c r="E39">
        <v>-4.3099999999999996</v>
      </c>
      <c r="F39">
        <v>2215</v>
      </c>
      <c r="G39">
        <v>767</v>
      </c>
      <c r="H39">
        <v>1752</v>
      </c>
      <c r="I39">
        <v>460</v>
      </c>
      <c r="J39">
        <v>669</v>
      </c>
      <c r="K39">
        <v>379</v>
      </c>
      <c r="L39">
        <v>1116</v>
      </c>
      <c r="M39">
        <v>384</v>
      </c>
      <c r="N39">
        <v>208</v>
      </c>
      <c r="O39">
        <v>111</v>
      </c>
      <c r="P39">
        <v>443</v>
      </c>
      <c r="Q39">
        <v>708</v>
      </c>
      <c r="R39">
        <v>38</v>
      </c>
    </row>
    <row r="40" spans="1:18">
      <c r="A40" s="1" t="s">
        <v>45</v>
      </c>
      <c r="B40">
        <v>31</v>
      </c>
      <c r="C40">
        <v>11</v>
      </c>
      <c r="D40">
        <v>20</v>
      </c>
      <c r="E40">
        <v>-1.1200000000000001</v>
      </c>
      <c r="F40">
        <v>2092</v>
      </c>
      <c r="G40">
        <v>734</v>
      </c>
      <c r="H40">
        <v>1726</v>
      </c>
      <c r="I40">
        <v>433</v>
      </c>
      <c r="J40">
        <v>658</v>
      </c>
      <c r="K40">
        <v>325</v>
      </c>
      <c r="L40">
        <v>1046</v>
      </c>
      <c r="M40">
        <v>343</v>
      </c>
      <c r="N40">
        <v>145</v>
      </c>
      <c r="O40">
        <v>58</v>
      </c>
      <c r="P40">
        <v>370</v>
      </c>
      <c r="Q40">
        <v>604</v>
      </c>
      <c r="R40">
        <v>39</v>
      </c>
    </row>
    <row r="41" spans="1:18">
      <c r="A41" s="1" t="s">
        <v>46</v>
      </c>
      <c r="B41">
        <v>35</v>
      </c>
      <c r="C41">
        <v>17</v>
      </c>
      <c r="D41">
        <v>18</v>
      </c>
      <c r="E41">
        <v>-3.29</v>
      </c>
      <c r="F41">
        <v>2689</v>
      </c>
      <c r="G41">
        <v>888</v>
      </c>
      <c r="H41">
        <v>1955</v>
      </c>
      <c r="I41">
        <v>765</v>
      </c>
      <c r="J41">
        <v>967</v>
      </c>
      <c r="K41">
        <v>388</v>
      </c>
      <c r="L41">
        <v>1246</v>
      </c>
      <c r="M41">
        <v>471</v>
      </c>
      <c r="N41">
        <v>242</v>
      </c>
      <c r="O41">
        <v>96</v>
      </c>
      <c r="P41">
        <v>447</v>
      </c>
      <c r="Q41">
        <v>718</v>
      </c>
      <c r="R41">
        <v>40</v>
      </c>
    </row>
    <row r="42" spans="1:18">
      <c r="A42" s="1" t="s">
        <v>330</v>
      </c>
      <c r="B42">
        <v>31</v>
      </c>
      <c r="C42">
        <v>9</v>
      </c>
      <c r="D42">
        <v>22</v>
      </c>
      <c r="E42">
        <v>-1.76</v>
      </c>
      <c r="F42">
        <v>2174</v>
      </c>
      <c r="G42">
        <v>745</v>
      </c>
      <c r="H42">
        <v>1701</v>
      </c>
      <c r="I42">
        <v>439</v>
      </c>
      <c r="J42">
        <v>631</v>
      </c>
      <c r="K42">
        <v>255</v>
      </c>
      <c r="L42">
        <v>887</v>
      </c>
      <c r="M42">
        <v>372</v>
      </c>
      <c r="N42">
        <v>159</v>
      </c>
      <c r="O42">
        <v>70</v>
      </c>
      <c r="P42">
        <v>373</v>
      </c>
      <c r="Q42">
        <v>606</v>
      </c>
      <c r="R42">
        <v>41</v>
      </c>
    </row>
    <row r="43" spans="1:18">
      <c r="A43" s="1" t="s">
        <v>47</v>
      </c>
      <c r="B43">
        <v>35</v>
      </c>
      <c r="C43">
        <v>23</v>
      </c>
      <c r="D43">
        <v>12</v>
      </c>
      <c r="E43">
        <v>-0.65</v>
      </c>
      <c r="F43">
        <v>2468</v>
      </c>
      <c r="G43">
        <v>909</v>
      </c>
      <c r="H43">
        <v>1932</v>
      </c>
      <c r="I43">
        <v>453</v>
      </c>
      <c r="J43">
        <v>707</v>
      </c>
      <c r="K43">
        <v>380</v>
      </c>
      <c r="L43">
        <v>1350</v>
      </c>
      <c r="M43">
        <v>546</v>
      </c>
      <c r="N43">
        <v>195</v>
      </c>
      <c r="O43">
        <v>224</v>
      </c>
      <c r="P43">
        <v>444</v>
      </c>
      <c r="Q43">
        <v>644</v>
      </c>
      <c r="R43">
        <v>42</v>
      </c>
    </row>
    <row r="44" spans="1:18">
      <c r="A44" s="1" t="s">
        <v>305</v>
      </c>
      <c r="B44">
        <v>31</v>
      </c>
      <c r="C44">
        <v>10</v>
      </c>
      <c r="D44">
        <v>21</v>
      </c>
      <c r="E44">
        <v>-2.33</v>
      </c>
      <c r="F44">
        <v>2117</v>
      </c>
      <c r="G44">
        <v>740</v>
      </c>
      <c r="H44">
        <v>1710</v>
      </c>
      <c r="I44">
        <v>499</v>
      </c>
      <c r="J44">
        <v>711</v>
      </c>
      <c r="K44">
        <v>319</v>
      </c>
      <c r="L44">
        <v>1051</v>
      </c>
      <c r="M44">
        <v>349</v>
      </c>
      <c r="N44">
        <v>199</v>
      </c>
      <c r="O44">
        <v>134</v>
      </c>
      <c r="P44">
        <v>408</v>
      </c>
      <c r="Q44">
        <v>599</v>
      </c>
      <c r="R44">
        <v>43</v>
      </c>
    </row>
    <row r="45" spans="1:18">
      <c r="A45" s="1" t="s">
        <v>48</v>
      </c>
      <c r="B45">
        <v>30</v>
      </c>
      <c r="C45">
        <v>21</v>
      </c>
      <c r="D45">
        <v>9</v>
      </c>
      <c r="E45">
        <v>-0.13</v>
      </c>
      <c r="F45">
        <v>2137</v>
      </c>
      <c r="G45">
        <v>731</v>
      </c>
      <c r="H45">
        <v>1574</v>
      </c>
      <c r="I45">
        <v>465</v>
      </c>
      <c r="J45">
        <v>657</v>
      </c>
      <c r="K45">
        <v>306</v>
      </c>
      <c r="L45">
        <v>1059</v>
      </c>
      <c r="M45">
        <v>478</v>
      </c>
      <c r="N45">
        <v>149</v>
      </c>
      <c r="O45">
        <v>145</v>
      </c>
      <c r="P45">
        <v>335</v>
      </c>
      <c r="Q45">
        <v>564</v>
      </c>
      <c r="R45">
        <v>44</v>
      </c>
    </row>
    <row r="46" spans="1:18">
      <c r="A46" s="1" t="s">
        <v>49</v>
      </c>
      <c r="B46">
        <v>35</v>
      </c>
      <c r="C46">
        <v>21</v>
      </c>
      <c r="D46">
        <v>14</v>
      </c>
      <c r="E46">
        <v>7.44</v>
      </c>
      <c r="F46">
        <v>2533</v>
      </c>
      <c r="G46">
        <v>921</v>
      </c>
      <c r="H46">
        <v>2014</v>
      </c>
      <c r="I46">
        <v>492</v>
      </c>
      <c r="J46">
        <v>717</v>
      </c>
      <c r="K46">
        <v>353</v>
      </c>
      <c r="L46">
        <v>1247</v>
      </c>
      <c r="M46">
        <v>537</v>
      </c>
      <c r="N46">
        <v>185</v>
      </c>
      <c r="O46">
        <v>159</v>
      </c>
      <c r="P46">
        <v>356</v>
      </c>
      <c r="Q46">
        <v>593</v>
      </c>
      <c r="R46">
        <v>45</v>
      </c>
    </row>
    <row r="47" spans="1:18">
      <c r="A47" s="1" t="s">
        <v>50</v>
      </c>
      <c r="B47">
        <v>32</v>
      </c>
      <c r="C47">
        <v>12</v>
      </c>
      <c r="D47">
        <v>20</v>
      </c>
      <c r="E47">
        <v>-7.33</v>
      </c>
      <c r="F47">
        <v>2164</v>
      </c>
      <c r="G47">
        <v>771</v>
      </c>
      <c r="H47">
        <v>1747</v>
      </c>
      <c r="I47">
        <v>344</v>
      </c>
      <c r="J47">
        <v>508</v>
      </c>
      <c r="K47">
        <v>345</v>
      </c>
      <c r="L47">
        <v>1049</v>
      </c>
      <c r="M47">
        <v>454</v>
      </c>
      <c r="N47">
        <v>193</v>
      </c>
      <c r="O47">
        <v>140</v>
      </c>
      <c r="P47">
        <v>427</v>
      </c>
      <c r="Q47">
        <v>572</v>
      </c>
      <c r="R47">
        <v>46</v>
      </c>
    </row>
    <row r="48" spans="1:18">
      <c r="A48" s="1" t="s">
        <v>51</v>
      </c>
      <c r="B48">
        <v>34</v>
      </c>
      <c r="C48">
        <v>21</v>
      </c>
      <c r="D48">
        <v>13</v>
      </c>
      <c r="E48">
        <v>-1.95</v>
      </c>
      <c r="F48">
        <v>2661</v>
      </c>
      <c r="G48">
        <v>913</v>
      </c>
      <c r="H48">
        <v>1989</v>
      </c>
      <c r="I48">
        <v>564</v>
      </c>
      <c r="J48">
        <v>762</v>
      </c>
      <c r="K48">
        <v>385</v>
      </c>
      <c r="L48">
        <v>1109</v>
      </c>
      <c r="M48">
        <v>425</v>
      </c>
      <c r="N48">
        <v>233</v>
      </c>
      <c r="O48">
        <v>130</v>
      </c>
      <c r="P48">
        <v>394</v>
      </c>
      <c r="Q48">
        <v>613</v>
      </c>
      <c r="R48">
        <v>47</v>
      </c>
    </row>
    <row r="49" spans="1:18">
      <c r="A49" s="1" t="s">
        <v>344</v>
      </c>
      <c r="B49">
        <v>29</v>
      </c>
      <c r="C49">
        <v>8</v>
      </c>
      <c r="D49">
        <v>21</v>
      </c>
      <c r="E49">
        <v>-5.54</v>
      </c>
      <c r="F49">
        <v>2165</v>
      </c>
      <c r="G49">
        <v>787</v>
      </c>
      <c r="H49">
        <v>1761</v>
      </c>
      <c r="I49">
        <v>400</v>
      </c>
      <c r="J49">
        <v>666</v>
      </c>
      <c r="K49">
        <v>323</v>
      </c>
      <c r="L49">
        <v>982</v>
      </c>
      <c r="M49">
        <v>368</v>
      </c>
      <c r="N49">
        <v>247</v>
      </c>
      <c r="O49">
        <v>137</v>
      </c>
      <c r="P49">
        <v>421</v>
      </c>
      <c r="Q49">
        <v>634</v>
      </c>
      <c r="R49">
        <v>48</v>
      </c>
    </row>
    <row r="50" spans="1:18">
      <c r="A50" s="1" t="s">
        <v>274</v>
      </c>
      <c r="B50">
        <v>30</v>
      </c>
      <c r="C50">
        <v>11</v>
      </c>
      <c r="D50">
        <v>19</v>
      </c>
      <c r="E50">
        <v>-6.06</v>
      </c>
      <c r="F50">
        <v>2117</v>
      </c>
      <c r="G50">
        <v>781</v>
      </c>
      <c r="H50">
        <v>1794</v>
      </c>
      <c r="I50">
        <v>386</v>
      </c>
      <c r="J50">
        <v>538</v>
      </c>
      <c r="K50">
        <v>316</v>
      </c>
      <c r="L50">
        <v>1036</v>
      </c>
      <c r="M50">
        <v>391</v>
      </c>
      <c r="N50">
        <v>207</v>
      </c>
      <c r="O50">
        <v>146</v>
      </c>
      <c r="P50">
        <v>420</v>
      </c>
      <c r="Q50">
        <v>557</v>
      </c>
      <c r="R50">
        <v>49</v>
      </c>
    </row>
    <row r="51" spans="1:18">
      <c r="A51" s="1" t="s">
        <v>53</v>
      </c>
      <c r="B51">
        <v>31</v>
      </c>
      <c r="C51">
        <v>13</v>
      </c>
      <c r="D51">
        <v>18</v>
      </c>
      <c r="E51">
        <v>5.14</v>
      </c>
      <c r="F51">
        <v>2253</v>
      </c>
      <c r="G51">
        <v>803</v>
      </c>
      <c r="H51">
        <v>1831</v>
      </c>
      <c r="I51">
        <v>432</v>
      </c>
      <c r="J51">
        <v>704</v>
      </c>
      <c r="K51">
        <v>441</v>
      </c>
      <c r="L51">
        <v>1184</v>
      </c>
      <c r="M51">
        <v>389</v>
      </c>
      <c r="N51">
        <v>213</v>
      </c>
      <c r="O51">
        <v>137</v>
      </c>
      <c r="P51">
        <v>424</v>
      </c>
      <c r="Q51">
        <v>556</v>
      </c>
      <c r="R51">
        <v>50</v>
      </c>
    </row>
    <row r="52" spans="1:18">
      <c r="A52" s="1" t="s">
        <v>54</v>
      </c>
      <c r="B52">
        <v>31</v>
      </c>
      <c r="C52">
        <v>10</v>
      </c>
      <c r="D52">
        <v>21</v>
      </c>
      <c r="E52">
        <v>-2.72</v>
      </c>
      <c r="F52">
        <v>2246</v>
      </c>
      <c r="G52">
        <v>766</v>
      </c>
      <c r="H52">
        <v>1767</v>
      </c>
      <c r="I52">
        <v>465</v>
      </c>
      <c r="J52">
        <v>655</v>
      </c>
      <c r="K52">
        <v>330</v>
      </c>
      <c r="L52">
        <v>971</v>
      </c>
      <c r="M52">
        <v>371</v>
      </c>
      <c r="N52">
        <v>232</v>
      </c>
      <c r="O52">
        <v>36</v>
      </c>
      <c r="P52">
        <v>331</v>
      </c>
      <c r="Q52">
        <v>561</v>
      </c>
      <c r="R52">
        <v>51</v>
      </c>
    </row>
    <row r="53" spans="1:18">
      <c r="A53" s="1" t="s">
        <v>55</v>
      </c>
      <c r="B53">
        <v>31</v>
      </c>
      <c r="C53">
        <v>13</v>
      </c>
      <c r="D53">
        <v>18</v>
      </c>
      <c r="E53">
        <v>-5.75</v>
      </c>
      <c r="F53">
        <v>2523</v>
      </c>
      <c r="G53">
        <v>859</v>
      </c>
      <c r="H53">
        <v>1876</v>
      </c>
      <c r="I53">
        <v>503</v>
      </c>
      <c r="J53">
        <v>689</v>
      </c>
      <c r="K53">
        <v>366</v>
      </c>
      <c r="L53">
        <v>1160</v>
      </c>
      <c r="M53">
        <v>424</v>
      </c>
      <c r="N53">
        <v>202</v>
      </c>
      <c r="O53">
        <v>88</v>
      </c>
      <c r="P53">
        <v>334</v>
      </c>
      <c r="Q53">
        <v>565</v>
      </c>
      <c r="R53">
        <v>52</v>
      </c>
    </row>
    <row r="54" spans="1:18">
      <c r="A54" s="1" t="s">
        <v>56</v>
      </c>
      <c r="B54">
        <v>31</v>
      </c>
      <c r="C54">
        <v>17</v>
      </c>
      <c r="D54">
        <v>14</v>
      </c>
      <c r="E54">
        <v>-0.5</v>
      </c>
      <c r="F54">
        <v>2215</v>
      </c>
      <c r="G54">
        <v>788</v>
      </c>
      <c r="H54">
        <v>1771</v>
      </c>
      <c r="I54">
        <v>453</v>
      </c>
      <c r="J54">
        <v>699</v>
      </c>
      <c r="K54">
        <v>380</v>
      </c>
      <c r="L54">
        <v>1187</v>
      </c>
      <c r="M54">
        <v>420</v>
      </c>
      <c r="N54">
        <v>188</v>
      </c>
      <c r="O54">
        <v>78</v>
      </c>
      <c r="P54">
        <v>456</v>
      </c>
      <c r="Q54">
        <v>569</v>
      </c>
      <c r="R54">
        <v>53</v>
      </c>
    </row>
    <row r="55" spans="1:18">
      <c r="A55" s="1" t="s">
        <v>57</v>
      </c>
      <c r="B55">
        <v>33</v>
      </c>
      <c r="C55">
        <v>18</v>
      </c>
      <c r="D55">
        <v>15</v>
      </c>
      <c r="E55">
        <v>-7.9</v>
      </c>
      <c r="F55">
        <v>2489</v>
      </c>
      <c r="G55">
        <v>832</v>
      </c>
      <c r="H55">
        <v>1922</v>
      </c>
      <c r="I55">
        <v>609</v>
      </c>
      <c r="J55">
        <v>866</v>
      </c>
      <c r="K55">
        <v>441</v>
      </c>
      <c r="L55">
        <v>1235</v>
      </c>
      <c r="M55">
        <v>391</v>
      </c>
      <c r="N55">
        <v>232</v>
      </c>
      <c r="O55">
        <v>168</v>
      </c>
      <c r="P55">
        <v>442</v>
      </c>
      <c r="Q55">
        <v>635</v>
      </c>
      <c r="R55">
        <v>54</v>
      </c>
    </row>
    <row r="56" spans="1:18">
      <c r="A56" s="1" t="s">
        <v>58</v>
      </c>
      <c r="B56">
        <v>32</v>
      </c>
      <c r="C56">
        <v>13</v>
      </c>
      <c r="D56">
        <v>19</v>
      </c>
      <c r="E56">
        <v>-2.44</v>
      </c>
      <c r="F56">
        <v>2232</v>
      </c>
      <c r="G56">
        <v>787</v>
      </c>
      <c r="H56">
        <v>1884</v>
      </c>
      <c r="I56">
        <v>438</v>
      </c>
      <c r="J56">
        <v>649</v>
      </c>
      <c r="K56">
        <v>325</v>
      </c>
      <c r="L56">
        <v>1003</v>
      </c>
      <c r="M56">
        <v>358</v>
      </c>
      <c r="N56">
        <v>278</v>
      </c>
      <c r="O56">
        <v>83</v>
      </c>
      <c r="P56">
        <v>389</v>
      </c>
      <c r="Q56">
        <v>736</v>
      </c>
      <c r="R56">
        <v>55</v>
      </c>
    </row>
    <row r="57" spans="1:18">
      <c r="A57" s="1" t="s">
        <v>335</v>
      </c>
      <c r="B57">
        <v>34</v>
      </c>
      <c r="C57">
        <v>27</v>
      </c>
      <c r="D57">
        <v>7</v>
      </c>
      <c r="E57">
        <v>5.28</v>
      </c>
      <c r="F57">
        <v>2325</v>
      </c>
      <c r="G57">
        <v>805</v>
      </c>
      <c r="H57">
        <v>1893</v>
      </c>
      <c r="I57">
        <v>519</v>
      </c>
      <c r="J57">
        <v>733</v>
      </c>
      <c r="K57">
        <v>457</v>
      </c>
      <c r="L57">
        <v>1224</v>
      </c>
      <c r="M57">
        <v>425</v>
      </c>
      <c r="N57">
        <v>268</v>
      </c>
      <c r="O57">
        <v>188</v>
      </c>
      <c r="P57">
        <v>377</v>
      </c>
      <c r="Q57">
        <v>596</v>
      </c>
      <c r="R57">
        <v>56</v>
      </c>
    </row>
    <row r="58" spans="1:18">
      <c r="A58" s="1" t="s">
        <v>59</v>
      </c>
      <c r="B58">
        <v>33</v>
      </c>
      <c r="C58">
        <v>7</v>
      </c>
      <c r="D58">
        <v>26</v>
      </c>
      <c r="E58">
        <v>-6.75</v>
      </c>
      <c r="F58">
        <v>2211</v>
      </c>
      <c r="G58">
        <v>764</v>
      </c>
      <c r="H58">
        <v>1778</v>
      </c>
      <c r="I58">
        <v>473</v>
      </c>
      <c r="J58">
        <v>655</v>
      </c>
      <c r="K58">
        <v>295</v>
      </c>
      <c r="L58">
        <v>1092</v>
      </c>
      <c r="M58">
        <v>442</v>
      </c>
      <c r="N58">
        <v>137</v>
      </c>
      <c r="O58">
        <v>95</v>
      </c>
      <c r="P58">
        <v>412</v>
      </c>
      <c r="Q58">
        <v>630</v>
      </c>
      <c r="R58">
        <v>57</v>
      </c>
    </row>
    <row r="59" spans="1:18">
      <c r="A59" s="1" t="s">
        <v>60</v>
      </c>
      <c r="B59">
        <v>36</v>
      </c>
      <c r="C59">
        <v>23</v>
      </c>
      <c r="D59">
        <v>13</v>
      </c>
      <c r="E59">
        <v>5.97</v>
      </c>
      <c r="F59">
        <v>2287</v>
      </c>
      <c r="G59">
        <v>796</v>
      </c>
      <c r="H59">
        <v>1879</v>
      </c>
      <c r="I59">
        <v>505</v>
      </c>
      <c r="J59">
        <v>679</v>
      </c>
      <c r="K59">
        <v>399</v>
      </c>
      <c r="L59">
        <v>1269</v>
      </c>
      <c r="M59">
        <v>383</v>
      </c>
      <c r="N59">
        <v>168</v>
      </c>
      <c r="O59">
        <v>221</v>
      </c>
      <c r="P59">
        <v>401</v>
      </c>
      <c r="Q59">
        <v>565</v>
      </c>
      <c r="R59">
        <v>58</v>
      </c>
    </row>
    <row r="60" spans="1:18">
      <c r="A60" s="1" t="s">
        <v>61</v>
      </c>
      <c r="B60">
        <v>33</v>
      </c>
      <c r="C60">
        <v>21</v>
      </c>
      <c r="D60">
        <v>12</v>
      </c>
      <c r="E60">
        <v>-0.52</v>
      </c>
      <c r="F60">
        <v>2410</v>
      </c>
      <c r="G60">
        <v>837</v>
      </c>
      <c r="H60">
        <v>1786</v>
      </c>
      <c r="I60">
        <v>496</v>
      </c>
      <c r="J60">
        <v>659</v>
      </c>
      <c r="K60">
        <v>345</v>
      </c>
      <c r="L60">
        <v>1115</v>
      </c>
      <c r="M60">
        <v>469</v>
      </c>
      <c r="N60">
        <v>200</v>
      </c>
      <c r="O60">
        <v>113</v>
      </c>
      <c r="P60">
        <v>414</v>
      </c>
      <c r="Q60">
        <v>649</v>
      </c>
      <c r="R60">
        <v>59</v>
      </c>
    </row>
    <row r="61" spans="1:18">
      <c r="A61" s="1" t="s">
        <v>62</v>
      </c>
      <c r="B61">
        <v>34</v>
      </c>
      <c r="C61">
        <v>21</v>
      </c>
      <c r="D61">
        <v>13</v>
      </c>
      <c r="E61">
        <v>-6.31</v>
      </c>
      <c r="F61">
        <v>2458</v>
      </c>
      <c r="G61">
        <v>861</v>
      </c>
      <c r="H61">
        <v>1969</v>
      </c>
      <c r="I61">
        <v>524</v>
      </c>
      <c r="J61">
        <v>758</v>
      </c>
      <c r="K61">
        <v>434</v>
      </c>
      <c r="L61">
        <v>1336</v>
      </c>
      <c r="M61">
        <v>362</v>
      </c>
      <c r="N61">
        <v>216</v>
      </c>
      <c r="O61">
        <v>96</v>
      </c>
      <c r="P61">
        <v>473</v>
      </c>
      <c r="Q61">
        <v>668</v>
      </c>
      <c r="R61">
        <v>60</v>
      </c>
    </row>
    <row r="62" spans="1:18">
      <c r="A62" s="1" t="s">
        <v>63</v>
      </c>
      <c r="B62">
        <v>31</v>
      </c>
      <c r="C62">
        <v>13</v>
      </c>
      <c r="D62">
        <v>18</v>
      </c>
      <c r="E62">
        <v>-4.08</v>
      </c>
      <c r="F62">
        <v>2158</v>
      </c>
      <c r="G62">
        <v>785</v>
      </c>
      <c r="H62">
        <v>1622</v>
      </c>
      <c r="I62">
        <v>328</v>
      </c>
      <c r="J62">
        <v>459</v>
      </c>
      <c r="K62">
        <v>220</v>
      </c>
      <c r="L62">
        <v>954</v>
      </c>
      <c r="M62">
        <v>440</v>
      </c>
      <c r="N62">
        <v>143</v>
      </c>
      <c r="O62">
        <v>70</v>
      </c>
      <c r="P62">
        <v>355</v>
      </c>
      <c r="Q62">
        <v>529</v>
      </c>
      <c r="R62">
        <v>61</v>
      </c>
    </row>
    <row r="63" spans="1:18">
      <c r="A63" s="1" t="s">
        <v>64</v>
      </c>
      <c r="B63">
        <v>32</v>
      </c>
      <c r="C63">
        <v>14</v>
      </c>
      <c r="D63">
        <v>18</v>
      </c>
      <c r="E63">
        <v>-1.89</v>
      </c>
      <c r="F63">
        <v>2016</v>
      </c>
      <c r="G63">
        <v>709</v>
      </c>
      <c r="H63">
        <v>1719</v>
      </c>
      <c r="I63">
        <v>389</v>
      </c>
      <c r="J63">
        <v>593</v>
      </c>
      <c r="K63">
        <v>393</v>
      </c>
      <c r="L63">
        <v>1213</v>
      </c>
      <c r="M63">
        <v>324</v>
      </c>
      <c r="N63">
        <v>149</v>
      </c>
      <c r="O63">
        <v>132</v>
      </c>
      <c r="P63">
        <v>409</v>
      </c>
      <c r="Q63">
        <v>595</v>
      </c>
      <c r="R63">
        <v>62</v>
      </c>
    </row>
    <row r="64" spans="1:18">
      <c r="A64" s="1" t="s">
        <v>65</v>
      </c>
      <c r="B64">
        <v>32</v>
      </c>
      <c r="C64">
        <v>16</v>
      </c>
      <c r="D64">
        <v>16</v>
      </c>
      <c r="E64">
        <v>2.16</v>
      </c>
      <c r="F64">
        <v>2347</v>
      </c>
      <c r="G64">
        <v>770</v>
      </c>
      <c r="H64">
        <v>1798</v>
      </c>
      <c r="I64">
        <v>637</v>
      </c>
      <c r="J64">
        <v>877</v>
      </c>
      <c r="K64">
        <v>405</v>
      </c>
      <c r="L64">
        <v>1202</v>
      </c>
      <c r="M64">
        <v>405</v>
      </c>
      <c r="N64">
        <v>159</v>
      </c>
      <c r="O64">
        <v>103</v>
      </c>
      <c r="P64">
        <v>293</v>
      </c>
      <c r="Q64">
        <v>591</v>
      </c>
      <c r="R64">
        <v>63</v>
      </c>
    </row>
    <row r="65" spans="1:18">
      <c r="A65" s="1" t="s">
        <v>66</v>
      </c>
      <c r="B65">
        <v>35</v>
      </c>
      <c r="C65">
        <v>23</v>
      </c>
      <c r="D65">
        <v>12</v>
      </c>
      <c r="E65">
        <v>8.8000000000000007</v>
      </c>
      <c r="F65">
        <v>2457</v>
      </c>
      <c r="G65">
        <v>814</v>
      </c>
      <c r="H65">
        <v>1871</v>
      </c>
      <c r="I65">
        <v>648</v>
      </c>
      <c r="J65">
        <v>903</v>
      </c>
      <c r="K65">
        <v>401</v>
      </c>
      <c r="L65">
        <v>1305</v>
      </c>
      <c r="M65">
        <v>397</v>
      </c>
      <c r="N65">
        <v>207</v>
      </c>
      <c r="O65">
        <v>115</v>
      </c>
      <c r="P65">
        <v>466</v>
      </c>
      <c r="Q65">
        <v>576</v>
      </c>
      <c r="R65">
        <v>64</v>
      </c>
    </row>
    <row r="66" spans="1:18">
      <c r="A66" s="1" t="s">
        <v>67</v>
      </c>
      <c r="B66">
        <v>34</v>
      </c>
      <c r="C66">
        <v>21</v>
      </c>
      <c r="D66">
        <v>13</v>
      </c>
      <c r="E66">
        <v>-1.92</v>
      </c>
      <c r="F66">
        <v>2313</v>
      </c>
      <c r="G66">
        <v>742</v>
      </c>
      <c r="H66">
        <v>1662</v>
      </c>
      <c r="I66">
        <v>551</v>
      </c>
      <c r="J66">
        <v>711</v>
      </c>
      <c r="K66">
        <v>284</v>
      </c>
      <c r="L66">
        <v>1111</v>
      </c>
      <c r="M66">
        <v>419</v>
      </c>
      <c r="N66">
        <v>173</v>
      </c>
      <c r="O66">
        <v>95</v>
      </c>
      <c r="P66">
        <v>412</v>
      </c>
      <c r="Q66">
        <v>626</v>
      </c>
      <c r="R66">
        <v>65</v>
      </c>
    </row>
    <row r="67" spans="1:18">
      <c r="A67" s="1" t="s">
        <v>275</v>
      </c>
      <c r="B67">
        <v>40</v>
      </c>
      <c r="C67">
        <v>32</v>
      </c>
      <c r="D67">
        <v>8</v>
      </c>
      <c r="E67">
        <v>8.6300000000000008</v>
      </c>
      <c r="F67">
        <v>2873</v>
      </c>
      <c r="G67">
        <v>971</v>
      </c>
      <c r="H67">
        <v>2163</v>
      </c>
      <c r="I67">
        <v>644</v>
      </c>
      <c r="J67">
        <v>829</v>
      </c>
      <c r="K67">
        <v>387</v>
      </c>
      <c r="L67">
        <v>1389</v>
      </c>
      <c r="M67">
        <v>488</v>
      </c>
      <c r="N67">
        <v>281</v>
      </c>
      <c r="O67">
        <v>230</v>
      </c>
      <c r="P67">
        <v>457</v>
      </c>
      <c r="Q67">
        <v>719</v>
      </c>
      <c r="R67">
        <v>66</v>
      </c>
    </row>
    <row r="68" spans="1:18">
      <c r="A68" s="1" t="s">
        <v>68</v>
      </c>
      <c r="B68">
        <v>32</v>
      </c>
      <c r="C68">
        <v>12</v>
      </c>
      <c r="D68">
        <v>20</v>
      </c>
      <c r="E68">
        <v>-4.99</v>
      </c>
      <c r="F68">
        <v>2231</v>
      </c>
      <c r="G68">
        <v>722</v>
      </c>
      <c r="H68">
        <v>1840</v>
      </c>
      <c r="I68">
        <v>552</v>
      </c>
      <c r="J68">
        <v>756</v>
      </c>
      <c r="K68">
        <v>370</v>
      </c>
      <c r="L68">
        <v>1075</v>
      </c>
      <c r="M68">
        <v>369</v>
      </c>
      <c r="N68">
        <v>192</v>
      </c>
      <c r="O68">
        <v>69</v>
      </c>
      <c r="P68">
        <v>380</v>
      </c>
      <c r="Q68">
        <v>545</v>
      </c>
      <c r="R68">
        <v>67</v>
      </c>
    </row>
    <row r="69" spans="1:18">
      <c r="A69" s="1" t="s">
        <v>69</v>
      </c>
      <c r="B69">
        <v>28</v>
      </c>
      <c r="C69">
        <v>2</v>
      </c>
      <c r="D69">
        <v>26</v>
      </c>
      <c r="E69">
        <v>0.03</v>
      </c>
      <c r="F69">
        <v>1795</v>
      </c>
      <c r="G69">
        <v>652</v>
      </c>
      <c r="H69">
        <v>1589</v>
      </c>
      <c r="I69">
        <v>299</v>
      </c>
      <c r="J69">
        <v>450</v>
      </c>
      <c r="K69">
        <v>292</v>
      </c>
      <c r="L69">
        <v>880</v>
      </c>
      <c r="M69">
        <v>300</v>
      </c>
      <c r="N69">
        <v>117</v>
      </c>
      <c r="O69">
        <v>78</v>
      </c>
      <c r="P69">
        <v>337</v>
      </c>
      <c r="Q69">
        <v>581</v>
      </c>
      <c r="R69">
        <v>68</v>
      </c>
    </row>
    <row r="70" spans="1:18">
      <c r="A70" s="1" t="s">
        <v>326</v>
      </c>
      <c r="B70">
        <v>35</v>
      </c>
      <c r="C70">
        <v>27</v>
      </c>
      <c r="D70">
        <v>8</v>
      </c>
      <c r="E70">
        <v>7.17</v>
      </c>
      <c r="F70">
        <v>2756</v>
      </c>
      <c r="G70">
        <v>957</v>
      </c>
      <c r="H70">
        <v>1927</v>
      </c>
      <c r="I70">
        <v>486</v>
      </c>
      <c r="J70">
        <v>654</v>
      </c>
      <c r="K70">
        <v>293</v>
      </c>
      <c r="L70">
        <v>1192</v>
      </c>
      <c r="M70">
        <v>614</v>
      </c>
      <c r="N70">
        <v>139</v>
      </c>
      <c r="O70">
        <v>49</v>
      </c>
      <c r="P70">
        <v>342</v>
      </c>
      <c r="Q70">
        <v>618</v>
      </c>
      <c r="R70">
        <v>69</v>
      </c>
    </row>
    <row r="71" spans="1:18">
      <c r="A71" s="1" t="s">
        <v>70</v>
      </c>
      <c r="B71">
        <v>28</v>
      </c>
      <c r="C71">
        <v>12</v>
      </c>
      <c r="D71">
        <v>16</v>
      </c>
      <c r="E71">
        <v>-3.24</v>
      </c>
      <c r="F71">
        <v>1905</v>
      </c>
      <c r="G71">
        <v>673</v>
      </c>
      <c r="H71">
        <v>1516</v>
      </c>
      <c r="I71">
        <v>385</v>
      </c>
      <c r="J71">
        <v>561</v>
      </c>
      <c r="K71">
        <v>301</v>
      </c>
      <c r="L71">
        <v>927</v>
      </c>
      <c r="M71">
        <v>352</v>
      </c>
      <c r="N71">
        <v>166</v>
      </c>
      <c r="O71">
        <v>86</v>
      </c>
      <c r="P71">
        <v>336</v>
      </c>
      <c r="Q71">
        <v>561</v>
      </c>
      <c r="R71">
        <v>70</v>
      </c>
    </row>
    <row r="72" spans="1:18">
      <c r="A72" s="1" t="s">
        <v>71</v>
      </c>
      <c r="B72">
        <v>33</v>
      </c>
      <c r="C72">
        <v>20</v>
      </c>
      <c r="D72">
        <v>13</v>
      </c>
      <c r="E72">
        <v>-3.73</v>
      </c>
      <c r="F72">
        <v>2591</v>
      </c>
      <c r="G72">
        <v>896</v>
      </c>
      <c r="H72">
        <v>1877</v>
      </c>
      <c r="I72">
        <v>526</v>
      </c>
      <c r="J72">
        <v>735</v>
      </c>
      <c r="K72">
        <v>324</v>
      </c>
      <c r="L72">
        <v>1087</v>
      </c>
      <c r="M72">
        <v>451</v>
      </c>
      <c r="N72">
        <v>179</v>
      </c>
      <c r="O72">
        <v>58</v>
      </c>
      <c r="P72">
        <v>378</v>
      </c>
      <c r="Q72">
        <v>665</v>
      </c>
      <c r="R72">
        <v>71</v>
      </c>
    </row>
    <row r="73" spans="1:18">
      <c r="A73" s="1" t="s">
        <v>276</v>
      </c>
      <c r="B73">
        <v>37</v>
      </c>
      <c r="C73">
        <v>26</v>
      </c>
      <c r="D73">
        <v>11</v>
      </c>
      <c r="E73">
        <v>5.34</v>
      </c>
      <c r="F73">
        <v>2671</v>
      </c>
      <c r="G73">
        <v>935</v>
      </c>
      <c r="H73">
        <v>2018</v>
      </c>
      <c r="I73">
        <v>558</v>
      </c>
      <c r="J73">
        <v>819</v>
      </c>
      <c r="K73">
        <v>414</v>
      </c>
      <c r="L73">
        <v>1289</v>
      </c>
      <c r="M73">
        <v>485</v>
      </c>
      <c r="N73">
        <v>222</v>
      </c>
      <c r="O73">
        <v>96</v>
      </c>
      <c r="P73">
        <v>442</v>
      </c>
      <c r="Q73">
        <v>736</v>
      </c>
      <c r="R73">
        <v>72</v>
      </c>
    </row>
    <row r="74" spans="1:18">
      <c r="A74" s="1" t="s">
        <v>72</v>
      </c>
      <c r="B74">
        <v>30</v>
      </c>
      <c r="C74">
        <v>9</v>
      </c>
      <c r="D74">
        <v>21</v>
      </c>
      <c r="E74">
        <v>-6.11</v>
      </c>
      <c r="F74">
        <v>1847</v>
      </c>
      <c r="G74">
        <v>646</v>
      </c>
      <c r="H74">
        <v>1529</v>
      </c>
      <c r="I74">
        <v>399</v>
      </c>
      <c r="J74">
        <v>579</v>
      </c>
      <c r="K74">
        <v>277</v>
      </c>
      <c r="L74">
        <v>942</v>
      </c>
      <c r="M74">
        <v>367</v>
      </c>
      <c r="N74">
        <v>152</v>
      </c>
      <c r="O74">
        <v>106</v>
      </c>
      <c r="P74">
        <v>341</v>
      </c>
      <c r="Q74">
        <v>542</v>
      </c>
      <c r="R74">
        <v>73</v>
      </c>
    </row>
    <row r="75" spans="1:18">
      <c r="A75" s="1" t="s">
        <v>73</v>
      </c>
      <c r="B75">
        <v>35</v>
      </c>
      <c r="C75">
        <v>25</v>
      </c>
      <c r="D75">
        <v>10</v>
      </c>
      <c r="E75">
        <v>-1.1000000000000001</v>
      </c>
      <c r="F75">
        <v>2782</v>
      </c>
      <c r="G75">
        <v>936</v>
      </c>
      <c r="H75">
        <v>2108</v>
      </c>
      <c r="I75">
        <v>658</v>
      </c>
      <c r="J75">
        <v>925</v>
      </c>
      <c r="K75">
        <v>385</v>
      </c>
      <c r="L75">
        <v>1264</v>
      </c>
      <c r="M75">
        <v>377</v>
      </c>
      <c r="N75">
        <v>208</v>
      </c>
      <c r="O75">
        <v>123</v>
      </c>
      <c r="P75">
        <v>334</v>
      </c>
      <c r="Q75">
        <v>660</v>
      </c>
      <c r="R75">
        <v>74</v>
      </c>
    </row>
    <row r="76" spans="1:18">
      <c r="A76" s="1" t="s">
        <v>74</v>
      </c>
      <c r="B76">
        <v>31</v>
      </c>
      <c r="C76">
        <v>16</v>
      </c>
      <c r="D76">
        <v>15</v>
      </c>
      <c r="E76">
        <v>-0.42</v>
      </c>
      <c r="F76">
        <v>2044</v>
      </c>
      <c r="G76">
        <v>711</v>
      </c>
      <c r="H76">
        <v>1535</v>
      </c>
      <c r="I76">
        <v>369</v>
      </c>
      <c r="J76">
        <v>520</v>
      </c>
      <c r="K76">
        <v>226</v>
      </c>
      <c r="L76">
        <v>808</v>
      </c>
      <c r="M76">
        <v>466</v>
      </c>
      <c r="N76">
        <v>217</v>
      </c>
      <c r="O76">
        <v>102</v>
      </c>
      <c r="P76">
        <v>307</v>
      </c>
      <c r="Q76">
        <v>620</v>
      </c>
      <c r="R76">
        <v>75</v>
      </c>
    </row>
    <row r="77" spans="1:18">
      <c r="A77" s="1" t="s">
        <v>277</v>
      </c>
      <c r="B77">
        <v>33</v>
      </c>
      <c r="C77">
        <v>12</v>
      </c>
      <c r="D77">
        <v>21</v>
      </c>
      <c r="E77">
        <v>7.47</v>
      </c>
      <c r="F77">
        <v>2290</v>
      </c>
      <c r="G77">
        <v>782</v>
      </c>
      <c r="H77">
        <v>1848</v>
      </c>
      <c r="I77">
        <v>531</v>
      </c>
      <c r="J77">
        <v>776</v>
      </c>
      <c r="K77">
        <v>406</v>
      </c>
      <c r="L77">
        <v>1119</v>
      </c>
      <c r="M77">
        <v>359</v>
      </c>
      <c r="N77">
        <v>221</v>
      </c>
      <c r="O77">
        <v>139</v>
      </c>
      <c r="P77">
        <v>444</v>
      </c>
      <c r="Q77">
        <v>713</v>
      </c>
      <c r="R77">
        <v>76</v>
      </c>
    </row>
    <row r="78" spans="1:18">
      <c r="A78" s="1" t="s">
        <v>75</v>
      </c>
      <c r="B78">
        <v>32</v>
      </c>
      <c r="C78">
        <v>13</v>
      </c>
      <c r="D78">
        <v>19</v>
      </c>
      <c r="E78">
        <v>-0.25</v>
      </c>
      <c r="F78">
        <v>2275</v>
      </c>
      <c r="G78">
        <v>778</v>
      </c>
      <c r="H78">
        <v>1863</v>
      </c>
      <c r="I78">
        <v>528</v>
      </c>
      <c r="J78">
        <v>724</v>
      </c>
      <c r="K78">
        <v>399</v>
      </c>
      <c r="L78">
        <v>1174</v>
      </c>
      <c r="M78">
        <v>370</v>
      </c>
      <c r="N78">
        <v>235</v>
      </c>
      <c r="O78">
        <v>146</v>
      </c>
      <c r="P78">
        <v>408</v>
      </c>
      <c r="Q78">
        <v>681</v>
      </c>
      <c r="R78">
        <v>77</v>
      </c>
    </row>
    <row r="79" spans="1:18">
      <c r="A79" s="1" t="s">
        <v>76</v>
      </c>
      <c r="B79">
        <v>31</v>
      </c>
      <c r="C79">
        <v>15</v>
      </c>
      <c r="D79">
        <v>16</v>
      </c>
      <c r="E79">
        <v>1.03</v>
      </c>
      <c r="F79">
        <v>2116</v>
      </c>
      <c r="G79">
        <v>720</v>
      </c>
      <c r="H79">
        <v>1592</v>
      </c>
      <c r="I79">
        <v>437</v>
      </c>
      <c r="J79">
        <v>612</v>
      </c>
      <c r="K79">
        <v>263</v>
      </c>
      <c r="L79">
        <v>1009</v>
      </c>
      <c r="M79">
        <v>395</v>
      </c>
      <c r="N79">
        <v>171</v>
      </c>
      <c r="O79">
        <v>67</v>
      </c>
      <c r="P79">
        <v>370</v>
      </c>
      <c r="Q79">
        <v>571</v>
      </c>
      <c r="R79">
        <v>78</v>
      </c>
    </row>
    <row r="80" spans="1:18">
      <c r="A80" s="1" t="s">
        <v>77</v>
      </c>
      <c r="B80">
        <v>30</v>
      </c>
      <c r="C80">
        <v>16</v>
      </c>
      <c r="D80">
        <v>14</v>
      </c>
      <c r="E80">
        <v>-0.24</v>
      </c>
      <c r="F80">
        <v>2064</v>
      </c>
      <c r="G80">
        <v>718</v>
      </c>
      <c r="H80">
        <v>1707</v>
      </c>
      <c r="I80">
        <v>474</v>
      </c>
      <c r="J80">
        <v>669</v>
      </c>
      <c r="K80">
        <v>315</v>
      </c>
      <c r="L80">
        <v>1071</v>
      </c>
      <c r="M80">
        <v>353</v>
      </c>
      <c r="N80">
        <v>137</v>
      </c>
      <c r="O80">
        <v>117</v>
      </c>
      <c r="P80">
        <v>255</v>
      </c>
      <c r="Q80">
        <v>638</v>
      </c>
      <c r="R80">
        <v>79</v>
      </c>
    </row>
    <row r="81" spans="1:18">
      <c r="A81" s="1" t="s">
        <v>373</v>
      </c>
      <c r="B81">
        <v>35</v>
      </c>
      <c r="C81">
        <v>26</v>
      </c>
      <c r="D81">
        <v>9</v>
      </c>
      <c r="E81">
        <v>8.48</v>
      </c>
      <c r="F81">
        <v>2745</v>
      </c>
      <c r="G81">
        <v>929</v>
      </c>
      <c r="H81">
        <v>2020</v>
      </c>
      <c r="I81">
        <v>571</v>
      </c>
      <c r="J81">
        <v>783</v>
      </c>
      <c r="K81">
        <v>410</v>
      </c>
      <c r="L81">
        <v>1207</v>
      </c>
      <c r="M81">
        <v>509</v>
      </c>
      <c r="N81">
        <v>244</v>
      </c>
      <c r="O81">
        <v>105</v>
      </c>
      <c r="P81">
        <v>328</v>
      </c>
      <c r="Q81">
        <v>681</v>
      </c>
      <c r="R81">
        <v>80</v>
      </c>
    </row>
    <row r="82" spans="1:18">
      <c r="A82" s="1" t="s">
        <v>78</v>
      </c>
      <c r="B82">
        <v>30</v>
      </c>
      <c r="C82">
        <v>13</v>
      </c>
      <c r="D82">
        <v>17</v>
      </c>
      <c r="E82">
        <v>1.03</v>
      </c>
      <c r="F82">
        <v>2200</v>
      </c>
      <c r="G82">
        <v>751</v>
      </c>
      <c r="H82">
        <v>1699</v>
      </c>
      <c r="I82">
        <v>480</v>
      </c>
      <c r="J82">
        <v>717</v>
      </c>
      <c r="K82">
        <v>323</v>
      </c>
      <c r="L82">
        <v>1060</v>
      </c>
      <c r="M82">
        <v>457</v>
      </c>
      <c r="N82">
        <v>175</v>
      </c>
      <c r="O82">
        <v>83</v>
      </c>
      <c r="P82">
        <v>331</v>
      </c>
      <c r="Q82">
        <v>540</v>
      </c>
      <c r="R82">
        <v>81</v>
      </c>
    </row>
    <row r="83" spans="1:18">
      <c r="A83" s="1" t="s">
        <v>79</v>
      </c>
      <c r="B83">
        <v>34</v>
      </c>
      <c r="C83">
        <v>17</v>
      </c>
      <c r="D83">
        <v>17</v>
      </c>
      <c r="E83">
        <v>-2.41</v>
      </c>
      <c r="F83">
        <v>2477</v>
      </c>
      <c r="G83">
        <v>809</v>
      </c>
      <c r="H83">
        <v>1833</v>
      </c>
      <c r="I83">
        <v>570</v>
      </c>
      <c r="J83">
        <v>799</v>
      </c>
      <c r="K83">
        <v>354</v>
      </c>
      <c r="L83">
        <v>1145</v>
      </c>
      <c r="M83">
        <v>458</v>
      </c>
      <c r="N83">
        <v>215</v>
      </c>
      <c r="O83">
        <v>107</v>
      </c>
      <c r="P83">
        <v>398</v>
      </c>
      <c r="Q83">
        <v>589</v>
      </c>
      <c r="R83">
        <v>82</v>
      </c>
    </row>
    <row r="84" spans="1:18">
      <c r="A84" s="1" t="s">
        <v>80</v>
      </c>
      <c r="B84">
        <v>35</v>
      </c>
      <c r="C84">
        <v>19</v>
      </c>
      <c r="D84">
        <v>16</v>
      </c>
      <c r="E84">
        <v>-6.08</v>
      </c>
      <c r="F84">
        <v>2689</v>
      </c>
      <c r="G84">
        <v>879</v>
      </c>
      <c r="H84">
        <v>2045</v>
      </c>
      <c r="I84">
        <v>656</v>
      </c>
      <c r="J84">
        <v>877</v>
      </c>
      <c r="K84">
        <v>368</v>
      </c>
      <c r="L84">
        <v>1227</v>
      </c>
      <c r="M84">
        <v>429</v>
      </c>
      <c r="N84">
        <v>269</v>
      </c>
      <c r="O84">
        <v>108</v>
      </c>
      <c r="P84">
        <v>408</v>
      </c>
      <c r="Q84">
        <v>700</v>
      </c>
      <c r="R84">
        <v>83</v>
      </c>
    </row>
    <row r="85" spans="1:18">
      <c r="A85" s="1" t="s">
        <v>81</v>
      </c>
      <c r="B85">
        <v>30</v>
      </c>
      <c r="C85">
        <v>11</v>
      </c>
      <c r="D85">
        <v>19</v>
      </c>
      <c r="E85">
        <v>-4.21</v>
      </c>
      <c r="F85">
        <v>2030</v>
      </c>
      <c r="G85">
        <v>703</v>
      </c>
      <c r="H85">
        <v>1598</v>
      </c>
      <c r="I85">
        <v>472</v>
      </c>
      <c r="J85">
        <v>660</v>
      </c>
      <c r="K85">
        <v>315</v>
      </c>
      <c r="L85">
        <v>971</v>
      </c>
      <c r="M85">
        <v>359</v>
      </c>
      <c r="N85">
        <v>171</v>
      </c>
      <c r="O85">
        <v>144</v>
      </c>
      <c r="P85">
        <v>399</v>
      </c>
      <c r="Q85">
        <v>576</v>
      </c>
      <c r="R85">
        <v>84</v>
      </c>
    </row>
    <row r="86" spans="1:18">
      <c r="A86" s="1" t="s">
        <v>82</v>
      </c>
      <c r="B86">
        <v>34</v>
      </c>
      <c r="C86">
        <v>24</v>
      </c>
      <c r="D86">
        <v>10</v>
      </c>
      <c r="E86">
        <v>-4.34</v>
      </c>
      <c r="F86">
        <v>2677</v>
      </c>
      <c r="G86">
        <v>881</v>
      </c>
      <c r="H86">
        <v>1810</v>
      </c>
      <c r="I86">
        <v>600</v>
      </c>
      <c r="J86">
        <v>798</v>
      </c>
      <c r="K86">
        <v>243</v>
      </c>
      <c r="L86">
        <v>884</v>
      </c>
      <c r="M86">
        <v>498</v>
      </c>
      <c r="N86">
        <v>299</v>
      </c>
      <c r="O86">
        <v>67</v>
      </c>
      <c r="P86">
        <v>359</v>
      </c>
      <c r="Q86">
        <v>707</v>
      </c>
      <c r="R86">
        <v>85</v>
      </c>
    </row>
    <row r="87" spans="1:18">
      <c r="A87" s="1" t="s">
        <v>83</v>
      </c>
      <c r="B87">
        <v>37</v>
      </c>
      <c r="C87">
        <v>22</v>
      </c>
      <c r="D87">
        <v>15</v>
      </c>
      <c r="E87">
        <v>0.67</v>
      </c>
      <c r="F87">
        <v>2423</v>
      </c>
      <c r="G87">
        <v>820</v>
      </c>
      <c r="H87">
        <v>2004</v>
      </c>
      <c r="I87">
        <v>594</v>
      </c>
      <c r="J87">
        <v>876</v>
      </c>
      <c r="K87">
        <v>409</v>
      </c>
      <c r="L87">
        <v>1302</v>
      </c>
      <c r="M87">
        <v>393</v>
      </c>
      <c r="N87">
        <v>306</v>
      </c>
      <c r="O87">
        <v>221</v>
      </c>
      <c r="P87">
        <v>419</v>
      </c>
      <c r="Q87">
        <v>677</v>
      </c>
      <c r="R87">
        <v>86</v>
      </c>
    </row>
    <row r="88" spans="1:18">
      <c r="A88" s="1" t="s">
        <v>84</v>
      </c>
      <c r="B88">
        <v>31</v>
      </c>
      <c r="C88">
        <v>15</v>
      </c>
      <c r="D88">
        <v>16</v>
      </c>
      <c r="E88">
        <v>-4.1500000000000004</v>
      </c>
      <c r="F88">
        <v>2362</v>
      </c>
      <c r="G88">
        <v>813</v>
      </c>
      <c r="H88">
        <v>1791</v>
      </c>
      <c r="I88">
        <v>485</v>
      </c>
      <c r="J88">
        <v>700</v>
      </c>
      <c r="K88">
        <v>329</v>
      </c>
      <c r="L88">
        <v>1133</v>
      </c>
      <c r="M88">
        <v>417</v>
      </c>
      <c r="N88">
        <v>147</v>
      </c>
      <c r="O88">
        <v>133</v>
      </c>
      <c r="P88">
        <v>373</v>
      </c>
      <c r="Q88">
        <v>603</v>
      </c>
      <c r="R88">
        <v>87</v>
      </c>
    </row>
    <row r="89" spans="1:18">
      <c r="A89" s="1" t="s">
        <v>85</v>
      </c>
      <c r="B89">
        <v>32</v>
      </c>
      <c r="C89">
        <v>18</v>
      </c>
      <c r="D89">
        <v>14</v>
      </c>
      <c r="E89">
        <v>-4.5</v>
      </c>
      <c r="F89">
        <v>2392</v>
      </c>
      <c r="G89">
        <v>837</v>
      </c>
      <c r="H89">
        <v>1789</v>
      </c>
      <c r="I89">
        <v>462</v>
      </c>
      <c r="J89">
        <v>639</v>
      </c>
      <c r="K89">
        <v>290</v>
      </c>
      <c r="L89">
        <v>1086</v>
      </c>
      <c r="M89">
        <v>442</v>
      </c>
      <c r="N89">
        <v>161</v>
      </c>
      <c r="O89">
        <v>93</v>
      </c>
      <c r="P89">
        <v>386</v>
      </c>
      <c r="Q89">
        <v>576</v>
      </c>
      <c r="R89">
        <v>88</v>
      </c>
    </row>
    <row r="90" spans="1:18">
      <c r="A90" s="1" t="s">
        <v>86</v>
      </c>
      <c r="B90">
        <v>33</v>
      </c>
      <c r="C90">
        <v>14</v>
      </c>
      <c r="D90">
        <v>19</v>
      </c>
      <c r="E90">
        <v>1.2</v>
      </c>
      <c r="F90">
        <v>2290</v>
      </c>
      <c r="G90">
        <v>775</v>
      </c>
      <c r="H90">
        <v>1672</v>
      </c>
      <c r="I90">
        <v>596</v>
      </c>
      <c r="J90">
        <v>830</v>
      </c>
      <c r="K90">
        <v>276</v>
      </c>
      <c r="L90">
        <v>1057</v>
      </c>
      <c r="M90">
        <v>485</v>
      </c>
      <c r="N90">
        <v>166</v>
      </c>
      <c r="O90">
        <v>124</v>
      </c>
      <c r="P90">
        <v>422</v>
      </c>
      <c r="Q90">
        <v>623</v>
      </c>
      <c r="R90">
        <v>89</v>
      </c>
    </row>
    <row r="91" spans="1:18">
      <c r="A91" s="1" t="s">
        <v>87</v>
      </c>
      <c r="B91">
        <v>32</v>
      </c>
      <c r="C91">
        <v>7</v>
      </c>
      <c r="D91">
        <v>25</v>
      </c>
      <c r="E91">
        <v>-0.81</v>
      </c>
      <c r="F91">
        <v>2030</v>
      </c>
      <c r="G91">
        <v>697</v>
      </c>
      <c r="H91">
        <v>1753</v>
      </c>
      <c r="I91">
        <v>416</v>
      </c>
      <c r="J91">
        <v>607</v>
      </c>
      <c r="K91">
        <v>356</v>
      </c>
      <c r="L91">
        <v>1134</v>
      </c>
      <c r="M91">
        <v>360</v>
      </c>
      <c r="N91">
        <v>141</v>
      </c>
      <c r="O91">
        <v>117</v>
      </c>
      <c r="P91">
        <v>469</v>
      </c>
      <c r="Q91">
        <v>734</v>
      </c>
      <c r="R91">
        <v>90</v>
      </c>
    </row>
    <row r="92" spans="1:18">
      <c r="A92" s="1" t="s">
        <v>88</v>
      </c>
      <c r="B92">
        <v>31</v>
      </c>
      <c r="C92">
        <v>10</v>
      </c>
      <c r="D92">
        <v>21</v>
      </c>
      <c r="E92">
        <v>-4.07</v>
      </c>
      <c r="F92">
        <v>2157</v>
      </c>
      <c r="G92">
        <v>742</v>
      </c>
      <c r="H92">
        <v>1766</v>
      </c>
      <c r="I92">
        <v>447</v>
      </c>
      <c r="J92">
        <v>621</v>
      </c>
      <c r="K92">
        <v>328</v>
      </c>
      <c r="L92">
        <v>980</v>
      </c>
      <c r="M92">
        <v>339</v>
      </c>
      <c r="N92">
        <v>209</v>
      </c>
      <c r="O92">
        <v>122</v>
      </c>
      <c r="P92">
        <v>364</v>
      </c>
      <c r="Q92">
        <v>660</v>
      </c>
      <c r="R92">
        <v>91</v>
      </c>
    </row>
    <row r="93" spans="1:18">
      <c r="A93" s="1" t="s">
        <v>89</v>
      </c>
      <c r="B93">
        <v>32</v>
      </c>
      <c r="C93">
        <v>14</v>
      </c>
      <c r="D93">
        <v>18</v>
      </c>
      <c r="E93">
        <v>-7.58</v>
      </c>
      <c r="F93">
        <v>2281</v>
      </c>
      <c r="G93">
        <v>809</v>
      </c>
      <c r="H93">
        <v>2010</v>
      </c>
      <c r="I93">
        <v>450</v>
      </c>
      <c r="J93">
        <v>688</v>
      </c>
      <c r="K93">
        <v>475</v>
      </c>
      <c r="L93">
        <v>1253</v>
      </c>
      <c r="M93">
        <v>360</v>
      </c>
      <c r="N93">
        <v>237</v>
      </c>
      <c r="O93">
        <v>132</v>
      </c>
      <c r="P93">
        <v>466</v>
      </c>
      <c r="Q93">
        <v>768</v>
      </c>
      <c r="R93">
        <v>92</v>
      </c>
    </row>
    <row r="94" spans="1:18">
      <c r="A94" s="1" t="s">
        <v>90</v>
      </c>
      <c r="B94">
        <v>32</v>
      </c>
      <c r="C94">
        <v>10</v>
      </c>
      <c r="D94">
        <v>22</v>
      </c>
      <c r="E94">
        <v>-0.42</v>
      </c>
      <c r="F94">
        <v>2120</v>
      </c>
      <c r="G94">
        <v>747</v>
      </c>
      <c r="H94">
        <v>1760</v>
      </c>
      <c r="I94">
        <v>416</v>
      </c>
      <c r="J94">
        <v>647</v>
      </c>
      <c r="K94">
        <v>396</v>
      </c>
      <c r="L94">
        <v>1180</v>
      </c>
      <c r="M94">
        <v>380</v>
      </c>
      <c r="N94">
        <v>151</v>
      </c>
      <c r="O94">
        <v>147</v>
      </c>
      <c r="P94">
        <v>417</v>
      </c>
      <c r="Q94">
        <v>600</v>
      </c>
      <c r="R94">
        <v>93</v>
      </c>
    </row>
    <row r="95" spans="1:18">
      <c r="A95" s="1" t="s">
        <v>346</v>
      </c>
      <c r="B95">
        <v>35</v>
      </c>
      <c r="C95">
        <v>22</v>
      </c>
      <c r="D95">
        <v>13</v>
      </c>
      <c r="E95">
        <v>-5.76</v>
      </c>
      <c r="F95">
        <v>2504</v>
      </c>
      <c r="G95">
        <v>914</v>
      </c>
      <c r="H95">
        <v>1958</v>
      </c>
      <c r="I95">
        <v>476</v>
      </c>
      <c r="J95">
        <v>706</v>
      </c>
      <c r="K95">
        <v>348</v>
      </c>
      <c r="L95">
        <v>1282</v>
      </c>
      <c r="M95">
        <v>447</v>
      </c>
      <c r="N95">
        <v>200</v>
      </c>
      <c r="O95">
        <v>125</v>
      </c>
      <c r="P95">
        <v>460</v>
      </c>
      <c r="Q95">
        <v>637</v>
      </c>
      <c r="R95">
        <v>94</v>
      </c>
    </row>
    <row r="96" spans="1:18">
      <c r="A96" s="1" t="s">
        <v>91</v>
      </c>
      <c r="B96">
        <v>31</v>
      </c>
      <c r="C96">
        <v>15</v>
      </c>
      <c r="D96">
        <v>16</v>
      </c>
      <c r="E96">
        <v>-1.58</v>
      </c>
      <c r="F96">
        <v>2128</v>
      </c>
      <c r="G96">
        <v>754</v>
      </c>
      <c r="H96">
        <v>1681</v>
      </c>
      <c r="I96">
        <v>468</v>
      </c>
      <c r="J96">
        <v>698</v>
      </c>
      <c r="K96">
        <v>358</v>
      </c>
      <c r="L96">
        <v>1118</v>
      </c>
      <c r="M96">
        <v>336</v>
      </c>
      <c r="N96">
        <v>221</v>
      </c>
      <c r="O96">
        <v>130</v>
      </c>
      <c r="P96">
        <v>436</v>
      </c>
      <c r="Q96">
        <v>560</v>
      </c>
      <c r="R96">
        <v>95</v>
      </c>
    </row>
    <row r="97" spans="1:18">
      <c r="A97" s="1" t="s">
        <v>92</v>
      </c>
      <c r="B97">
        <v>36</v>
      </c>
      <c r="C97">
        <v>22</v>
      </c>
      <c r="D97">
        <v>14</v>
      </c>
      <c r="E97">
        <v>8.1300000000000008</v>
      </c>
      <c r="F97">
        <v>2554</v>
      </c>
      <c r="G97">
        <v>873</v>
      </c>
      <c r="H97">
        <v>1873</v>
      </c>
      <c r="I97">
        <v>617</v>
      </c>
      <c r="J97">
        <v>855</v>
      </c>
      <c r="K97">
        <v>392</v>
      </c>
      <c r="L97">
        <v>1256</v>
      </c>
      <c r="M97">
        <v>385</v>
      </c>
      <c r="N97">
        <v>213</v>
      </c>
      <c r="O97">
        <v>191</v>
      </c>
      <c r="P97">
        <v>512</v>
      </c>
      <c r="Q97">
        <v>650</v>
      </c>
      <c r="R97">
        <v>96</v>
      </c>
    </row>
    <row r="98" spans="1:18">
      <c r="A98" s="1" t="s">
        <v>347</v>
      </c>
      <c r="B98">
        <v>39</v>
      </c>
      <c r="C98">
        <v>36</v>
      </c>
      <c r="D98">
        <v>3</v>
      </c>
      <c r="E98">
        <v>8.5399999999999991</v>
      </c>
      <c r="F98">
        <v>2727</v>
      </c>
      <c r="G98">
        <v>945</v>
      </c>
      <c r="H98">
        <v>2056</v>
      </c>
      <c r="I98">
        <v>582</v>
      </c>
      <c r="J98">
        <v>871</v>
      </c>
      <c r="K98">
        <v>437</v>
      </c>
      <c r="L98">
        <v>1385</v>
      </c>
      <c r="M98">
        <v>509</v>
      </c>
      <c r="N98">
        <v>274</v>
      </c>
      <c r="O98">
        <v>118</v>
      </c>
      <c r="P98">
        <v>418</v>
      </c>
      <c r="Q98">
        <v>611</v>
      </c>
      <c r="R98">
        <v>97</v>
      </c>
    </row>
    <row r="99" spans="1:18">
      <c r="A99" s="1" t="s">
        <v>93</v>
      </c>
      <c r="B99">
        <v>31</v>
      </c>
      <c r="C99">
        <v>10</v>
      </c>
      <c r="D99">
        <v>21</v>
      </c>
      <c r="E99">
        <v>3.14</v>
      </c>
      <c r="F99">
        <v>2224</v>
      </c>
      <c r="G99">
        <v>764</v>
      </c>
      <c r="H99">
        <v>1942</v>
      </c>
      <c r="I99">
        <v>476</v>
      </c>
      <c r="J99">
        <v>649</v>
      </c>
      <c r="K99">
        <v>448</v>
      </c>
      <c r="L99">
        <v>1152</v>
      </c>
      <c r="M99">
        <v>379</v>
      </c>
      <c r="N99">
        <v>207</v>
      </c>
      <c r="O99">
        <v>126</v>
      </c>
      <c r="P99">
        <v>353</v>
      </c>
      <c r="Q99">
        <v>616</v>
      </c>
      <c r="R99">
        <v>98</v>
      </c>
    </row>
    <row r="100" spans="1:18">
      <c r="A100" s="1" t="s">
        <v>306</v>
      </c>
      <c r="B100">
        <v>39</v>
      </c>
      <c r="C100">
        <v>21</v>
      </c>
      <c r="D100">
        <v>18</v>
      </c>
      <c r="E100">
        <v>3.75</v>
      </c>
      <c r="F100">
        <v>2837</v>
      </c>
      <c r="G100">
        <v>950</v>
      </c>
      <c r="H100">
        <v>2170</v>
      </c>
      <c r="I100">
        <v>646</v>
      </c>
      <c r="J100">
        <v>884</v>
      </c>
      <c r="K100">
        <v>359</v>
      </c>
      <c r="L100">
        <v>1320</v>
      </c>
      <c r="M100">
        <v>470</v>
      </c>
      <c r="N100">
        <v>253</v>
      </c>
      <c r="O100">
        <v>177</v>
      </c>
      <c r="P100">
        <v>394</v>
      </c>
      <c r="Q100">
        <v>751</v>
      </c>
      <c r="R100">
        <v>99</v>
      </c>
    </row>
    <row r="101" spans="1:18">
      <c r="A101" s="1" t="s">
        <v>94</v>
      </c>
      <c r="B101">
        <v>30</v>
      </c>
      <c r="C101">
        <v>9</v>
      </c>
      <c r="D101">
        <v>21</v>
      </c>
      <c r="E101">
        <v>-7.4</v>
      </c>
      <c r="F101">
        <v>1955</v>
      </c>
      <c r="G101">
        <v>680</v>
      </c>
      <c r="H101">
        <v>1540</v>
      </c>
      <c r="I101">
        <v>431</v>
      </c>
      <c r="J101">
        <v>633</v>
      </c>
      <c r="K101">
        <v>269</v>
      </c>
      <c r="L101">
        <v>940</v>
      </c>
      <c r="M101">
        <v>288</v>
      </c>
      <c r="N101">
        <v>147</v>
      </c>
      <c r="O101">
        <v>85</v>
      </c>
      <c r="P101">
        <v>407</v>
      </c>
      <c r="Q101">
        <v>509</v>
      </c>
      <c r="R101">
        <v>100</v>
      </c>
    </row>
    <row r="102" spans="1:18">
      <c r="A102" s="1" t="s">
        <v>318</v>
      </c>
      <c r="B102">
        <v>33</v>
      </c>
      <c r="C102">
        <v>18</v>
      </c>
      <c r="D102">
        <v>15</v>
      </c>
      <c r="E102">
        <v>-6.9</v>
      </c>
      <c r="F102">
        <v>2425</v>
      </c>
      <c r="G102">
        <v>848</v>
      </c>
      <c r="H102">
        <v>1895</v>
      </c>
      <c r="I102">
        <v>554</v>
      </c>
      <c r="J102">
        <v>807</v>
      </c>
      <c r="K102">
        <v>401</v>
      </c>
      <c r="L102">
        <v>1182</v>
      </c>
      <c r="M102">
        <v>498</v>
      </c>
      <c r="N102">
        <v>252</v>
      </c>
      <c r="O102">
        <v>104</v>
      </c>
      <c r="P102">
        <v>405</v>
      </c>
      <c r="Q102">
        <v>607</v>
      </c>
      <c r="R102">
        <v>101</v>
      </c>
    </row>
    <row r="103" spans="1:18">
      <c r="A103" s="1" t="s">
        <v>95</v>
      </c>
      <c r="B103">
        <v>31</v>
      </c>
      <c r="C103">
        <v>11</v>
      </c>
      <c r="D103">
        <v>20</v>
      </c>
      <c r="E103">
        <v>4.58</v>
      </c>
      <c r="F103">
        <v>2154</v>
      </c>
      <c r="G103">
        <v>756</v>
      </c>
      <c r="H103">
        <v>1719</v>
      </c>
      <c r="I103">
        <v>489</v>
      </c>
      <c r="J103">
        <v>690</v>
      </c>
      <c r="K103">
        <v>340</v>
      </c>
      <c r="L103">
        <v>1074</v>
      </c>
      <c r="M103">
        <v>339</v>
      </c>
      <c r="N103">
        <v>163</v>
      </c>
      <c r="O103">
        <v>108</v>
      </c>
      <c r="P103">
        <v>421</v>
      </c>
      <c r="Q103">
        <v>649</v>
      </c>
      <c r="R103">
        <v>102</v>
      </c>
    </row>
    <row r="104" spans="1:18">
      <c r="A104" s="1" t="s">
        <v>96</v>
      </c>
      <c r="B104">
        <v>33</v>
      </c>
      <c r="C104">
        <v>24</v>
      </c>
      <c r="D104">
        <v>9</v>
      </c>
      <c r="E104">
        <v>4.42</v>
      </c>
      <c r="F104">
        <v>2415</v>
      </c>
      <c r="G104">
        <v>839</v>
      </c>
      <c r="H104">
        <v>1812</v>
      </c>
      <c r="I104">
        <v>550</v>
      </c>
      <c r="J104">
        <v>845</v>
      </c>
      <c r="K104">
        <v>394</v>
      </c>
      <c r="L104">
        <v>1229</v>
      </c>
      <c r="M104">
        <v>461</v>
      </c>
      <c r="N104">
        <v>235</v>
      </c>
      <c r="O104">
        <v>135</v>
      </c>
      <c r="P104">
        <v>428</v>
      </c>
      <c r="Q104">
        <v>595</v>
      </c>
      <c r="R104">
        <v>103</v>
      </c>
    </row>
    <row r="105" spans="1:18">
      <c r="A105" s="1" t="s">
        <v>97</v>
      </c>
      <c r="B105">
        <v>33</v>
      </c>
      <c r="C105">
        <v>18</v>
      </c>
      <c r="D105">
        <v>15</v>
      </c>
      <c r="E105">
        <v>8.27</v>
      </c>
      <c r="F105">
        <v>2344</v>
      </c>
      <c r="G105">
        <v>801</v>
      </c>
      <c r="H105">
        <v>1743</v>
      </c>
      <c r="I105">
        <v>562</v>
      </c>
      <c r="J105">
        <v>780</v>
      </c>
      <c r="K105">
        <v>336</v>
      </c>
      <c r="L105">
        <v>1101</v>
      </c>
      <c r="M105">
        <v>431</v>
      </c>
      <c r="N105">
        <v>200</v>
      </c>
      <c r="O105">
        <v>141</v>
      </c>
      <c r="P105">
        <v>387</v>
      </c>
      <c r="Q105">
        <v>728</v>
      </c>
      <c r="R105">
        <v>104</v>
      </c>
    </row>
    <row r="106" spans="1:18">
      <c r="A106" s="1" t="s">
        <v>98</v>
      </c>
      <c r="B106">
        <v>34</v>
      </c>
      <c r="C106">
        <v>15</v>
      </c>
      <c r="D106">
        <v>19</v>
      </c>
      <c r="E106">
        <v>-8.6</v>
      </c>
      <c r="F106">
        <v>2406</v>
      </c>
      <c r="G106">
        <v>840</v>
      </c>
      <c r="H106">
        <v>1927</v>
      </c>
      <c r="I106">
        <v>484</v>
      </c>
      <c r="J106">
        <v>731</v>
      </c>
      <c r="K106">
        <v>372</v>
      </c>
      <c r="L106">
        <v>1197</v>
      </c>
      <c r="M106">
        <v>327</v>
      </c>
      <c r="N106">
        <v>233</v>
      </c>
      <c r="O106">
        <v>56</v>
      </c>
      <c r="P106">
        <v>405</v>
      </c>
      <c r="Q106">
        <v>589</v>
      </c>
      <c r="R106">
        <v>105</v>
      </c>
    </row>
    <row r="107" spans="1:18">
      <c r="A107" s="1" t="s">
        <v>99</v>
      </c>
      <c r="B107">
        <v>34</v>
      </c>
      <c r="C107">
        <v>25</v>
      </c>
      <c r="D107">
        <v>9</v>
      </c>
      <c r="E107">
        <v>-2.56</v>
      </c>
      <c r="F107">
        <v>2641</v>
      </c>
      <c r="G107">
        <v>900</v>
      </c>
      <c r="H107">
        <v>1923</v>
      </c>
      <c r="I107">
        <v>589</v>
      </c>
      <c r="J107">
        <v>757</v>
      </c>
      <c r="K107">
        <v>276</v>
      </c>
      <c r="L107">
        <v>1074</v>
      </c>
      <c r="M107">
        <v>451</v>
      </c>
      <c r="N107">
        <v>260</v>
      </c>
      <c r="O107">
        <v>167</v>
      </c>
      <c r="P107">
        <v>268</v>
      </c>
      <c r="Q107">
        <v>588</v>
      </c>
      <c r="R107">
        <v>106</v>
      </c>
    </row>
    <row r="108" spans="1:18">
      <c r="A108" s="1" t="s">
        <v>100</v>
      </c>
      <c r="B108">
        <v>33</v>
      </c>
      <c r="C108">
        <v>16</v>
      </c>
      <c r="D108">
        <v>17</v>
      </c>
      <c r="E108">
        <v>5.24</v>
      </c>
      <c r="F108">
        <v>2200</v>
      </c>
      <c r="G108">
        <v>796</v>
      </c>
      <c r="H108">
        <v>1847</v>
      </c>
      <c r="I108">
        <v>435</v>
      </c>
      <c r="J108">
        <v>636</v>
      </c>
      <c r="K108">
        <v>373</v>
      </c>
      <c r="L108">
        <v>1187</v>
      </c>
      <c r="M108">
        <v>434</v>
      </c>
      <c r="N108">
        <v>171</v>
      </c>
      <c r="O108">
        <v>140</v>
      </c>
      <c r="P108">
        <v>399</v>
      </c>
      <c r="Q108">
        <v>586</v>
      </c>
      <c r="R108">
        <v>107</v>
      </c>
    </row>
    <row r="109" spans="1:18">
      <c r="A109" s="1" t="s">
        <v>101</v>
      </c>
      <c r="B109">
        <v>34</v>
      </c>
      <c r="C109">
        <v>20</v>
      </c>
      <c r="D109">
        <v>14</v>
      </c>
      <c r="E109">
        <v>5.78</v>
      </c>
      <c r="F109">
        <v>2343</v>
      </c>
      <c r="G109">
        <v>767</v>
      </c>
      <c r="H109">
        <v>1740</v>
      </c>
      <c r="I109">
        <v>642</v>
      </c>
      <c r="J109">
        <v>941</v>
      </c>
      <c r="K109">
        <v>401</v>
      </c>
      <c r="L109">
        <v>1259</v>
      </c>
      <c r="M109">
        <v>341</v>
      </c>
      <c r="N109">
        <v>173</v>
      </c>
      <c r="O109">
        <v>158</v>
      </c>
      <c r="P109">
        <v>446</v>
      </c>
      <c r="Q109">
        <v>640</v>
      </c>
      <c r="R109">
        <v>108</v>
      </c>
    </row>
    <row r="110" spans="1:18">
      <c r="A110" s="1" t="s">
        <v>374</v>
      </c>
      <c r="B110">
        <v>36</v>
      </c>
      <c r="C110">
        <v>29</v>
      </c>
      <c r="D110">
        <v>7</v>
      </c>
      <c r="E110">
        <v>5.36</v>
      </c>
      <c r="F110">
        <v>2761</v>
      </c>
      <c r="G110">
        <v>972</v>
      </c>
      <c r="H110">
        <v>1963</v>
      </c>
      <c r="I110">
        <v>562</v>
      </c>
      <c r="J110">
        <v>793</v>
      </c>
      <c r="K110">
        <v>343</v>
      </c>
      <c r="L110">
        <v>1291</v>
      </c>
      <c r="M110">
        <v>525</v>
      </c>
      <c r="N110">
        <v>235</v>
      </c>
      <c r="O110">
        <v>142</v>
      </c>
      <c r="P110">
        <v>419</v>
      </c>
      <c r="Q110">
        <v>659</v>
      </c>
      <c r="R110">
        <v>109</v>
      </c>
    </row>
    <row r="111" spans="1:18">
      <c r="A111" s="1" t="s">
        <v>102</v>
      </c>
      <c r="B111">
        <v>29</v>
      </c>
      <c r="C111">
        <v>5</v>
      </c>
      <c r="D111">
        <v>24</v>
      </c>
      <c r="E111">
        <v>-9.0500000000000007</v>
      </c>
      <c r="F111">
        <v>1903</v>
      </c>
      <c r="G111">
        <v>647</v>
      </c>
      <c r="H111">
        <v>1576</v>
      </c>
      <c r="I111">
        <v>430</v>
      </c>
      <c r="J111">
        <v>645</v>
      </c>
      <c r="K111">
        <v>318</v>
      </c>
      <c r="L111">
        <v>904</v>
      </c>
      <c r="M111">
        <v>301</v>
      </c>
      <c r="N111">
        <v>177</v>
      </c>
      <c r="O111">
        <v>60</v>
      </c>
      <c r="P111">
        <v>432</v>
      </c>
      <c r="Q111">
        <v>557</v>
      </c>
      <c r="R111">
        <v>110</v>
      </c>
    </row>
    <row r="112" spans="1:18">
      <c r="A112" s="1" t="s">
        <v>364</v>
      </c>
      <c r="B112">
        <v>30</v>
      </c>
      <c r="C112">
        <v>15</v>
      </c>
      <c r="D112">
        <v>15</v>
      </c>
      <c r="E112">
        <v>-3.51</v>
      </c>
      <c r="F112">
        <v>2163</v>
      </c>
      <c r="G112">
        <v>671</v>
      </c>
      <c r="H112">
        <v>1549</v>
      </c>
      <c r="I112">
        <v>615</v>
      </c>
      <c r="J112">
        <v>831</v>
      </c>
      <c r="K112">
        <v>284</v>
      </c>
      <c r="L112">
        <v>1057</v>
      </c>
      <c r="M112">
        <v>386</v>
      </c>
      <c r="N112">
        <v>121</v>
      </c>
      <c r="O112">
        <v>81</v>
      </c>
      <c r="P112">
        <v>381</v>
      </c>
      <c r="Q112">
        <v>604</v>
      </c>
      <c r="R112">
        <v>111</v>
      </c>
    </row>
    <row r="113" spans="1:18">
      <c r="A113" s="1" t="s">
        <v>103</v>
      </c>
      <c r="B113">
        <v>31</v>
      </c>
      <c r="C113">
        <v>24</v>
      </c>
      <c r="D113">
        <v>7</v>
      </c>
      <c r="E113">
        <v>0.11</v>
      </c>
      <c r="F113">
        <v>2304</v>
      </c>
      <c r="G113">
        <v>813</v>
      </c>
      <c r="H113">
        <v>1715</v>
      </c>
      <c r="I113">
        <v>528</v>
      </c>
      <c r="J113">
        <v>751</v>
      </c>
      <c r="K113">
        <v>346</v>
      </c>
      <c r="L113">
        <v>1139</v>
      </c>
      <c r="M113">
        <v>473</v>
      </c>
      <c r="N113">
        <v>222</v>
      </c>
      <c r="O113">
        <v>223</v>
      </c>
      <c r="P113">
        <v>393</v>
      </c>
      <c r="Q113">
        <v>520</v>
      </c>
      <c r="R113">
        <v>112</v>
      </c>
    </row>
    <row r="114" spans="1:18">
      <c r="A114" s="1" t="s">
        <v>104</v>
      </c>
      <c r="B114">
        <v>31</v>
      </c>
      <c r="C114">
        <v>18</v>
      </c>
      <c r="D114">
        <v>13</v>
      </c>
      <c r="E114">
        <v>-7.91</v>
      </c>
      <c r="F114">
        <v>2262</v>
      </c>
      <c r="G114">
        <v>747</v>
      </c>
      <c r="H114">
        <v>1781</v>
      </c>
      <c r="I114">
        <v>597</v>
      </c>
      <c r="J114">
        <v>909</v>
      </c>
      <c r="K114">
        <v>394</v>
      </c>
      <c r="L114">
        <v>1173</v>
      </c>
      <c r="M114">
        <v>367</v>
      </c>
      <c r="N114">
        <v>234</v>
      </c>
      <c r="O114">
        <v>184</v>
      </c>
      <c r="P114">
        <v>457</v>
      </c>
      <c r="Q114">
        <v>736</v>
      </c>
      <c r="R114">
        <v>113</v>
      </c>
    </row>
    <row r="115" spans="1:18">
      <c r="A115" s="1" t="s">
        <v>105</v>
      </c>
      <c r="B115">
        <v>33</v>
      </c>
      <c r="C115">
        <v>17</v>
      </c>
      <c r="D115">
        <v>16</v>
      </c>
      <c r="E115">
        <v>-6.18</v>
      </c>
      <c r="F115">
        <v>2162</v>
      </c>
      <c r="G115">
        <v>731</v>
      </c>
      <c r="H115">
        <v>1593</v>
      </c>
      <c r="I115">
        <v>435</v>
      </c>
      <c r="J115">
        <v>619</v>
      </c>
      <c r="K115">
        <v>230</v>
      </c>
      <c r="L115">
        <v>909</v>
      </c>
      <c r="M115">
        <v>402</v>
      </c>
      <c r="N115">
        <v>185</v>
      </c>
      <c r="O115">
        <v>68</v>
      </c>
      <c r="P115">
        <v>458</v>
      </c>
      <c r="Q115">
        <v>632</v>
      </c>
      <c r="R115">
        <v>114</v>
      </c>
    </row>
    <row r="116" spans="1:18">
      <c r="A116" s="1" t="s">
        <v>106</v>
      </c>
      <c r="B116">
        <v>32</v>
      </c>
      <c r="C116">
        <v>27</v>
      </c>
      <c r="D116">
        <v>5</v>
      </c>
      <c r="E116">
        <v>-0.47</v>
      </c>
      <c r="F116">
        <v>2343</v>
      </c>
      <c r="G116">
        <v>786</v>
      </c>
      <c r="H116">
        <v>1691</v>
      </c>
      <c r="I116">
        <v>587</v>
      </c>
      <c r="J116">
        <v>811</v>
      </c>
      <c r="K116">
        <v>335</v>
      </c>
      <c r="L116">
        <v>1092</v>
      </c>
      <c r="M116">
        <v>449</v>
      </c>
      <c r="N116">
        <v>243</v>
      </c>
      <c r="O116">
        <v>155</v>
      </c>
      <c r="P116">
        <v>365</v>
      </c>
      <c r="Q116">
        <v>566</v>
      </c>
      <c r="R116">
        <v>115</v>
      </c>
    </row>
    <row r="117" spans="1:18">
      <c r="A117" s="1" t="s">
        <v>107</v>
      </c>
      <c r="B117">
        <v>31</v>
      </c>
      <c r="C117">
        <v>20</v>
      </c>
      <c r="D117">
        <v>11</v>
      </c>
      <c r="E117">
        <v>-1.68</v>
      </c>
      <c r="F117">
        <v>2479</v>
      </c>
      <c r="G117">
        <v>866</v>
      </c>
      <c r="H117">
        <v>1829</v>
      </c>
      <c r="I117">
        <v>570</v>
      </c>
      <c r="J117">
        <v>789</v>
      </c>
      <c r="K117">
        <v>395</v>
      </c>
      <c r="L117">
        <v>1114</v>
      </c>
      <c r="M117">
        <v>437</v>
      </c>
      <c r="N117">
        <v>190</v>
      </c>
      <c r="O117">
        <v>110</v>
      </c>
      <c r="P117">
        <v>366</v>
      </c>
      <c r="Q117">
        <v>604</v>
      </c>
      <c r="R117">
        <v>116</v>
      </c>
    </row>
    <row r="118" spans="1:18">
      <c r="A118" s="1" t="s">
        <v>108</v>
      </c>
      <c r="B118">
        <v>31</v>
      </c>
      <c r="C118">
        <v>16</v>
      </c>
      <c r="D118">
        <v>15</v>
      </c>
      <c r="E118">
        <v>-5.23</v>
      </c>
      <c r="F118">
        <v>2203</v>
      </c>
      <c r="G118">
        <v>801</v>
      </c>
      <c r="H118">
        <v>1698</v>
      </c>
      <c r="I118">
        <v>414</v>
      </c>
      <c r="J118">
        <v>558</v>
      </c>
      <c r="K118">
        <v>299</v>
      </c>
      <c r="L118">
        <v>985</v>
      </c>
      <c r="M118">
        <v>455</v>
      </c>
      <c r="N118">
        <v>184</v>
      </c>
      <c r="O118">
        <v>108</v>
      </c>
      <c r="P118">
        <v>373</v>
      </c>
      <c r="Q118">
        <v>532</v>
      </c>
      <c r="R118">
        <v>117</v>
      </c>
    </row>
    <row r="119" spans="1:18">
      <c r="A119" s="1" t="s">
        <v>307</v>
      </c>
      <c r="B119">
        <v>33</v>
      </c>
      <c r="C119">
        <v>10</v>
      </c>
      <c r="D119">
        <v>23</v>
      </c>
      <c r="E119">
        <v>-1.89</v>
      </c>
      <c r="F119">
        <v>2260</v>
      </c>
      <c r="G119">
        <v>750</v>
      </c>
      <c r="H119">
        <v>1788</v>
      </c>
      <c r="I119">
        <v>531</v>
      </c>
      <c r="J119">
        <v>806</v>
      </c>
      <c r="K119">
        <v>419</v>
      </c>
      <c r="L119">
        <v>1195</v>
      </c>
      <c r="M119">
        <v>355</v>
      </c>
      <c r="N119">
        <v>159</v>
      </c>
      <c r="O119">
        <v>106</v>
      </c>
      <c r="P119">
        <v>406</v>
      </c>
      <c r="Q119">
        <v>646</v>
      </c>
      <c r="R119">
        <v>118</v>
      </c>
    </row>
    <row r="120" spans="1:18">
      <c r="A120" s="1" t="s">
        <v>109</v>
      </c>
      <c r="B120">
        <v>34</v>
      </c>
      <c r="C120">
        <v>20</v>
      </c>
      <c r="D120">
        <v>14</v>
      </c>
      <c r="E120">
        <v>-3.28</v>
      </c>
      <c r="F120">
        <v>2277</v>
      </c>
      <c r="G120">
        <v>771</v>
      </c>
      <c r="H120">
        <v>1795</v>
      </c>
      <c r="I120">
        <v>518</v>
      </c>
      <c r="J120">
        <v>708</v>
      </c>
      <c r="K120">
        <v>338</v>
      </c>
      <c r="L120">
        <v>1120</v>
      </c>
      <c r="M120">
        <v>387</v>
      </c>
      <c r="N120">
        <v>207</v>
      </c>
      <c r="O120">
        <v>135</v>
      </c>
      <c r="P120">
        <v>398</v>
      </c>
      <c r="Q120">
        <v>579</v>
      </c>
      <c r="R120">
        <v>119</v>
      </c>
    </row>
    <row r="121" spans="1:18">
      <c r="A121" s="1" t="s">
        <v>353</v>
      </c>
      <c r="B121">
        <v>31</v>
      </c>
      <c r="C121">
        <v>6</v>
      </c>
      <c r="D121">
        <v>25</v>
      </c>
      <c r="E121">
        <v>-5.39</v>
      </c>
      <c r="F121">
        <v>2091</v>
      </c>
      <c r="G121">
        <v>737</v>
      </c>
      <c r="H121">
        <v>1733</v>
      </c>
      <c r="I121">
        <v>460</v>
      </c>
      <c r="J121">
        <v>674</v>
      </c>
      <c r="K121">
        <v>350</v>
      </c>
      <c r="L121">
        <v>1111</v>
      </c>
      <c r="M121">
        <v>385</v>
      </c>
      <c r="N121">
        <v>157</v>
      </c>
      <c r="O121">
        <v>67</v>
      </c>
      <c r="P121">
        <v>484</v>
      </c>
      <c r="Q121">
        <v>662</v>
      </c>
      <c r="R121">
        <v>120</v>
      </c>
    </row>
    <row r="122" spans="1:18">
      <c r="A122" s="1" t="s">
        <v>110</v>
      </c>
      <c r="B122">
        <v>33</v>
      </c>
      <c r="C122">
        <v>17</v>
      </c>
      <c r="D122">
        <v>16</v>
      </c>
      <c r="E122">
        <v>4.62</v>
      </c>
      <c r="F122">
        <v>2345</v>
      </c>
      <c r="G122">
        <v>833</v>
      </c>
      <c r="H122">
        <v>1833</v>
      </c>
      <c r="I122">
        <v>467</v>
      </c>
      <c r="J122">
        <v>700</v>
      </c>
      <c r="K122">
        <v>359</v>
      </c>
      <c r="L122">
        <v>1141</v>
      </c>
      <c r="M122">
        <v>486</v>
      </c>
      <c r="N122">
        <v>179</v>
      </c>
      <c r="O122">
        <v>182</v>
      </c>
      <c r="P122">
        <v>421</v>
      </c>
      <c r="Q122">
        <v>603</v>
      </c>
      <c r="R122">
        <v>121</v>
      </c>
    </row>
    <row r="123" spans="1:18">
      <c r="A123" s="1" t="s">
        <v>111</v>
      </c>
      <c r="B123">
        <v>33</v>
      </c>
      <c r="C123">
        <v>8</v>
      </c>
      <c r="D123">
        <v>25</v>
      </c>
      <c r="E123">
        <v>-5.22</v>
      </c>
      <c r="F123">
        <v>2020</v>
      </c>
      <c r="G123">
        <v>639</v>
      </c>
      <c r="H123">
        <v>1690</v>
      </c>
      <c r="I123">
        <v>567</v>
      </c>
      <c r="J123">
        <v>835</v>
      </c>
      <c r="K123">
        <v>385</v>
      </c>
      <c r="L123">
        <v>1096</v>
      </c>
      <c r="M123">
        <v>261</v>
      </c>
      <c r="N123">
        <v>207</v>
      </c>
      <c r="O123">
        <v>131</v>
      </c>
      <c r="P123">
        <v>540</v>
      </c>
      <c r="Q123">
        <v>726</v>
      </c>
      <c r="R123">
        <v>122</v>
      </c>
    </row>
    <row r="124" spans="1:18">
      <c r="A124" s="1" t="s">
        <v>112</v>
      </c>
      <c r="B124">
        <v>29</v>
      </c>
      <c r="C124">
        <v>11</v>
      </c>
      <c r="D124">
        <v>18</v>
      </c>
      <c r="E124">
        <v>-4.72</v>
      </c>
      <c r="F124">
        <v>2054</v>
      </c>
      <c r="G124">
        <v>694</v>
      </c>
      <c r="H124">
        <v>1547</v>
      </c>
      <c r="I124">
        <v>500</v>
      </c>
      <c r="J124">
        <v>701</v>
      </c>
      <c r="K124">
        <v>347</v>
      </c>
      <c r="L124">
        <v>1012</v>
      </c>
      <c r="M124">
        <v>342</v>
      </c>
      <c r="N124">
        <v>210</v>
      </c>
      <c r="O124">
        <v>78</v>
      </c>
      <c r="P124">
        <v>360</v>
      </c>
      <c r="Q124">
        <v>525</v>
      </c>
      <c r="R124">
        <v>123</v>
      </c>
    </row>
    <row r="125" spans="1:18">
      <c r="A125" s="1" t="s">
        <v>113</v>
      </c>
      <c r="B125">
        <v>34</v>
      </c>
      <c r="C125">
        <v>16</v>
      </c>
      <c r="D125">
        <v>18</v>
      </c>
      <c r="E125">
        <v>-3.72</v>
      </c>
      <c r="F125">
        <v>2461</v>
      </c>
      <c r="G125">
        <v>833</v>
      </c>
      <c r="H125">
        <v>1865</v>
      </c>
      <c r="I125">
        <v>579</v>
      </c>
      <c r="J125">
        <v>842</v>
      </c>
      <c r="K125">
        <v>358</v>
      </c>
      <c r="L125">
        <v>1161</v>
      </c>
      <c r="M125">
        <v>384</v>
      </c>
      <c r="N125">
        <v>146</v>
      </c>
      <c r="O125">
        <v>58</v>
      </c>
      <c r="P125">
        <v>388</v>
      </c>
      <c r="Q125">
        <v>702</v>
      </c>
      <c r="R125">
        <v>124</v>
      </c>
    </row>
    <row r="126" spans="1:18">
      <c r="A126" s="1" t="s">
        <v>114</v>
      </c>
      <c r="B126">
        <v>31</v>
      </c>
      <c r="C126">
        <v>6</v>
      </c>
      <c r="D126">
        <v>25</v>
      </c>
      <c r="E126">
        <v>0.63</v>
      </c>
      <c r="F126">
        <v>2071</v>
      </c>
      <c r="G126">
        <v>714</v>
      </c>
      <c r="H126">
        <v>1696</v>
      </c>
      <c r="I126">
        <v>471</v>
      </c>
      <c r="J126">
        <v>660</v>
      </c>
      <c r="K126">
        <v>336</v>
      </c>
      <c r="L126">
        <v>1054</v>
      </c>
      <c r="M126">
        <v>346</v>
      </c>
      <c r="N126">
        <v>171</v>
      </c>
      <c r="O126">
        <v>55</v>
      </c>
      <c r="P126">
        <v>388</v>
      </c>
      <c r="Q126">
        <v>672</v>
      </c>
      <c r="R126">
        <v>125</v>
      </c>
    </row>
    <row r="127" spans="1:18">
      <c r="A127" s="1" t="s">
        <v>115</v>
      </c>
      <c r="B127">
        <v>34</v>
      </c>
      <c r="C127">
        <v>18</v>
      </c>
      <c r="D127">
        <v>16</v>
      </c>
      <c r="E127">
        <v>1.77</v>
      </c>
      <c r="F127">
        <v>2323</v>
      </c>
      <c r="G127">
        <v>767</v>
      </c>
      <c r="H127">
        <v>1886</v>
      </c>
      <c r="I127">
        <v>545</v>
      </c>
      <c r="J127">
        <v>774</v>
      </c>
      <c r="K127">
        <v>338</v>
      </c>
      <c r="L127">
        <v>1181</v>
      </c>
      <c r="M127">
        <v>409</v>
      </c>
      <c r="N127">
        <v>262</v>
      </c>
      <c r="O127">
        <v>160</v>
      </c>
      <c r="P127">
        <v>420</v>
      </c>
      <c r="Q127">
        <v>696</v>
      </c>
      <c r="R127">
        <v>126</v>
      </c>
    </row>
    <row r="128" spans="1:18">
      <c r="A128" s="1" t="s">
        <v>348</v>
      </c>
      <c r="B128">
        <v>35</v>
      </c>
      <c r="C128">
        <v>20</v>
      </c>
      <c r="D128">
        <v>15</v>
      </c>
      <c r="E128">
        <v>8.2799999999999994</v>
      </c>
      <c r="F128">
        <v>2248</v>
      </c>
      <c r="G128">
        <v>797</v>
      </c>
      <c r="H128">
        <v>1941</v>
      </c>
      <c r="I128">
        <v>444</v>
      </c>
      <c r="J128">
        <v>606</v>
      </c>
      <c r="K128">
        <v>375</v>
      </c>
      <c r="L128">
        <v>1181</v>
      </c>
      <c r="M128">
        <v>351</v>
      </c>
      <c r="N128">
        <v>215</v>
      </c>
      <c r="O128">
        <v>127</v>
      </c>
      <c r="P128">
        <v>364</v>
      </c>
      <c r="Q128">
        <v>587</v>
      </c>
      <c r="R128">
        <v>127</v>
      </c>
    </row>
    <row r="129" spans="1:18">
      <c r="A129" s="1" t="s">
        <v>365</v>
      </c>
      <c r="B129">
        <v>27</v>
      </c>
      <c r="C129">
        <v>21</v>
      </c>
      <c r="D129">
        <v>6</v>
      </c>
      <c r="E129">
        <v>-10.74</v>
      </c>
      <c r="F129">
        <v>2216</v>
      </c>
      <c r="G129">
        <v>771</v>
      </c>
      <c r="H129">
        <v>1581</v>
      </c>
      <c r="I129">
        <v>471</v>
      </c>
      <c r="J129">
        <v>688</v>
      </c>
      <c r="K129">
        <v>301</v>
      </c>
      <c r="L129">
        <v>1070</v>
      </c>
      <c r="M129">
        <v>426</v>
      </c>
      <c r="N129">
        <v>177</v>
      </c>
      <c r="O129">
        <v>115</v>
      </c>
      <c r="P129">
        <v>376</v>
      </c>
      <c r="Q129">
        <v>480</v>
      </c>
      <c r="R129">
        <v>128</v>
      </c>
    </row>
    <row r="130" spans="1:18">
      <c r="A130" s="1" t="s">
        <v>308</v>
      </c>
      <c r="B130">
        <v>34</v>
      </c>
      <c r="C130">
        <v>23</v>
      </c>
      <c r="D130">
        <v>11</v>
      </c>
      <c r="E130">
        <v>1.19</v>
      </c>
      <c r="F130">
        <v>2416</v>
      </c>
      <c r="G130">
        <v>814</v>
      </c>
      <c r="H130">
        <v>1809</v>
      </c>
      <c r="I130">
        <v>569</v>
      </c>
      <c r="J130">
        <v>787</v>
      </c>
      <c r="K130">
        <v>304</v>
      </c>
      <c r="L130">
        <v>1129</v>
      </c>
      <c r="M130">
        <v>440</v>
      </c>
      <c r="N130">
        <v>198</v>
      </c>
      <c r="O130">
        <v>117</v>
      </c>
      <c r="P130">
        <v>382</v>
      </c>
      <c r="Q130">
        <v>645</v>
      </c>
      <c r="R130">
        <v>129</v>
      </c>
    </row>
    <row r="131" spans="1:18">
      <c r="A131" s="1" t="s">
        <v>327</v>
      </c>
      <c r="B131">
        <v>32</v>
      </c>
      <c r="C131">
        <v>17</v>
      </c>
      <c r="D131">
        <v>15</v>
      </c>
      <c r="E131">
        <v>6.64</v>
      </c>
      <c r="F131">
        <v>2312</v>
      </c>
      <c r="G131">
        <v>780</v>
      </c>
      <c r="H131">
        <v>1741</v>
      </c>
      <c r="I131">
        <v>576</v>
      </c>
      <c r="J131">
        <v>789</v>
      </c>
      <c r="K131">
        <v>396</v>
      </c>
      <c r="L131">
        <v>1241</v>
      </c>
      <c r="M131">
        <v>368</v>
      </c>
      <c r="N131">
        <v>190</v>
      </c>
      <c r="O131">
        <v>138</v>
      </c>
      <c r="P131">
        <v>482</v>
      </c>
      <c r="Q131">
        <v>587</v>
      </c>
      <c r="R131">
        <v>130</v>
      </c>
    </row>
    <row r="132" spans="1:18">
      <c r="A132" s="1" t="s">
        <v>309</v>
      </c>
      <c r="B132">
        <v>33</v>
      </c>
      <c r="C132">
        <v>22</v>
      </c>
      <c r="D132">
        <v>11</v>
      </c>
      <c r="E132">
        <v>-0.1</v>
      </c>
      <c r="F132">
        <v>2760</v>
      </c>
      <c r="G132">
        <v>947</v>
      </c>
      <c r="H132">
        <v>1944</v>
      </c>
      <c r="I132">
        <v>528</v>
      </c>
      <c r="J132">
        <v>739</v>
      </c>
      <c r="K132">
        <v>288</v>
      </c>
      <c r="L132">
        <v>1094</v>
      </c>
      <c r="M132">
        <v>576</v>
      </c>
      <c r="N132">
        <v>219</v>
      </c>
      <c r="O132">
        <v>122</v>
      </c>
      <c r="P132">
        <v>349</v>
      </c>
      <c r="Q132">
        <v>584</v>
      </c>
      <c r="R132">
        <v>131</v>
      </c>
    </row>
    <row r="133" spans="1:18">
      <c r="A133" s="1" t="s">
        <v>310</v>
      </c>
      <c r="B133">
        <v>36</v>
      </c>
      <c r="C133">
        <v>28</v>
      </c>
      <c r="D133">
        <v>8</v>
      </c>
      <c r="E133">
        <v>9.8800000000000008</v>
      </c>
      <c r="F133">
        <v>2989</v>
      </c>
      <c r="G133">
        <v>1062</v>
      </c>
      <c r="H133">
        <v>2239</v>
      </c>
      <c r="I133">
        <v>564</v>
      </c>
      <c r="J133">
        <v>814</v>
      </c>
      <c r="K133">
        <v>375</v>
      </c>
      <c r="L133">
        <v>1387</v>
      </c>
      <c r="M133">
        <v>663</v>
      </c>
      <c r="N133">
        <v>214</v>
      </c>
      <c r="O133">
        <v>106</v>
      </c>
      <c r="P133">
        <v>380</v>
      </c>
      <c r="Q133">
        <v>623</v>
      </c>
      <c r="R133">
        <v>132</v>
      </c>
    </row>
    <row r="134" spans="1:18">
      <c r="A134" s="1" t="s">
        <v>116</v>
      </c>
      <c r="B134">
        <v>33</v>
      </c>
      <c r="C134">
        <v>20</v>
      </c>
      <c r="D134">
        <v>13</v>
      </c>
      <c r="E134">
        <v>7.43</v>
      </c>
      <c r="F134">
        <v>2689</v>
      </c>
      <c r="G134">
        <v>919</v>
      </c>
      <c r="H134">
        <v>1984</v>
      </c>
      <c r="I134">
        <v>660</v>
      </c>
      <c r="J134">
        <v>898</v>
      </c>
      <c r="K134">
        <v>447</v>
      </c>
      <c r="L134">
        <v>1332</v>
      </c>
      <c r="M134">
        <v>532</v>
      </c>
      <c r="N134">
        <v>234</v>
      </c>
      <c r="O134">
        <v>164</v>
      </c>
      <c r="P134">
        <v>371</v>
      </c>
      <c r="Q134">
        <v>603</v>
      </c>
      <c r="R134">
        <v>133</v>
      </c>
    </row>
    <row r="135" spans="1:18">
      <c r="A135" s="1" t="s">
        <v>319</v>
      </c>
      <c r="B135">
        <v>36</v>
      </c>
      <c r="C135">
        <v>25</v>
      </c>
      <c r="D135">
        <v>11</v>
      </c>
      <c r="E135">
        <v>-3.87</v>
      </c>
      <c r="F135">
        <v>2774</v>
      </c>
      <c r="G135">
        <v>975</v>
      </c>
      <c r="H135">
        <v>1979</v>
      </c>
      <c r="I135">
        <v>539</v>
      </c>
      <c r="J135">
        <v>813</v>
      </c>
      <c r="K135">
        <v>377</v>
      </c>
      <c r="L135">
        <v>1182</v>
      </c>
      <c r="M135">
        <v>524</v>
      </c>
      <c r="N135">
        <v>245</v>
      </c>
      <c r="O135">
        <v>90</v>
      </c>
      <c r="P135">
        <v>440</v>
      </c>
      <c r="Q135">
        <v>602</v>
      </c>
      <c r="R135">
        <v>134</v>
      </c>
    </row>
    <row r="136" spans="1:18">
      <c r="A136" s="1" t="s">
        <v>117</v>
      </c>
      <c r="B136">
        <v>32</v>
      </c>
      <c r="C136">
        <v>6</v>
      </c>
      <c r="D136">
        <v>26</v>
      </c>
      <c r="E136">
        <v>-1.36</v>
      </c>
      <c r="F136">
        <v>2126</v>
      </c>
      <c r="G136">
        <v>782</v>
      </c>
      <c r="H136">
        <v>1784</v>
      </c>
      <c r="I136">
        <v>422</v>
      </c>
      <c r="J136">
        <v>569</v>
      </c>
      <c r="K136">
        <v>261</v>
      </c>
      <c r="L136">
        <v>995</v>
      </c>
      <c r="M136">
        <v>333</v>
      </c>
      <c r="N136">
        <v>161</v>
      </c>
      <c r="O136">
        <v>98</v>
      </c>
      <c r="P136">
        <v>354</v>
      </c>
      <c r="Q136">
        <v>516</v>
      </c>
      <c r="R136">
        <v>135</v>
      </c>
    </row>
    <row r="137" spans="1:18">
      <c r="A137" s="1" t="s">
        <v>278</v>
      </c>
      <c r="B137">
        <v>31</v>
      </c>
      <c r="C137">
        <v>11</v>
      </c>
      <c r="D137">
        <v>20</v>
      </c>
      <c r="E137">
        <v>-8.7200000000000006</v>
      </c>
      <c r="F137">
        <v>2041</v>
      </c>
      <c r="G137">
        <v>711</v>
      </c>
      <c r="H137">
        <v>1707</v>
      </c>
      <c r="I137">
        <v>498</v>
      </c>
      <c r="J137">
        <v>688</v>
      </c>
      <c r="K137">
        <v>367</v>
      </c>
      <c r="L137">
        <v>1092</v>
      </c>
      <c r="M137">
        <v>296</v>
      </c>
      <c r="N137">
        <v>188</v>
      </c>
      <c r="O137">
        <v>100</v>
      </c>
      <c r="P137">
        <v>465</v>
      </c>
      <c r="Q137">
        <v>711</v>
      </c>
      <c r="R137">
        <v>136</v>
      </c>
    </row>
    <row r="138" spans="1:18">
      <c r="A138" s="1" t="s">
        <v>118</v>
      </c>
      <c r="B138">
        <v>31</v>
      </c>
      <c r="C138">
        <v>10</v>
      </c>
      <c r="D138">
        <v>21</v>
      </c>
      <c r="E138">
        <v>-5.14</v>
      </c>
      <c r="F138">
        <v>2014</v>
      </c>
      <c r="G138">
        <v>685</v>
      </c>
      <c r="H138">
        <v>1633</v>
      </c>
      <c r="I138">
        <v>469</v>
      </c>
      <c r="J138">
        <v>695</v>
      </c>
      <c r="K138">
        <v>336</v>
      </c>
      <c r="L138">
        <v>950</v>
      </c>
      <c r="M138">
        <v>366</v>
      </c>
      <c r="N138">
        <v>195</v>
      </c>
      <c r="O138">
        <v>110</v>
      </c>
      <c r="P138">
        <v>351</v>
      </c>
      <c r="Q138">
        <v>601</v>
      </c>
      <c r="R138">
        <v>137</v>
      </c>
    </row>
    <row r="139" spans="1:18">
      <c r="A139" s="1" t="s">
        <v>119</v>
      </c>
      <c r="B139">
        <v>30</v>
      </c>
      <c r="C139">
        <v>12</v>
      </c>
      <c r="D139">
        <v>18</v>
      </c>
      <c r="E139">
        <v>-4.8600000000000003</v>
      </c>
      <c r="F139">
        <v>2231</v>
      </c>
      <c r="G139">
        <v>756</v>
      </c>
      <c r="H139">
        <v>1729</v>
      </c>
      <c r="I139">
        <v>531</v>
      </c>
      <c r="J139">
        <v>749</v>
      </c>
      <c r="K139">
        <v>362</v>
      </c>
      <c r="L139">
        <v>1027</v>
      </c>
      <c r="M139">
        <v>393</v>
      </c>
      <c r="N139">
        <v>220</v>
      </c>
      <c r="O139">
        <v>105</v>
      </c>
      <c r="P139">
        <v>409</v>
      </c>
      <c r="Q139">
        <v>565</v>
      </c>
      <c r="R139">
        <v>138</v>
      </c>
    </row>
    <row r="140" spans="1:18">
      <c r="A140" s="1" t="s">
        <v>120</v>
      </c>
      <c r="B140">
        <v>31</v>
      </c>
      <c r="C140">
        <v>11</v>
      </c>
      <c r="D140">
        <v>20</v>
      </c>
      <c r="E140">
        <v>-2.2000000000000002</v>
      </c>
      <c r="F140">
        <v>1961</v>
      </c>
      <c r="G140">
        <v>647</v>
      </c>
      <c r="H140">
        <v>1582</v>
      </c>
      <c r="I140">
        <v>514</v>
      </c>
      <c r="J140">
        <v>750</v>
      </c>
      <c r="K140">
        <v>314</v>
      </c>
      <c r="L140">
        <v>1045</v>
      </c>
      <c r="M140">
        <v>272</v>
      </c>
      <c r="N140">
        <v>182</v>
      </c>
      <c r="O140">
        <v>96</v>
      </c>
      <c r="P140">
        <v>379</v>
      </c>
      <c r="Q140">
        <v>607</v>
      </c>
      <c r="R140">
        <v>139</v>
      </c>
    </row>
    <row r="141" spans="1:18">
      <c r="A141" s="1" t="s">
        <v>121</v>
      </c>
      <c r="B141">
        <v>33</v>
      </c>
      <c r="C141">
        <v>20</v>
      </c>
      <c r="D141">
        <v>13</v>
      </c>
      <c r="E141">
        <v>8.4700000000000006</v>
      </c>
      <c r="F141">
        <v>2280</v>
      </c>
      <c r="G141">
        <v>798</v>
      </c>
      <c r="H141">
        <v>1840</v>
      </c>
      <c r="I141">
        <v>486</v>
      </c>
      <c r="J141">
        <v>741</v>
      </c>
      <c r="K141">
        <v>406</v>
      </c>
      <c r="L141">
        <v>1180</v>
      </c>
      <c r="M141">
        <v>503</v>
      </c>
      <c r="N141">
        <v>205</v>
      </c>
      <c r="O141">
        <v>98</v>
      </c>
      <c r="P141">
        <v>404</v>
      </c>
      <c r="Q141">
        <v>714</v>
      </c>
      <c r="R141">
        <v>140</v>
      </c>
    </row>
    <row r="142" spans="1:18">
      <c r="A142" s="1" t="s">
        <v>375</v>
      </c>
      <c r="B142">
        <v>35</v>
      </c>
      <c r="C142">
        <v>25</v>
      </c>
      <c r="D142">
        <v>10</v>
      </c>
      <c r="E142">
        <v>11.4</v>
      </c>
      <c r="F142">
        <v>2764</v>
      </c>
      <c r="G142">
        <v>955</v>
      </c>
      <c r="H142">
        <v>1937</v>
      </c>
      <c r="I142">
        <v>665</v>
      </c>
      <c r="J142">
        <v>935</v>
      </c>
      <c r="K142">
        <v>416</v>
      </c>
      <c r="L142">
        <v>1336</v>
      </c>
      <c r="M142">
        <v>523</v>
      </c>
      <c r="N142">
        <v>204</v>
      </c>
      <c r="O142">
        <v>196</v>
      </c>
      <c r="P142">
        <v>463</v>
      </c>
      <c r="Q142">
        <v>732</v>
      </c>
      <c r="R142">
        <v>141</v>
      </c>
    </row>
    <row r="143" spans="1:18">
      <c r="A143" s="1" t="s">
        <v>336</v>
      </c>
      <c r="B143">
        <v>31</v>
      </c>
      <c r="C143">
        <v>6</v>
      </c>
      <c r="D143">
        <v>25</v>
      </c>
      <c r="E143">
        <v>-4.05</v>
      </c>
      <c r="F143">
        <v>2016</v>
      </c>
      <c r="G143">
        <v>708</v>
      </c>
      <c r="H143">
        <v>1676</v>
      </c>
      <c r="I143">
        <v>408</v>
      </c>
      <c r="J143">
        <v>628</v>
      </c>
      <c r="K143">
        <v>346</v>
      </c>
      <c r="L143">
        <v>1019</v>
      </c>
      <c r="M143">
        <v>344</v>
      </c>
      <c r="N143">
        <v>182</v>
      </c>
      <c r="O143">
        <v>95</v>
      </c>
      <c r="P143">
        <v>494</v>
      </c>
      <c r="Q143">
        <v>673</v>
      </c>
      <c r="R143">
        <v>142</v>
      </c>
    </row>
    <row r="144" spans="1:18">
      <c r="A144" s="1" t="s">
        <v>122</v>
      </c>
      <c r="B144">
        <v>32</v>
      </c>
      <c r="C144">
        <v>16</v>
      </c>
      <c r="D144">
        <v>16</v>
      </c>
      <c r="E144">
        <v>-1.94</v>
      </c>
      <c r="F144">
        <v>2228</v>
      </c>
      <c r="G144">
        <v>766</v>
      </c>
      <c r="H144">
        <v>1787</v>
      </c>
      <c r="I144">
        <v>464</v>
      </c>
      <c r="J144">
        <v>660</v>
      </c>
      <c r="K144">
        <v>341</v>
      </c>
      <c r="L144">
        <v>1074</v>
      </c>
      <c r="M144">
        <v>362</v>
      </c>
      <c r="N144">
        <v>199</v>
      </c>
      <c r="O144">
        <v>109</v>
      </c>
      <c r="P144">
        <v>390</v>
      </c>
      <c r="Q144">
        <v>670</v>
      </c>
      <c r="R144">
        <v>143</v>
      </c>
    </row>
    <row r="145" spans="1:18">
      <c r="A145" s="1" t="s">
        <v>354</v>
      </c>
      <c r="B145">
        <v>40</v>
      </c>
      <c r="C145">
        <v>29</v>
      </c>
      <c r="D145">
        <v>11</v>
      </c>
      <c r="E145">
        <v>9.9</v>
      </c>
      <c r="F145">
        <v>2992</v>
      </c>
      <c r="G145">
        <v>1004</v>
      </c>
      <c r="H145">
        <v>2213</v>
      </c>
      <c r="I145">
        <v>781</v>
      </c>
      <c r="J145">
        <v>1146</v>
      </c>
      <c r="K145">
        <v>562</v>
      </c>
      <c r="L145">
        <v>1607</v>
      </c>
      <c r="M145">
        <v>446</v>
      </c>
      <c r="N145">
        <v>189</v>
      </c>
      <c r="O145">
        <v>236</v>
      </c>
      <c r="P145">
        <v>469</v>
      </c>
      <c r="Q145">
        <v>732</v>
      </c>
      <c r="R145">
        <v>144</v>
      </c>
    </row>
    <row r="146" spans="1:18">
      <c r="A146" s="1" t="s">
        <v>123</v>
      </c>
      <c r="B146">
        <v>31</v>
      </c>
      <c r="C146">
        <v>15</v>
      </c>
      <c r="D146">
        <v>16</v>
      </c>
      <c r="E146">
        <v>4.75</v>
      </c>
      <c r="F146">
        <v>2100</v>
      </c>
      <c r="G146">
        <v>720</v>
      </c>
      <c r="H146">
        <v>1743</v>
      </c>
      <c r="I146">
        <v>483</v>
      </c>
      <c r="J146">
        <v>682</v>
      </c>
      <c r="K146">
        <v>370</v>
      </c>
      <c r="L146">
        <v>1100</v>
      </c>
      <c r="M146">
        <v>385</v>
      </c>
      <c r="N146">
        <v>173</v>
      </c>
      <c r="O146">
        <v>106</v>
      </c>
      <c r="P146">
        <v>360</v>
      </c>
      <c r="Q146">
        <v>495</v>
      </c>
      <c r="R146">
        <v>145</v>
      </c>
    </row>
    <row r="147" spans="1:18">
      <c r="A147" s="1" t="s">
        <v>279</v>
      </c>
      <c r="B147">
        <v>31</v>
      </c>
      <c r="C147">
        <v>11</v>
      </c>
      <c r="D147">
        <v>20</v>
      </c>
      <c r="E147">
        <v>-3.38</v>
      </c>
      <c r="F147">
        <v>2212</v>
      </c>
      <c r="G147">
        <v>781</v>
      </c>
      <c r="H147">
        <v>1661</v>
      </c>
      <c r="I147">
        <v>419</v>
      </c>
      <c r="J147">
        <v>563</v>
      </c>
      <c r="K147">
        <v>253</v>
      </c>
      <c r="L147">
        <v>927</v>
      </c>
      <c r="M147">
        <v>400</v>
      </c>
      <c r="N147">
        <v>162</v>
      </c>
      <c r="O147">
        <v>66</v>
      </c>
      <c r="P147">
        <v>376</v>
      </c>
      <c r="Q147">
        <v>555</v>
      </c>
      <c r="R147">
        <v>146</v>
      </c>
    </row>
    <row r="148" spans="1:18">
      <c r="A148" s="1" t="s">
        <v>280</v>
      </c>
      <c r="B148">
        <v>30</v>
      </c>
      <c r="C148">
        <v>4</v>
      </c>
      <c r="D148">
        <v>26</v>
      </c>
      <c r="E148">
        <v>-6.04</v>
      </c>
      <c r="F148">
        <v>2001</v>
      </c>
      <c r="G148">
        <v>711</v>
      </c>
      <c r="H148">
        <v>1628</v>
      </c>
      <c r="I148">
        <v>482</v>
      </c>
      <c r="J148">
        <v>648</v>
      </c>
      <c r="K148">
        <v>277</v>
      </c>
      <c r="L148">
        <v>945</v>
      </c>
      <c r="M148">
        <v>361</v>
      </c>
      <c r="N148">
        <v>160</v>
      </c>
      <c r="O148">
        <v>86</v>
      </c>
      <c r="P148">
        <v>420</v>
      </c>
      <c r="Q148">
        <v>554</v>
      </c>
      <c r="R148">
        <v>147</v>
      </c>
    </row>
    <row r="149" spans="1:18">
      <c r="A149" s="1" t="s">
        <v>124</v>
      </c>
      <c r="B149">
        <v>32</v>
      </c>
      <c r="C149">
        <v>14</v>
      </c>
      <c r="D149">
        <v>18</v>
      </c>
      <c r="E149">
        <v>-3.83</v>
      </c>
      <c r="F149">
        <v>2121</v>
      </c>
      <c r="G149">
        <v>758</v>
      </c>
      <c r="H149">
        <v>1756</v>
      </c>
      <c r="I149">
        <v>406</v>
      </c>
      <c r="J149">
        <v>574</v>
      </c>
      <c r="K149">
        <v>280</v>
      </c>
      <c r="L149">
        <v>1067</v>
      </c>
      <c r="M149">
        <v>416</v>
      </c>
      <c r="N149">
        <v>159</v>
      </c>
      <c r="O149">
        <v>112</v>
      </c>
      <c r="P149">
        <v>384</v>
      </c>
      <c r="Q149">
        <v>572</v>
      </c>
      <c r="R149">
        <v>148</v>
      </c>
    </row>
    <row r="150" spans="1:18">
      <c r="A150" s="1" t="s">
        <v>125</v>
      </c>
      <c r="B150">
        <v>32</v>
      </c>
      <c r="C150">
        <v>11</v>
      </c>
      <c r="D150">
        <v>21</v>
      </c>
      <c r="E150">
        <v>-7.47</v>
      </c>
      <c r="F150">
        <v>2250</v>
      </c>
      <c r="G150">
        <v>816</v>
      </c>
      <c r="H150">
        <v>1781</v>
      </c>
      <c r="I150">
        <v>438</v>
      </c>
      <c r="J150">
        <v>622</v>
      </c>
      <c r="K150">
        <v>403</v>
      </c>
      <c r="L150">
        <v>1186</v>
      </c>
      <c r="M150">
        <v>423</v>
      </c>
      <c r="N150">
        <v>150</v>
      </c>
      <c r="O150">
        <v>110</v>
      </c>
      <c r="P150">
        <v>424</v>
      </c>
      <c r="Q150">
        <v>564</v>
      </c>
      <c r="R150">
        <v>149</v>
      </c>
    </row>
    <row r="151" spans="1:18">
      <c r="A151" s="1" t="s">
        <v>320</v>
      </c>
      <c r="B151">
        <v>30</v>
      </c>
      <c r="C151">
        <v>15</v>
      </c>
      <c r="D151">
        <v>15</v>
      </c>
      <c r="E151">
        <v>-5.13</v>
      </c>
      <c r="F151">
        <v>2276</v>
      </c>
      <c r="G151">
        <v>727</v>
      </c>
      <c r="H151">
        <v>1683</v>
      </c>
      <c r="I151">
        <v>547</v>
      </c>
      <c r="J151">
        <v>800</v>
      </c>
      <c r="K151">
        <v>293</v>
      </c>
      <c r="L151">
        <v>991</v>
      </c>
      <c r="M151">
        <v>416</v>
      </c>
      <c r="N151">
        <v>202</v>
      </c>
      <c r="O151">
        <v>57</v>
      </c>
      <c r="P151">
        <v>376</v>
      </c>
      <c r="Q151">
        <v>661</v>
      </c>
      <c r="R151">
        <v>150</v>
      </c>
    </row>
    <row r="152" spans="1:18">
      <c r="A152" s="1" t="s">
        <v>126</v>
      </c>
      <c r="B152">
        <v>32</v>
      </c>
      <c r="C152">
        <v>15</v>
      </c>
      <c r="D152">
        <v>17</v>
      </c>
      <c r="E152">
        <v>2.71</v>
      </c>
      <c r="F152">
        <v>2236</v>
      </c>
      <c r="G152">
        <v>822</v>
      </c>
      <c r="H152">
        <v>1904</v>
      </c>
      <c r="I152">
        <v>401</v>
      </c>
      <c r="J152">
        <v>607</v>
      </c>
      <c r="K152">
        <v>428</v>
      </c>
      <c r="L152">
        <v>1178</v>
      </c>
      <c r="M152">
        <v>405</v>
      </c>
      <c r="N152">
        <v>186</v>
      </c>
      <c r="O152">
        <v>80</v>
      </c>
      <c r="P152">
        <v>390</v>
      </c>
      <c r="Q152">
        <v>571</v>
      </c>
      <c r="R152">
        <v>151</v>
      </c>
    </row>
    <row r="153" spans="1:18">
      <c r="A153" s="1" t="s">
        <v>127</v>
      </c>
      <c r="B153">
        <v>29</v>
      </c>
      <c r="C153">
        <v>9</v>
      </c>
      <c r="D153">
        <v>20</v>
      </c>
      <c r="E153">
        <v>-5.55</v>
      </c>
      <c r="F153">
        <v>2080</v>
      </c>
      <c r="G153">
        <v>707</v>
      </c>
      <c r="H153">
        <v>1653</v>
      </c>
      <c r="I153">
        <v>448</v>
      </c>
      <c r="J153">
        <v>625</v>
      </c>
      <c r="K153">
        <v>325</v>
      </c>
      <c r="L153">
        <v>1001</v>
      </c>
      <c r="M153">
        <v>407</v>
      </c>
      <c r="N153">
        <v>125</v>
      </c>
      <c r="O153">
        <v>66</v>
      </c>
      <c r="P153">
        <v>371</v>
      </c>
      <c r="Q153">
        <v>509</v>
      </c>
      <c r="R153">
        <v>152</v>
      </c>
    </row>
    <row r="154" spans="1:18">
      <c r="A154" s="1" t="s">
        <v>331</v>
      </c>
      <c r="B154">
        <v>32</v>
      </c>
      <c r="C154">
        <v>8</v>
      </c>
      <c r="D154">
        <v>24</v>
      </c>
      <c r="E154">
        <v>-5.56</v>
      </c>
      <c r="F154">
        <v>2235</v>
      </c>
      <c r="G154">
        <v>812</v>
      </c>
      <c r="H154">
        <v>1845</v>
      </c>
      <c r="I154">
        <v>431</v>
      </c>
      <c r="J154">
        <v>591</v>
      </c>
      <c r="K154">
        <v>309</v>
      </c>
      <c r="L154">
        <v>998</v>
      </c>
      <c r="M154">
        <v>430</v>
      </c>
      <c r="N154">
        <v>216</v>
      </c>
      <c r="O154">
        <v>58</v>
      </c>
      <c r="P154">
        <v>408</v>
      </c>
      <c r="Q154">
        <v>623</v>
      </c>
      <c r="R154">
        <v>153</v>
      </c>
    </row>
    <row r="155" spans="1:18">
      <c r="A155" s="1" t="s">
        <v>281</v>
      </c>
      <c r="B155">
        <v>35</v>
      </c>
      <c r="C155">
        <v>23</v>
      </c>
      <c r="D155">
        <v>12</v>
      </c>
      <c r="E155">
        <v>-0.28000000000000003</v>
      </c>
      <c r="F155">
        <v>2835</v>
      </c>
      <c r="G155">
        <v>988</v>
      </c>
      <c r="H155">
        <v>2127</v>
      </c>
      <c r="I155">
        <v>613</v>
      </c>
      <c r="J155">
        <v>913</v>
      </c>
      <c r="K155">
        <v>464</v>
      </c>
      <c r="L155">
        <v>1329</v>
      </c>
      <c r="M155">
        <v>472</v>
      </c>
      <c r="N155">
        <v>250</v>
      </c>
      <c r="O155">
        <v>144</v>
      </c>
      <c r="P155">
        <v>459</v>
      </c>
      <c r="Q155">
        <v>734</v>
      </c>
      <c r="R155">
        <v>154</v>
      </c>
    </row>
    <row r="156" spans="1:18">
      <c r="A156" s="1" t="s">
        <v>128</v>
      </c>
      <c r="B156">
        <v>27</v>
      </c>
      <c r="C156">
        <v>10</v>
      </c>
      <c r="D156">
        <v>17</v>
      </c>
      <c r="E156">
        <v>0.02</v>
      </c>
      <c r="F156">
        <v>1738</v>
      </c>
      <c r="G156">
        <v>628</v>
      </c>
      <c r="H156">
        <v>1470</v>
      </c>
      <c r="I156">
        <v>339</v>
      </c>
      <c r="J156">
        <v>536</v>
      </c>
      <c r="K156">
        <v>277</v>
      </c>
      <c r="L156">
        <v>943</v>
      </c>
      <c r="M156">
        <v>341</v>
      </c>
      <c r="N156">
        <v>154</v>
      </c>
      <c r="O156">
        <v>94</v>
      </c>
      <c r="P156">
        <v>338</v>
      </c>
      <c r="Q156">
        <v>498</v>
      </c>
      <c r="R156">
        <v>155</v>
      </c>
    </row>
    <row r="157" spans="1:18">
      <c r="A157" s="1" t="s">
        <v>282</v>
      </c>
      <c r="B157">
        <v>34</v>
      </c>
      <c r="C157">
        <v>20</v>
      </c>
      <c r="D157">
        <v>14</v>
      </c>
      <c r="E157">
        <v>6.61</v>
      </c>
      <c r="F157">
        <v>2540</v>
      </c>
      <c r="G157">
        <v>918</v>
      </c>
      <c r="H157">
        <v>2067</v>
      </c>
      <c r="I157">
        <v>473</v>
      </c>
      <c r="J157">
        <v>707</v>
      </c>
      <c r="K157">
        <v>444</v>
      </c>
      <c r="L157">
        <v>1334</v>
      </c>
      <c r="M157">
        <v>479</v>
      </c>
      <c r="N157">
        <v>261</v>
      </c>
      <c r="O157">
        <v>199</v>
      </c>
      <c r="P157">
        <v>464</v>
      </c>
      <c r="Q157">
        <v>635</v>
      </c>
      <c r="R157">
        <v>156</v>
      </c>
    </row>
    <row r="158" spans="1:18">
      <c r="A158" s="1" t="s">
        <v>129</v>
      </c>
      <c r="B158">
        <v>37</v>
      </c>
      <c r="C158">
        <v>29</v>
      </c>
      <c r="D158">
        <v>8</v>
      </c>
      <c r="E158">
        <v>-1.2</v>
      </c>
      <c r="F158">
        <v>2998</v>
      </c>
      <c r="G158">
        <v>1034</v>
      </c>
      <c r="H158">
        <v>2284</v>
      </c>
      <c r="I158">
        <v>644</v>
      </c>
      <c r="J158">
        <v>948</v>
      </c>
      <c r="K158">
        <v>478</v>
      </c>
      <c r="L158">
        <v>1448</v>
      </c>
      <c r="M158">
        <v>582</v>
      </c>
      <c r="N158">
        <v>339</v>
      </c>
      <c r="O158">
        <v>188</v>
      </c>
      <c r="P158">
        <v>424</v>
      </c>
      <c r="Q158">
        <v>705</v>
      </c>
      <c r="R158">
        <v>157</v>
      </c>
    </row>
    <row r="159" spans="1:18">
      <c r="A159" s="1" t="s">
        <v>283</v>
      </c>
      <c r="B159">
        <v>37</v>
      </c>
      <c r="C159">
        <v>31</v>
      </c>
      <c r="D159">
        <v>6</v>
      </c>
      <c r="E159">
        <v>4.8</v>
      </c>
      <c r="F159">
        <v>2998</v>
      </c>
      <c r="G159">
        <v>1051</v>
      </c>
      <c r="H159">
        <v>2232</v>
      </c>
      <c r="I159">
        <v>608</v>
      </c>
      <c r="J159">
        <v>920</v>
      </c>
      <c r="K159">
        <v>503</v>
      </c>
      <c r="L159">
        <v>1396</v>
      </c>
      <c r="M159">
        <v>568</v>
      </c>
      <c r="N159">
        <v>370</v>
      </c>
      <c r="O159">
        <v>173</v>
      </c>
      <c r="P159">
        <v>391</v>
      </c>
      <c r="Q159">
        <v>723</v>
      </c>
      <c r="R159">
        <v>158</v>
      </c>
    </row>
    <row r="160" spans="1:18">
      <c r="A160" s="1" t="s">
        <v>130</v>
      </c>
      <c r="B160">
        <v>32</v>
      </c>
      <c r="C160">
        <v>10</v>
      </c>
      <c r="D160">
        <v>22</v>
      </c>
      <c r="E160">
        <v>-1.1399999999999999</v>
      </c>
      <c r="F160">
        <v>2105</v>
      </c>
      <c r="G160">
        <v>744</v>
      </c>
      <c r="H160">
        <v>1609</v>
      </c>
      <c r="I160">
        <v>426</v>
      </c>
      <c r="J160">
        <v>606</v>
      </c>
      <c r="K160">
        <v>266</v>
      </c>
      <c r="L160">
        <v>973</v>
      </c>
      <c r="M160">
        <v>419</v>
      </c>
      <c r="N160">
        <v>176</v>
      </c>
      <c r="O160">
        <v>82</v>
      </c>
      <c r="P160">
        <v>427</v>
      </c>
      <c r="Q160">
        <v>622</v>
      </c>
      <c r="R160">
        <v>159</v>
      </c>
    </row>
    <row r="161" spans="1:18">
      <c r="A161" s="1" t="s">
        <v>131</v>
      </c>
      <c r="B161">
        <v>32</v>
      </c>
      <c r="C161">
        <v>13</v>
      </c>
      <c r="D161">
        <v>19</v>
      </c>
      <c r="E161">
        <v>4.03</v>
      </c>
      <c r="F161">
        <v>2345</v>
      </c>
      <c r="G161">
        <v>838</v>
      </c>
      <c r="H161">
        <v>1922</v>
      </c>
      <c r="I161">
        <v>528</v>
      </c>
      <c r="J161">
        <v>693</v>
      </c>
      <c r="K161">
        <v>385</v>
      </c>
      <c r="L161">
        <v>1088</v>
      </c>
      <c r="M161">
        <v>406</v>
      </c>
      <c r="N161">
        <v>228</v>
      </c>
      <c r="O161">
        <v>120</v>
      </c>
      <c r="P161">
        <v>389</v>
      </c>
      <c r="Q161">
        <v>645</v>
      </c>
      <c r="R161">
        <v>160</v>
      </c>
    </row>
    <row r="162" spans="1:18">
      <c r="A162" s="1" t="s">
        <v>132</v>
      </c>
      <c r="B162">
        <v>30</v>
      </c>
      <c r="C162">
        <v>11</v>
      </c>
      <c r="D162">
        <v>19</v>
      </c>
      <c r="E162">
        <v>-3.23</v>
      </c>
      <c r="F162">
        <v>1957</v>
      </c>
      <c r="G162">
        <v>680</v>
      </c>
      <c r="H162">
        <v>1642</v>
      </c>
      <c r="I162">
        <v>452</v>
      </c>
      <c r="J162">
        <v>678</v>
      </c>
      <c r="K162">
        <v>329</v>
      </c>
      <c r="L162">
        <v>935</v>
      </c>
      <c r="M162">
        <v>336</v>
      </c>
      <c r="N162">
        <v>236</v>
      </c>
      <c r="O162">
        <v>128</v>
      </c>
      <c r="P162">
        <v>357</v>
      </c>
      <c r="Q162">
        <v>584</v>
      </c>
      <c r="R162">
        <v>161</v>
      </c>
    </row>
    <row r="163" spans="1:18">
      <c r="A163" s="1" t="s">
        <v>133</v>
      </c>
      <c r="B163">
        <v>29</v>
      </c>
      <c r="C163">
        <v>6</v>
      </c>
      <c r="D163">
        <v>23</v>
      </c>
      <c r="E163">
        <v>-4.72</v>
      </c>
      <c r="F163">
        <v>2091</v>
      </c>
      <c r="G163">
        <v>759</v>
      </c>
      <c r="H163">
        <v>1712</v>
      </c>
      <c r="I163">
        <v>391</v>
      </c>
      <c r="J163">
        <v>577</v>
      </c>
      <c r="K163">
        <v>271</v>
      </c>
      <c r="L163">
        <v>966</v>
      </c>
      <c r="M163">
        <v>418</v>
      </c>
      <c r="N163">
        <v>220</v>
      </c>
      <c r="O163">
        <v>66</v>
      </c>
      <c r="P163">
        <v>438</v>
      </c>
      <c r="Q163">
        <v>606</v>
      </c>
      <c r="R163">
        <v>162</v>
      </c>
    </row>
    <row r="164" spans="1:18">
      <c r="A164" s="1" t="s">
        <v>134</v>
      </c>
      <c r="B164">
        <v>33</v>
      </c>
      <c r="C164">
        <v>25</v>
      </c>
      <c r="D164">
        <v>8</v>
      </c>
      <c r="E164">
        <v>-0.9</v>
      </c>
      <c r="F164">
        <v>2540</v>
      </c>
      <c r="G164">
        <v>828</v>
      </c>
      <c r="H164">
        <v>1837</v>
      </c>
      <c r="I164">
        <v>676</v>
      </c>
      <c r="J164">
        <v>1019</v>
      </c>
      <c r="K164">
        <v>415</v>
      </c>
      <c r="L164">
        <v>1234</v>
      </c>
      <c r="M164">
        <v>433</v>
      </c>
      <c r="N164">
        <v>273</v>
      </c>
      <c r="O164">
        <v>200</v>
      </c>
      <c r="P164">
        <v>468</v>
      </c>
      <c r="Q164">
        <v>799</v>
      </c>
      <c r="R164">
        <v>163</v>
      </c>
    </row>
    <row r="165" spans="1:18">
      <c r="A165" s="1" t="s">
        <v>135</v>
      </c>
      <c r="B165">
        <v>31</v>
      </c>
      <c r="C165">
        <v>12</v>
      </c>
      <c r="D165">
        <v>19</v>
      </c>
      <c r="E165">
        <v>-1.27</v>
      </c>
      <c r="F165">
        <v>2119</v>
      </c>
      <c r="G165">
        <v>709</v>
      </c>
      <c r="H165">
        <v>1736</v>
      </c>
      <c r="I165">
        <v>500</v>
      </c>
      <c r="J165">
        <v>700</v>
      </c>
      <c r="K165">
        <v>334</v>
      </c>
      <c r="L165">
        <v>1057</v>
      </c>
      <c r="M165">
        <v>342</v>
      </c>
      <c r="N165">
        <v>202</v>
      </c>
      <c r="O165">
        <v>122</v>
      </c>
      <c r="P165">
        <v>384</v>
      </c>
      <c r="Q165">
        <v>583</v>
      </c>
      <c r="R165">
        <v>164</v>
      </c>
    </row>
    <row r="166" spans="1:18">
      <c r="A166" s="1" t="s">
        <v>136</v>
      </c>
      <c r="B166">
        <v>32</v>
      </c>
      <c r="C166">
        <v>17</v>
      </c>
      <c r="D166">
        <v>15</v>
      </c>
      <c r="E166">
        <v>6.61</v>
      </c>
      <c r="F166">
        <v>2310</v>
      </c>
      <c r="G166">
        <v>800</v>
      </c>
      <c r="H166">
        <v>1800</v>
      </c>
      <c r="I166">
        <v>556</v>
      </c>
      <c r="J166">
        <v>806</v>
      </c>
      <c r="K166">
        <v>379</v>
      </c>
      <c r="L166">
        <v>1167</v>
      </c>
      <c r="M166">
        <v>474</v>
      </c>
      <c r="N166">
        <v>202</v>
      </c>
      <c r="O166">
        <v>100</v>
      </c>
      <c r="P166">
        <v>383</v>
      </c>
      <c r="Q166">
        <v>631</v>
      </c>
      <c r="R166">
        <v>165</v>
      </c>
    </row>
    <row r="167" spans="1:18">
      <c r="A167" s="1" t="s">
        <v>137</v>
      </c>
      <c r="B167">
        <v>33</v>
      </c>
      <c r="C167">
        <v>11</v>
      </c>
      <c r="D167">
        <v>22</v>
      </c>
      <c r="E167">
        <v>-1.32</v>
      </c>
      <c r="F167">
        <v>2385</v>
      </c>
      <c r="G167">
        <v>837</v>
      </c>
      <c r="H167">
        <v>1938</v>
      </c>
      <c r="I167">
        <v>509</v>
      </c>
      <c r="J167">
        <v>818</v>
      </c>
      <c r="K167">
        <v>423</v>
      </c>
      <c r="L167">
        <v>1222</v>
      </c>
      <c r="M167">
        <v>397</v>
      </c>
      <c r="N167">
        <v>211</v>
      </c>
      <c r="O167">
        <v>124</v>
      </c>
      <c r="P167">
        <v>426</v>
      </c>
      <c r="Q167">
        <v>658</v>
      </c>
      <c r="R167">
        <v>166</v>
      </c>
    </row>
    <row r="168" spans="1:18">
      <c r="A168" s="1" t="s">
        <v>138</v>
      </c>
      <c r="B168">
        <v>30</v>
      </c>
      <c r="C168">
        <v>9</v>
      </c>
      <c r="D168">
        <v>21</v>
      </c>
      <c r="E168">
        <v>-6.55</v>
      </c>
      <c r="F168">
        <v>1968</v>
      </c>
      <c r="G168">
        <v>669</v>
      </c>
      <c r="H168">
        <v>1667</v>
      </c>
      <c r="I168">
        <v>457</v>
      </c>
      <c r="J168">
        <v>698</v>
      </c>
      <c r="K168">
        <v>342</v>
      </c>
      <c r="L168">
        <v>1017</v>
      </c>
      <c r="M168">
        <v>355</v>
      </c>
      <c r="N168">
        <v>240</v>
      </c>
      <c r="O168">
        <v>84</v>
      </c>
      <c r="P168">
        <v>450</v>
      </c>
      <c r="Q168">
        <v>702</v>
      </c>
      <c r="R168">
        <v>167</v>
      </c>
    </row>
    <row r="169" spans="1:18">
      <c r="A169" s="1" t="s">
        <v>139</v>
      </c>
      <c r="B169">
        <v>30</v>
      </c>
      <c r="C169">
        <v>6</v>
      </c>
      <c r="D169">
        <v>24</v>
      </c>
      <c r="E169">
        <v>-6.61</v>
      </c>
      <c r="F169">
        <v>1996</v>
      </c>
      <c r="G169">
        <v>656</v>
      </c>
      <c r="H169">
        <v>1637</v>
      </c>
      <c r="I169">
        <v>504</v>
      </c>
      <c r="J169">
        <v>699</v>
      </c>
      <c r="K169">
        <v>339</v>
      </c>
      <c r="L169">
        <v>979</v>
      </c>
      <c r="M169">
        <v>339</v>
      </c>
      <c r="N169">
        <v>196</v>
      </c>
      <c r="O169">
        <v>62</v>
      </c>
      <c r="P169">
        <v>368</v>
      </c>
      <c r="Q169">
        <v>584</v>
      </c>
      <c r="R169">
        <v>168</v>
      </c>
    </row>
    <row r="170" spans="1:18">
      <c r="A170" s="1" t="s">
        <v>332</v>
      </c>
      <c r="B170">
        <v>32</v>
      </c>
      <c r="C170">
        <v>17</v>
      </c>
      <c r="D170">
        <v>15</v>
      </c>
      <c r="E170">
        <v>8.08</v>
      </c>
      <c r="F170">
        <v>2270</v>
      </c>
      <c r="G170">
        <v>792</v>
      </c>
      <c r="H170">
        <v>1844</v>
      </c>
      <c r="I170">
        <v>460</v>
      </c>
      <c r="J170">
        <v>677</v>
      </c>
      <c r="K170">
        <v>384</v>
      </c>
      <c r="L170">
        <v>1200</v>
      </c>
      <c r="M170">
        <v>374</v>
      </c>
      <c r="N170">
        <v>202</v>
      </c>
      <c r="O170">
        <v>139</v>
      </c>
      <c r="P170">
        <v>408</v>
      </c>
      <c r="Q170">
        <v>634</v>
      </c>
      <c r="R170">
        <v>169</v>
      </c>
    </row>
    <row r="171" spans="1:18">
      <c r="A171" s="1" t="s">
        <v>366</v>
      </c>
      <c r="B171">
        <v>28</v>
      </c>
      <c r="C171">
        <v>10</v>
      </c>
      <c r="D171">
        <v>18</v>
      </c>
      <c r="E171">
        <v>-4.53</v>
      </c>
      <c r="F171">
        <v>1718</v>
      </c>
      <c r="G171">
        <v>570</v>
      </c>
      <c r="H171">
        <v>1447</v>
      </c>
      <c r="I171">
        <v>386</v>
      </c>
      <c r="J171">
        <v>548</v>
      </c>
      <c r="K171">
        <v>268</v>
      </c>
      <c r="L171">
        <v>880</v>
      </c>
      <c r="M171">
        <v>335</v>
      </c>
      <c r="N171">
        <v>166</v>
      </c>
      <c r="O171">
        <v>73</v>
      </c>
      <c r="P171">
        <v>378</v>
      </c>
      <c r="Q171">
        <v>517</v>
      </c>
      <c r="R171">
        <v>170</v>
      </c>
    </row>
    <row r="172" spans="1:18">
      <c r="A172" s="1" t="s">
        <v>140</v>
      </c>
      <c r="B172">
        <v>33</v>
      </c>
      <c r="C172">
        <v>24</v>
      </c>
      <c r="D172">
        <v>9</v>
      </c>
      <c r="E172">
        <v>6</v>
      </c>
      <c r="F172">
        <v>2502</v>
      </c>
      <c r="G172">
        <v>900</v>
      </c>
      <c r="H172">
        <v>1962</v>
      </c>
      <c r="I172">
        <v>525</v>
      </c>
      <c r="J172">
        <v>769</v>
      </c>
      <c r="K172">
        <v>404</v>
      </c>
      <c r="L172">
        <v>1267</v>
      </c>
      <c r="M172">
        <v>499</v>
      </c>
      <c r="N172">
        <v>226</v>
      </c>
      <c r="O172">
        <v>178</v>
      </c>
      <c r="P172">
        <v>446</v>
      </c>
      <c r="Q172">
        <v>649</v>
      </c>
      <c r="R172">
        <v>171</v>
      </c>
    </row>
    <row r="173" spans="1:18">
      <c r="A173" s="1" t="s">
        <v>141</v>
      </c>
      <c r="B173">
        <v>31</v>
      </c>
      <c r="C173">
        <v>11</v>
      </c>
      <c r="D173">
        <v>20</v>
      </c>
      <c r="E173">
        <v>-4.01</v>
      </c>
      <c r="F173">
        <v>2111</v>
      </c>
      <c r="G173">
        <v>729</v>
      </c>
      <c r="H173">
        <v>1857</v>
      </c>
      <c r="I173">
        <v>450</v>
      </c>
      <c r="J173">
        <v>647</v>
      </c>
      <c r="K173">
        <v>408</v>
      </c>
      <c r="L173">
        <v>1142</v>
      </c>
      <c r="M173">
        <v>369</v>
      </c>
      <c r="N173">
        <v>211</v>
      </c>
      <c r="O173">
        <v>117</v>
      </c>
      <c r="P173">
        <v>397</v>
      </c>
      <c r="Q173">
        <v>554</v>
      </c>
      <c r="R173">
        <v>172</v>
      </c>
    </row>
    <row r="174" spans="1:18">
      <c r="A174" s="1" t="s">
        <v>142</v>
      </c>
      <c r="B174">
        <v>34</v>
      </c>
      <c r="C174">
        <v>24</v>
      </c>
      <c r="D174">
        <v>10</v>
      </c>
      <c r="E174">
        <v>7.14</v>
      </c>
      <c r="F174">
        <v>2614</v>
      </c>
      <c r="G174">
        <v>958</v>
      </c>
      <c r="H174">
        <v>2009</v>
      </c>
      <c r="I174">
        <v>516</v>
      </c>
      <c r="J174">
        <v>801</v>
      </c>
      <c r="K174">
        <v>427</v>
      </c>
      <c r="L174">
        <v>1268</v>
      </c>
      <c r="M174">
        <v>591</v>
      </c>
      <c r="N174">
        <v>294</v>
      </c>
      <c r="O174">
        <v>159</v>
      </c>
      <c r="P174">
        <v>449</v>
      </c>
      <c r="Q174">
        <v>612</v>
      </c>
      <c r="R174">
        <v>173</v>
      </c>
    </row>
    <row r="175" spans="1:18">
      <c r="A175" s="1" t="s">
        <v>143</v>
      </c>
      <c r="B175">
        <v>36</v>
      </c>
      <c r="C175">
        <v>27</v>
      </c>
      <c r="D175">
        <v>9</v>
      </c>
      <c r="E175">
        <v>-3.42</v>
      </c>
      <c r="F175">
        <v>2836</v>
      </c>
      <c r="G175">
        <v>982</v>
      </c>
      <c r="H175">
        <v>2061</v>
      </c>
      <c r="I175">
        <v>582</v>
      </c>
      <c r="J175">
        <v>791</v>
      </c>
      <c r="K175">
        <v>407</v>
      </c>
      <c r="L175">
        <v>1338</v>
      </c>
      <c r="M175">
        <v>586</v>
      </c>
      <c r="N175">
        <v>211</v>
      </c>
      <c r="O175">
        <v>147</v>
      </c>
      <c r="P175">
        <v>420</v>
      </c>
      <c r="Q175">
        <v>665</v>
      </c>
      <c r="R175">
        <v>174</v>
      </c>
    </row>
    <row r="176" spans="1:18">
      <c r="A176" s="1" t="s">
        <v>284</v>
      </c>
      <c r="B176">
        <v>33</v>
      </c>
      <c r="C176">
        <v>17</v>
      </c>
      <c r="D176">
        <v>16</v>
      </c>
      <c r="E176">
        <v>5.63</v>
      </c>
      <c r="F176">
        <v>2029</v>
      </c>
      <c r="G176">
        <v>712</v>
      </c>
      <c r="H176">
        <v>1690</v>
      </c>
      <c r="I176">
        <v>419</v>
      </c>
      <c r="J176">
        <v>610</v>
      </c>
      <c r="K176">
        <v>362</v>
      </c>
      <c r="L176">
        <v>1140</v>
      </c>
      <c r="M176">
        <v>346</v>
      </c>
      <c r="N176">
        <v>161</v>
      </c>
      <c r="O176">
        <v>124</v>
      </c>
      <c r="P176">
        <v>335</v>
      </c>
      <c r="Q176">
        <v>522</v>
      </c>
      <c r="R176">
        <v>175</v>
      </c>
    </row>
    <row r="177" spans="1:18">
      <c r="A177" s="1" t="s">
        <v>144</v>
      </c>
      <c r="B177">
        <v>31</v>
      </c>
      <c r="C177">
        <v>13</v>
      </c>
      <c r="D177">
        <v>18</v>
      </c>
      <c r="E177">
        <v>0.13</v>
      </c>
      <c r="F177">
        <v>2023</v>
      </c>
      <c r="G177">
        <v>722</v>
      </c>
      <c r="H177">
        <v>1664</v>
      </c>
      <c r="I177">
        <v>433</v>
      </c>
      <c r="J177">
        <v>574</v>
      </c>
      <c r="K177">
        <v>266</v>
      </c>
      <c r="L177">
        <v>967</v>
      </c>
      <c r="M177">
        <v>387</v>
      </c>
      <c r="N177">
        <v>267</v>
      </c>
      <c r="O177">
        <v>73</v>
      </c>
      <c r="P177">
        <v>420</v>
      </c>
      <c r="Q177">
        <v>537</v>
      </c>
      <c r="R177">
        <v>176</v>
      </c>
    </row>
    <row r="178" spans="1:18">
      <c r="A178" s="1" t="s">
        <v>377</v>
      </c>
      <c r="B178">
        <v>38</v>
      </c>
      <c r="C178">
        <v>29</v>
      </c>
      <c r="D178">
        <v>9</v>
      </c>
      <c r="E178">
        <v>9.3800000000000008</v>
      </c>
      <c r="F178">
        <v>2870</v>
      </c>
      <c r="G178">
        <v>1024</v>
      </c>
      <c r="H178">
        <v>2159</v>
      </c>
      <c r="I178">
        <v>515</v>
      </c>
      <c r="J178">
        <v>728</v>
      </c>
      <c r="K178">
        <v>395</v>
      </c>
      <c r="L178">
        <v>1400</v>
      </c>
      <c r="M178">
        <v>637</v>
      </c>
      <c r="N178">
        <v>259</v>
      </c>
      <c r="O178">
        <v>174</v>
      </c>
      <c r="P178">
        <v>430</v>
      </c>
      <c r="Q178">
        <v>721</v>
      </c>
      <c r="R178">
        <v>177</v>
      </c>
    </row>
    <row r="179" spans="1:18">
      <c r="A179" s="1" t="s">
        <v>145</v>
      </c>
      <c r="B179">
        <v>37</v>
      </c>
      <c r="C179">
        <v>28</v>
      </c>
      <c r="D179">
        <v>9</v>
      </c>
      <c r="E179">
        <v>9.65</v>
      </c>
      <c r="F179">
        <v>2736</v>
      </c>
      <c r="G179">
        <v>945</v>
      </c>
      <c r="H179">
        <v>1982</v>
      </c>
      <c r="I179">
        <v>527</v>
      </c>
      <c r="J179">
        <v>691</v>
      </c>
      <c r="K179">
        <v>316</v>
      </c>
      <c r="L179">
        <v>1160</v>
      </c>
      <c r="M179">
        <v>525</v>
      </c>
      <c r="N179">
        <v>191</v>
      </c>
      <c r="O179">
        <v>88</v>
      </c>
      <c r="P179">
        <v>336</v>
      </c>
      <c r="Q179">
        <v>527</v>
      </c>
      <c r="R179">
        <v>178</v>
      </c>
    </row>
    <row r="180" spans="1:18">
      <c r="A180" s="1" t="s">
        <v>146</v>
      </c>
      <c r="B180">
        <v>33</v>
      </c>
      <c r="C180">
        <v>24</v>
      </c>
      <c r="D180">
        <v>9</v>
      </c>
      <c r="E180">
        <v>-0.78</v>
      </c>
      <c r="F180">
        <v>2339</v>
      </c>
      <c r="G180">
        <v>816</v>
      </c>
      <c r="H180">
        <v>1795</v>
      </c>
      <c r="I180">
        <v>529</v>
      </c>
      <c r="J180">
        <v>796</v>
      </c>
      <c r="K180">
        <v>399</v>
      </c>
      <c r="L180">
        <v>1211</v>
      </c>
      <c r="M180">
        <v>433</v>
      </c>
      <c r="N180">
        <v>234</v>
      </c>
      <c r="O180">
        <v>158</v>
      </c>
      <c r="P180">
        <v>416</v>
      </c>
      <c r="Q180">
        <v>664</v>
      </c>
      <c r="R180">
        <v>179</v>
      </c>
    </row>
    <row r="181" spans="1:18">
      <c r="A181" s="1" t="s">
        <v>147</v>
      </c>
      <c r="B181">
        <v>35</v>
      </c>
      <c r="C181">
        <v>21</v>
      </c>
      <c r="D181">
        <v>14</v>
      </c>
      <c r="E181">
        <v>-0.44</v>
      </c>
      <c r="F181">
        <v>2465</v>
      </c>
      <c r="G181">
        <v>808</v>
      </c>
      <c r="H181">
        <v>1888</v>
      </c>
      <c r="I181">
        <v>604</v>
      </c>
      <c r="J181">
        <v>823</v>
      </c>
      <c r="K181">
        <v>343</v>
      </c>
      <c r="L181">
        <v>1182</v>
      </c>
      <c r="M181">
        <v>476</v>
      </c>
      <c r="N181">
        <v>200</v>
      </c>
      <c r="O181">
        <v>85</v>
      </c>
      <c r="P181">
        <v>469</v>
      </c>
      <c r="Q181">
        <v>630</v>
      </c>
      <c r="R181">
        <v>180</v>
      </c>
    </row>
    <row r="182" spans="1:18">
      <c r="A182" s="1" t="s">
        <v>148</v>
      </c>
      <c r="B182">
        <v>38</v>
      </c>
      <c r="C182">
        <v>25</v>
      </c>
      <c r="D182">
        <v>13</v>
      </c>
      <c r="E182">
        <v>8.34</v>
      </c>
      <c r="F182">
        <v>2715</v>
      </c>
      <c r="G182">
        <v>918</v>
      </c>
      <c r="H182">
        <v>2053</v>
      </c>
      <c r="I182">
        <v>607</v>
      </c>
      <c r="J182">
        <v>818</v>
      </c>
      <c r="K182">
        <v>394</v>
      </c>
      <c r="L182">
        <v>1282</v>
      </c>
      <c r="M182">
        <v>528</v>
      </c>
      <c r="N182">
        <v>289</v>
      </c>
      <c r="O182">
        <v>155</v>
      </c>
      <c r="P182">
        <v>444</v>
      </c>
      <c r="Q182">
        <v>727</v>
      </c>
      <c r="R182">
        <v>181</v>
      </c>
    </row>
    <row r="183" spans="1:18">
      <c r="A183" s="1" t="s">
        <v>149</v>
      </c>
      <c r="B183">
        <v>33</v>
      </c>
      <c r="C183">
        <v>14</v>
      </c>
      <c r="D183">
        <v>19</v>
      </c>
      <c r="E183">
        <v>2.75</v>
      </c>
      <c r="F183">
        <v>2234</v>
      </c>
      <c r="G183">
        <v>785</v>
      </c>
      <c r="H183">
        <v>1776</v>
      </c>
      <c r="I183">
        <v>510</v>
      </c>
      <c r="J183">
        <v>769</v>
      </c>
      <c r="K183">
        <v>325</v>
      </c>
      <c r="L183">
        <v>1086</v>
      </c>
      <c r="M183">
        <v>401</v>
      </c>
      <c r="N183">
        <v>255</v>
      </c>
      <c r="O183">
        <v>88</v>
      </c>
      <c r="P183">
        <v>459</v>
      </c>
      <c r="Q183">
        <v>570</v>
      </c>
      <c r="R183">
        <v>182</v>
      </c>
    </row>
    <row r="184" spans="1:18">
      <c r="A184" s="1" t="s">
        <v>150</v>
      </c>
      <c r="B184">
        <v>32</v>
      </c>
      <c r="C184">
        <v>9</v>
      </c>
      <c r="D184">
        <v>23</v>
      </c>
      <c r="E184">
        <v>-8.35</v>
      </c>
      <c r="F184">
        <v>2293</v>
      </c>
      <c r="G184">
        <v>808</v>
      </c>
      <c r="H184">
        <v>1934</v>
      </c>
      <c r="I184">
        <v>474</v>
      </c>
      <c r="J184">
        <v>707</v>
      </c>
      <c r="K184">
        <v>374</v>
      </c>
      <c r="L184">
        <v>1115</v>
      </c>
      <c r="M184">
        <v>357</v>
      </c>
      <c r="N184">
        <v>245</v>
      </c>
      <c r="O184">
        <v>59</v>
      </c>
      <c r="P184">
        <v>469</v>
      </c>
      <c r="Q184">
        <v>719</v>
      </c>
      <c r="R184">
        <v>183</v>
      </c>
    </row>
    <row r="185" spans="1:18">
      <c r="A185" s="1" t="s">
        <v>151</v>
      </c>
      <c r="B185">
        <v>33</v>
      </c>
      <c r="C185">
        <v>19</v>
      </c>
      <c r="D185">
        <v>14</v>
      </c>
      <c r="E185">
        <v>5.36</v>
      </c>
      <c r="F185">
        <v>2482</v>
      </c>
      <c r="G185">
        <v>836</v>
      </c>
      <c r="H185">
        <v>2003</v>
      </c>
      <c r="I185">
        <v>552</v>
      </c>
      <c r="J185">
        <v>793</v>
      </c>
      <c r="K185">
        <v>428</v>
      </c>
      <c r="L185">
        <v>1211</v>
      </c>
      <c r="M185">
        <v>413</v>
      </c>
      <c r="N185">
        <v>246</v>
      </c>
      <c r="O185">
        <v>182</v>
      </c>
      <c r="P185">
        <v>369</v>
      </c>
      <c r="Q185">
        <v>641</v>
      </c>
      <c r="R185">
        <v>184</v>
      </c>
    </row>
    <row r="186" spans="1:18">
      <c r="A186" s="1" t="s">
        <v>152</v>
      </c>
      <c r="B186">
        <v>30</v>
      </c>
      <c r="C186">
        <v>10</v>
      </c>
      <c r="D186">
        <v>20</v>
      </c>
      <c r="E186">
        <v>-1.93</v>
      </c>
      <c r="F186">
        <v>2085</v>
      </c>
      <c r="G186">
        <v>729</v>
      </c>
      <c r="H186">
        <v>1697</v>
      </c>
      <c r="I186">
        <v>460</v>
      </c>
      <c r="J186">
        <v>725</v>
      </c>
      <c r="K186">
        <v>290</v>
      </c>
      <c r="L186">
        <v>981</v>
      </c>
      <c r="M186">
        <v>349</v>
      </c>
      <c r="N186">
        <v>217</v>
      </c>
      <c r="O186">
        <v>70</v>
      </c>
      <c r="P186">
        <v>397</v>
      </c>
      <c r="Q186">
        <v>621</v>
      </c>
      <c r="R186">
        <v>185</v>
      </c>
    </row>
    <row r="187" spans="1:18">
      <c r="A187" s="1" t="s">
        <v>153</v>
      </c>
      <c r="B187">
        <v>33</v>
      </c>
      <c r="C187">
        <v>20</v>
      </c>
      <c r="D187">
        <v>13</v>
      </c>
      <c r="E187">
        <v>1.22</v>
      </c>
      <c r="F187">
        <v>2262</v>
      </c>
      <c r="G187">
        <v>761</v>
      </c>
      <c r="H187">
        <v>1765</v>
      </c>
      <c r="I187">
        <v>510</v>
      </c>
      <c r="J187">
        <v>720</v>
      </c>
      <c r="K187">
        <v>303</v>
      </c>
      <c r="L187">
        <v>1080</v>
      </c>
      <c r="M187">
        <v>401</v>
      </c>
      <c r="N187">
        <v>160</v>
      </c>
      <c r="O187">
        <v>99</v>
      </c>
      <c r="P187">
        <v>361</v>
      </c>
      <c r="Q187">
        <v>652</v>
      </c>
      <c r="R187">
        <v>186</v>
      </c>
    </row>
    <row r="188" spans="1:18">
      <c r="A188" s="1" t="s">
        <v>328</v>
      </c>
      <c r="B188">
        <v>35</v>
      </c>
      <c r="C188">
        <v>23</v>
      </c>
      <c r="D188">
        <v>12</v>
      </c>
      <c r="E188">
        <v>6.86</v>
      </c>
      <c r="F188">
        <v>2553</v>
      </c>
      <c r="G188">
        <v>824</v>
      </c>
      <c r="H188">
        <v>1805</v>
      </c>
      <c r="I188">
        <v>703</v>
      </c>
      <c r="J188">
        <v>948</v>
      </c>
      <c r="K188">
        <v>383</v>
      </c>
      <c r="L188">
        <v>1293</v>
      </c>
      <c r="M188">
        <v>355</v>
      </c>
      <c r="N188">
        <v>176</v>
      </c>
      <c r="O188">
        <v>114</v>
      </c>
      <c r="P188">
        <v>442</v>
      </c>
      <c r="Q188">
        <v>670</v>
      </c>
      <c r="R188">
        <v>187</v>
      </c>
    </row>
    <row r="189" spans="1:18">
      <c r="A189" s="1" t="s">
        <v>154</v>
      </c>
      <c r="B189">
        <v>32</v>
      </c>
      <c r="C189">
        <v>11</v>
      </c>
      <c r="D189">
        <v>21</v>
      </c>
      <c r="E189">
        <v>-2.9</v>
      </c>
      <c r="F189">
        <v>2208</v>
      </c>
      <c r="G189">
        <v>776</v>
      </c>
      <c r="H189">
        <v>1847</v>
      </c>
      <c r="I189">
        <v>479</v>
      </c>
      <c r="J189">
        <v>749</v>
      </c>
      <c r="K189">
        <v>413</v>
      </c>
      <c r="L189">
        <v>1184</v>
      </c>
      <c r="M189">
        <v>386</v>
      </c>
      <c r="N189">
        <v>222</v>
      </c>
      <c r="O189">
        <v>96</v>
      </c>
      <c r="P189">
        <v>462</v>
      </c>
      <c r="Q189">
        <v>698</v>
      </c>
      <c r="R189">
        <v>188</v>
      </c>
    </row>
    <row r="190" spans="1:18">
      <c r="A190" s="1" t="s">
        <v>155</v>
      </c>
      <c r="B190">
        <v>31</v>
      </c>
      <c r="C190">
        <v>14</v>
      </c>
      <c r="D190">
        <v>17</v>
      </c>
      <c r="E190">
        <v>-5.83</v>
      </c>
      <c r="F190">
        <v>2109</v>
      </c>
      <c r="G190">
        <v>736</v>
      </c>
      <c r="H190">
        <v>1661</v>
      </c>
      <c r="I190">
        <v>452</v>
      </c>
      <c r="J190">
        <v>636</v>
      </c>
      <c r="K190">
        <v>267</v>
      </c>
      <c r="L190">
        <v>966</v>
      </c>
      <c r="M190">
        <v>325</v>
      </c>
      <c r="N190">
        <v>203</v>
      </c>
      <c r="O190">
        <v>50</v>
      </c>
      <c r="P190">
        <v>357</v>
      </c>
      <c r="Q190">
        <v>561</v>
      </c>
      <c r="R190">
        <v>189</v>
      </c>
    </row>
    <row r="191" spans="1:18">
      <c r="A191" s="1" t="s">
        <v>156</v>
      </c>
      <c r="B191">
        <v>30</v>
      </c>
      <c r="C191">
        <v>17</v>
      </c>
      <c r="D191">
        <v>13</v>
      </c>
      <c r="E191">
        <v>-5.23</v>
      </c>
      <c r="F191">
        <v>2123</v>
      </c>
      <c r="G191">
        <v>703</v>
      </c>
      <c r="H191">
        <v>1475</v>
      </c>
      <c r="I191">
        <v>495</v>
      </c>
      <c r="J191">
        <v>670</v>
      </c>
      <c r="K191">
        <v>213</v>
      </c>
      <c r="L191">
        <v>813</v>
      </c>
      <c r="M191">
        <v>340</v>
      </c>
      <c r="N191">
        <v>152</v>
      </c>
      <c r="O191">
        <v>76</v>
      </c>
      <c r="P191">
        <v>299</v>
      </c>
      <c r="Q191">
        <v>620</v>
      </c>
      <c r="R191">
        <v>190</v>
      </c>
    </row>
    <row r="192" spans="1:18">
      <c r="A192" s="1" t="s">
        <v>157</v>
      </c>
      <c r="B192">
        <v>34</v>
      </c>
      <c r="C192">
        <v>20</v>
      </c>
      <c r="D192">
        <v>14</v>
      </c>
      <c r="E192">
        <v>-3.1</v>
      </c>
      <c r="F192">
        <v>2603</v>
      </c>
      <c r="G192">
        <v>861</v>
      </c>
      <c r="H192">
        <v>1927</v>
      </c>
      <c r="I192">
        <v>693</v>
      </c>
      <c r="J192">
        <v>992</v>
      </c>
      <c r="K192">
        <v>481</v>
      </c>
      <c r="L192">
        <v>1309</v>
      </c>
      <c r="M192">
        <v>456</v>
      </c>
      <c r="N192">
        <v>271</v>
      </c>
      <c r="O192">
        <v>104</v>
      </c>
      <c r="P192">
        <v>530</v>
      </c>
      <c r="Q192">
        <v>799</v>
      </c>
      <c r="R192">
        <v>191</v>
      </c>
    </row>
    <row r="193" spans="1:18">
      <c r="A193" s="1" t="s">
        <v>158</v>
      </c>
      <c r="B193">
        <v>31</v>
      </c>
      <c r="C193">
        <v>15</v>
      </c>
      <c r="D193">
        <v>16</v>
      </c>
      <c r="E193">
        <v>-5.03</v>
      </c>
      <c r="F193">
        <v>2215</v>
      </c>
      <c r="G193">
        <v>800</v>
      </c>
      <c r="H193">
        <v>1869</v>
      </c>
      <c r="I193">
        <v>475</v>
      </c>
      <c r="J193">
        <v>776</v>
      </c>
      <c r="K193">
        <v>446</v>
      </c>
      <c r="L193">
        <v>1190</v>
      </c>
      <c r="M193">
        <v>394</v>
      </c>
      <c r="N193">
        <v>191</v>
      </c>
      <c r="O193">
        <v>157</v>
      </c>
      <c r="P193">
        <v>403</v>
      </c>
      <c r="Q193">
        <v>648</v>
      </c>
      <c r="R193">
        <v>192</v>
      </c>
    </row>
    <row r="194" spans="1:18">
      <c r="A194" s="1" t="s">
        <v>159</v>
      </c>
      <c r="B194">
        <v>33</v>
      </c>
      <c r="C194">
        <v>16</v>
      </c>
      <c r="D194">
        <v>17</v>
      </c>
      <c r="E194">
        <v>-4.4400000000000004</v>
      </c>
      <c r="F194">
        <v>2504</v>
      </c>
      <c r="G194">
        <v>843</v>
      </c>
      <c r="H194">
        <v>1923</v>
      </c>
      <c r="I194">
        <v>522</v>
      </c>
      <c r="J194">
        <v>706</v>
      </c>
      <c r="K194">
        <v>328</v>
      </c>
      <c r="L194">
        <v>1053</v>
      </c>
      <c r="M194">
        <v>389</v>
      </c>
      <c r="N194">
        <v>232</v>
      </c>
      <c r="O194">
        <v>99</v>
      </c>
      <c r="P194">
        <v>388</v>
      </c>
      <c r="Q194">
        <v>616</v>
      </c>
      <c r="R194">
        <v>193</v>
      </c>
    </row>
    <row r="195" spans="1:18">
      <c r="A195" s="1" t="s">
        <v>160</v>
      </c>
      <c r="B195">
        <v>34</v>
      </c>
      <c r="C195">
        <v>23</v>
      </c>
      <c r="D195">
        <v>11</v>
      </c>
      <c r="E195">
        <v>-3.58</v>
      </c>
      <c r="F195">
        <v>2647</v>
      </c>
      <c r="G195">
        <v>901</v>
      </c>
      <c r="H195">
        <v>1898</v>
      </c>
      <c r="I195">
        <v>593</v>
      </c>
      <c r="J195">
        <v>883</v>
      </c>
      <c r="K195">
        <v>397</v>
      </c>
      <c r="L195">
        <v>1233</v>
      </c>
      <c r="M195">
        <v>446</v>
      </c>
      <c r="N195">
        <v>203</v>
      </c>
      <c r="O195">
        <v>148</v>
      </c>
      <c r="P195">
        <v>420</v>
      </c>
      <c r="Q195">
        <v>629</v>
      </c>
      <c r="R195">
        <v>194</v>
      </c>
    </row>
    <row r="196" spans="1:18">
      <c r="A196" s="1" t="s">
        <v>161</v>
      </c>
      <c r="B196">
        <v>30</v>
      </c>
      <c r="C196">
        <v>9</v>
      </c>
      <c r="D196">
        <v>21</v>
      </c>
      <c r="E196">
        <v>-5.46</v>
      </c>
      <c r="F196">
        <v>1820</v>
      </c>
      <c r="G196">
        <v>660</v>
      </c>
      <c r="H196">
        <v>1645</v>
      </c>
      <c r="I196">
        <v>299</v>
      </c>
      <c r="J196">
        <v>471</v>
      </c>
      <c r="K196">
        <v>335</v>
      </c>
      <c r="L196">
        <v>1006</v>
      </c>
      <c r="M196">
        <v>381</v>
      </c>
      <c r="N196">
        <v>195</v>
      </c>
      <c r="O196">
        <v>99</v>
      </c>
      <c r="P196">
        <v>376</v>
      </c>
      <c r="Q196">
        <v>566</v>
      </c>
      <c r="R196">
        <v>195</v>
      </c>
    </row>
    <row r="197" spans="1:18">
      <c r="A197" s="1" t="s">
        <v>360</v>
      </c>
      <c r="B197">
        <v>32</v>
      </c>
      <c r="C197">
        <v>17</v>
      </c>
      <c r="D197">
        <v>15</v>
      </c>
      <c r="E197">
        <v>-2.78</v>
      </c>
      <c r="F197">
        <v>2558</v>
      </c>
      <c r="G197">
        <v>885</v>
      </c>
      <c r="H197">
        <v>1967</v>
      </c>
      <c r="I197">
        <v>569</v>
      </c>
      <c r="J197">
        <v>744</v>
      </c>
      <c r="K197">
        <v>338</v>
      </c>
      <c r="L197">
        <v>1102</v>
      </c>
      <c r="M197">
        <v>493</v>
      </c>
      <c r="N197">
        <v>266</v>
      </c>
      <c r="O197">
        <v>87</v>
      </c>
      <c r="P197">
        <v>403</v>
      </c>
      <c r="Q197">
        <v>595</v>
      </c>
      <c r="R197">
        <v>196</v>
      </c>
    </row>
    <row r="198" spans="1:18">
      <c r="A198" s="1" t="s">
        <v>162</v>
      </c>
      <c r="B198">
        <v>32</v>
      </c>
      <c r="C198">
        <v>19</v>
      </c>
      <c r="D198">
        <v>13</v>
      </c>
      <c r="E198">
        <v>8.5</v>
      </c>
      <c r="F198">
        <v>2137</v>
      </c>
      <c r="G198">
        <v>719</v>
      </c>
      <c r="H198">
        <v>1684</v>
      </c>
      <c r="I198">
        <v>511</v>
      </c>
      <c r="J198">
        <v>713</v>
      </c>
      <c r="K198">
        <v>278</v>
      </c>
      <c r="L198">
        <v>1059</v>
      </c>
      <c r="M198">
        <v>304</v>
      </c>
      <c r="N198">
        <v>222</v>
      </c>
      <c r="O198">
        <v>99</v>
      </c>
      <c r="P198">
        <v>349</v>
      </c>
      <c r="Q198">
        <v>660</v>
      </c>
      <c r="R198">
        <v>197</v>
      </c>
    </row>
    <row r="199" spans="1:18">
      <c r="A199" s="1" t="s">
        <v>285</v>
      </c>
      <c r="B199">
        <v>33</v>
      </c>
      <c r="C199">
        <v>20</v>
      </c>
      <c r="D199">
        <v>13</v>
      </c>
      <c r="E199">
        <v>2.76</v>
      </c>
      <c r="F199">
        <v>2355</v>
      </c>
      <c r="G199">
        <v>834</v>
      </c>
      <c r="H199">
        <v>1905</v>
      </c>
      <c r="I199">
        <v>492</v>
      </c>
      <c r="J199">
        <v>752</v>
      </c>
      <c r="K199">
        <v>415</v>
      </c>
      <c r="L199">
        <v>1314</v>
      </c>
      <c r="M199">
        <v>437</v>
      </c>
      <c r="N199">
        <v>160</v>
      </c>
      <c r="O199">
        <v>213</v>
      </c>
      <c r="P199">
        <v>367</v>
      </c>
      <c r="Q199">
        <v>520</v>
      </c>
      <c r="R199">
        <v>198</v>
      </c>
    </row>
    <row r="200" spans="1:18">
      <c r="A200" s="1" t="s">
        <v>163</v>
      </c>
      <c r="B200">
        <v>32</v>
      </c>
      <c r="C200">
        <v>15</v>
      </c>
      <c r="D200">
        <v>17</v>
      </c>
      <c r="E200">
        <v>3.48</v>
      </c>
      <c r="F200">
        <v>2316</v>
      </c>
      <c r="G200">
        <v>796</v>
      </c>
      <c r="H200">
        <v>1835</v>
      </c>
      <c r="I200">
        <v>510</v>
      </c>
      <c r="J200">
        <v>699</v>
      </c>
      <c r="K200">
        <v>352</v>
      </c>
      <c r="L200">
        <v>1113</v>
      </c>
      <c r="M200">
        <v>347</v>
      </c>
      <c r="N200">
        <v>160</v>
      </c>
      <c r="O200">
        <v>144</v>
      </c>
      <c r="P200">
        <v>333</v>
      </c>
      <c r="Q200">
        <v>604</v>
      </c>
      <c r="R200">
        <v>199</v>
      </c>
    </row>
    <row r="201" spans="1:18">
      <c r="A201" s="1" t="s">
        <v>164</v>
      </c>
      <c r="B201">
        <v>30</v>
      </c>
      <c r="C201">
        <v>6</v>
      </c>
      <c r="D201">
        <v>24</v>
      </c>
      <c r="E201">
        <v>-5.9</v>
      </c>
      <c r="F201">
        <v>1735</v>
      </c>
      <c r="G201">
        <v>584</v>
      </c>
      <c r="H201">
        <v>1553</v>
      </c>
      <c r="I201">
        <v>356</v>
      </c>
      <c r="J201">
        <v>514</v>
      </c>
      <c r="K201">
        <v>286</v>
      </c>
      <c r="L201">
        <v>1026</v>
      </c>
      <c r="M201">
        <v>292</v>
      </c>
      <c r="N201">
        <v>121</v>
      </c>
      <c r="O201">
        <v>99</v>
      </c>
      <c r="P201">
        <v>392</v>
      </c>
      <c r="Q201">
        <v>583</v>
      </c>
      <c r="R201">
        <v>200</v>
      </c>
    </row>
    <row r="202" spans="1:18">
      <c r="A202" s="1" t="s">
        <v>165</v>
      </c>
      <c r="B202">
        <v>36</v>
      </c>
      <c r="C202">
        <v>26</v>
      </c>
      <c r="D202">
        <v>10</v>
      </c>
      <c r="E202">
        <v>-2.58</v>
      </c>
      <c r="F202">
        <v>2771</v>
      </c>
      <c r="G202">
        <v>936</v>
      </c>
      <c r="H202">
        <v>1918</v>
      </c>
      <c r="I202">
        <v>705</v>
      </c>
      <c r="J202">
        <v>1027</v>
      </c>
      <c r="K202">
        <v>428</v>
      </c>
      <c r="L202">
        <v>1346</v>
      </c>
      <c r="M202">
        <v>474</v>
      </c>
      <c r="N202">
        <v>169</v>
      </c>
      <c r="O202">
        <v>224</v>
      </c>
      <c r="P202">
        <v>457</v>
      </c>
      <c r="Q202">
        <v>614</v>
      </c>
      <c r="R202">
        <v>201</v>
      </c>
    </row>
    <row r="203" spans="1:18">
      <c r="A203" s="1" t="s">
        <v>166</v>
      </c>
      <c r="B203">
        <v>34</v>
      </c>
      <c r="C203">
        <v>27</v>
      </c>
      <c r="D203">
        <v>7</v>
      </c>
      <c r="E203">
        <v>4.84</v>
      </c>
      <c r="F203">
        <v>2516</v>
      </c>
      <c r="G203">
        <v>847</v>
      </c>
      <c r="H203">
        <v>1851</v>
      </c>
      <c r="I203">
        <v>625</v>
      </c>
      <c r="J203">
        <v>863</v>
      </c>
      <c r="K203">
        <v>360</v>
      </c>
      <c r="L203">
        <v>1296</v>
      </c>
      <c r="M203">
        <v>522</v>
      </c>
      <c r="N203">
        <v>162</v>
      </c>
      <c r="O203">
        <v>172</v>
      </c>
      <c r="P203">
        <v>361</v>
      </c>
      <c r="Q203">
        <v>577</v>
      </c>
      <c r="R203">
        <v>202</v>
      </c>
    </row>
    <row r="204" spans="1:18">
      <c r="A204" s="1" t="s">
        <v>167</v>
      </c>
      <c r="B204">
        <v>26</v>
      </c>
      <c r="C204">
        <v>11</v>
      </c>
      <c r="D204">
        <v>15</v>
      </c>
      <c r="E204">
        <v>-5.53</v>
      </c>
      <c r="F204">
        <v>1858</v>
      </c>
      <c r="G204">
        <v>615</v>
      </c>
      <c r="H204">
        <v>1434</v>
      </c>
      <c r="I204">
        <v>492</v>
      </c>
      <c r="J204">
        <v>722</v>
      </c>
      <c r="K204">
        <v>340</v>
      </c>
      <c r="L204">
        <v>968</v>
      </c>
      <c r="M204">
        <v>316</v>
      </c>
      <c r="N204">
        <v>172</v>
      </c>
      <c r="O204">
        <v>84</v>
      </c>
      <c r="P204">
        <v>437</v>
      </c>
      <c r="Q204">
        <v>546</v>
      </c>
      <c r="R204">
        <v>203</v>
      </c>
    </row>
    <row r="205" spans="1:18">
      <c r="A205" s="1" t="s">
        <v>168</v>
      </c>
      <c r="B205">
        <v>33</v>
      </c>
      <c r="C205">
        <v>7</v>
      </c>
      <c r="D205">
        <v>26</v>
      </c>
      <c r="E205">
        <v>-1.34</v>
      </c>
      <c r="F205">
        <v>2484</v>
      </c>
      <c r="G205">
        <v>836</v>
      </c>
      <c r="H205">
        <v>1949</v>
      </c>
      <c r="I205">
        <v>646</v>
      </c>
      <c r="J205">
        <v>947</v>
      </c>
      <c r="K205">
        <v>409</v>
      </c>
      <c r="L205">
        <v>1132</v>
      </c>
      <c r="M205">
        <v>330</v>
      </c>
      <c r="N205">
        <v>230</v>
      </c>
      <c r="O205">
        <v>71</v>
      </c>
      <c r="P205">
        <v>450</v>
      </c>
      <c r="Q205">
        <v>784</v>
      </c>
      <c r="R205">
        <v>204</v>
      </c>
    </row>
    <row r="206" spans="1:18">
      <c r="A206" s="1" t="s">
        <v>169</v>
      </c>
      <c r="B206">
        <v>29</v>
      </c>
      <c r="C206">
        <v>14</v>
      </c>
      <c r="D206">
        <v>15</v>
      </c>
      <c r="E206">
        <v>-7.67</v>
      </c>
      <c r="F206">
        <v>1986</v>
      </c>
      <c r="G206">
        <v>708</v>
      </c>
      <c r="H206">
        <v>1595</v>
      </c>
      <c r="I206">
        <v>392</v>
      </c>
      <c r="J206">
        <v>619</v>
      </c>
      <c r="K206">
        <v>293</v>
      </c>
      <c r="L206">
        <v>920</v>
      </c>
      <c r="M206">
        <v>384</v>
      </c>
      <c r="N206">
        <v>168</v>
      </c>
      <c r="O206">
        <v>83</v>
      </c>
      <c r="P206">
        <v>351</v>
      </c>
      <c r="Q206">
        <v>685</v>
      </c>
      <c r="R206">
        <v>205</v>
      </c>
    </row>
    <row r="207" spans="1:18">
      <c r="A207" s="1" t="s">
        <v>337</v>
      </c>
      <c r="B207">
        <v>29</v>
      </c>
      <c r="C207">
        <v>13</v>
      </c>
      <c r="D207">
        <v>16</v>
      </c>
      <c r="E207">
        <v>-7.48</v>
      </c>
      <c r="F207">
        <v>2109</v>
      </c>
      <c r="G207">
        <v>728</v>
      </c>
      <c r="H207">
        <v>1638</v>
      </c>
      <c r="I207">
        <v>435</v>
      </c>
      <c r="J207">
        <v>603</v>
      </c>
      <c r="K207">
        <v>284</v>
      </c>
      <c r="L207">
        <v>990</v>
      </c>
      <c r="M207">
        <v>394</v>
      </c>
      <c r="N207">
        <v>187</v>
      </c>
      <c r="O207">
        <v>104</v>
      </c>
      <c r="P207">
        <v>379</v>
      </c>
      <c r="Q207">
        <v>585</v>
      </c>
      <c r="R207">
        <v>206</v>
      </c>
    </row>
    <row r="208" spans="1:18">
      <c r="A208" s="1" t="s">
        <v>170</v>
      </c>
      <c r="B208">
        <v>34</v>
      </c>
      <c r="C208">
        <v>19</v>
      </c>
      <c r="D208">
        <v>15</v>
      </c>
      <c r="E208">
        <v>-7.17</v>
      </c>
      <c r="F208">
        <v>2428</v>
      </c>
      <c r="G208">
        <v>866</v>
      </c>
      <c r="H208">
        <v>1864</v>
      </c>
      <c r="I208">
        <v>509</v>
      </c>
      <c r="J208">
        <v>734</v>
      </c>
      <c r="K208">
        <v>418</v>
      </c>
      <c r="L208">
        <v>1195</v>
      </c>
      <c r="M208">
        <v>465</v>
      </c>
      <c r="N208">
        <v>207</v>
      </c>
      <c r="O208">
        <v>135</v>
      </c>
      <c r="P208">
        <v>457</v>
      </c>
      <c r="Q208">
        <v>671</v>
      </c>
      <c r="R208">
        <v>207</v>
      </c>
    </row>
    <row r="209" spans="1:18">
      <c r="A209" s="1" t="s">
        <v>171</v>
      </c>
      <c r="B209">
        <v>32</v>
      </c>
      <c r="C209">
        <v>17</v>
      </c>
      <c r="D209">
        <v>15</v>
      </c>
      <c r="E209">
        <v>-5.5</v>
      </c>
      <c r="F209">
        <v>2486</v>
      </c>
      <c r="G209">
        <v>836</v>
      </c>
      <c r="H209">
        <v>1832</v>
      </c>
      <c r="I209">
        <v>591</v>
      </c>
      <c r="J209">
        <v>793</v>
      </c>
      <c r="K209">
        <v>385</v>
      </c>
      <c r="L209">
        <v>1202</v>
      </c>
      <c r="M209">
        <v>402</v>
      </c>
      <c r="N209">
        <v>207</v>
      </c>
      <c r="O209">
        <v>191</v>
      </c>
      <c r="P209">
        <v>438</v>
      </c>
      <c r="Q209">
        <v>612</v>
      </c>
      <c r="R209">
        <v>208</v>
      </c>
    </row>
    <row r="210" spans="1:18">
      <c r="A210" s="1" t="s">
        <v>172</v>
      </c>
      <c r="B210">
        <v>32</v>
      </c>
      <c r="C210">
        <v>9</v>
      </c>
      <c r="D210">
        <v>23</v>
      </c>
      <c r="E210">
        <v>-7.4</v>
      </c>
      <c r="F210">
        <v>2089</v>
      </c>
      <c r="G210">
        <v>622</v>
      </c>
      <c r="H210">
        <v>1626</v>
      </c>
      <c r="I210">
        <v>674</v>
      </c>
      <c r="J210">
        <v>964</v>
      </c>
      <c r="K210">
        <v>388</v>
      </c>
      <c r="L210">
        <v>1159</v>
      </c>
      <c r="M210">
        <v>297</v>
      </c>
      <c r="N210">
        <v>151</v>
      </c>
      <c r="O210">
        <v>129</v>
      </c>
      <c r="P210">
        <v>489</v>
      </c>
      <c r="Q210">
        <v>742</v>
      </c>
      <c r="R210">
        <v>209</v>
      </c>
    </row>
    <row r="211" spans="1:18">
      <c r="A211" s="1" t="s">
        <v>349</v>
      </c>
      <c r="B211">
        <v>34</v>
      </c>
      <c r="C211">
        <v>28</v>
      </c>
      <c r="D211">
        <v>6</v>
      </c>
      <c r="E211">
        <v>-8.0299999999999994</v>
      </c>
      <c r="F211">
        <v>2513</v>
      </c>
      <c r="G211">
        <v>847</v>
      </c>
      <c r="H211">
        <v>1832</v>
      </c>
      <c r="I211">
        <v>635</v>
      </c>
      <c r="J211">
        <v>872</v>
      </c>
      <c r="K211">
        <v>403</v>
      </c>
      <c r="L211">
        <v>1197</v>
      </c>
      <c r="M211">
        <v>500</v>
      </c>
      <c r="N211">
        <v>262</v>
      </c>
      <c r="O211">
        <v>137</v>
      </c>
      <c r="P211">
        <v>389</v>
      </c>
      <c r="Q211">
        <v>660</v>
      </c>
      <c r="R211">
        <v>210</v>
      </c>
    </row>
    <row r="212" spans="1:18">
      <c r="A212" s="1" t="s">
        <v>173</v>
      </c>
      <c r="B212">
        <v>32</v>
      </c>
      <c r="C212">
        <v>14</v>
      </c>
      <c r="D212">
        <v>18</v>
      </c>
      <c r="E212">
        <v>-6.12</v>
      </c>
      <c r="F212">
        <v>2267</v>
      </c>
      <c r="G212">
        <v>808</v>
      </c>
      <c r="H212">
        <v>1835</v>
      </c>
      <c r="I212">
        <v>484</v>
      </c>
      <c r="J212">
        <v>704</v>
      </c>
      <c r="K212">
        <v>336</v>
      </c>
      <c r="L212">
        <v>1172</v>
      </c>
      <c r="M212">
        <v>380</v>
      </c>
      <c r="N212">
        <v>180</v>
      </c>
      <c r="O212">
        <v>75</v>
      </c>
      <c r="P212">
        <v>447</v>
      </c>
      <c r="Q212">
        <v>681</v>
      </c>
      <c r="R212">
        <v>211</v>
      </c>
    </row>
    <row r="213" spans="1:18">
      <c r="A213" s="1" t="s">
        <v>174</v>
      </c>
      <c r="B213">
        <v>36</v>
      </c>
      <c r="C213">
        <v>22</v>
      </c>
      <c r="D213">
        <v>14</v>
      </c>
      <c r="E213">
        <v>7.44</v>
      </c>
      <c r="F213">
        <v>2561</v>
      </c>
      <c r="G213">
        <v>950</v>
      </c>
      <c r="H213">
        <v>2060</v>
      </c>
      <c r="I213">
        <v>501</v>
      </c>
      <c r="J213">
        <v>762</v>
      </c>
      <c r="K213">
        <v>422</v>
      </c>
      <c r="L213">
        <v>1239</v>
      </c>
      <c r="M213">
        <v>466</v>
      </c>
      <c r="N213">
        <v>173</v>
      </c>
      <c r="O213">
        <v>149</v>
      </c>
      <c r="P213">
        <v>375</v>
      </c>
      <c r="Q213">
        <v>670</v>
      </c>
      <c r="R213">
        <v>212</v>
      </c>
    </row>
    <row r="214" spans="1:18">
      <c r="A214" s="1" t="s">
        <v>286</v>
      </c>
      <c r="B214">
        <v>32</v>
      </c>
      <c r="C214">
        <v>9</v>
      </c>
      <c r="D214">
        <v>23</v>
      </c>
      <c r="E214">
        <v>-0.78</v>
      </c>
      <c r="F214">
        <v>2018</v>
      </c>
      <c r="G214">
        <v>741</v>
      </c>
      <c r="H214">
        <v>1841</v>
      </c>
      <c r="I214">
        <v>397</v>
      </c>
      <c r="J214">
        <v>606</v>
      </c>
      <c r="K214">
        <v>390</v>
      </c>
      <c r="L214">
        <v>1148</v>
      </c>
      <c r="M214">
        <v>346</v>
      </c>
      <c r="N214">
        <v>191</v>
      </c>
      <c r="O214">
        <v>129</v>
      </c>
      <c r="P214">
        <v>367</v>
      </c>
      <c r="Q214">
        <v>581</v>
      </c>
      <c r="R214">
        <v>213</v>
      </c>
    </row>
    <row r="215" spans="1:18">
      <c r="A215" s="1" t="s">
        <v>312</v>
      </c>
      <c r="B215">
        <v>34</v>
      </c>
      <c r="C215">
        <v>24</v>
      </c>
      <c r="D215">
        <v>10</v>
      </c>
      <c r="E215">
        <v>8.42</v>
      </c>
      <c r="F215">
        <v>2604</v>
      </c>
      <c r="G215">
        <v>953</v>
      </c>
      <c r="H215">
        <v>2057</v>
      </c>
      <c r="I215">
        <v>552</v>
      </c>
      <c r="J215">
        <v>882</v>
      </c>
      <c r="K215">
        <v>483</v>
      </c>
      <c r="L215">
        <v>1350</v>
      </c>
      <c r="M215">
        <v>523</v>
      </c>
      <c r="N215">
        <v>249</v>
      </c>
      <c r="O215">
        <v>161</v>
      </c>
      <c r="P215">
        <v>406</v>
      </c>
      <c r="Q215">
        <v>690</v>
      </c>
      <c r="R215">
        <v>214</v>
      </c>
    </row>
    <row r="216" spans="1:18">
      <c r="A216" s="1" t="s">
        <v>338</v>
      </c>
      <c r="B216">
        <v>33</v>
      </c>
      <c r="C216">
        <v>26</v>
      </c>
      <c r="D216">
        <v>7</v>
      </c>
      <c r="E216">
        <v>-0.02</v>
      </c>
      <c r="F216">
        <v>2492</v>
      </c>
      <c r="G216">
        <v>888</v>
      </c>
      <c r="H216">
        <v>1759</v>
      </c>
      <c r="I216">
        <v>540</v>
      </c>
      <c r="J216">
        <v>719</v>
      </c>
      <c r="K216">
        <v>307</v>
      </c>
      <c r="L216">
        <v>1081</v>
      </c>
      <c r="M216">
        <v>382</v>
      </c>
      <c r="N216">
        <v>206</v>
      </c>
      <c r="O216">
        <v>145</v>
      </c>
      <c r="P216">
        <v>325</v>
      </c>
      <c r="Q216">
        <v>588</v>
      </c>
      <c r="R216">
        <v>215</v>
      </c>
    </row>
    <row r="217" spans="1:18">
      <c r="A217" s="1" t="s">
        <v>357</v>
      </c>
      <c r="B217">
        <v>34</v>
      </c>
      <c r="C217">
        <v>17</v>
      </c>
      <c r="D217">
        <v>17</v>
      </c>
      <c r="E217">
        <v>-3.78</v>
      </c>
      <c r="F217">
        <v>2526</v>
      </c>
      <c r="G217">
        <v>889</v>
      </c>
      <c r="H217">
        <v>1951</v>
      </c>
      <c r="I217">
        <v>548</v>
      </c>
      <c r="J217">
        <v>797</v>
      </c>
      <c r="K217">
        <v>378</v>
      </c>
      <c r="L217">
        <v>1071</v>
      </c>
      <c r="M217">
        <v>417</v>
      </c>
      <c r="N217">
        <v>287</v>
      </c>
      <c r="O217">
        <v>90</v>
      </c>
      <c r="P217">
        <v>378</v>
      </c>
      <c r="Q217">
        <v>691</v>
      </c>
      <c r="R217">
        <v>216</v>
      </c>
    </row>
    <row r="218" spans="1:18">
      <c r="A218" s="1" t="s">
        <v>339</v>
      </c>
      <c r="B218">
        <v>32</v>
      </c>
      <c r="C218">
        <v>16</v>
      </c>
      <c r="D218">
        <v>16</v>
      </c>
      <c r="E218">
        <v>-3.32</v>
      </c>
      <c r="F218">
        <v>2318</v>
      </c>
      <c r="G218">
        <v>789</v>
      </c>
      <c r="H218">
        <v>1784</v>
      </c>
      <c r="I218">
        <v>513</v>
      </c>
      <c r="J218">
        <v>728</v>
      </c>
      <c r="K218">
        <v>383</v>
      </c>
      <c r="L218">
        <v>1183</v>
      </c>
      <c r="M218">
        <v>401</v>
      </c>
      <c r="N218">
        <v>167</v>
      </c>
      <c r="O218">
        <v>126</v>
      </c>
      <c r="P218">
        <v>483</v>
      </c>
      <c r="Q218">
        <v>601</v>
      </c>
      <c r="R218">
        <v>217</v>
      </c>
    </row>
    <row r="219" spans="1:18">
      <c r="A219" s="1" t="s">
        <v>175</v>
      </c>
      <c r="B219">
        <v>32</v>
      </c>
      <c r="C219">
        <v>16</v>
      </c>
      <c r="D219">
        <v>16</v>
      </c>
      <c r="E219">
        <v>-1.53</v>
      </c>
      <c r="F219">
        <v>2228</v>
      </c>
      <c r="G219">
        <v>774</v>
      </c>
      <c r="H219">
        <v>1845</v>
      </c>
      <c r="I219">
        <v>523</v>
      </c>
      <c r="J219">
        <v>769</v>
      </c>
      <c r="K219">
        <v>361</v>
      </c>
      <c r="L219">
        <v>1183</v>
      </c>
      <c r="M219">
        <v>324</v>
      </c>
      <c r="N219">
        <v>210</v>
      </c>
      <c r="O219">
        <v>114</v>
      </c>
      <c r="P219">
        <v>405</v>
      </c>
      <c r="Q219">
        <v>645</v>
      </c>
      <c r="R219">
        <v>218</v>
      </c>
    </row>
    <row r="220" spans="1:18">
      <c r="A220" s="1" t="s">
        <v>176</v>
      </c>
      <c r="B220">
        <v>32</v>
      </c>
      <c r="C220">
        <v>11</v>
      </c>
      <c r="D220">
        <v>21</v>
      </c>
      <c r="E220">
        <v>-0.3</v>
      </c>
      <c r="F220">
        <v>2109</v>
      </c>
      <c r="G220">
        <v>734</v>
      </c>
      <c r="H220">
        <v>1692</v>
      </c>
      <c r="I220">
        <v>485</v>
      </c>
      <c r="J220">
        <v>752</v>
      </c>
      <c r="K220">
        <v>361</v>
      </c>
      <c r="L220">
        <v>1117</v>
      </c>
      <c r="M220">
        <v>371</v>
      </c>
      <c r="N220">
        <v>173</v>
      </c>
      <c r="O220">
        <v>110</v>
      </c>
      <c r="P220">
        <v>420</v>
      </c>
      <c r="Q220">
        <v>553</v>
      </c>
      <c r="R220">
        <v>219</v>
      </c>
    </row>
    <row r="221" spans="1:18">
      <c r="A221" s="1" t="s">
        <v>287</v>
      </c>
      <c r="B221">
        <v>32</v>
      </c>
      <c r="C221">
        <v>15</v>
      </c>
      <c r="D221">
        <v>17</v>
      </c>
      <c r="E221">
        <v>-4.37</v>
      </c>
      <c r="F221">
        <v>2144</v>
      </c>
      <c r="G221">
        <v>778</v>
      </c>
      <c r="H221">
        <v>1715</v>
      </c>
      <c r="I221">
        <v>418</v>
      </c>
      <c r="J221">
        <v>586</v>
      </c>
      <c r="K221">
        <v>344</v>
      </c>
      <c r="L221">
        <v>1055</v>
      </c>
      <c r="M221">
        <v>344</v>
      </c>
      <c r="N221">
        <v>198</v>
      </c>
      <c r="O221">
        <v>126</v>
      </c>
      <c r="P221">
        <v>404</v>
      </c>
      <c r="Q221">
        <v>564</v>
      </c>
      <c r="R221">
        <v>220</v>
      </c>
    </row>
    <row r="222" spans="1:18">
      <c r="A222" s="1" t="s">
        <v>333</v>
      </c>
      <c r="B222">
        <v>32</v>
      </c>
      <c r="C222">
        <v>18</v>
      </c>
      <c r="D222">
        <v>14</v>
      </c>
      <c r="E222">
        <v>-6.09</v>
      </c>
      <c r="F222">
        <v>2364</v>
      </c>
      <c r="G222">
        <v>864</v>
      </c>
      <c r="H222">
        <v>1752</v>
      </c>
      <c r="I222">
        <v>446</v>
      </c>
      <c r="J222">
        <v>651</v>
      </c>
      <c r="K222">
        <v>346</v>
      </c>
      <c r="L222">
        <v>1025</v>
      </c>
      <c r="M222">
        <v>388</v>
      </c>
      <c r="N222">
        <v>183</v>
      </c>
      <c r="O222">
        <v>73</v>
      </c>
      <c r="P222">
        <v>365</v>
      </c>
      <c r="Q222">
        <v>626</v>
      </c>
      <c r="R222">
        <v>221</v>
      </c>
    </row>
    <row r="223" spans="1:18">
      <c r="A223" s="1" t="s">
        <v>177</v>
      </c>
      <c r="B223">
        <v>32</v>
      </c>
      <c r="C223">
        <v>15</v>
      </c>
      <c r="D223">
        <v>17</v>
      </c>
      <c r="E223">
        <v>-1.28</v>
      </c>
      <c r="F223">
        <v>1992</v>
      </c>
      <c r="G223">
        <v>645</v>
      </c>
      <c r="H223">
        <v>1651</v>
      </c>
      <c r="I223">
        <v>565</v>
      </c>
      <c r="J223">
        <v>826</v>
      </c>
      <c r="K223">
        <v>429</v>
      </c>
      <c r="L223">
        <v>1199</v>
      </c>
      <c r="M223">
        <v>271</v>
      </c>
      <c r="N223">
        <v>211</v>
      </c>
      <c r="O223">
        <v>107</v>
      </c>
      <c r="P223">
        <v>470</v>
      </c>
      <c r="Q223">
        <v>642</v>
      </c>
      <c r="R223">
        <v>222</v>
      </c>
    </row>
    <row r="224" spans="1:18">
      <c r="A224" s="1" t="s">
        <v>178</v>
      </c>
      <c r="B224">
        <v>31</v>
      </c>
      <c r="C224">
        <v>16</v>
      </c>
      <c r="D224">
        <v>15</v>
      </c>
      <c r="E224">
        <v>2.85</v>
      </c>
      <c r="F224">
        <v>2256</v>
      </c>
      <c r="G224">
        <v>762</v>
      </c>
      <c r="H224">
        <v>1693</v>
      </c>
      <c r="I224">
        <v>468</v>
      </c>
      <c r="J224">
        <v>646</v>
      </c>
      <c r="K224">
        <v>272</v>
      </c>
      <c r="L224">
        <v>1022</v>
      </c>
      <c r="M224">
        <v>436</v>
      </c>
      <c r="N224">
        <v>175</v>
      </c>
      <c r="O224">
        <v>90</v>
      </c>
      <c r="P224">
        <v>330</v>
      </c>
      <c r="Q224">
        <v>568</v>
      </c>
      <c r="R224">
        <v>223</v>
      </c>
    </row>
    <row r="225" spans="1:18">
      <c r="A225" s="1" t="s">
        <v>361</v>
      </c>
      <c r="B225">
        <v>30</v>
      </c>
      <c r="C225">
        <v>9</v>
      </c>
      <c r="D225">
        <v>21</v>
      </c>
      <c r="E225">
        <v>-4.97</v>
      </c>
      <c r="F225">
        <v>2044</v>
      </c>
      <c r="G225">
        <v>704</v>
      </c>
      <c r="H225">
        <v>1618</v>
      </c>
      <c r="I225">
        <v>408</v>
      </c>
      <c r="J225">
        <v>578</v>
      </c>
      <c r="K225">
        <v>286</v>
      </c>
      <c r="L225">
        <v>940</v>
      </c>
      <c r="M225">
        <v>334</v>
      </c>
      <c r="N225">
        <v>163</v>
      </c>
      <c r="O225">
        <v>89</v>
      </c>
      <c r="P225">
        <v>348</v>
      </c>
      <c r="Q225">
        <v>624</v>
      </c>
      <c r="R225">
        <v>224</v>
      </c>
    </row>
    <row r="226" spans="1:18">
      <c r="A226" s="1" t="s">
        <v>179</v>
      </c>
      <c r="B226">
        <v>31</v>
      </c>
      <c r="C226">
        <v>17</v>
      </c>
      <c r="D226">
        <v>14</v>
      </c>
      <c r="E226">
        <v>-4.66</v>
      </c>
      <c r="F226">
        <v>2686</v>
      </c>
      <c r="G226">
        <v>958</v>
      </c>
      <c r="H226">
        <v>2037</v>
      </c>
      <c r="I226">
        <v>594</v>
      </c>
      <c r="J226">
        <v>802</v>
      </c>
      <c r="K226">
        <v>394</v>
      </c>
      <c r="L226">
        <v>1182</v>
      </c>
      <c r="M226">
        <v>513</v>
      </c>
      <c r="N226">
        <v>270</v>
      </c>
      <c r="O226">
        <v>165</v>
      </c>
      <c r="P226">
        <v>420</v>
      </c>
      <c r="Q226">
        <v>635</v>
      </c>
      <c r="R226">
        <v>225</v>
      </c>
    </row>
    <row r="227" spans="1:18">
      <c r="A227" s="1" t="s">
        <v>180</v>
      </c>
      <c r="B227">
        <v>33</v>
      </c>
      <c r="C227">
        <v>14</v>
      </c>
      <c r="D227">
        <v>19</v>
      </c>
      <c r="E227">
        <v>8.57</v>
      </c>
      <c r="F227">
        <v>1964</v>
      </c>
      <c r="G227">
        <v>665</v>
      </c>
      <c r="H227">
        <v>1679</v>
      </c>
      <c r="I227">
        <v>417</v>
      </c>
      <c r="J227">
        <v>596</v>
      </c>
      <c r="K227">
        <v>249</v>
      </c>
      <c r="L227">
        <v>1074</v>
      </c>
      <c r="M227">
        <v>364</v>
      </c>
      <c r="N227">
        <v>142</v>
      </c>
      <c r="O227">
        <v>121</v>
      </c>
      <c r="P227">
        <v>360</v>
      </c>
      <c r="Q227">
        <v>609</v>
      </c>
      <c r="R227">
        <v>226</v>
      </c>
    </row>
    <row r="228" spans="1:18">
      <c r="A228" s="1" t="s">
        <v>181</v>
      </c>
      <c r="B228">
        <v>32</v>
      </c>
      <c r="C228">
        <v>15</v>
      </c>
      <c r="D228">
        <v>17</v>
      </c>
      <c r="E228">
        <v>6.78</v>
      </c>
      <c r="F228">
        <v>2303</v>
      </c>
      <c r="G228">
        <v>839</v>
      </c>
      <c r="H228">
        <v>1842</v>
      </c>
      <c r="I228">
        <v>397</v>
      </c>
      <c r="J228">
        <v>553</v>
      </c>
      <c r="K228">
        <v>344</v>
      </c>
      <c r="L228">
        <v>1081</v>
      </c>
      <c r="M228">
        <v>484</v>
      </c>
      <c r="N228">
        <v>187</v>
      </c>
      <c r="O228">
        <v>97</v>
      </c>
      <c r="P228">
        <v>331</v>
      </c>
      <c r="Q228">
        <v>518</v>
      </c>
      <c r="R228">
        <v>227</v>
      </c>
    </row>
    <row r="229" spans="1:18">
      <c r="A229" s="1" t="s">
        <v>182</v>
      </c>
      <c r="B229">
        <v>33</v>
      </c>
      <c r="C229">
        <v>13</v>
      </c>
      <c r="D229">
        <v>20</v>
      </c>
      <c r="E229">
        <v>2.78</v>
      </c>
      <c r="F229">
        <v>2455</v>
      </c>
      <c r="G229">
        <v>821</v>
      </c>
      <c r="H229">
        <v>1890</v>
      </c>
      <c r="I229">
        <v>534</v>
      </c>
      <c r="J229">
        <v>732</v>
      </c>
      <c r="K229">
        <v>298</v>
      </c>
      <c r="L229">
        <v>1025</v>
      </c>
      <c r="M229">
        <v>522</v>
      </c>
      <c r="N229">
        <v>229</v>
      </c>
      <c r="O229">
        <v>61</v>
      </c>
      <c r="P229">
        <v>367</v>
      </c>
      <c r="Q229">
        <v>658</v>
      </c>
      <c r="R229">
        <v>228</v>
      </c>
    </row>
    <row r="230" spans="1:18">
      <c r="A230" s="1" t="s">
        <v>321</v>
      </c>
      <c r="B230">
        <v>35</v>
      </c>
      <c r="C230">
        <v>25</v>
      </c>
      <c r="D230">
        <v>10</v>
      </c>
      <c r="E230">
        <v>8.1199999999999992</v>
      </c>
      <c r="F230">
        <v>2432</v>
      </c>
      <c r="G230">
        <v>843</v>
      </c>
      <c r="H230">
        <v>1875</v>
      </c>
      <c r="I230">
        <v>546</v>
      </c>
      <c r="J230">
        <v>793</v>
      </c>
      <c r="K230">
        <v>346</v>
      </c>
      <c r="L230">
        <v>1187</v>
      </c>
      <c r="M230">
        <v>421</v>
      </c>
      <c r="N230">
        <v>270</v>
      </c>
      <c r="O230">
        <v>157</v>
      </c>
      <c r="P230">
        <v>394</v>
      </c>
      <c r="Q230">
        <v>577</v>
      </c>
      <c r="R230">
        <v>229</v>
      </c>
    </row>
    <row r="231" spans="1:18">
      <c r="A231" s="1" t="s">
        <v>183</v>
      </c>
      <c r="B231">
        <v>37</v>
      </c>
      <c r="C231">
        <v>25</v>
      </c>
      <c r="D231">
        <v>12</v>
      </c>
      <c r="E231">
        <v>-1.17</v>
      </c>
      <c r="F231">
        <v>2647</v>
      </c>
      <c r="G231">
        <v>937</v>
      </c>
      <c r="H231">
        <v>2042</v>
      </c>
      <c r="I231">
        <v>499</v>
      </c>
      <c r="J231">
        <v>699</v>
      </c>
      <c r="K231">
        <v>351</v>
      </c>
      <c r="L231">
        <v>1252</v>
      </c>
      <c r="M231">
        <v>559</v>
      </c>
      <c r="N231">
        <v>238</v>
      </c>
      <c r="O231">
        <v>157</v>
      </c>
      <c r="P231">
        <v>475</v>
      </c>
      <c r="Q231">
        <v>706</v>
      </c>
      <c r="R231">
        <v>230</v>
      </c>
    </row>
    <row r="232" spans="1:18">
      <c r="A232" s="1" t="s">
        <v>340</v>
      </c>
      <c r="B232">
        <v>34</v>
      </c>
      <c r="C232">
        <v>21</v>
      </c>
      <c r="D232">
        <v>13</v>
      </c>
      <c r="E232">
        <v>8.34</v>
      </c>
      <c r="F232">
        <v>2728</v>
      </c>
      <c r="G232">
        <v>898</v>
      </c>
      <c r="H232">
        <v>1941</v>
      </c>
      <c r="I232">
        <v>693</v>
      </c>
      <c r="J232">
        <v>964</v>
      </c>
      <c r="K232">
        <v>332</v>
      </c>
      <c r="L232">
        <v>1203</v>
      </c>
      <c r="M232">
        <v>463</v>
      </c>
      <c r="N232">
        <v>260</v>
      </c>
      <c r="O232">
        <v>160</v>
      </c>
      <c r="P232">
        <v>356</v>
      </c>
      <c r="Q232">
        <v>680</v>
      </c>
      <c r="R232">
        <v>231</v>
      </c>
    </row>
    <row r="233" spans="1:18">
      <c r="A233" s="1" t="s">
        <v>329</v>
      </c>
      <c r="B233">
        <v>33</v>
      </c>
      <c r="C233">
        <v>23</v>
      </c>
      <c r="D233">
        <v>10</v>
      </c>
      <c r="E233">
        <v>8.9700000000000006</v>
      </c>
      <c r="F233">
        <v>2704</v>
      </c>
      <c r="G233">
        <v>909</v>
      </c>
      <c r="H233">
        <v>2034</v>
      </c>
      <c r="I233">
        <v>601</v>
      </c>
      <c r="J233">
        <v>802</v>
      </c>
      <c r="K233">
        <v>398</v>
      </c>
      <c r="L233">
        <v>1242</v>
      </c>
      <c r="M233">
        <v>483</v>
      </c>
      <c r="N233">
        <v>224</v>
      </c>
      <c r="O233">
        <v>108</v>
      </c>
      <c r="P233">
        <v>376</v>
      </c>
      <c r="Q233">
        <v>625</v>
      </c>
      <c r="R233">
        <v>232</v>
      </c>
    </row>
    <row r="234" spans="1:18">
      <c r="A234" s="1" t="s">
        <v>184</v>
      </c>
      <c r="B234">
        <v>36</v>
      </c>
      <c r="C234">
        <v>18</v>
      </c>
      <c r="D234">
        <v>18</v>
      </c>
      <c r="E234">
        <v>-0.81</v>
      </c>
      <c r="F234">
        <v>2311</v>
      </c>
      <c r="G234">
        <v>825</v>
      </c>
      <c r="H234">
        <v>1927</v>
      </c>
      <c r="I234">
        <v>471</v>
      </c>
      <c r="J234">
        <v>758</v>
      </c>
      <c r="K234">
        <v>430</v>
      </c>
      <c r="L234">
        <v>1282</v>
      </c>
      <c r="M234">
        <v>382</v>
      </c>
      <c r="N234">
        <v>226</v>
      </c>
      <c r="O234">
        <v>142</v>
      </c>
      <c r="P234">
        <v>474</v>
      </c>
      <c r="Q234">
        <v>709</v>
      </c>
      <c r="R234">
        <v>233</v>
      </c>
    </row>
    <row r="235" spans="1:18">
      <c r="A235" s="1" t="s">
        <v>185</v>
      </c>
      <c r="B235">
        <v>33</v>
      </c>
      <c r="C235">
        <v>17</v>
      </c>
      <c r="D235">
        <v>16</v>
      </c>
      <c r="E235">
        <v>-4.43</v>
      </c>
      <c r="F235">
        <v>2357</v>
      </c>
      <c r="G235">
        <v>831</v>
      </c>
      <c r="H235">
        <v>1806</v>
      </c>
      <c r="I235">
        <v>538</v>
      </c>
      <c r="J235">
        <v>747</v>
      </c>
      <c r="K235">
        <v>364</v>
      </c>
      <c r="L235">
        <v>1168</v>
      </c>
      <c r="M235">
        <v>398</v>
      </c>
      <c r="N235">
        <v>172</v>
      </c>
      <c r="O235">
        <v>147</v>
      </c>
      <c r="P235">
        <v>376</v>
      </c>
      <c r="Q235">
        <v>644</v>
      </c>
      <c r="R235">
        <v>234</v>
      </c>
    </row>
    <row r="236" spans="1:18">
      <c r="A236" s="1" t="s">
        <v>186</v>
      </c>
      <c r="B236">
        <v>32</v>
      </c>
      <c r="C236">
        <v>16</v>
      </c>
      <c r="D236">
        <v>16</v>
      </c>
      <c r="E236">
        <v>5.87</v>
      </c>
      <c r="F236">
        <v>2425</v>
      </c>
      <c r="G236">
        <v>825</v>
      </c>
      <c r="H236">
        <v>1689</v>
      </c>
      <c r="I236">
        <v>598</v>
      </c>
      <c r="J236">
        <v>860</v>
      </c>
      <c r="K236">
        <v>312</v>
      </c>
      <c r="L236">
        <v>1097</v>
      </c>
      <c r="M236">
        <v>430</v>
      </c>
      <c r="N236">
        <v>155</v>
      </c>
      <c r="O236">
        <v>152</v>
      </c>
      <c r="P236">
        <v>432</v>
      </c>
      <c r="Q236">
        <v>607</v>
      </c>
      <c r="R236">
        <v>235</v>
      </c>
    </row>
    <row r="237" spans="1:18">
      <c r="A237" s="1" t="s">
        <v>288</v>
      </c>
      <c r="B237">
        <v>34</v>
      </c>
      <c r="C237">
        <v>24</v>
      </c>
      <c r="D237">
        <v>10</v>
      </c>
      <c r="E237">
        <v>8.0500000000000007</v>
      </c>
      <c r="F237">
        <v>2783</v>
      </c>
      <c r="G237">
        <v>928</v>
      </c>
      <c r="H237">
        <v>1977</v>
      </c>
      <c r="I237">
        <v>668</v>
      </c>
      <c r="J237">
        <v>865</v>
      </c>
      <c r="K237">
        <v>356</v>
      </c>
      <c r="L237">
        <v>1159</v>
      </c>
      <c r="M237">
        <v>492</v>
      </c>
      <c r="N237">
        <v>263</v>
      </c>
      <c r="O237">
        <v>113</v>
      </c>
      <c r="P237">
        <v>389</v>
      </c>
      <c r="Q237">
        <v>725</v>
      </c>
      <c r="R237">
        <v>236</v>
      </c>
    </row>
    <row r="238" spans="1:18">
      <c r="A238" s="1" t="s">
        <v>187</v>
      </c>
      <c r="B238">
        <v>34</v>
      </c>
      <c r="C238">
        <v>18</v>
      </c>
      <c r="D238">
        <v>16</v>
      </c>
      <c r="E238">
        <v>3.25</v>
      </c>
      <c r="F238">
        <v>2484</v>
      </c>
      <c r="G238">
        <v>842</v>
      </c>
      <c r="H238">
        <v>1889</v>
      </c>
      <c r="I238">
        <v>584</v>
      </c>
      <c r="J238">
        <v>763</v>
      </c>
      <c r="K238">
        <v>375</v>
      </c>
      <c r="L238">
        <v>1177</v>
      </c>
      <c r="M238">
        <v>423</v>
      </c>
      <c r="N238">
        <v>173</v>
      </c>
      <c r="O238">
        <v>61</v>
      </c>
      <c r="P238">
        <v>415</v>
      </c>
      <c r="Q238">
        <v>767</v>
      </c>
      <c r="R238">
        <v>237</v>
      </c>
    </row>
    <row r="239" spans="1:18">
      <c r="A239" s="1" t="s">
        <v>188</v>
      </c>
      <c r="B239">
        <v>34</v>
      </c>
      <c r="C239">
        <v>16</v>
      </c>
      <c r="D239">
        <v>18</v>
      </c>
      <c r="E239">
        <v>7.06</v>
      </c>
      <c r="F239">
        <v>2409</v>
      </c>
      <c r="G239">
        <v>820</v>
      </c>
      <c r="H239">
        <v>1915</v>
      </c>
      <c r="I239">
        <v>559</v>
      </c>
      <c r="J239">
        <v>754</v>
      </c>
      <c r="K239">
        <v>357</v>
      </c>
      <c r="L239">
        <v>1197</v>
      </c>
      <c r="M239">
        <v>384</v>
      </c>
      <c r="N239">
        <v>154</v>
      </c>
      <c r="O239">
        <v>159</v>
      </c>
      <c r="P239">
        <v>361</v>
      </c>
      <c r="Q239">
        <v>711</v>
      </c>
      <c r="R239">
        <v>238</v>
      </c>
    </row>
    <row r="240" spans="1:18">
      <c r="A240" s="1" t="s">
        <v>289</v>
      </c>
      <c r="B240">
        <v>28</v>
      </c>
      <c r="C240">
        <v>8</v>
      </c>
      <c r="D240">
        <v>20</v>
      </c>
      <c r="E240">
        <v>-0.01</v>
      </c>
      <c r="F240">
        <v>1911</v>
      </c>
      <c r="G240">
        <v>684</v>
      </c>
      <c r="H240">
        <v>1517</v>
      </c>
      <c r="I240">
        <v>403</v>
      </c>
      <c r="J240">
        <v>594</v>
      </c>
      <c r="K240">
        <v>268</v>
      </c>
      <c r="L240">
        <v>939</v>
      </c>
      <c r="M240">
        <v>408</v>
      </c>
      <c r="N240">
        <v>163</v>
      </c>
      <c r="O240">
        <v>97</v>
      </c>
      <c r="P240">
        <v>452</v>
      </c>
      <c r="Q240">
        <v>633</v>
      </c>
      <c r="R240">
        <v>239</v>
      </c>
    </row>
    <row r="241" spans="1:18">
      <c r="A241" s="1" t="s">
        <v>290</v>
      </c>
      <c r="B241">
        <v>31</v>
      </c>
      <c r="C241">
        <v>15</v>
      </c>
      <c r="D241">
        <v>16</v>
      </c>
      <c r="E241">
        <v>2.6</v>
      </c>
      <c r="F241">
        <v>2206</v>
      </c>
      <c r="G241">
        <v>773</v>
      </c>
      <c r="H241">
        <v>1701</v>
      </c>
      <c r="I241">
        <v>463</v>
      </c>
      <c r="J241">
        <v>661</v>
      </c>
      <c r="K241">
        <v>314</v>
      </c>
      <c r="L241">
        <v>1075</v>
      </c>
      <c r="M241">
        <v>428</v>
      </c>
      <c r="N241">
        <v>148</v>
      </c>
      <c r="O241">
        <v>134</v>
      </c>
      <c r="P241">
        <v>379</v>
      </c>
      <c r="Q241">
        <v>584</v>
      </c>
      <c r="R241">
        <v>240</v>
      </c>
    </row>
    <row r="242" spans="1:18">
      <c r="A242" s="1" t="s">
        <v>189</v>
      </c>
      <c r="B242">
        <v>36</v>
      </c>
      <c r="C242">
        <v>26</v>
      </c>
      <c r="D242">
        <v>10</v>
      </c>
      <c r="E242">
        <v>7.54</v>
      </c>
      <c r="F242">
        <v>2586</v>
      </c>
      <c r="G242">
        <v>895</v>
      </c>
      <c r="H242">
        <v>1944</v>
      </c>
      <c r="I242">
        <v>613</v>
      </c>
      <c r="J242">
        <v>861</v>
      </c>
      <c r="K242">
        <v>432</v>
      </c>
      <c r="L242">
        <v>1291</v>
      </c>
      <c r="M242">
        <v>563</v>
      </c>
      <c r="N242">
        <v>254</v>
      </c>
      <c r="O242">
        <v>107</v>
      </c>
      <c r="P242">
        <v>373</v>
      </c>
      <c r="Q242">
        <v>620</v>
      </c>
      <c r="R242">
        <v>241</v>
      </c>
    </row>
    <row r="243" spans="1:18">
      <c r="A243" s="1" t="s">
        <v>190</v>
      </c>
      <c r="B243">
        <v>32</v>
      </c>
      <c r="C243">
        <v>17</v>
      </c>
      <c r="D243">
        <v>15</v>
      </c>
      <c r="E243">
        <v>-5.59</v>
      </c>
      <c r="F243">
        <v>2320</v>
      </c>
      <c r="G243">
        <v>802</v>
      </c>
      <c r="H243">
        <v>1729</v>
      </c>
      <c r="I243">
        <v>520</v>
      </c>
      <c r="J243">
        <v>711</v>
      </c>
      <c r="K243">
        <v>285</v>
      </c>
      <c r="L243">
        <v>979</v>
      </c>
      <c r="M243">
        <v>411</v>
      </c>
      <c r="N243">
        <v>194</v>
      </c>
      <c r="O243">
        <v>69</v>
      </c>
      <c r="P243">
        <v>366</v>
      </c>
      <c r="Q243">
        <v>616</v>
      </c>
      <c r="R243">
        <v>242</v>
      </c>
    </row>
    <row r="244" spans="1:18">
      <c r="A244" s="1" t="s">
        <v>191</v>
      </c>
      <c r="B244">
        <v>31</v>
      </c>
      <c r="C244">
        <v>15</v>
      </c>
      <c r="D244">
        <v>16</v>
      </c>
      <c r="E244">
        <v>1.73</v>
      </c>
      <c r="F244">
        <v>2327</v>
      </c>
      <c r="G244">
        <v>810</v>
      </c>
      <c r="H244">
        <v>1778</v>
      </c>
      <c r="I244">
        <v>516</v>
      </c>
      <c r="J244">
        <v>702</v>
      </c>
      <c r="K244">
        <v>339</v>
      </c>
      <c r="L244">
        <v>1116</v>
      </c>
      <c r="M244">
        <v>472</v>
      </c>
      <c r="N244">
        <v>184</v>
      </c>
      <c r="O244">
        <v>128</v>
      </c>
      <c r="P244">
        <v>366</v>
      </c>
      <c r="Q244">
        <v>620</v>
      </c>
      <c r="R244">
        <v>243</v>
      </c>
    </row>
    <row r="245" spans="1:18">
      <c r="A245" s="1" t="s">
        <v>192</v>
      </c>
      <c r="B245">
        <v>34</v>
      </c>
      <c r="C245">
        <v>11</v>
      </c>
      <c r="D245">
        <v>23</v>
      </c>
      <c r="E245">
        <v>-7.99</v>
      </c>
      <c r="F245">
        <v>2362</v>
      </c>
      <c r="G245">
        <v>813</v>
      </c>
      <c r="H245">
        <v>1949</v>
      </c>
      <c r="I245">
        <v>513</v>
      </c>
      <c r="J245">
        <v>791</v>
      </c>
      <c r="K245">
        <v>403</v>
      </c>
      <c r="L245">
        <v>1164</v>
      </c>
      <c r="M245">
        <v>362</v>
      </c>
      <c r="N245">
        <v>243</v>
      </c>
      <c r="O245">
        <v>89</v>
      </c>
      <c r="P245">
        <v>490</v>
      </c>
      <c r="Q245">
        <v>746</v>
      </c>
      <c r="R245">
        <v>244</v>
      </c>
    </row>
    <row r="246" spans="1:18">
      <c r="A246" s="1" t="s">
        <v>350</v>
      </c>
      <c r="B246">
        <v>32</v>
      </c>
      <c r="C246">
        <v>6</v>
      </c>
      <c r="D246">
        <v>26</v>
      </c>
      <c r="E246">
        <v>-7.51</v>
      </c>
      <c r="F246">
        <v>2092</v>
      </c>
      <c r="G246">
        <v>772</v>
      </c>
      <c r="H246">
        <v>1724</v>
      </c>
      <c r="I246">
        <v>358</v>
      </c>
      <c r="J246">
        <v>529</v>
      </c>
      <c r="K246">
        <v>244</v>
      </c>
      <c r="L246">
        <v>980</v>
      </c>
      <c r="M246">
        <v>372</v>
      </c>
      <c r="N246">
        <v>141</v>
      </c>
      <c r="O246">
        <v>96</v>
      </c>
      <c r="P246">
        <v>398</v>
      </c>
      <c r="Q246">
        <v>494</v>
      </c>
      <c r="R246">
        <v>245</v>
      </c>
    </row>
    <row r="247" spans="1:18">
      <c r="A247" s="1" t="s">
        <v>193</v>
      </c>
      <c r="B247">
        <v>30</v>
      </c>
      <c r="C247">
        <v>21</v>
      </c>
      <c r="D247">
        <v>9</v>
      </c>
      <c r="E247">
        <v>-2.4</v>
      </c>
      <c r="F247">
        <v>2118</v>
      </c>
      <c r="G247">
        <v>704</v>
      </c>
      <c r="H247">
        <v>1592</v>
      </c>
      <c r="I247">
        <v>432</v>
      </c>
      <c r="J247">
        <v>599</v>
      </c>
      <c r="K247">
        <v>252</v>
      </c>
      <c r="L247">
        <v>982</v>
      </c>
      <c r="M247">
        <v>431</v>
      </c>
      <c r="N247">
        <v>189</v>
      </c>
      <c r="O247">
        <v>109</v>
      </c>
      <c r="P247">
        <v>335</v>
      </c>
      <c r="Q247">
        <v>508</v>
      </c>
      <c r="R247">
        <v>246</v>
      </c>
    </row>
    <row r="248" spans="1:18">
      <c r="A248" s="1" t="s">
        <v>194</v>
      </c>
      <c r="B248">
        <v>35</v>
      </c>
      <c r="C248">
        <v>23</v>
      </c>
      <c r="D248">
        <v>12</v>
      </c>
      <c r="E248">
        <v>7.85</v>
      </c>
      <c r="F248">
        <v>2566</v>
      </c>
      <c r="G248">
        <v>849</v>
      </c>
      <c r="H248">
        <v>1984</v>
      </c>
      <c r="I248">
        <v>650</v>
      </c>
      <c r="J248">
        <v>831</v>
      </c>
      <c r="K248">
        <v>432</v>
      </c>
      <c r="L248">
        <v>1278</v>
      </c>
      <c r="M248">
        <v>476</v>
      </c>
      <c r="N248">
        <v>194</v>
      </c>
      <c r="O248">
        <v>173</v>
      </c>
      <c r="P248">
        <v>406</v>
      </c>
      <c r="Q248">
        <v>603</v>
      </c>
      <c r="R248">
        <v>247</v>
      </c>
    </row>
    <row r="249" spans="1:18">
      <c r="A249" s="1" t="s">
        <v>291</v>
      </c>
      <c r="B249">
        <v>32</v>
      </c>
      <c r="C249">
        <v>15</v>
      </c>
      <c r="D249">
        <v>17</v>
      </c>
      <c r="E249">
        <v>7.62</v>
      </c>
      <c r="F249">
        <v>2312</v>
      </c>
      <c r="G249">
        <v>822</v>
      </c>
      <c r="H249">
        <v>1926</v>
      </c>
      <c r="I249">
        <v>492</v>
      </c>
      <c r="J249">
        <v>733</v>
      </c>
      <c r="K249">
        <v>446</v>
      </c>
      <c r="L249">
        <v>1256</v>
      </c>
      <c r="M249">
        <v>419</v>
      </c>
      <c r="N249">
        <v>179</v>
      </c>
      <c r="O249">
        <v>168</v>
      </c>
      <c r="P249">
        <v>393</v>
      </c>
      <c r="Q249">
        <v>662</v>
      </c>
      <c r="R249">
        <v>248</v>
      </c>
    </row>
    <row r="250" spans="1:18">
      <c r="A250" s="1" t="s">
        <v>195</v>
      </c>
      <c r="B250">
        <v>32</v>
      </c>
      <c r="C250">
        <v>20</v>
      </c>
      <c r="D250">
        <v>12</v>
      </c>
      <c r="E250">
        <v>-2.41</v>
      </c>
      <c r="F250">
        <v>2521</v>
      </c>
      <c r="G250">
        <v>835</v>
      </c>
      <c r="H250">
        <v>1968</v>
      </c>
      <c r="I250">
        <v>678</v>
      </c>
      <c r="J250">
        <v>947</v>
      </c>
      <c r="K250">
        <v>535</v>
      </c>
      <c r="L250">
        <v>1454</v>
      </c>
      <c r="M250">
        <v>404</v>
      </c>
      <c r="N250">
        <v>115</v>
      </c>
      <c r="O250">
        <v>147</v>
      </c>
      <c r="P250">
        <v>402</v>
      </c>
      <c r="Q250">
        <v>623</v>
      </c>
      <c r="R250">
        <v>249</v>
      </c>
    </row>
    <row r="251" spans="1:18">
      <c r="A251" s="1" t="s">
        <v>196</v>
      </c>
      <c r="B251">
        <v>35</v>
      </c>
      <c r="C251">
        <v>22</v>
      </c>
      <c r="D251">
        <v>13</v>
      </c>
      <c r="E251">
        <v>-8.31</v>
      </c>
      <c r="F251">
        <v>2729</v>
      </c>
      <c r="G251">
        <v>972</v>
      </c>
      <c r="H251">
        <v>2035</v>
      </c>
      <c r="I251">
        <v>564</v>
      </c>
      <c r="J251">
        <v>820</v>
      </c>
      <c r="K251">
        <v>397</v>
      </c>
      <c r="L251">
        <v>1213</v>
      </c>
      <c r="M251">
        <v>460</v>
      </c>
      <c r="N251">
        <v>247</v>
      </c>
      <c r="O251">
        <v>128</v>
      </c>
      <c r="P251">
        <v>383</v>
      </c>
      <c r="Q251">
        <v>662</v>
      </c>
      <c r="R251">
        <v>250</v>
      </c>
    </row>
    <row r="252" spans="1:18">
      <c r="A252" s="1" t="s">
        <v>197</v>
      </c>
      <c r="B252">
        <v>32</v>
      </c>
      <c r="C252">
        <v>14</v>
      </c>
      <c r="D252">
        <v>18</v>
      </c>
      <c r="E252">
        <v>3.26</v>
      </c>
      <c r="F252">
        <v>2169</v>
      </c>
      <c r="G252">
        <v>754</v>
      </c>
      <c r="H252">
        <v>1703</v>
      </c>
      <c r="I252">
        <v>509</v>
      </c>
      <c r="J252">
        <v>779</v>
      </c>
      <c r="K252">
        <v>356</v>
      </c>
      <c r="L252">
        <v>1154</v>
      </c>
      <c r="M252">
        <v>385</v>
      </c>
      <c r="N252">
        <v>158</v>
      </c>
      <c r="O252">
        <v>166</v>
      </c>
      <c r="P252">
        <v>451</v>
      </c>
      <c r="Q252">
        <v>651</v>
      </c>
      <c r="R252">
        <v>251</v>
      </c>
    </row>
    <row r="253" spans="1:18">
      <c r="A253" s="1" t="s">
        <v>198</v>
      </c>
      <c r="B253">
        <v>30</v>
      </c>
      <c r="C253">
        <v>7</v>
      </c>
      <c r="D253">
        <v>23</v>
      </c>
      <c r="E253">
        <v>-0.43</v>
      </c>
      <c r="F253">
        <v>1853</v>
      </c>
      <c r="G253">
        <v>637</v>
      </c>
      <c r="H253">
        <v>1582</v>
      </c>
      <c r="I253">
        <v>342</v>
      </c>
      <c r="J253">
        <v>527</v>
      </c>
      <c r="K253">
        <v>233</v>
      </c>
      <c r="L253">
        <v>971</v>
      </c>
      <c r="M253">
        <v>414</v>
      </c>
      <c r="N253">
        <v>140</v>
      </c>
      <c r="O253">
        <v>57</v>
      </c>
      <c r="P253">
        <v>394</v>
      </c>
      <c r="Q253">
        <v>569</v>
      </c>
      <c r="R253">
        <v>252</v>
      </c>
    </row>
    <row r="254" spans="1:18">
      <c r="A254" s="1" t="s">
        <v>199</v>
      </c>
      <c r="B254">
        <v>33</v>
      </c>
      <c r="C254">
        <v>19</v>
      </c>
      <c r="D254">
        <v>14</v>
      </c>
      <c r="E254">
        <v>4.3</v>
      </c>
      <c r="F254">
        <v>2196</v>
      </c>
      <c r="G254">
        <v>750</v>
      </c>
      <c r="H254">
        <v>1777</v>
      </c>
      <c r="I254">
        <v>487</v>
      </c>
      <c r="J254">
        <v>728</v>
      </c>
      <c r="K254">
        <v>304</v>
      </c>
      <c r="L254">
        <v>1074</v>
      </c>
      <c r="M254">
        <v>349</v>
      </c>
      <c r="N254">
        <v>193</v>
      </c>
      <c r="O254">
        <v>142</v>
      </c>
      <c r="P254">
        <v>351</v>
      </c>
      <c r="Q254">
        <v>636</v>
      </c>
      <c r="R254">
        <v>253</v>
      </c>
    </row>
    <row r="255" spans="1:18">
      <c r="A255" s="1" t="s">
        <v>200</v>
      </c>
      <c r="B255">
        <v>31</v>
      </c>
      <c r="C255">
        <v>14</v>
      </c>
      <c r="D255">
        <v>17</v>
      </c>
      <c r="E255">
        <v>-1.69</v>
      </c>
      <c r="F255">
        <v>2292</v>
      </c>
      <c r="G255">
        <v>743</v>
      </c>
      <c r="H255">
        <v>1704</v>
      </c>
      <c r="I255">
        <v>569</v>
      </c>
      <c r="J255">
        <v>778</v>
      </c>
      <c r="K255">
        <v>338</v>
      </c>
      <c r="L255">
        <v>1040</v>
      </c>
      <c r="M255">
        <v>377</v>
      </c>
      <c r="N255">
        <v>188</v>
      </c>
      <c r="O255">
        <v>89</v>
      </c>
      <c r="P255">
        <v>409</v>
      </c>
      <c r="Q255">
        <v>623</v>
      </c>
      <c r="R255">
        <v>254</v>
      </c>
    </row>
    <row r="256" spans="1:18">
      <c r="A256" s="1" t="s">
        <v>201</v>
      </c>
      <c r="B256">
        <v>36</v>
      </c>
      <c r="C256">
        <v>22</v>
      </c>
      <c r="D256">
        <v>14</v>
      </c>
      <c r="E256">
        <v>-3.79</v>
      </c>
      <c r="F256">
        <v>2593</v>
      </c>
      <c r="G256">
        <v>890</v>
      </c>
      <c r="H256">
        <v>2033</v>
      </c>
      <c r="I256">
        <v>542</v>
      </c>
      <c r="J256">
        <v>745</v>
      </c>
      <c r="K256">
        <v>384</v>
      </c>
      <c r="L256">
        <v>1205</v>
      </c>
      <c r="M256">
        <v>445</v>
      </c>
      <c r="N256">
        <v>255</v>
      </c>
      <c r="O256">
        <v>65</v>
      </c>
      <c r="P256">
        <v>411</v>
      </c>
      <c r="Q256">
        <v>656</v>
      </c>
      <c r="R256">
        <v>255</v>
      </c>
    </row>
    <row r="257" spans="1:18">
      <c r="A257" s="1" t="s">
        <v>202</v>
      </c>
      <c r="B257">
        <v>33</v>
      </c>
      <c r="C257">
        <v>12</v>
      </c>
      <c r="D257">
        <v>21</v>
      </c>
      <c r="E257">
        <v>5.8</v>
      </c>
      <c r="F257">
        <v>2347</v>
      </c>
      <c r="G257">
        <v>823</v>
      </c>
      <c r="H257">
        <v>1931</v>
      </c>
      <c r="I257">
        <v>502</v>
      </c>
      <c r="J257">
        <v>711</v>
      </c>
      <c r="K257">
        <v>399</v>
      </c>
      <c r="L257">
        <v>1169</v>
      </c>
      <c r="M257">
        <v>418</v>
      </c>
      <c r="N257">
        <v>190</v>
      </c>
      <c r="O257">
        <v>140</v>
      </c>
      <c r="P257">
        <v>417</v>
      </c>
      <c r="Q257">
        <v>681</v>
      </c>
      <c r="R257">
        <v>256</v>
      </c>
    </row>
    <row r="258" spans="1:18">
      <c r="A258" s="1" t="s">
        <v>203</v>
      </c>
      <c r="B258">
        <v>30</v>
      </c>
      <c r="C258">
        <v>14</v>
      </c>
      <c r="D258">
        <v>16</v>
      </c>
      <c r="E258">
        <v>-5.54</v>
      </c>
      <c r="F258">
        <v>2070</v>
      </c>
      <c r="G258">
        <v>735</v>
      </c>
      <c r="H258">
        <v>1598</v>
      </c>
      <c r="I258">
        <v>417</v>
      </c>
      <c r="J258">
        <v>575</v>
      </c>
      <c r="K258">
        <v>281</v>
      </c>
      <c r="L258">
        <v>947</v>
      </c>
      <c r="M258">
        <v>402</v>
      </c>
      <c r="N258">
        <v>158</v>
      </c>
      <c r="O258">
        <v>42</v>
      </c>
      <c r="P258">
        <v>338</v>
      </c>
      <c r="Q258">
        <v>634</v>
      </c>
      <c r="R258">
        <v>257</v>
      </c>
    </row>
    <row r="259" spans="1:18">
      <c r="A259" s="1" t="s">
        <v>204</v>
      </c>
      <c r="B259">
        <v>31</v>
      </c>
      <c r="C259">
        <v>5</v>
      </c>
      <c r="D259">
        <v>26</v>
      </c>
      <c r="E259">
        <v>-5.97</v>
      </c>
      <c r="F259">
        <v>2162</v>
      </c>
      <c r="G259">
        <v>758</v>
      </c>
      <c r="H259">
        <v>1836</v>
      </c>
      <c r="I259">
        <v>449</v>
      </c>
      <c r="J259">
        <v>655</v>
      </c>
      <c r="K259">
        <v>379</v>
      </c>
      <c r="L259">
        <v>1070</v>
      </c>
      <c r="M259">
        <v>388</v>
      </c>
      <c r="N259">
        <v>166</v>
      </c>
      <c r="O259">
        <v>65</v>
      </c>
      <c r="P259">
        <v>378</v>
      </c>
      <c r="Q259">
        <v>618</v>
      </c>
      <c r="R259">
        <v>258</v>
      </c>
    </row>
    <row r="260" spans="1:18">
      <c r="A260" s="1" t="s">
        <v>205</v>
      </c>
      <c r="B260">
        <v>31</v>
      </c>
      <c r="C260">
        <v>10</v>
      </c>
      <c r="D260">
        <v>21</v>
      </c>
      <c r="E260">
        <v>-5.65</v>
      </c>
      <c r="F260">
        <v>1916</v>
      </c>
      <c r="G260">
        <v>675</v>
      </c>
      <c r="H260">
        <v>1649</v>
      </c>
      <c r="I260">
        <v>346</v>
      </c>
      <c r="J260">
        <v>539</v>
      </c>
      <c r="K260">
        <v>280</v>
      </c>
      <c r="L260">
        <v>934</v>
      </c>
      <c r="M260">
        <v>361</v>
      </c>
      <c r="N260">
        <v>176</v>
      </c>
      <c r="O260">
        <v>85</v>
      </c>
      <c r="P260">
        <v>333</v>
      </c>
      <c r="Q260">
        <v>481</v>
      </c>
      <c r="R260">
        <v>259</v>
      </c>
    </row>
    <row r="261" spans="1:18">
      <c r="A261" s="1" t="s">
        <v>206</v>
      </c>
      <c r="B261">
        <v>34</v>
      </c>
      <c r="C261">
        <v>24</v>
      </c>
      <c r="D261">
        <v>10</v>
      </c>
      <c r="E261">
        <v>5.08</v>
      </c>
      <c r="F261">
        <v>2433</v>
      </c>
      <c r="G261">
        <v>840</v>
      </c>
      <c r="H261">
        <v>1789</v>
      </c>
      <c r="I261">
        <v>503</v>
      </c>
      <c r="J261">
        <v>780</v>
      </c>
      <c r="K261">
        <v>319</v>
      </c>
      <c r="L261">
        <v>1218</v>
      </c>
      <c r="M261">
        <v>476</v>
      </c>
      <c r="N261">
        <v>151</v>
      </c>
      <c r="O261">
        <v>154</v>
      </c>
      <c r="P261">
        <v>409</v>
      </c>
      <c r="Q261">
        <v>544</v>
      </c>
      <c r="R261">
        <v>260</v>
      </c>
    </row>
    <row r="262" spans="1:18">
      <c r="A262" s="1" t="s">
        <v>292</v>
      </c>
      <c r="B262">
        <v>34</v>
      </c>
      <c r="C262">
        <v>27</v>
      </c>
      <c r="D262">
        <v>7</v>
      </c>
      <c r="E262">
        <v>4.24</v>
      </c>
      <c r="F262">
        <v>2374</v>
      </c>
      <c r="G262">
        <v>829</v>
      </c>
      <c r="H262">
        <v>1869</v>
      </c>
      <c r="I262">
        <v>526</v>
      </c>
      <c r="J262">
        <v>755</v>
      </c>
      <c r="K262">
        <v>345</v>
      </c>
      <c r="L262">
        <v>1231</v>
      </c>
      <c r="M262">
        <v>482</v>
      </c>
      <c r="N262">
        <v>253</v>
      </c>
      <c r="O262">
        <v>138</v>
      </c>
      <c r="P262">
        <v>431</v>
      </c>
      <c r="Q262">
        <v>597</v>
      </c>
      <c r="R262">
        <v>261</v>
      </c>
    </row>
    <row r="263" spans="1:18">
      <c r="A263" s="1" t="s">
        <v>207</v>
      </c>
      <c r="B263">
        <v>35</v>
      </c>
      <c r="C263">
        <v>23</v>
      </c>
      <c r="D263">
        <v>12</v>
      </c>
      <c r="E263">
        <v>4.29</v>
      </c>
      <c r="F263">
        <v>2502</v>
      </c>
      <c r="G263">
        <v>819</v>
      </c>
      <c r="H263">
        <v>1818</v>
      </c>
      <c r="I263">
        <v>618</v>
      </c>
      <c r="J263">
        <v>873</v>
      </c>
      <c r="K263">
        <v>407</v>
      </c>
      <c r="L263">
        <v>1188</v>
      </c>
      <c r="M263">
        <v>430</v>
      </c>
      <c r="N263">
        <v>203</v>
      </c>
      <c r="O263">
        <v>117</v>
      </c>
      <c r="P263">
        <v>409</v>
      </c>
      <c r="Q263">
        <v>678</v>
      </c>
      <c r="R263">
        <v>262</v>
      </c>
    </row>
    <row r="264" spans="1:18">
      <c r="A264" s="1" t="s">
        <v>208</v>
      </c>
      <c r="B264">
        <v>31</v>
      </c>
      <c r="C264">
        <v>14</v>
      </c>
      <c r="D264">
        <v>17</v>
      </c>
      <c r="E264">
        <v>-3.27</v>
      </c>
      <c r="F264">
        <v>1961</v>
      </c>
      <c r="G264">
        <v>659</v>
      </c>
      <c r="H264">
        <v>1618</v>
      </c>
      <c r="I264">
        <v>480</v>
      </c>
      <c r="J264">
        <v>682</v>
      </c>
      <c r="K264">
        <v>329</v>
      </c>
      <c r="L264">
        <v>1053</v>
      </c>
      <c r="M264">
        <v>303</v>
      </c>
      <c r="N264">
        <v>199</v>
      </c>
      <c r="O264">
        <v>135</v>
      </c>
      <c r="P264">
        <v>373</v>
      </c>
      <c r="Q264">
        <v>568</v>
      </c>
      <c r="R264">
        <v>263</v>
      </c>
    </row>
    <row r="265" spans="1:18">
      <c r="A265" s="1" t="s">
        <v>209</v>
      </c>
      <c r="B265">
        <v>35</v>
      </c>
      <c r="C265">
        <v>24</v>
      </c>
      <c r="D265">
        <v>11</v>
      </c>
      <c r="E265">
        <v>-7.6</v>
      </c>
      <c r="F265">
        <v>2647</v>
      </c>
      <c r="G265">
        <v>875</v>
      </c>
      <c r="H265">
        <v>1893</v>
      </c>
      <c r="I265">
        <v>647</v>
      </c>
      <c r="J265">
        <v>969</v>
      </c>
      <c r="K265">
        <v>416</v>
      </c>
      <c r="L265">
        <v>1220</v>
      </c>
      <c r="M265">
        <v>551</v>
      </c>
      <c r="N265">
        <v>236</v>
      </c>
      <c r="O265">
        <v>122</v>
      </c>
      <c r="P265">
        <v>447</v>
      </c>
      <c r="Q265">
        <v>746</v>
      </c>
      <c r="R265">
        <v>264</v>
      </c>
    </row>
    <row r="266" spans="1:18">
      <c r="A266" s="1" t="s">
        <v>293</v>
      </c>
      <c r="B266">
        <v>33</v>
      </c>
      <c r="C266">
        <v>13</v>
      </c>
      <c r="D266">
        <v>20</v>
      </c>
      <c r="E266">
        <v>-7.41</v>
      </c>
      <c r="F266">
        <v>2327</v>
      </c>
      <c r="G266">
        <v>849</v>
      </c>
      <c r="H266">
        <v>1792</v>
      </c>
      <c r="I266">
        <v>468</v>
      </c>
      <c r="J266">
        <v>692</v>
      </c>
      <c r="K266">
        <v>299</v>
      </c>
      <c r="L266">
        <v>1058</v>
      </c>
      <c r="M266">
        <v>450</v>
      </c>
      <c r="N266">
        <v>185</v>
      </c>
      <c r="O266">
        <v>99</v>
      </c>
      <c r="P266">
        <v>421</v>
      </c>
      <c r="Q266">
        <v>694</v>
      </c>
      <c r="R266">
        <v>265</v>
      </c>
    </row>
    <row r="267" spans="1:18">
      <c r="A267" s="1" t="s">
        <v>210</v>
      </c>
      <c r="B267">
        <v>36</v>
      </c>
      <c r="C267">
        <v>31</v>
      </c>
      <c r="D267">
        <v>5</v>
      </c>
      <c r="E267">
        <v>4.8600000000000003</v>
      </c>
      <c r="F267">
        <v>2530</v>
      </c>
      <c r="G267">
        <v>873</v>
      </c>
      <c r="H267">
        <v>2009</v>
      </c>
      <c r="I267">
        <v>598</v>
      </c>
      <c r="J267">
        <v>902</v>
      </c>
      <c r="K267">
        <v>470</v>
      </c>
      <c r="L267">
        <v>1364</v>
      </c>
      <c r="M267">
        <v>356</v>
      </c>
      <c r="N267">
        <v>274</v>
      </c>
      <c r="O267">
        <v>183</v>
      </c>
      <c r="P267">
        <v>355</v>
      </c>
      <c r="Q267">
        <v>600</v>
      </c>
      <c r="R267">
        <v>266</v>
      </c>
    </row>
    <row r="268" spans="1:18">
      <c r="A268" s="1" t="s">
        <v>211</v>
      </c>
      <c r="B268">
        <v>35</v>
      </c>
      <c r="C268">
        <v>18</v>
      </c>
      <c r="D268">
        <v>17</v>
      </c>
      <c r="E268">
        <v>1.97</v>
      </c>
      <c r="F268">
        <v>2362</v>
      </c>
      <c r="G268">
        <v>816</v>
      </c>
      <c r="H268">
        <v>1815</v>
      </c>
      <c r="I268">
        <v>505</v>
      </c>
      <c r="J268">
        <v>726</v>
      </c>
      <c r="K268">
        <v>335</v>
      </c>
      <c r="L268">
        <v>1160</v>
      </c>
      <c r="M268">
        <v>410</v>
      </c>
      <c r="N268">
        <v>202</v>
      </c>
      <c r="O268">
        <v>137</v>
      </c>
      <c r="P268">
        <v>415</v>
      </c>
      <c r="Q268">
        <v>652</v>
      </c>
      <c r="R268">
        <v>267</v>
      </c>
    </row>
    <row r="269" spans="1:18">
      <c r="A269" s="1" t="s">
        <v>212</v>
      </c>
      <c r="B269">
        <v>33</v>
      </c>
      <c r="C269">
        <v>21</v>
      </c>
      <c r="D269">
        <v>12</v>
      </c>
      <c r="E269">
        <v>4.28</v>
      </c>
      <c r="F269">
        <v>2469</v>
      </c>
      <c r="G269">
        <v>861</v>
      </c>
      <c r="H269">
        <v>1819</v>
      </c>
      <c r="I269">
        <v>523</v>
      </c>
      <c r="J269">
        <v>807</v>
      </c>
      <c r="K269">
        <v>372</v>
      </c>
      <c r="L269">
        <v>1176</v>
      </c>
      <c r="M269">
        <v>479</v>
      </c>
      <c r="N269">
        <v>177</v>
      </c>
      <c r="O269">
        <v>85</v>
      </c>
      <c r="P269">
        <v>381</v>
      </c>
      <c r="Q269">
        <v>644</v>
      </c>
      <c r="R269">
        <v>268</v>
      </c>
    </row>
    <row r="270" spans="1:18">
      <c r="A270" s="1" t="s">
        <v>213</v>
      </c>
      <c r="B270">
        <v>31</v>
      </c>
      <c r="C270">
        <v>7</v>
      </c>
      <c r="D270">
        <v>24</v>
      </c>
      <c r="E270">
        <v>3.05</v>
      </c>
      <c r="F270">
        <v>1938</v>
      </c>
      <c r="G270">
        <v>631</v>
      </c>
      <c r="H270">
        <v>1686</v>
      </c>
      <c r="I270">
        <v>411</v>
      </c>
      <c r="J270">
        <v>569</v>
      </c>
      <c r="K270">
        <v>322</v>
      </c>
      <c r="L270">
        <v>1106</v>
      </c>
      <c r="M270">
        <v>346</v>
      </c>
      <c r="N270">
        <v>133</v>
      </c>
      <c r="O270">
        <v>86</v>
      </c>
      <c r="P270">
        <v>416</v>
      </c>
      <c r="Q270">
        <v>637</v>
      </c>
      <c r="R270">
        <v>269</v>
      </c>
    </row>
    <row r="271" spans="1:18">
      <c r="A271" s="1" t="s">
        <v>214</v>
      </c>
      <c r="B271">
        <v>33</v>
      </c>
      <c r="C271">
        <v>14</v>
      </c>
      <c r="D271">
        <v>19</v>
      </c>
      <c r="E271">
        <v>3.01</v>
      </c>
      <c r="F271">
        <v>2340</v>
      </c>
      <c r="G271">
        <v>788</v>
      </c>
      <c r="H271">
        <v>1853</v>
      </c>
      <c r="I271">
        <v>516</v>
      </c>
      <c r="J271">
        <v>704</v>
      </c>
      <c r="K271">
        <v>343</v>
      </c>
      <c r="L271">
        <v>1057</v>
      </c>
      <c r="M271">
        <v>403</v>
      </c>
      <c r="N271">
        <v>200</v>
      </c>
      <c r="O271">
        <v>137</v>
      </c>
      <c r="P271">
        <v>329</v>
      </c>
      <c r="Q271">
        <v>663</v>
      </c>
      <c r="R271">
        <v>270</v>
      </c>
    </row>
    <row r="272" spans="1:18">
      <c r="A272" s="1" t="s">
        <v>322</v>
      </c>
      <c r="B272">
        <v>32</v>
      </c>
      <c r="C272">
        <v>13</v>
      </c>
      <c r="D272">
        <v>19</v>
      </c>
      <c r="E272">
        <v>-5.37</v>
      </c>
      <c r="F272">
        <v>1968</v>
      </c>
      <c r="G272">
        <v>693</v>
      </c>
      <c r="H272">
        <v>1653</v>
      </c>
      <c r="I272">
        <v>425</v>
      </c>
      <c r="J272">
        <v>652</v>
      </c>
      <c r="K272">
        <v>352</v>
      </c>
      <c r="L272">
        <v>1072</v>
      </c>
      <c r="M272">
        <v>334</v>
      </c>
      <c r="N272">
        <v>223</v>
      </c>
      <c r="O272">
        <v>157</v>
      </c>
      <c r="P272">
        <v>502</v>
      </c>
      <c r="Q272">
        <v>669</v>
      </c>
      <c r="R272">
        <v>271</v>
      </c>
    </row>
    <row r="273" spans="1:18">
      <c r="A273" s="1" t="s">
        <v>358</v>
      </c>
      <c r="B273">
        <v>30</v>
      </c>
      <c r="C273">
        <v>13</v>
      </c>
      <c r="D273">
        <v>17</v>
      </c>
      <c r="E273">
        <v>-4.1100000000000003</v>
      </c>
      <c r="F273">
        <v>2139</v>
      </c>
      <c r="G273">
        <v>760</v>
      </c>
      <c r="H273">
        <v>1798</v>
      </c>
      <c r="I273">
        <v>397</v>
      </c>
      <c r="J273">
        <v>609</v>
      </c>
      <c r="K273">
        <v>421</v>
      </c>
      <c r="L273">
        <v>1151</v>
      </c>
      <c r="M273">
        <v>394</v>
      </c>
      <c r="N273">
        <v>192</v>
      </c>
      <c r="O273">
        <v>91</v>
      </c>
      <c r="P273">
        <v>419</v>
      </c>
      <c r="Q273">
        <v>662</v>
      </c>
      <c r="R273">
        <v>272</v>
      </c>
    </row>
    <row r="274" spans="1:18">
      <c r="A274" s="1" t="s">
        <v>294</v>
      </c>
      <c r="B274">
        <v>34</v>
      </c>
      <c r="C274">
        <v>17</v>
      </c>
      <c r="D274">
        <v>17</v>
      </c>
      <c r="E274">
        <v>5.56</v>
      </c>
      <c r="F274">
        <v>2442</v>
      </c>
      <c r="G274">
        <v>816</v>
      </c>
      <c r="H274">
        <v>1797</v>
      </c>
      <c r="I274">
        <v>558</v>
      </c>
      <c r="J274">
        <v>774</v>
      </c>
      <c r="K274">
        <v>288</v>
      </c>
      <c r="L274">
        <v>1103</v>
      </c>
      <c r="M274">
        <v>452</v>
      </c>
      <c r="N274">
        <v>226</v>
      </c>
      <c r="O274">
        <v>93</v>
      </c>
      <c r="P274">
        <v>415</v>
      </c>
      <c r="Q274">
        <v>675</v>
      </c>
      <c r="R274">
        <v>273</v>
      </c>
    </row>
    <row r="275" spans="1:18">
      <c r="A275" s="1" t="s">
        <v>215</v>
      </c>
      <c r="B275">
        <v>38</v>
      </c>
      <c r="C275">
        <v>20</v>
      </c>
      <c r="D275">
        <v>18</v>
      </c>
      <c r="E275">
        <v>-0.15</v>
      </c>
      <c r="F275">
        <v>2635</v>
      </c>
      <c r="G275">
        <v>908</v>
      </c>
      <c r="H275">
        <v>2165</v>
      </c>
      <c r="I275">
        <v>650</v>
      </c>
      <c r="J275">
        <v>903</v>
      </c>
      <c r="K275">
        <v>525</v>
      </c>
      <c r="L275">
        <v>1429</v>
      </c>
      <c r="M275">
        <v>514</v>
      </c>
      <c r="N275">
        <v>222</v>
      </c>
      <c r="O275">
        <v>178</v>
      </c>
      <c r="P275">
        <v>523</v>
      </c>
      <c r="Q275">
        <v>854</v>
      </c>
      <c r="R275">
        <v>274</v>
      </c>
    </row>
    <row r="276" spans="1:18">
      <c r="A276" s="1" t="s">
        <v>216</v>
      </c>
      <c r="B276">
        <v>31</v>
      </c>
      <c r="C276">
        <v>11</v>
      </c>
      <c r="D276">
        <v>20</v>
      </c>
      <c r="E276">
        <v>-0.51</v>
      </c>
      <c r="F276">
        <v>2136</v>
      </c>
      <c r="G276">
        <v>716</v>
      </c>
      <c r="H276">
        <v>1776</v>
      </c>
      <c r="I276">
        <v>463</v>
      </c>
      <c r="J276">
        <v>679</v>
      </c>
      <c r="K276">
        <v>379</v>
      </c>
      <c r="L276">
        <v>1155</v>
      </c>
      <c r="M276">
        <v>349</v>
      </c>
      <c r="N276">
        <v>153</v>
      </c>
      <c r="O276">
        <v>123</v>
      </c>
      <c r="P276">
        <v>380</v>
      </c>
      <c r="Q276">
        <v>621</v>
      </c>
      <c r="R276">
        <v>275</v>
      </c>
    </row>
    <row r="277" spans="1:18">
      <c r="A277" s="1" t="s">
        <v>295</v>
      </c>
      <c r="B277">
        <v>30</v>
      </c>
      <c r="C277">
        <v>9</v>
      </c>
      <c r="D277">
        <v>21</v>
      </c>
      <c r="E277">
        <v>-5.96</v>
      </c>
      <c r="F277">
        <v>1883</v>
      </c>
      <c r="G277">
        <v>676</v>
      </c>
      <c r="H277">
        <v>1709</v>
      </c>
      <c r="I277">
        <v>383</v>
      </c>
      <c r="J277">
        <v>587</v>
      </c>
      <c r="K277">
        <v>401</v>
      </c>
      <c r="L277">
        <v>1090</v>
      </c>
      <c r="M277">
        <v>364</v>
      </c>
      <c r="N277">
        <v>168</v>
      </c>
      <c r="O277">
        <v>99</v>
      </c>
      <c r="P277">
        <v>452</v>
      </c>
      <c r="Q277">
        <v>577</v>
      </c>
      <c r="R277">
        <v>276</v>
      </c>
    </row>
    <row r="278" spans="1:18">
      <c r="A278" s="1" t="s">
        <v>351</v>
      </c>
      <c r="B278">
        <v>34</v>
      </c>
      <c r="C278">
        <v>19</v>
      </c>
      <c r="D278">
        <v>15</v>
      </c>
      <c r="E278">
        <v>-4.6100000000000003</v>
      </c>
      <c r="F278">
        <v>2492</v>
      </c>
      <c r="G278">
        <v>890</v>
      </c>
      <c r="H278">
        <v>1966</v>
      </c>
      <c r="I278">
        <v>502</v>
      </c>
      <c r="J278">
        <v>744</v>
      </c>
      <c r="K278">
        <v>424</v>
      </c>
      <c r="L278">
        <v>1240</v>
      </c>
      <c r="M278">
        <v>526</v>
      </c>
      <c r="N278">
        <v>227</v>
      </c>
      <c r="O278">
        <v>118</v>
      </c>
      <c r="P278">
        <v>413</v>
      </c>
      <c r="Q278">
        <v>619</v>
      </c>
      <c r="R278">
        <v>277</v>
      </c>
    </row>
    <row r="279" spans="1:18">
      <c r="A279" s="1" t="s">
        <v>217</v>
      </c>
      <c r="B279">
        <v>34</v>
      </c>
      <c r="C279">
        <v>14</v>
      </c>
      <c r="D279">
        <v>20</v>
      </c>
      <c r="E279">
        <v>6.96</v>
      </c>
      <c r="F279">
        <v>2323</v>
      </c>
      <c r="G279">
        <v>765</v>
      </c>
      <c r="H279">
        <v>1853</v>
      </c>
      <c r="I279">
        <v>598</v>
      </c>
      <c r="J279">
        <v>847</v>
      </c>
      <c r="K279">
        <v>468</v>
      </c>
      <c r="L279">
        <v>1202</v>
      </c>
      <c r="M279">
        <v>416</v>
      </c>
      <c r="N279">
        <v>214</v>
      </c>
      <c r="O279">
        <v>128</v>
      </c>
      <c r="P279">
        <v>485</v>
      </c>
      <c r="Q279">
        <v>771</v>
      </c>
      <c r="R279">
        <v>278</v>
      </c>
    </row>
    <row r="280" spans="1:18">
      <c r="A280" s="1" t="s">
        <v>341</v>
      </c>
      <c r="B280">
        <v>32</v>
      </c>
      <c r="C280">
        <v>19</v>
      </c>
      <c r="D280">
        <v>13</v>
      </c>
      <c r="E280">
        <v>-1.93</v>
      </c>
      <c r="F280">
        <v>2315</v>
      </c>
      <c r="G280">
        <v>769</v>
      </c>
      <c r="H280">
        <v>1719</v>
      </c>
      <c r="I280">
        <v>568</v>
      </c>
      <c r="J280">
        <v>751</v>
      </c>
      <c r="K280">
        <v>317</v>
      </c>
      <c r="L280">
        <v>1138</v>
      </c>
      <c r="M280">
        <v>421</v>
      </c>
      <c r="N280">
        <v>174</v>
      </c>
      <c r="O280">
        <v>102</v>
      </c>
      <c r="P280">
        <v>381</v>
      </c>
      <c r="Q280">
        <v>561</v>
      </c>
      <c r="R280">
        <v>279</v>
      </c>
    </row>
    <row r="281" spans="1:18">
      <c r="A281" s="1" t="s">
        <v>359</v>
      </c>
      <c r="B281">
        <v>30</v>
      </c>
      <c r="C281">
        <v>12</v>
      </c>
      <c r="D281">
        <v>18</v>
      </c>
      <c r="E281">
        <v>-0.81</v>
      </c>
      <c r="F281">
        <v>2084</v>
      </c>
      <c r="G281">
        <v>713</v>
      </c>
      <c r="H281">
        <v>1613</v>
      </c>
      <c r="I281">
        <v>467</v>
      </c>
      <c r="J281">
        <v>622</v>
      </c>
      <c r="K281">
        <v>263</v>
      </c>
      <c r="L281">
        <v>983</v>
      </c>
      <c r="M281">
        <v>381</v>
      </c>
      <c r="N281">
        <v>163</v>
      </c>
      <c r="O281">
        <v>113</v>
      </c>
      <c r="P281">
        <v>371</v>
      </c>
      <c r="Q281">
        <v>522</v>
      </c>
      <c r="R281">
        <v>280</v>
      </c>
    </row>
    <row r="282" spans="1:18">
      <c r="A282" s="1" t="s">
        <v>218</v>
      </c>
      <c r="B282">
        <v>32</v>
      </c>
      <c r="C282">
        <v>12</v>
      </c>
      <c r="D282">
        <v>20</v>
      </c>
      <c r="E282">
        <v>4.5999999999999996</v>
      </c>
      <c r="F282">
        <v>2100</v>
      </c>
      <c r="G282">
        <v>751</v>
      </c>
      <c r="H282">
        <v>1729</v>
      </c>
      <c r="I282">
        <v>501</v>
      </c>
      <c r="J282">
        <v>757</v>
      </c>
      <c r="K282">
        <v>354</v>
      </c>
      <c r="L282">
        <v>1122</v>
      </c>
      <c r="M282">
        <v>402</v>
      </c>
      <c r="N282">
        <v>186</v>
      </c>
      <c r="O282">
        <v>118</v>
      </c>
      <c r="P282">
        <v>411</v>
      </c>
      <c r="Q282">
        <v>566</v>
      </c>
      <c r="R282">
        <v>281</v>
      </c>
    </row>
    <row r="283" spans="1:18">
      <c r="A283" s="1" t="s">
        <v>296</v>
      </c>
      <c r="B283">
        <v>32</v>
      </c>
      <c r="C283">
        <v>18</v>
      </c>
      <c r="D283">
        <v>14</v>
      </c>
      <c r="E283">
        <v>-6.59</v>
      </c>
      <c r="F283">
        <v>2654</v>
      </c>
      <c r="G283">
        <v>961</v>
      </c>
      <c r="H283">
        <v>1924</v>
      </c>
      <c r="I283">
        <v>514</v>
      </c>
      <c r="J283">
        <v>743</v>
      </c>
      <c r="K283">
        <v>360</v>
      </c>
      <c r="L283">
        <v>1191</v>
      </c>
      <c r="M283">
        <v>533</v>
      </c>
      <c r="N283">
        <v>228</v>
      </c>
      <c r="O283">
        <v>136</v>
      </c>
      <c r="P283">
        <v>419</v>
      </c>
      <c r="Q283">
        <v>641</v>
      </c>
      <c r="R283">
        <v>282</v>
      </c>
    </row>
    <row r="284" spans="1:18">
      <c r="A284" s="1" t="s">
        <v>219</v>
      </c>
      <c r="B284">
        <v>30</v>
      </c>
      <c r="C284">
        <v>12</v>
      </c>
      <c r="D284">
        <v>18</v>
      </c>
      <c r="E284">
        <v>-7.67</v>
      </c>
      <c r="F284">
        <v>2085</v>
      </c>
      <c r="G284">
        <v>714</v>
      </c>
      <c r="H284">
        <v>1612</v>
      </c>
      <c r="I284">
        <v>453</v>
      </c>
      <c r="J284">
        <v>650</v>
      </c>
      <c r="K284">
        <v>256</v>
      </c>
      <c r="L284">
        <v>958</v>
      </c>
      <c r="M284">
        <v>351</v>
      </c>
      <c r="N284">
        <v>137</v>
      </c>
      <c r="O284">
        <v>124</v>
      </c>
      <c r="P284">
        <v>363</v>
      </c>
      <c r="Q284">
        <v>593</v>
      </c>
      <c r="R284">
        <v>283</v>
      </c>
    </row>
    <row r="285" spans="1:18">
      <c r="A285" s="1" t="s">
        <v>220</v>
      </c>
      <c r="B285">
        <v>32</v>
      </c>
      <c r="C285">
        <v>11</v>
      </c>
      <c r="D285">
        <v>21</v>
      </c>
      <c r="E285">
        <v>8.02</v>
      </c>
      <c r="F285">
        <v>2258</v>
      </c>
      <c r="G285">
        <v>801</v>
      </c>
      <c r="H285">
        <v>1824</v>
      </c>
      <c r="I285">
        <v>510</v>
      </c>
      <c r="J285">
        <v>761</v>
      </c>
      <c r="K285">
        <v>354</v>
      </c>
      <c r="L285">
        <v>1185</v>
      </c>
      <c r="M285">
        <v>404</v>
      </c>
      <c r="N285">
        <v>174</v>
      </c>
      <c r="O285">
        <v>141</v>
      </c>
      <c r="P285">
        <v>449</v>
      </c>
      <c r="Q285">
        <v>628</v>
      </c>
      <c r="R285">
        <v>284</v>
      </c>
    </row>
    <row r="286" spans="1:18">
      <c r="A286" s="1" t="s">
        <v>355</v>
      </c>
      <c r="B286">
        <v>31</v>
      </c>
      <c r="C286">
        <v>11</v>
      </c>
      <c r="D286">
        <v>20</v>
      </c>
      <c r="E286">
        <v>-5.33</v>
      </c>
      <c r="F286">
        <v>2264</v>
      </c>
      <c r="G286">
        <v>806</v>
      </c>
      <c r="H286">
        <v>1715</v>
      </c>
      <c r="I286">
        <v>429</v>
      </c>
      <c r="J286">
        <v>645</v>
      </c>
      <c r="K286">
        <v>298</v>
      </c>
      <c r="L286">
        <v>963</v>
      </c>
      <c r="M286">
        <v>436</v>
      </c>
      <c r="N286">
        <v>212</v>
      </c>
      <c r="O286">
        <v>94</v>
      </c>
      <c r="P286">
        <v>429</v>
      </c>
      <c r="Q286">
        <v>627</v>
      </c>
      <c r="R286">
        <v>285</v>
      </c>
    </row>
    <row r="287" spans="1:18">
      <c r="A287" s="1" t="s">
        <v>221</v>
      </c>
      <c r="B287">
        <v>33</v>
      </c>
      <c r="C287">
        <v>14</v>
      </c>
      <c r="D287">
        <v>19</v>
      </c>
      <c r="E287">
        <v>0.23</v>
      </c>
      <c r="F287">
        <v>2208</v>
      </c>
      <c r="G287">
        <v>781</v>
      </c>
      <c r="H287">
        <v>1717</v>
      </c>
      <c r="I287">
        <v>498</v>
      </c>
      <c r="J287">
        <v>741</v>
      </c>
      <c r="K287">
        <v>371</v>
      </c>
      <c r="L287">
        <v>1104</v>
      </c>
      <c r="M287">
        <v>330</v>
      </c>
      <c r="N287">
        <v>237</v>
      </c>
      <c r="O287">
        <v>70</v>
      </c>
      <c r="P287">
        <v>404</v>
      </c>
      <c r="Q287">
        <v>632</v>
      </c>
      <c r="R287">
        <v>286</v>
      </c>
    </row>
    <row r="288" spans="1:18">
      <c r="A288" s="1" t="s">
        <v>222</v>
      </c>
      <c r="B288">
        <v>37</v>
      </c>
      <c r="C288">
        <v>27</v>
      </c>
      <c r="D288">
        <v>10</v>
      </c>
      <c r="E288">
        <v>4.97</v>
      </c>
      <c r="F288">
        <v>2627</v>
      </c>
      <c r="G288">
        <v>937</v>
      </c>
      <c r="H288">
        <v>1938</v>
      </c>
      <c r="I288">
        <v>579</v>
      </c>
      <c r="J288">
        <v>848</v>
      </c>
      <c r="K288">
        <v>402</v>
      </c>
      <c r="L288">
        <v>1333</v>
      </c>
      <c r="M288">
        <v>560</v>
      </c>
      <c r="N288">
        <v>282</v>
      </c>
      <c r="O288">
        <v>165</v>
      </c>
      <c r="P288">
        <v>493</v>
      </c>
      <c r="Q288">
        <v>692</v>
      </c>
      <c r="R288">
        <v>287</v>
      </c>
    </row>
    <row r="289" spans="1:18">
      <c r="A289" s="1" t="s">
        <v>223</v>
      </c>
      <c r="B289">
        <v>36</v>
      </c>
      <c r="C289">
        <v>29</v>
      </c>
      <c r="D289">
        <v>7</v>
      </c>
      <c r="E289">
        <v>-0.08</v>
      </c>
      <c r="F289">
        <v>2596</v>
      </c>
      <c r="G289">
        <v>873</v>
      </c>
      <c r="H289">
        <v>1884</v>
      </c>
      <c r="I289">
        <v>649</v>
      </c>
      <c r="J289">
        <v>956</v>
      </c>
      <c r="K289">
        <v>443</v>
      </c>
      <c r="L289">
        <v>1286</v>
      </c>
      <c r="M289">
        <v>507</v>
      </c>
      <c r="N289">
        <v>294</v>
      </c>
      <c r="O289">
        <v>74</v>
      </c>
      <c r="P289">
        <v>466</v>
      </c>
      <c r="Q289">
        <v>743</v>
      </c>
      <c r="R289">
        <v>288</v>
      </c>
    </row>
    <row r="290" spans="1:18">
      <c r="A290" s="1" t="s">
        <v>224</v>
      </c>
      <c r="B290">
        <v>29</v>
      </c>
      <c r="C290">
        <v>2</v>
      </c>
      <c r="D290">
        <v>27</v>
      </c>
      <c r="E290">
        <v>-3.19</v>
      </c>
      <c r="F290">
        <v>1710</v>
      </c>
      <c r="G290">
        <v>591</v>
      </c>
      <c r="H290">
        <v>1462</v>
      </c>
      <c r="I290">
        <v>397</v>
      </c>
      <c r="J290">
        <v>576</v>
      </c>
      <c r="K290">
        <v>234</v>
      </c>
      <c r="L290">
        <v>827</v>
      </c>
      <c r="M290">
        <v>313</v>
      </c>
      <c r="N290">
        <v>129</v>
      </c>
      <c r="O290">
        <v>94</v>
      </c>
      <c r="P290">
        <v>403</v>
      </c>
      <c r="Q290">
        <v>675</v>
      </c>
      <c r="R290">
        <v>289</v>
      </c>
    </row>
    <row r="291" spans="1:18">
      <c r="A291" s="1" t="s">
        <v>225</v>
      </c>
      <c r="B291">
        <v>32</v>
      </c>
      <c r="C291">
        <v>19</v>
      </c>
      <c r="D291">
        <v>13</v>
      </c>
      <c r="E291">
        <v>-7.95</v>
      </c>
      <c r="F291">
        <v>2278</v>
      </c>
      <c r="G291">
        <v>823</v>
      </c>
      <c r="H291">
        <v>1822</v>
      </c>
      <c r="I291">
        <v>444</v>
      </c>
      <c r="J291">
        <v>718</v>
      </c>
      <c r="K291">
        <v>380</v>
      </c>
      <c r="L291">
        <v>1236</v>
      </c>
      <c r="M291">
        <v>419</v>
      </c>
      <c r="N291">
        <v>199</v>
      </c>
      <c r="O291">
        <v>156</v>
      </c>
      <c r="P291">
        <v>425</v>
      </c>
      <c r="Q291">
        <v>685</v>
      </c>
      <c r="R291">
        <v>290</v>
      </c>
    </row>
    <row r="292" spans="1:18">
      <c r="A292" s="1" t="s">
        <v>297</v>
      </c>
      <c r="B292">
        <v>33</v>
      </c>
      <c r="C292">
        <v>18</v>
      </c>
      <c r="D292">
        <v>15</v>
      </c>
      <c r="E292">
        <v>2.64</v>
      </c>
      <c r="F292">
        <v>2421</v>
      </c>
      <c r="G292">
        <v>856</v>
      </c>
      <c r="H292">
        <v>1881</v>
      </c>
      <c r="I292">
        <v>554</v>
      </c>
      <c r="J292">
        <v>774</v>
      </c>
      <c r="K292">
        <v>418</v>
      </c>
      <c r="L292">
        <v>1164</v>
      </c>
      <c r="M292">
        <v>443</v>
      </c>
      <c r="N292">
        <v>230</v>
      </c>
      <c r="O292">
        <v>139</v>
      </c>
      <c r="P292">
        <v>423</v>
      </c>
      <c r="Q292">
        <v>668</v>
      </c>
      <c r="R292">
        <v>291</v>
      </c>
    </row>
    <row r="293" spans="1:18">
      <c r="A293" s="1" t="s">
        <v>226</v>
      </c>
      <c r="B293">
        <v>32</v>
      </c>
      <c r="C293">
        <v>18</v>
      </c>
      <c r="D293">
        <v>14</v>
      </c>
      <c r="E293">
        <v>-5.9</v>
      </c>
      <c r="F293">
        <v>2207</v>
      </c>
      <c r="G293">
        <v>781</v>
      </c>
      <c r="H293">
        <v>1813</v>
      </c>
      <c r="I293">
        <v>450</v>
      </c>
      <c r="J293">
        <v>659</v>
      </c>
      <c r="K293">
        <v>383</v>
      </c>
      <c r="L293">
        <v>1189</v>
      </c>
      <c r="M293">
        <v>399</v>
      </c>
      <c r="N293">
        <v>181</v>
      </c>
      <c r="O293">
        <v>170</v>
      </c>
      <c r="P293">
        <v>421</v>
      </c>
      <c r="Q293">
        <v>639</v>
      </c>
      <c r="R293">
        <v>292</v>
      </c>
    </row>
    <row r="294" spans="1:18">
      <c r="A294" s="1" t="s">
        <v>298</v>
      </c>
      <c r="B294">
        <v>33</v>
      </c>
      <c r="C294">
        <v>20</v>
      </c>
      <c r="D294">
        <v>13</v>
      </c>
      <c r="E294">
        <v>6.56</v>
      </c>
      <c r="F294">
        <v>2403</v>
      </c>
      <c r="G294">
        <v>867</v>
      </c>
      <c r="H294">
        <v>1948</v>
      </c>
      <c r="I294">
        <v>505</v>
      </c>
      <c r="J294">
        <v>722</v>
      </c>
      <c r="K294">
        <v>372</v>
      </c>
      <c r="L294">
        <v>1216</v>
      </c>
      <c r="M294">
        <v>434</v>
      </c>
      <c r="N294">
        <v>224</v>
      </c>
      <c r="O294">
        <v>249</v>
      </c>
      <c r="P294">
        <v>353</v>
      </c>
      <c r="Q294">
        <v>623</v>
      </c>
      <c r="R294">
        <v>293</v>
      </c>
    </row>
    <row r="295" spans="1:18">
      <c r="A295" s="1" t="s">
        <v>342</v>
      </c>
      <c r="B295">
        <v>36</v>
      </c>
      <c r="C295">
        <v>23</v>
      </c>
      <c r="D295">
        <v>13</v>
      </c>
      <c r="E295">
        <v>9</v>
      </c>
      <c r="F295">
        <v>2616</v>
      </c>
      <c r="G295">
        <v>896</v>
      </c>
      <c r="H295">
        <v>1950</v>
      </c>
      <c r="I295">
        <v>616</v>
      </c>
      <c r="J295">
        <v>877</v>
      </c>
      <c r="K295">
        <v>347</v>
      </c>
      <c r="L295">
        <v>1257</v>
      </c>
      <c r="M295">
        <v>415</v>
      </c>
      <c r="N295">
        <v>191</v>
      </c>
      <c r="O295">
        <v>154</v>
      </c>
      <c r="P295">
        <v>409</v>
      </c>
      <c r="Q295">
        <v>655</v>
      </c>
      <c r="R295">
        <v>294</v>
      </c>
    </row>
    <row r="296" spans="1:18">
      <c r="A296" s="1" t="s">
        <v>227</v>
      </c>
      <c r="B296">
        <v>35</v>
      </c>
      <c r="C296">
        <v>32</v>
      </c>
      <c r="D296">
        <v>3</v>
      </c>
      <c r="E296">
        <v>-6.76</v>
      </c>
      <c r="F296">
        <v>2661</v>
      </c>
      <c r="G296">
        <v>922</v>
      </c>
      <c r="H296">
        <v>1992</v>
      </c>
      <c r="I296">
        <v>569</v>
      </c>
      <c r="J296">
        <v>800</v>
      </c>
      <c r="K296">
        <v>451</v>
      </c>
      <c r="L296">
        <v>1186</v>
      </c>
      <c r="M296">
        <v>574</v>
      </c>
      <c r="N296">
        <v>257</v>
      </c>
      <c r="O296">
        <v>104</v>
      </c>
      <c r="P296">
        <v>393</v>
      </c>
      <c r="Q296">
        <v>730</v>
      </c>
      <c r="R296">
        <v>295</v>
      </c>
    </row>
    <row r="297" spans="1:18">
      <c r="A297" s="1" t="s">
        <v>228</v>
      </c>
      <c r="B297">
        <v>31</v>
      </c>
      <c r="C297">
        <v>7</v>
      </c>
      <c r="D297">
        <v>24</v>
      </c>
      <c r="E297">
        <v>-4.97</v>
      </c>
      <c r="F297">
        <v>1916</v>
      </c>
      <c r="G297">
        <v>683</v>
      </c>
      <c r="H297">
        <v>1628</v>
      </c>
      <c r="I297">
        <v>391</v>
      </c>
      <c r="J297">
        <v>590</v>
      </c>
      <c r="K297">
        <v>294</v>
      </c>
      <c r="L297">
        <v>926</v>
      </c>
      <c r="M297">
        <v>370</v>
      </c>
      <c r="N297">
        <v>174</v>
      </c>
      <c r="O297">
        <v>116</v>
      </c>
      <c r="P297">
        <v>383</v>
      </c>
      <c r="Q297">
        <v>529</v>
      </c>
      <c r="R297">
        <v>296</v>
      </c>
    </row>
    <row r="298" spans="1:18">
      <c r="A298" s="1" t="s">
        <v>229</v>
      </c>
      <c r="B298">
        <v>34</v>
      </c>
      <c r="C298">
        <v>23</v>
      </c>
      <c r="D298">
        <v>11</v>
      </c>
      <c r="E298">
        <v>-6.47</v>
      </c>
      <c r="F298">
        <v>2426</v>
      </c>
      <c r="G298">
        <v>860</v>
      </c>
      <c r="H298">
        <v>1900</v>
      </c>
      <c r="I298">
        <v>522</v>
      </c>
      <c r="J298">
        <v>725</v>
      </c>
      <c r="K298">
        <v>394</v>
      </c>
      <c r="L298">
        <v>1251</v>
      </c>
      <c r="M298">
        <v>434</v>
      </c>
      <c r="N298">
        <v>200</v>
      </c>
      <c r="O298">
        <v>108</v>
      </c>
      <c r="P298">
        <v>426</v>
      </c>
      <c r="Q298">
        <v>647</v>
      </c>
      <c r="R298">
        <v>297</v>
      </c>
    </row>
    <row r="299" spans="1:18">
      <c r="A299" s="1" t="s">
        <v>313</v>
      </c>
      <c r="B299">
        <v>34</v>
      </c>
      <c r="C299">
        <v>28</v>
      </c>
      <c r="D299">
        <v>6</v>
      </c>
      <c r="E299">
        <v>7.25</v>
      </c>
      <c r="F299">
        <v>2311</v>
      </c>
      <c r="G299">
        <v>819</v>
      </c>
      <c r="H299">
        <v>1873</v>
      </c>
      <c r="I299">
        <v>506</v>
      </c>
      <c r="J299">
        <v>715</v>
      </c>
      <c r="K299">
        <v>446</v>
      </c>
      <c r="L299">
        <v>1200</v>
      </c>
      <c r="M299">
        <v>402</v>
      </c>
      <c r="N299">
        <v>271</v>
      </c>
      <c r="O299">
        <v>171</v>
      </c>
      <c r="P299">
        <v>306</v>
      </c>
      <c r="Q299">
        <v>546</v>
      </c>
      <c r="R299">
        <v>298</v>
      </c>
    </row>
    <row r="300" spans="1:18">
      <c r="A300" s="1" t="s">
        <v>314</v>
      </c>
      <c r="B300">
        <v>31</v>
      </c>
      <c r="C300">
        <v>9</v>
      </c>
      <c r="D300">
        <v>22</v>
      </c>
      <c r="E300">
        <v>6.88</v>
      </c>
      <c r="F300">
        <v>2291</v>
      </c>
      <c r="G300">
        <v>828</v>
      </c>
      <c r="H300">
        <v>1934</v>
      </c>
      <c r="I300">
        <v>434</v>
      </c>
      <c r="J300">
        <v>614</v>
      </c>
      <c r="K300">
        <v>383</v>
      </c>
      <c r="L300">
        <v>1102</v>
      </c>
      <c r="M300">
        <v>421</v>
      </c>
      <c r="N300">
        <v>180</v>
      </c>
      <c r="O300">
        <v>109</v>
      </c>
      <c r="P300">
        <v>327</v>
      </c>
      <c r="Q300">
        <v>573</v>
      </c>
      <c r="R300">
        <v>299</v>
      </c>
    </row>
    <row r="301" spans="1:18">
      <c r="A301" s="1" t="s">
        <v>230</v>
      </c>
      <c r="B301">
        <v>31</v>
      </c>
      <c r="C301">
        <v>8</v>
      </c>
      <c r="D301">
        <v>23</v>
      </c>
      <c r="E301">
        <v>-4.82</v>
      </c>
      <c r="F301">
        <v>2304</v>
      </c>
      <c r="G301">
        <v>792</v>
      </c>
      <c r="H301">
        <v>1870</v>
      </c>
      <c r="I301">
        <v>502</v>
      </c>
      <c r="J301">
        <v>692</v>
      </c>
      <c r="K301">
        <v>350</v>
      </c>
      <c r="L301">
        <v>982</v>
      </c>
      <c r="M301">
        <v>426</v>
      </c>
      <c r="N301">
        <v>234</v>
      </c>
      <c r="O301">
        <v>82</v>
      </c>
      <c r="P301">
        <v>361</v>
      </c>
      <c r="Q301">
        <v>654</v>
      </c>
      <c r="R301">
        <v>300</v>
      </c>
    </row>
    <row r="302" spans="1:18">
      <c r="A302" s="1" t="s">
        <v>231</v>
      </c>
      <c r="B302">
        <v>30</v>
      </c>
      <c r="C302">
        <v>5</v>
      </c>
      <c r="D302">
        <v>25</v>
      </c>
      <c r="E302">
        <v>-1.99</v>
      </c>
      <c r="F302">
        <v>2061</v>
      </c>
      <c r="G302">
        <v>707</v>
      </c>
      <c r="H302">
        <v>1647</v>
      </c>
      <c r="I302">
        <v>500</v>
      </c>
      <c r="J302">
        <v>714</v>
      </c>
      <c r="K302">
        <v>344</v>
      </c>
      <c r="L302">
        <v>1007</v>
      </c>
      <c r="M302">
        <v>314</v>
      </c>
      <c r="N302">
        <v>163</v>
      </c>
      <c r="O302">
        <v>84</v>
      </c>
      <c r="P302">
        <v>371</v>
      </c>
      <c r="Q302">
        <v>641</v>
      </c>
      <c r="R302">
        <v>301</v>
      </c>
    </row>
    <row r="303" spans="1:18">
      <c r="A303" s="1" t="s">
        <v>232</v>
      </c>
      <c r="B303">
        <v>33</v>
      </c>
      <c r="C303">
        <v>17</v>
      </c>
      <c r="D303">
        <v>16</v>
      </c>
      <c r="E303">
        <v>-4.57</v>
      </c>
      <c r="F303">
        <v>2376</v>
      </c>
      <c r="G303">
        <v>822</v>
      </c>
      <c r="H303">
        <v>1810</v>
      </c>
      <c r="I303">
        <v>547</v>
      </c>
      <c r="J303">
        <v>808</v>
      </c>
      <c r="K303">
        <v>390</v>
      </c>
      <c r="L303">
        <v>1171</v>
      </c>
      <c r="M303">
        <v>408</v>
      </c>
      <c r="N303">
        <v>245</v>
      </c>
      <c r="O303">
        <v>154</v>
      </c>
      <c r="P303">
        <v>487</v>
      </c>
      <c r="Q303">
        <v>729</v>
      </c>
      <c r="R303">
        <v>302</v>
      </c>
    </row>
    <row r="304" spans="1:18">
      <c r="A304" s="1" t="s">
        <v>315</v>
      </c>
      <c r="B304">
        <v>37</v>
      </c>
      <c r="C304">
        <v>24</v>
      </c>
      <c r="D304">
        <v>13</v>
      </c>
      <c r="E304">
        <v>7.84</v>
      </c>
      <c r="F304">
        <v>2672</v>
      </c>
      <c r="G304">
        <v>927</v>
      </c>
      <c r="H304">
        <v>2048</v>
      </c>
      <c r="I304">
        <v>613</v>
      </c>
      <c r="J304">
        <v>852</v>
      </c>
      <c r="K304">
        <v>501</v>
      </c>
      <c r="L304">
        <v>1424</v>
      </c>
      <c r="M304">
        <v>472</v>
      </c>
      <c r="N304">
        <v>192</v>
      </c>
      <c r="O304">
        <v>172</v>
      </c>
      <c r="P304">
        <v>388</v>
      </c>
      <c r="Q304">
        <v>617</v>
      </c>
      <c r="R304">
        <v>303</v>
      </c>
    </row>
    <row r="305" spans="1:18">
      <c r="A305" s="1" t="s">
        <v>323</v>
      </c>
      <c r="B305">
        <v>34</v>
      </c>
      <c r="C305">
        <v>18</v>
      </c>
      <c r="D305">
        <v>16</v>
      </c>
      <c r="E305">
        <v>-6.69</v>
      </c>
      <c r="F305">
        <v>2350</v>
      </c>
      <c r="G305">
        <v>837</v>
      </c>
      <c r="H305">
        <v>1764</v>
      </c>
      <c r="I305">
        <v>528</v>
      </c>
      <c r="J305">
        <v>796</v>
      </c>
      <c r="K305">
        <v>365</v>
      </c>
      <c r="L305">
        <v>1135</v>
      </c>
      <c r="M305">
        <v>425</v>
      </c>
      <c r="N305">
        <v>224</v>
      </c>
      <c r="O305">
        <v>98</v>
      </c>
      <c r="P305">
        <v>405</v>
      </c>
      <c r="Q305">
        <v>685</v>
      </c>
      <c r="R305">
        <v>304</v>
      </c>
    </row>
    <row r="306" spans="1:18">
      <c r="A306" s="1" t="s">
        <v>233</v>
      </c>
      <c r="B306">
        <v>34</v>
      </c>
      <c r="C306">
        <v>18</v>
      </c>
      <c r="D306">
        <v>16</v>
      </c>
      <c r="E306">
        <v>3.62</v>
      </c>
      <c r="F306">
        <v>2199</v>
      </c>
      <c r="G306">
        <v>774</v>
      </c>
      <c r="H306">
        <v>1821</v>
      </c>
      <c r="I306">
        <v>454</v>
      </c>
      <c r="J306">
        <v>707</v>
      </c>
      <c r="K306">
        <v>325</v>
      </c>
      <c r="L306">
        <v>1147</v>
      </c>
      <c r="M306">
        <v>439</v>
      </c>
      <c r="N306">
        <v>218</v>
      </c>
      <c r="O306">
        <v>130</v>
      </c>
      <c r="P306">
        <v>386</v>
      </c>
      <c r="Q306">
        <v>609</v>
      </c>
      <c r="R306">
        <v>305</v>
      </c>
    </row>
    <row r="307" spans="1:18">
      <c r="A307" s="1" t="s">
        <v>234</v>
      </c>
      <c r="B307">
        <v>32</v>
      </c>
      <c r="C307">
        <v>15</v>
      </c>
      <c r="D307">
        <v>17</v>
      </c>
      <c r="E307">
        <v>-0.92</v>
      </c>
      <c r="F307">
        <v>2443</v>
      </c>
      <c r="G307">
        <v>815</v>
      </c>
      <c r="H307">
        <v>1865</v>
      </c>
      <c r="I307">
        <v>554</v>
      </c>
      <c r="J307">
        <v>785</v>
      </c>
      <c r="K307">
        <v>373</v>
      </c>
      <c r="L307">
        <v>1185</v>
      </c>
      <c r="M307">
        <v>390</v>
      </c>
      <c r="N307">
        <v>163</v>
      </c>
      <c r="O307">
        <v>120</v>
      </c>
      <c r="P307">
        <v>431</v>
      </c>
      <c r="Q307">
        <v>634</v>
      </c>
      <c r="R307">
        <v>306</v>
      </c>
    </row>
    <row r="308" spans="1:18">
      <c r="A308" s="1" t="s">
        <v>235</v>
      </c>
      <c r="B308">
        <v>31</v>
      </c>
      <c r="C308">
        <v>9</v>
      </c>
      <c r="D308">
        <v>22</v>
      </c>
      <c r="E308">
        <v>7.9</v>
      </c>
      <c r="F308">
        <v>1973</v>
      </c>
      <c r="G308">
        <v>654</v>
      </c>
      <c r="H308">
        <v>1623</v>
      </c>
      <c r="I308">
        <v>519</v>
      </c>
      <c r="J308">
        <v>709</v>
      </c>
      <c r="K308">
        <v>259</v>
      </c>
      <c r="L308">
        <v>928</v>
      </c>
      <c r="M308">
        <v>354</v>
      </c>
      <c r="N308">
        <v>185</v>
      </c>
      <c r="O308">
        <v>100</v>
      </c>
      <c r="P308">
        <v>362</v>
      </c>
      <c r="Q308">
        <v>534</v>
      </c>
      <c r="R308">
        <v>307</v>
      </c>
    </row>
    <row r="309" spans="1:18">
      <c r="A309" s="1" t="s">
        <v>236</v>
      </c>
      <c r="B309">
        <v>34</v>
      </c>
      <c r="C309">
        <v>23</v>
      </c>
      <c r="D309">
        <v>11</v>
      </c>
      <c r="E309">
        <v>0.05</v>
      </c>
      <c r="F309">
        <v>2347</v>
      </c>
      <c r="G309">
        <v>797</v>
      </c>
      <c r="H309">
        <v>1714</v>
      </c>
      <c r="I309">
        <v>602</v>
      </c>
      <c r="J309">
        <v>880</v>
      </c>
      <c r="K309">
        <v>348</v>
      </c>
      <c r="L309">
        <v>1233</v>
      </c>
      <c r="M309">
        <v>458</v>
      </c>
      <c r="N309">
        <v>170</v>
      </c>
      <c r="O309">
        <v>138</v>
      </c>
      <c r="P309">
        <v>451</v>
      </c>
      <c r="Q309">
        <v>618</v>
      </c>
      <c r="R309">
        <v>308</v>
      </c>
    </row>
    <row r="310" spans="1:18">
      <c r="A310" s="1" t="s">
        <v>237</v>
      </c>
      <c r="B310">
        <v>32</v>
      </c>
      <c r="C310">
        <v>9</v>
      </c>
      <c r="D310">
        <v>23</v>
      </c>
      <c r="E310">
        <v>-4.42</v>
      </c>
      <c r="F310">
        <v>2101</v>
      </c>
      <c r="G310">
        <v>755</v>
      </c>
      <c r="H310">
        <v>1828</v>
      </c>
      <c r="I310">
        <v>436</v>
      </c>
      <c r="J310">
        <v>660</v>
      </c>
      <c r="K310">
        <v>349</v>
      </c>
      <c r="L310">
        <v>1058</v>
      </c>
      <c r="M310">
        <v>400</v>
      </c>
      <c r="N310">
        <v>224</v>
      </c>
      <c r="O310">
        <v>75</v>
      </c>
      <c r="P310">
        <v>391</v>
      </c>
      <c r="Q310">
        <v>663</v>
      </c>
      <c r="R310">
        <v>309</v>
      </c>
    </row>
    <row r="311" spans="1:18">
      <c r="A311" s="1" t="s">
        <v>238</v>
      </c>
      <c r="B311">
        <v>30</v>
      </c>
      <c r="C311">
        <v>8</v>
      </c>
      <c r="D311">
        <v>22</v>
      </c>
      <c r="E311">
        <v>-1.03</v>
      </c>
      <c r="F311">
        <v>2066</v>
      </c>
      <c r="G311">
        <v>654</v>
      </c>
      <c r="H311">
        <v>1545</v>
      </c>
      <c r="I311">
        <v>577</v>
      </c>
      <c r="J311">
        <v>836</v>
      </c>
      <c r="K311">
        <v>360</v>
      </c>
      <c r="L311">
        <v>1038</v>
      </c>
      <c r="M311">
        <v>316</v>
      </c>
      <c r="N311">
        <v>181</v>
      </c>
      <c r="O311">
        <v>55</v>
      </c>
      <c r="P311">
        <v>473</v>
      </c>
      <c r="Q311">
        <v>619</v>
      </c>
      <c r="R311">
        <v>310</v>
      </c>
    </row>
    <row r="312" spans="1:18">
      <c r="A312" s="1" t="s">
        <v>239</v>
      </c>
      <c r="B312">
        <v>34</v>
      </c>
      <c r="C312">
        <v>19</v>
      </c>
      <c r="D312">
        <v>15</v>
      </c>
      <c r="E312">
        <v>-10.07</v>
      </c>
      <c r="F312">
        <v>2584</v>
      </c>
      <c r="G312">
        <v>857</v>
      </c>
      <c r="H312">
        <v>1854</v>
      </c>
      <c r="I312">
        <v>653</v>
      </c>
      <c r="J312">
        <v>910</v>
      </c>
      <c r="K312">
        <v>386</v>
      </c>
      <c r="L312">
        <v>1246</v>
      </c>
      <c r="M312">
        <v>476</v>
      </c>
      <c r="N312">
        <v>155</v>
      </c>
      <c r="O312">
        <v>124</v>
      </c>
      <c r="P312">
        <v>454</v>
      </c>
      <c r="Q312">
        <v>561</v>
      </c>
      <c r="R312">
        <v>311</v>
      </c>
    </row>
    <row r="313" spans="1:18">
      <c r="A313" s="1" t="s">
        <v>240</v>
      </c>
      <c r="B313">
        <v>31</v>
      </c>
      <c r="C313">
        <v>8</v>
      </c>
      <c r="D313">
        <v>23</v>
      </c>
      <c r="E313">
        <v>-1.4</v>
      </c>
      <c r="F313">
        <v>1903</v>
      </c>
      <c r="G313">
        <v>697</v>
      </c>
      <c r="H313">
        <v>1604</v>
      </c>
      <c r="I313">
        <v>364</v>
      </c>
      <c r="J313">
        <v>549</v>
      </c>
      <c r="K313">
        <v>313</v>
      </c>
      <c r="L313">
        <v>1004</v>
      </c>
      <c r="M313">
        <v>344</v>
      </c>
      <c r="N313">
        <v>182</v>
      </c>
      <c r="O313">
        <v>87</v>
      </c>
      <c r="P313">
        <v>425</v>
      </c>
      <c r="Q313">
        <v>561</v>
      </c>
      <c r="R313">
        <v>312</v>
      </c>
    </row>
    <row r="314" spans="1:18">
      <c r="A314" s="1" t="s">
        <v>241</v>
      </c>
      <c r="B314">
        <v>32</v>
      </c>
      <c r="C314">
        <v>14</v>
      </c>
      <c r="D314">
        <v>18</v>
      </c>
      <c r="E314">
        <v>8.61</v>
      </c>
      <c r="F314">
        <v>2190</v>
      </c>
      <c r="G314">
        <v>783</v>
      </c>
      <c r="H314">
        <v>1718</v>
      </c>
      <c r="I314">
        <v>484</v>
      </c>
      <c r="J314">
        <v>665</v>
      </c>
      <c r="K314">
        <v>377</v>
      </c>
      <c r="L314">
        <v>1054</v>
      </c>
      <c r="M314">
        <v>366</v>
      </c>
      <c r="N314">
        <v>196</v>
      </c>
      <c r="O314">
        <v>117</v>
      </c>
      <c r="P314">
        <v>385</v>
      </c>
      <c r="Q314">
        <v>605</v>
      </c>
      <c r="R314">
        <v>313</v>
      </c>
    </row>
    <row r="315" spans="1:18">
      <c r="A315" s="1" t="s">
        <v>362</v>
      </c>
      <c r="B315">
        <v>35</v>
      </c>
      <c r="C315">
        <v>24</v>
      </c>
      <c r="D315">
        <v>11</v>
      </c>
      <c r="E315">
        <v>9.15</v>
      </c>
      <c r="F315">
        <v>2598</v>
      </c>
      <c r="G315">
        <v>905</v>
      </c>
      <c r="H315">
        <v>2095</v>
      </c>
      <c r="I315">
        <v>610</v>
      </c>
      <c r="J315">
        <v>909</v>
      </c>
      <c r="K315">
        <v>528</v>
      </c>
      <c r="L315">
        <v>1449</v>
      </c>
      <c r="M315">
        <v>452</v>
      </c>
      <c r="N315">
        <v>199</v>
      </c>
      <c r="O315">
        <v>206</v>
      </c>
      <c r="P315">
        <v>426</v>
      </c>
      <c r="Q315">
        <v>669</v>
      </c>
      <c r="R315">
        <v>314</v>
      </c>
    </row>
    <row r="316" spans="1:18">
      <c r="A316" s="1" t="s">
        <v>242</v>
      </c>
      <c r="B316">
        <v>34</v>
      </c>
      <c r="C316">
        <v>27</v>
      </c>
      <c r="D316">
        <v>7</v>
      </c>
      <c r="E316">
        <v>-1.46</v>
      </c>
      <c r="F316">
        <v>2694</v>
      </c>
      <c r="G316">
        <v>929</v>
      </c>
      <c r="H316">
        <v>1996</v>
      </c>
      <c r="I316">
        <v>643</v>
      </c>
      <c r="J316">
        <v>887</v>
      </c>
      <c r="K316">
        <v>421</v>
      </c>
      <c r="L316">
        <v>1218</v>
      </c>
      <c r="M316">
        <v>508</v>
      </c>
      <c r="N316">
        <v>231</v>
      </c>
      <c r="O316">
        <v>101</v>
      </c>
      <c r="P316">
        <v>346</v>
      </c>
      <c r="Q316">
        <v>592</v>
      </c>
      <c r="R316">
        <v>315</v>
      </c>
    </row>
    <row r="317" spans="1:18">
      <c r="A317" s="1" t="s">
        <v>243</v>
      </c>
      <c r="B317">
        <v>36</v>
      </c>
      <c r="C317">
        <v>25</v>
      </c>
      <c r="D317">
        <v>11</v>
      </c>
      <c r="E317">
        <v>-3.06</v>
      </c>
      <c r="F317">
        <v>2633</v>
      </c>
      <c r="G317">
        <v>867</v>
      </c>
      <c r="H317">
        <v>1910</v>
      </c>
      <c r="I317">
        <v>686</v>
      </c>
      <c r="J317">
        <v>998</v>
      </c>
      <c r="K317">
        <v>433</v>
      </c>
      <c r="L317">
        <v>1395</v>
      </c>
      <c r="M317">
        <v>355</v>
      </c>
      <c r="N317">
        <v>147</v>
      </c>
      <c r="O317">
        <v>177</v>
      </c>
      <c r="P317">
        <v>415</v>
      </c>
      <c r="Q317">
        <v>711</v>
      </c>
      <c r="R317">
        <v>316</v>
      </c>
    </row>
    <row r="318" spans="1:18">
      <c r="A318" s="1" t="s">
        <v>244</v>
      </c>
      <c r="B318">
        <v>31</v>
      </c>
      <c r="C318">
        <v>11</v>
      </c>
      <c r="D318">
        <v>20</v>
      </c>
      <c r="E318">
        <v>-2.9</v>
      </c>
      <c r="F318">
        <v>2121</v>
      </c>
      <c r="G318">
        <v>703</v>
      </c>
      <c r="H318">
        <v>1688</v>
      </c>
      <c r="I318">
        <v>496</v>
      </c>
      <c r="J318">
        <v>750</v>
      </c>
      <c r="K318">
        <v>361</v>
      </c>
      <c r="L318">
        <v>1102</v>
      </c>
      <c r="M318">
        <v>343</v>
      </c>
      <c r="N318">
        <v>182</v>
      </c>
      <c r="O318">
        <v>78</v>
      </c>
      <c r="P318">
        <v>377</v>
      </c>
      <c r="Q318">
        <v>493</v>
      </c>
      <c r="R318">
        <v>317</v>
      </c>
    </row>
    <row r="319" spans="1:18">
      <c r="A319" s="1" t="s">
        <v>245</v>
      </c>
      <c r="B319">
        <v>34</v>
      </c>
      <c r="C319">
        <v>17</v>
      </c>
      <c r="D319">
        <v>17</v>
      </c>
      <c r="E319">
        <v>-1.73</v>
      </c>
      <c r="F319">
        <v>2164</v>
      </c>
      <c r="G319">
        <v>694</v>
      </c>
      <c r="H319">
        <v>1681</v>
      </c>
      <c r="I319">
        <v>571</v>
      </c>
      <c r="J319">
        <v>823</v>
      </c>
      <c r="K319">
        <v>351</v>
      </c>
      <c r="L319">
        <v>1146</v>
      </c>
      <c r="M319">
        <v>314</v>
      </c>
      <c r="N319">
        <v>163</v>
      </c>
      <c r="O319">
        <v>97</v>
      </c>
      <c r="P319">
        <v>436</v>
      </c>
      <c r="Q319">
        <v>630</v>
      </c>
      <c r="R319">
        <v>318</v>
      </c>
    </row>
    <row r="320" spans="1:18">
      <c r="A320" s="1" t="s">
        <v>299</v>
      </c>
      <c r="B320">
        <v>34</v>
      </c>
      <c r="C320">
        <v>21</v>
      </c>
      <c r="D320">
        <v>13</v>
      </c>
      <c r="E320">
        <v>1.17</v>
      </c>
      <c r="F320">
        <v>2471</v>
      </c>
      <c r="G320">
        <v>835</v>
      </c>
      <c r="H320">
        <v>1899</v>
      </c>
      <c r="I320">
        <v>604</v>
      </c>
      <c r="J320">
        <v>894</v>
      </c>
      <c r="K320">
        <v>368</v>
      </c>
      <c r="L320">
        <v>1231</v>
      </c>
      <c r="M320">
        <v>427</v>
      </c>
      <c r="N320">
        <v>232</v>
      </c>
      <c r="O320">
        <v>127</v>
      </c>
      <c r="P320">
        <v>394</v>
      </c>
      <c r="Q320">
        <v>725</v>
      </c>
      <c r="R320">
        <v>319</v>
      </c>
    </row>
    <row r="321" spans="1:18">
      <c r="A321" s="1" t="s">
        <v>324</v>
      </c>
      <c r="B321">
        <v>37</v>
      </c>
      <c r="C321">
        <v>28</v>
      </c>
      <c r="D321">
        <v>9</v>
      </c>
      <c r="E321">
        <v>7.62</v>
      </c>
      <c r="F321">
        <v>3003</v>
      </c>
      <c r="G321">
        <v>1073</v>
      </c>
      <c r="H321">
        <v>2196</v>
      </c>
      <c r="I321">
        <v>628</v>
      </c>
      <c r="J321">
        <v>839</v>
      </c>
      <c r="K321">
        <v>368</v>
      </c>
      <c r="L321">
        <v>1308</v>
      </c>
      <c r="M321">
        <v>636</v>
      </c>
      <c r="N321">
        <v>341</v>
      </c>
      <c r="O321">
        <v>111</v>
      </c>
      <c r="P321">
        <v>379</v>
      </c>
      <c r="Q321">
        <v>652</v>
      </c>
      <c r="R321">
        <v>320</v>
      </c>
    </row>
    <row r="322" spans="1:18">
      <c r="A322" s="1" t="s">
        <v>316</v>
      </c>
      <c r="B322">
        <v>32</v>
      </c>
      <c r="C322">
        <v>18</v>
      </c>
      <c r="D322">
        <v>14</v>
      </c>
      <c r="E322">
        <v>3.09</v>
      </c>
      <c r="F322">
        <v>2215</v>
      </c>
      <c r="G322">
        <v>782</v>
      </c>
      <c r="H322">
        <v>1732</v>
      </c>
      <c r="I322">
        <v>431</v>
      </c>
      <c r="J322">
        <v>587</v>
      </c>
      <c r="K322">
        <v>347</v>
      </c>
      <c r="L322">
        <v>1166</v>
      </c>
      <c r="M322">
        <v>510</v>
      </c>
      <c r="N322">
        <v>110</v>
      </c>
      <c r="O322">
        <v>116</v>
      </c>
      <c r="P322">
        <v>353</v>
      </c>
      <c r="Q322">
        <v>565</v>
      </c>
      <c r="R322">
        <v>321</v>
      </c>
    </row>
    <row r="323" spans="1:18">
      <c r="A323" s="1" t="s">
        <v>334</v>
      </c>
      <c r="B323">
        <v>32</v>
      </c>
      <c r="C323">
        <v>20</v>
      </c>
      <c r="D323">
        <v>12</v>
      </c>
      <c r="E323">
        <v>-3.65</v>
      </c>
      <c r="F323">
        <v>2161</v>
      </c>
      <c r="G323">
        <v>731</v>
      </c>
      <c r="H323">
        <v>1676</v>
      </c>
      <c r="I323">
        <v>491</v>
      </c>
      <c r="J323">
        <v>650</v>
      </c>
      <c r="K323">
        <v>294</v>
      </c>
      <c r="L323">
        <v>1087</v>
      </c>
      <c r="M323">
        <v>453</v>
      </c>
      <c r="N323">
        <v>159</v>
      </c>
      <c r="O323">
        <v>89</v>
      </c>
      <c r="P323">
        <v>355</v>
      </c>
      <c r="Q323">
        <v>536</v>
      </c>
      <c r="R323">
        <v>322</v>
      </c>
    </row>
    <row r="324" spans="1:18">
      <c r="A324" s="1" t="s">
        <v>300</v>
      </c>
      <c r="B324">
        <v>33</v>
      </c>
      <c r="C324">
        <v>21</v>
      </c>
      <c r="D324">
        <v>12</v>
      </c>
      <c r="E324">
        <v>6.21</v>
      </c>
      <c r="F324">
        <v>2479</v>
      </c>
      <c r="G324">
        <v>869</v>
      </c>
      <c r="H324">
        <v>1781</v>
      </c>
      <c r="I324">
        <v>537</v>
      </c>
      <c r="J324">
        <v>723</v>
      </c>
      <c r="K324">
        <v>299</v>
      </c>
      <c r="L324">
        <v>1162</v>
      </c>
      <c r="M324">
        <v>504</v>
      </c>
      <c r="N324">
        <v>222</v>
      </c>
      <c r="O324">
        <v>149</v>
      </c>
      <c r="P324">
        <v>396</v>
      </c>
      <c r="Q324">
        <v>563</v>
      </c>
      <c r="R324">
        <v>323</v>
      </c>
    </row>
    <row r="325" spans="1:18">
      <c r="A325" s="1" t="s">
        <v>301</v>
      </c>
      <c r="B325">
        <v>34</v>
      </c>
      <c r="C325">
        <v>18</v>
      </c>
      <c r="D325">
        <v>16</v>
      </c>
      <c r="E325">
        <v>-0.24</v>
      </c>
      <c r="F325">
        <v>2439</v>
      </c>
      <c r="G325">
        <v>813</v>
      </c>
      <c r="H325">
        <v>1738</v>
      </c>
      <c r="I325">
        <v>580</v>
      </c>
      <c r="J325">
        <v>790</v>
      </c>
      <c r="K325">
        <v>337</v>
      </c>
      <c r="L325">
        <v>1220</v>
      </c>
      <c r="M325">
        <v>437</v>
      </c>
      <c r="N325">
        <v>190</v>
      </c>
      <c r="O325">
        <v>173</v>
      </c>
      <c r="P325">
        <v>506</v>
      </c>
      <c r="Q325">
        <v>706</v>
      </c>
      <c r="R325">
        <v>324</v>
      </c>
    </row>
    <row r="326" spans="1:18">
      <c r="A326" s="1" t="s">
        <v>246</v>
      </c>
      <c r="B326">
        <v>31</v>
      </c>
      <c r="C326">
        <v>15</v>
      </c>
      <c r="D326">
        <v>16</v>
      </c>
      <c r="E326">
        <v>6.49</v>
      </c>
      <c r="F326">
        <v>2002</v>
      </c>
      <c r="G326">
        <v>689</v>
      </c>
      <c r="H326">
        <v>1598</v>
      </c>
      <c r="I326">
        <v>433</v>
      </c>
      <c r="J326">
        <v>658</v>
      </c>
      <c r="K326">
        <v>305</v>
      </c>
      <c r="L326">
        <v>1069</v>
      </c>
      <c r="M326">
        <v>404</v>
      </c>
      <c r="N326">
        <v>145</v>
      </c>
      <c r="O326">
        <v>138</v>
      </c>
      <c r="P326">
        <v>414</v>
      </c>
      <c r="Q326">
        <v>541</v>
      </c>
      <c r="R326">
        <v>325</v>
      </c>
    </row>
    <row r="327" spans="1:18">
      <c r="A327" s="1" t="s">
        <v>247</v>
      </c>
      <c r="B327">
        <v>33</v>
      </c>
      <c r="C327">
        <v>22</v>
      </c>
      <c r="D327">
        <v>11</v>
      </c>
      <c r="E327">
        <v>-4.57</v>
      </c>
      <c r="F327">
        <v>2334</v>
      </c>
      <c r="G327">
        <v>785</v>
      </c>
      <c r="H327">
        <v>1673</v>
      </c>
      <c r="I327">
        <v>569</v>
      </c>
      <c r="J327">
        <v>785</v>
      </c>
      <c r="K327">
        <v>327</v>
      </c>
      <c r="L327">
        <v>1131</v>
      </c>
      <c r="M327">
        <v>424</v>
      </c>
      <c r="N327">
        <v>238</v>
      </c>
      <c r="O327">
        <v>140</v>
      </c>
      <c r="P327">
        <v>396</v>
      </c>
      <c r="Q327">
        <v>615</v>
      </c>
      <c r="R327">
        <v>326</v>
      </c>
    </row>
    <row r="328" spans="1:18">
      <c r="A328" s="1" t="s">
        <v>248</v>
      </c>
      <c r="B328">
        <v>34</v>
      </c>
      <c r="C328">
        <v>29</v>
      </c>
      <c r="D328">
        <v>5</v>
      </c>
      <c r="E328">
        <v>7.5</v>
      </c>
      <c r="F328">
        <v>2651</v>
      </c>
      <c r="G328">
        <v>870</v>
      </c>
      <c r="H328">
        <v>1907</v>
      </c>
      <c r="I328">
        <v>607</v>
      </c>
      <c r="J328">
        <v>848</v>
      </c>
      <c r="K328">
        <v>379</v>
      </c>
      <c r="L328">
        <v>1263</v>
      </c>
      <c r="M328">
        <v>523</v>
      </c>
      <c r="N328">
        <v>236</v>
      </c>
      <c r="O328">
        <v>141</v>
      </c>
      <c r="P328">
        <v>406</v>
      </c>
      <c r="Q328">
        <v>672</v>
      </c>
      <c r="R328">
        <v>327</v>
      </c>
    </row>
    <row r="329" spans="1:18">
      <c r="A329" s="1" t="s">
        <v>249</v>
      </c>
      <c r="B329">
        <v>35</v>
      </c>
      <c r="C329">
        <v>26</v>
      </c>
      <c r="D329">
        <v>9</v>
      </c>
      <c r="E329">
        <v>4.78</v>
      </c>
      <c r="F329">
        <v>2624</v>
      </c>
      <c r="G329">
        <v>922</v>
      </c>
      <c r="H329">
        <v>2196</v>
      </c>
      <c r="I329">
        <v>520</v>
      </c>
      <c r="J329">
        <v>772</v>
      </c>
      <c r="K329">
        <v>479</v>
      </c>
      <c r="L329">
        <v>1317</v>
      </c>
      <c r="M329">
        <v>459</v>
      </c>
      <c r="N329">
        <v>391</v>
      </c>
      <c r="O329">
        <v>150</v>
      </c>
      <c r="P329">
        <v>423</v>
      </c>
      <c r="Q329">
        <v>686</v>
      </c>
      <c r="R329">
        <v>328</v>
      </c>
    </row>
    <row r="330" spans="1:18">
      <c r="A330" s="1" t="s">
        <v>250</v>
      </c>
      <c r="B330">
        <v>35</v>
      </c>
      <c r="C330">
        <v>22</v>
      </c>
      <c r="D330">
        <v>13</v>
      </c>
      <c r="E330">
        <v>-6.33</v>
      </c>
      <c r="F330">
        <v>3089</v>
      </c>
      <c r="G330">
        <v>1088</v>
      </c>
      <c r="H330">
        <v>2441</v>
      </c>
      <c r="I330">
        <v>600</v>
      </c>
      <c r="J330">
        <v>842</v>
      </c>
      <c r="K330">
        <v>503</v>
      </c>
      <c r="L330">
        <v>1452</v>
      </c>
      <c r="M330">
        <v>491</v>
      </c>
      <c r="N330">
        <v>254</v>
      </c>
      <c r="O330">
        <v>218</v>
      </c>
      <c r="P330">
        <v>371</v>
      </c>
      <c r="Q330">
        <v>661</v>
      </c>
      <c r="R330">
        <v>329</v>
      </c>
    </row>
    <row r="331" spans="1:18">
      <c r="A331" s="1" t="s">
        <v>251</v>
      </c>
      <c r="B331">
        <v>31</v>
      </c>
      <c r="C331">
        <v>9</v>
      </c>
      <c r="D331">
        <v>22</v>
      </c>
      <c r="E331">
        <v>5.99</v>
      </c>
      <c r="F331">
        <v>1950</v>
      </c>
      <c r="G331">
        <v>665</v>
      </c>
      <c r="H331">
        <v>1639</v>
      </c>
      <c r="I331">
        <v>405</v>
      </c>
      <c r="J331">
        <v>625</v>
      </c>
      <c r="K331">
        <v>336</v>
      </c>
      <c r="L331">
        <v>1138</v>
      </c>
      <c r="M331">
        <v>338</v>
      </c>
      <c r="N331">
        <v>101</v>
      </c>
      <c r="O331">
        <v>141</v>
      </c>
      <c r="P331">
        <v>392</v>
      </c>
      <c r="Q331">
        <v>524</v>
      </c>
      <c r="R331">
        <v>330</v>
      </c>
    </row>
    <row r="332" spans="1:18">
      <c r="A332" s="1" t="s">
        <v>252</v>
      </c>
      <c r="B332">
        <v>37</v>
      </c>
      <c r="C332">
        <v>30</v>
      </c>
      <c r="D332">
        <v>7</v>
      </c>
      <c r="E332">
        <v>7.86</v>
      </c>
      <c r="F332">
        <v>2449</v>
      </c>
      <c r="G332">
        <v>855</v>
      </c>
      <c r="H332">
        <v>1884</v>
      </c>
      <c r="I332">
        <v>533</v>
      </c>
      <c r="J332">
        <v>792</v>
      </c>
      <c r="K332">
        <v>379</v>
      </c>
      <c r="L332">
        <v>1312</v>
      </c>
      <c r="M332">
        <v>484</v>
      </c>
      <c r="N332">
        <v>193</v>
      </c>
      <c r="O332">
        <v>150</v>
      </c>
      <c r="P332">
        <v>362</v>
      </c>
      <c r="Q332">
        <v>594</v>
      </c>
      <c r="R332">
        <v>331</v>
      </c>
    </row>
    <row r="333" spans="1:18">
      <c r="A333" s="1" t="s">
        <v>253</v>
      </c>
      <c r="B333">
        <v>31</v>
      </c>
      <c r="C333">
        <v>19</v>
      </c>
      <c r="D333">
        <v>12</v>
      </c>
      <c r="E333">
        <v>-6.73</v>
      </c>
      <c r="F333">
        <v>2217</v>
      </c>
      <c r="G333">
        <v>776</v>
      </c>
      <c r="H333">
        <v>1849</v>
      </c>
      <c r="I333">
        <v>496</v>
      </c>
      <c r="J333">
        <v>679</v>
      </c>
      <c r="K333">
        <v>404</v>
      </c>
      <c r="L333">
        <v>1221</v>
      </c>
      <c r="M333">
        <v>356</v>
      </c>
      <c r="N333">
        <v>195</v>
      </c>
      <c r="O333">
        <v>200</v>
      </c>
      <c r="P333">
        <v>395</v>
      </c>
      <c r="Q333">
        <v>634</v>
      </c>
      <c r="R333">
        <v>332</v>
      </c>
    </row>
    <row r="334" spans="1:18">
      <c r="A334" s="1" t="s">
        <v>254</v>
      </c>
      <c r="B334">
        <v>33</v>
      </c>
      <c r="C334">
        <v>17</v>
      </c>
      <c r="D334">
        <v>16</v>
      </c>
      <c r="E334">
        <v>6.73</v>
      </c>
      <c r="F334">
        <v>2300</v>
      </c>
      <c r="G334">
        <v>784</v>
      </c>
      <c r="H334">
        <v>1740</v>
      </c>
      <c r="I334">
        <v>566</v>
      </c>
      <c r="J334">
        <v>871</v>
      </c>
      <c r="K334">
        <v>336</v>
      </c>
      <c r="L334">
        <v>1143</v>
      </c>
      <c r="M334">
        <v>440</v>
      </c>
      <c r="N334">
        <v>181</v>
      </c>
      <c r="O334">
        <v>132</v>
      </c>
      <c r="P334">
        <v>410</v>
      </c>
      <c r="Q334">
        <v>636</v>
      </c>
      <c r="R334">
        <v>333</v>
      </c>
    </row>
    <row r="335" spans="1:18">
      <c r="A335" s="1" t="s">
        <v>255</v>
      </c>
      <c r="B335">
        <v>31</v>
      </c>
      <c r="C335">
        <v>10</v>
      </c>
      <c r="D335">
        <v>21</v>
      </c>
      <c r="E335">
        <v>7.24</v>
      </c>
      <c r="F335">
        <v>1934</v>
      </c>
      <c r="G335">
        <v>654</v>
      </c>
      <c r="H335">
        <v>1633</v>
      </c>
      <c r="I335">
        <v>392</v>
      </c>
      <c r="J335">
        <v>596</v>
      </c>
      <c r="K335">
        <v>308</v>
      </c>
      <c r="L335">
        <v>1016</v>
      </c>
      <c r="M335">
        <v>325</v>
      </c>
      <c r="N335">
        <v>159</v>
      </c>
      <c r="O335">
        <v>89</v>
      </c>
      <c r="P335">
        <v>355</v>
      </c>
      <c r="Q335">
        <v>565</v>
      </c>
      <c r="R335">
        <v>334</v>
      </c>
    </row>
    <row r="336" spans="1:18">
      <c r="A336" s="1" t="s">
        <v>256</v>
      </c>
      <c r="B336">
        <v>32</v>
      </c>
      <c r="C336">
        <v>17</v>
      </c>
      <c r="D336">
        <v>15</v>
      </c>
      <c r="E336">
        <v>6.45</v>
      </c>
      <c r="F336">
        <v>2384</v>
      </c>
      <c r="G336">
        <v>835</v>
      </c>
      <c r="H336">
        <v>1871</v>
      </c>
      <c r="I336">
        <v>527</v>
      </c>
      <c r="J336">
        <v>695</v>
      </c>
      <c r="K336">
        <v>354</v>
      </c>
      <c r="L336">
        <v>1105</v>
      </c>
      <c r="M336">
        <v>427</v>
      </c>
      <c r="N336">
        <v>172</v>
      </c>
      <c r="O336">
        <v>92</v>
      </c>
      <c r="P336">
        <v>365</v>
      </c>
      <c r="Q336">
        <v>618</v>
      </c>
      <c r="R336">
        <v>335</v>
      </c>
    </row>
    <row r="337" spans="1:18">
      <c r="A337" s="1" t="s">
        <v>257</v>
      </c>
      <c r="B337">
        <v>31</v>
      </c>
      <c r="C337">
        <v>19</v>
      </c>
      <c r="D337">
        <v>12</v>
      </c>
      <c r="E337">
        <v>-4.2300000000000004</v>
      </c>
      <c r="F337">
        <v>2254</v>
      </c>
      <c r="G337">
        <v>732</v>
      </c>
      <c r="H337">
        <v>1541</v>
      </c>
      <c r="I337">
        <v>568</v>
      </c>
      <c r="J337">
        <v>767</v>
      </c>
      <c r="K337">
        <v>265</v>
      </c>
      <c r="L337">
        <v>1065</v>
      </c>
      <c r="M337">
        <v>407</v>
      </c>
      <c r="N337">
        <v>131</v>
      </c>
      <c r="O337">
        <v>123</v>
      </c>
      <c r="P337">
        <v>382</v>
      </c>
      <c r="Q337">
        <v>558</v>
      </c>
      <c r="R337">
        <v>336</v>
      </c>
    </row>
    <row r="338" spans="1:18">
      <c r="A338" s="1" t="s">
        <v>258</v>
      </c>
      <c r="B338">
        <v>33</v>
      </c>
      <c r="C338">
        <v>17</v>
      </c>
      <c r="D338">
        <v>16</v>
      </c>
      <c r="E338">
        <v>8.02</v>
      </c>
      <c r="F338">
        <v>2546</v>
      </c>
      <c r="G338">
        <v>866</v>
      </c>
      <c r="H338">
        <v>1973</v>
      </c>
      <c r="I338">
        <v>556</v>
      </c>
      <c r="J338">
        <v>771</v>
      </c>
      <c r="K338">
        <v>393</v>
      </c>
      <c r="L338">
        <v>1176</v>
      </c>
      <c r="M338">
        <v>432</v>
      </c>
      <c r="N338">
        <v>206</v>
      </c>
      <c r="O338">
        <v>99</v>
      </c>
      <c r="P338">
        <v>323</v>
      </c>
      <c r="Q338">
        <v>684</v>
      </c>
      <c r="R338">
        <v>337</v>
      </c>
    </row>
    <row r="339" spans="1:18">
      <c r="A339" s="1" t="s">
        <v>259</v>
      </c>
      <c r="B339">
        <v>34</v>
      </c>
      <c r="C339">
        <v>19</v>
      </c>
      <c r="D339">
        <v>15</v>
      </c>
      <c r="E339">
        <v>-6.43</v>
      </c>
      <c r="F339">
        <v>2524</v>
      </c>
      <c r="G339">
        <v>868</v>
      </c>
      <c r="H339">
        <v>2041</v>
      </c>
      <c r="I339">
        <v>540</v>
      </c>
      <c r="J339">
        <v>754</v>
      </c>
      <c r="K339">
        <v>461</v>
      </c>
      <c r="L339">
        <v>1226</v>
      </c>
      <c r="M339">
        <v>415</v>
      </c>
      <c r="N339">
        <v>248</v>
      </c>
      <c r="O339">
        <v>165</v>
      </c>
      <c r="P339">
        <v>413</v>
      </c>
      <c r="Q339">
        <v>759</v>
      </c>
      <c r="R339">
        <v>338</v>
      </c>
    </row>
    <row r="340" spans="1:18">
      <c r="A340" s="1" t="s">
        <v>260</v>
      </c>
      <c r="B340">
        <v>30</v>
      </c>
      <c r="C340">
        <v>10</v>
      </c>
      <c r="D340">
        <v>20</v>
      </c>
      <c r="E340">
        <v>-2.74</v>
      </c>
      <c r="F340">
        <v>1838</v>
      </c>
      <c r="G340">
        <v>667</v>
      </c>
      <c r="H340">
        <v>1467</v>
      </c>
      <c r="I340">
        <v>362</v>
      </c>
      <c r="J340">
        <v>545</v>
      </c>
      <c r="K340">
        <v>238</v>
      </c>
      <c r="L340">
        <v>914</v>
      </c>
      <c r="M340">
        <v>373</v>
      </c>
      <c r="N340">
        <v>180</v>
      </c>
      <c r="O340">
        <v>87</v>
      </c>
      <c r="P340">
        <v>400</v>
      </c>
      <c r="Q340">
        <v>553</v>
      </c>
      <c r="R340">
        <v>339</v>
      </c>
    </row>
    <row r="341" spans="1:18">
      <c r="A341" s="1" t="s">
        <v>261</v>
      </c>
      <c r="B341">
        <v>32</v>
      </c>
      <c r="C341">
        <v>20</v>
      </c>
      <c r="D341">
        <v>12</v>
      </c>
      <c r="E341">
        <v>-1.34</v>
      </c>
      <c r="F341">
        <v>2196</v>
      </c>
      <c r="G341">
        <v>732</v>
      </c>
      <c r="H341">
        <v>1766</v>
      </c>
      <c r="I341">
        <v>495</v>
      </c>
      <c r="J341">
        <v>755</v>
      </c>
      <c r="K341">
        <v>401</v>
      </c>
      <c r="L341">
        <v>1171</v>
      </c>
      <c r="M341">
        <v>361</v>
      </c>
      <c r="N341">
        <v>165</v>
      </c>
      <c r="O341">
        <v>78</v>
      </c>
      <c r="P341">
        <v>434</v>
      </c>
      <c r="Q341">
        <v>608</v>
      </c>
      <c r="R341">
        <v>340</v>
      </c>
    </row>
    <row r="342" spans="1:18">
      <c r="A342" s="1" t="s">
        <v>262</v>
      </c>
      <c r="B342">
        <v>33</v>
      </c>
      <c r="C342">
        <v>23</v>
      </c>
      <c r="D342">
        <v>10</v>
      </c>
      <c r="E342">
        <v>-1.45</v>
      </c>
      <c r="F342">
        <v>2373</v>
      </c>
      <c r="G342">
        <v>779</v>
      </c>
      <c r="H342">
        <v>1684</v>
      </c>
      <c r="I342">
        <v>620</v>
      </c>
      <c r="J342">
        <v>856</v>
      </c>
      <c r="K342">
        <v>323</v>
      </c>
      <c r="L342">
        <v>1143</v>
      </c>
      <c r="M342">
        <v>376</v>
      </c>
      <c r="N342">
        <v>194</v>
      </c>
      <c r="O342">
        <v>111</v>
      </c>
      <c r="P342">
        <v>464</v>
      </c>
      <c r="Q342">
        <v>602</v>
      </c>
      <c r="R342">
        <v>341</v>
      </c>
    </row>
    <row r="343" spans="1:18">
      <c r="A343" s="1" t="s">
        <v>263</v>
      </c>
      <c r="B343">
        <v>36</v>
      </c>
      <c r="C343">
        <v>35</v>
      </c>
      <c r="D343">
        <v>1</v>
      </c>
      <c r="E343">
        <v>1.74</v>
      </c>
      <c r="F343">
        <v>2706</v>
      </c>
      <c r="G343">
        <v>896</v>
      </c>
      <c r="H343">
        <v>1942</v>
      </c>
      <c r="I343">
        <v>664</v>
      </c>
      <c r="J343">
        <v>916</v>
      </c>
      <c r="K343">
        <v>419</v>
      </c>
      <c r="L343">
        <v>1381</v>
      </c>
      <c r="M343">
        <v>491</v>
      </c>
      <c r="N343">
        <v>247</v>
      </c>
      <c r="O343">
        <v>184</v>
      </c>
      <c r="P343">
        <v>374</v>
      </c>
      <c r="Q343">
        <v>611</v>
      </c>
      <c r="R343">
        <v>342</v>
      </c>
    </row>
    <row r="344" spans="1:18">
      <c r="A344" s="1" t="s">
        <v>264</v>
      </c>
      <c r="B344">
        <v>32</v>
      </c>
      <c r="C344">
        <v>20</v>
      </c>
      <c r="D344">
        <v>12</v>
      </c>
      <c r="E344">
        <v>-2.29</v>
      </c>
      <c r="F344">
        <v>2340</v>
      </c>
      <c r="G344">
        <v>798</v>
      </c>
      <c r="H344">
        <v>1676</v>
      </c>
      <c r="I344">
        <v>463</v>
      </c>
      <c r="J344">
        <v>667</v>
      </c>
      <c r="K344">
        <v>250</v>
      </c>
      <c r="L344">
        <v>994</v>
      </c>
      <c r="M344">
        <v>447</v>
      </c>
      <c r="N344">
        <v>177</v>
      </c>
      <c r="O344">
        <v>104</v>
      </c>
      <c r="P344">
        <v>331</v>
      </c>
      <c r="Q344">
        <v>519</v>
      </c>
      <c r="R344">
        <v>343</v>
      </c>
    </row>
    <row r="345" spans="1:18">
      <c r="A345" s="1" t="s">
        <v>325</v>
      </c>
      <c r="B345">
        <v>33</v>
      </c>
      <c r="C345">
        <v>20</v>
      </c>
      <c r="D345">
        <v>13</v>
      </c>
      <c r="E345">
        <v>-6.56</v>
      </c>
      <c r="F345">
        <v>2442</v>
      </c>
      <c r="G345">
        <v>821</v>
      </c>
      <c r="H345">
        <v>1843</v>
      </c>
      <c r="I345">
        <v>528</v>
      </c>
      <c r="J345">
        <v>741</v>
      </c>
      <c r="K345">
        <v>333</v>
      </c>
      <c r="L345">
        <v>1072</v>
      </c>
      <c r="M345">
        <v>378</v>
      </c>
      <c r="N345">
        <v>211</v>
      </c>
      <c r="O345">
        <v>89</v>
      </c>
      <c r="P345">
        <v>412</v>
      </c>
      <c r="Q345">
        <v>649</v>
      </c>
      <c r="R345">
        <v>344</v>
      </c>
    </row>
    <row r="346" spans="1:18">
      <c r="A346" s="1" t="s">
        <v>367</v>
      </c>
      <c r="B346">
        <v>38</v>
      </c>
      <c r="C346">
        <v>30</v>
      </c>
      <c r="D346">
        <v>8</v>
      </c>
      <c r="E346">
        <v>10.19</v>
      </c>
      <c r="F346">
        <v>2793</v>
      </c>
      <c r="G346">
        <v>927</v>
      </c>
      <c r="H346">
        <v>2019</v>
      </c>
      <c r="I346">
        <v>642</v>
      </c>
      <c r="J346">
        <v>861</v>
      </c>
      <c r="K346">
        <v>337</v>
      </c>
      <c r="L346">
        <v>1266</v>
      </c>
      <c r="M346">
        <v>468</v>
      </c>
      <c r="N346">
        <v>183</v>
      </c>
      <c r="O346">
        <v>127</v>
      </c>
      <c r="P346">
        <v>307</v>
      </c>
      <c r="Q346">
        <v>574</v>
      </c>
      <c r="R346">
        <v>345</v>
      </c>
    </row>
    <row r="347" spans="1:18">
      <c r="A347" s="1" t="s">
        <v>265</v>
      </c>
      <c r="B347">
        <v>33</v>
      </c>
      <c r="C347">
        <v>20</v>
      </c>
      <c r="D347">
        <v>13</v>
      </c>
      <c r="E347">
        <v>-5.95</v>
      </c>
      <c r="F347">
        <v>2205</v>
      </c>
      <c r="G347">
        <v>808</v>
      </c>
      <c r="H347">
        <v>1804</v>
      </c>
      <c r="I347">
        <v>393</v>
      </c>
      <c r="J347">
        <v>592</v>
      </c>
      <c r="K347">
        <v>352</v>
      </c>
      <c r="L347">
        <v>1090</v>
      </c>
      <c r="M347">
        <v>423</v>
      </c>
      <c r="N347">
        <v>205</v>
      </c>
      <c r="O347">
        <v>54</v>
      </c>
      <c r="P347">
        <v>351</v>
      </c>
      <c r="Q347">
        <v>578</v>
      </c>
      <c r="R347">
        <v>346</v>
      </c>
    </row>
    <row r="348" spans="1:18">
      <c r="A348" s="1" t="s">
        <v>266</v>
      </c>
      <c r="B348">
        <v>36</v>
      </c>
      <c r="C348">
        <v>21</v>
      </c>
      <c r="D348">
        <v>15</v>
      </c>
      <c r="E348">
        <v>-2.8</v>
      </c>
      <c r="F348">
        <v>2419</v>
      </c>
      <c r="G348">
        <v>817</v>
      </c>
      <c r="H348">
        <v>1793</v>
      </c>
      <c r="I348">
        <v>565</v>
      </c>
      <c r="J348">
        <v>765</v>
      </c>
      <c r="K348">
        <v>263</v>
      </c>
      <c r="L348">
        <v>1061</v>
      </c>
      <c r="M348">
        <v>493</v>
      </c>
      <c r="N348">
        <v>254</v>
      </c>
      <c r="O348">
        <v>110</v>
      </c>
      <c r="P348">
        <v>480</v>
      </c>
      <c r="Q348">
        <v>708</v>
      </c>
      <c r="R348">
        <v>347</v>
      </c>
    </row>
    <row r="349" spans="1:18">
      <c r="A349" s="1" t="s">
        <v>267</v>
      </c>
      <c r="B349">
        <v>33</v>
      </c>
      <c r="C349">
        <v>18</v>
      </c>
      <c r="D349">
        <v>15</v>
      </c>
      <c r="E349">
        <v>2.34</v>
      </c>
      <c r="F349">
        <v>2130</v>
      </c>
      <c r="G349">
        <v>724</v>
      </c>
      <c r="H349">
        <v>1533</v>
      </c>
      <c r="I349">
        <v>493</v>
      </c>
      <c r="J349">
        <v>689</v>
      </c>
      <c r="K349">
        <v>171</v>
      </c>
      <c r="L349">
        <v>953</v>
      </c>
      <c r="M349">
        <v>412</v>
      </c>
      <c r="N349">
        <v>155</v>
      </c>
      <c r="O349">
        <v>124</v>
      </c>
      <c r="P349">
        <v>346</v>
      </c>
      <c r="Q349">
        <v>553</v>
      </c>
      <c r="R349">
        <v>348</v>
      </c>
    </row>
    <row r="350" spans="1:18">
      <c r="A350" s="1" t="s">
        <v>268</v>
      </c>
      <c r="B350">
        <v>34</v>
      </c>
      <c r="C350">
        <v>21</v>
      </c>
      <c r="D350">
        <v>13</v>
      </c>
      <c r="E350">
        <v>8.14</v>
      </c>
      <c r="F350">
        <v>2442</v>
      </c>
      <c r="G350">
        <v>869</v>
      </c>
      <c r="H350">
        <v>1850</v>
      </c>
      <c r="I350">
        <v>530</v>
      </c>
      <c r="J350">
        <v>770</v>
      </c>
      <c r="K350">
        <v>379</v>
      </c>
      <c r="L350">
        <v>1213</v>
      </c>
      <c r="M350">
        <v>497</v>
      </c>
      <c r="N350">
        <v>196</v>
      </c>
      <c r="O350">
        <v>97</v>
      </c>
      <c r="P350">
        <v>421</v>
      </c>
      <c r="Q350">
        <v>674</v>
      </c>
      <c r="R350">
        <v>349</v>
      </c>
    </row>
    <row r="351" spans="1:18">
      <c r="A351" s="1" t="s">
        <v>269</v>
      </c>
      <c r="B351">
        <v>33</v>
      </c>
      <c r="C351">
        <v>19</v>
      </c>
      <c r="D351">
        <v>14</v>
      </c>
      <c r="E351">
        <v>-1.28</v>
      </c>
      <c r="F351">
        <v>2209</v>
      </c>
      <c r="G351">
        <v>721</v>
      </c>
      <c r="H351">
        <v>1725</v>
      </c>
      <c r="I351">
        <v>592</v>
      </c>
      <c r="J351">
        <v>853</v>
      </c>
      <c r="K351">
        <v>398</v>
      </c>
      <c r="L351">
        <v>1179</v>
      </c>
      <c r="M351">
        <v>379</v>
      </c>
      <c r="N351">
        <v>203</v>
      </c>
      <c r="O351">
        <v>138</v>
      </c>
      <c r="P351">
        <v>427</v>
      </c>
      <c r="Q351">
        <v>637</v>
      </c>
      <c r="R351">
        <v>350</v>
      </c>
    </row>
    <row r="352" spans="1:18">
      <c r="A352" s="1" t="s">
        <v>270</v>
      </c>
      <c r="B352">
        <v>32</v>
      </c>
      <c r="C352">
        <v>15</v>
      </c>
      <c r="D352">
        <v>17</v>
      </c>
      <c r="E352">
        <v>-1.26</v>
      </c>
      <c r="F352">
        <v>2461</v>
      </c>
      <c r="G352">
        <v>836</v>
      </c>
      <c r="H352">
        <v>1822</v>
      </c>
      <c r="I352">
        <v>540</v>
      </c>
      <c r="J352">
        <v>735</v>
      </c>
      <c r="K352">
        <v>297</v>
      </c>
      <c r="L352">
        <v>1065</v>
      </c>
      <c r="M352">
        <v>499</v>
      </c>
      <c r="N352">
        <v>213</v>
      </c>
      <c r="O352">
        <v>86</v>
      </c>
      <c r="P352">
        <v>357</v>
      </c>
      <c r="Q352">
        <v>607</v>
      </c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E9D88-A2D9-4D72-ABDF-7B1D02D37EB6}">
  <sheetPr codeName="Sheet16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28.425781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363</v>
      </c>
      <c r="B2">
        <v>31</v>
      </c>
      <c r="C2">
        <v>10</v>
      </c>
      <c r="D2">
        <v>21</v>
      </c>
      <c r="E2">
        <v>-6.34</v>
      </c>
      <c r="F2">
        <v>1976</v>
      </c>
      <c r="G2">
        <v>695</v>
      </c>
      <c r="H2">
        <v>1684</v>
      </c>
      <c r="I2">
        <v>354</v>
      </c>
      <c r="J2">
        <v>487</v>
      </c>
      <c r="K2">
        <v>274</v>
      </c>
      <c r="L2">
        <v>897</v>
      </c>
      <c r="M2">
        <v>394</v>
      </c>
      <c r="N2">
        <v>203</v>
      </c>
      <c r="O2">
        <v>38</v>
      </c>
      <c r="P2">
        <v>399</v>
      </c>
      <c r="Q2">
        <v>661</v>
      </c>
      <c r="R2">
        <v>1</v>
      </c>
    </row>
    <row r="3" spans="1:18">
      <c r="A3" s="1" t="s">
        <v>17</v>
      </c>
      <c r="B3">
        <v>31</v>
      </c>
      <c r="C3">
        <v>14</v>
      </c>
      <c r="D3">
        <v>17</v>
      </c>
      <c r="E3">
        <v>-0.71</v>
      </c>
      <c r="F3">
        <v>2037</v>
      </c>
      <c r="G3">
        <v>742</v>
      </c>
      <c r="H3">
        <v>1565</v>
      </c>
      <c r="I3">
        <v>321</v>
      </c>
      <c r="J3">
        <v>487</v>
      </c>
      <c r="K3">
        <v>265</v>
      </c>
      <c r="L3">
        <v>930</v>
      </c>
      <c r="M3">
        <v>483</v>
      </c>
      <c r="N3">
        <v>195</v>
      </c>
      <c r="O3">
        <v>65</v>
      </c>
      <c r="P3">
        <v>366</v>
      </c>
      <c r="Q3">
        <v>552</v>
      </c>
      <c r="R3">
        <v>2</v>
      </c>
    </row>
    <row r="4" spans="1:18">
      <c r="A4" s="1" t="s">
        <v>18</v>
      </c>
      <c r="B4">
        <v>35</v>
      </c>
      <c r="C4">
        <v>21</v>
      </c>
      <c r="D4">
        <v>14</v>
      </c>
      <c r="E4">
        <v>-0.47</v>
      </c>
      <c r="F4">
        <v>2382</v>
      </c>
      <c r="G4">
        <v>824</v>
      </c>
      <c r="H4">
        <v>1982</v>
      </c>
      <c r="I4">
        <v>406</v>
      </c>
      <c r="J4">
        <v>617</v>
      </c>
      <c r="K4">
        <v>420</v>
      </c>
      <c r="L4">
        <v>1249</v>
      </c>
      <c r="M4">
        <v>435</v>
      </c>
      <c r="N4">
        <v>230</v>
      </c>
      <c r="O4">
        <v>155</v>
      </c>
      <c r="P4">
        <v>422</v>
      </c>
      <c r="Q4">
        <v>654</v>
      </c>
      <c r="R4">
        <v>3</v>
      </c>
    </row>
    <row r="5" spans="1:18">
      <c r="A5" s="1" t="s">
        <v>19</v>
      </c>
      <c r="B5">
        <v>29</v>
      </c>
      <c r="C5">
        <v>9</v>
      </c>
      <c r="D5">
        <v>20</v>
      </c>
      <c r="E5">
        <v>-9.6199999999999992</v>
      </c>
      <c r="F5">
        <v>1797</v>
      </c>
      <c r="G5">
        <v>608</v>
      </c>
      <c r="H5">
        <v>1533</v>
      </c>
      <c r="I5">
        <v>415</v>
      </c>
      <c r="J5">
        <v>643</v>
      </c>
      <c r="K5">
        <v>367</v>
      </c>
      <c r="L5">
        <v>998</v>
      </c>
      <c r="M5">
        <v>354</v>
      </c>
      <c r="N5">
        <v>165</v>
      </c>
      <c r="O5">
        <v>68</v>
      </c>
      <c r="P5">
        <v>413</v>
      </c>
      <c r="Q5">
        <v>573</v>
      </c>
      <c r="R5">
        <v>4</v>
      </c>
    </row>
    <row r="6" spans="1:18">
      <c r="A6" s="1" t="s">
        <v>20</v>
      </c>
      <c r="B6">
        <v>36</v>
      </c>
      <c r="C6">
        <v>20</v>
      </c>
      <c r="D6">
        <v>16</v>
      </c>
      <c r="E6">
        <v>1.62</v>
      </c>
      <c r="F6">
        <v>2476</v>
      </c>
      <c r="G6">
        <v>873</v>
      </c>
      <c r="H6">
        <v>2042</v>
      </c>
      <c r="I6">
        <v>528</v>
      </c>
      <c r="J6">
        <v>715</v>
      </c>
      <c r="K6">
        <v>434</v>
      </c>
      <c r="L6">
        <v>1322</v>
      </c>
      <c r="M6">
        <v>516</v>
      </c>
      <c r="N6">
        <v>237</v>
      </c>
      <c r="O6">
        <v>184</v>
      </c>
      <c r="P6">
        <v>482</v>
      </c>
      <c r="Q6">
        <v>630</v>
      </c>
      <c r="R6">
        <v>5</v>
      </c>
    </row>
    <row r="7" spans="1:18">
      <c r="A7" s="1" t="s">
        <v>21</v>
      </c>
      <c r="B7">
        <v>29</v>
      </c>
      <c r="C7">
        <v>19</v>
      </c>
      <c r="D7">
        <v>10</v>
      </c>
      <c r="E7">
        <v>-12.71</v>
      </c>
      <c r="F7">
        <v>2090</v>
      </c>
      <c r="G7">
        <v>761</v>
      </c>
      <c r="H7">
        <v>1738</v>
      </c>
      <c r="I7">
        <v>396</v>
      </c>
      <c r="J7">
        <v>609</v>
      </c>
      <c r="K7">
        <v>389</v>
      </c>
      <c r="L7">
        <v>1151</v>
      </c>
      <c r="M7">
        <v>393</v>
      </c>
      <c r="N7">
        <v>184</v>
      </c>
      <c r="O7">
        <v>122</v>
      </c>
      <c r="P7">
        <v>397</v>
      </c>
      <c r="Q7">
        <v>520</v>
      </c>
      <c r="R7">
        <v>6</v>
      </c>
    </row>
    <row r="8" spans="1:18">
      <c r="A8" s="1" t="s">
        <v>22</v>
      </c>
      <c r="B8">
        <v>34</v>
      </c>
      <c r="C8">
        <v>19</v>
      </c>
      <c r="D8">
        <v>15</v>
      </c>
      <c r="E8">
        <v>8.09</v>
      </c>
      <c r="F8">
        <v>2280</v>
      </c>
      <c r="G8">
        <v>760</v>
      </c>
      <c r="H8">
        <v>1724</v>
      </c>
      <c r="I8">
        <v>539</v>
      </c>
      <c r="J8">
        <v>752</v>
      </c>
      <c r="K8">
        <v>325</v>
      </c>
      <c r="L8">
        <v>1122</v>
      </c>
      <c r="M8">
        <v>350</v>
      </c>
      <c r="N8">
        <v>219</v>
      </c>
      <c r="O8">
        <v>125</v>
      </c>
      <c r="P8">
        <v>407</v>
      </c>
      <c r="Q8">
        <v>654</v>
      </c>
      <c r="R8">
        <v>7</v>
      </c>
    </row>
    <row r="9" spans="1:18">
      <c r="A9" s="1" t="s">
        <v>23</v>
      </c>
      <c r="B9">
        <v>33</v>
      </c>
      <c r="C9">
        <v>24</v>
      </c>
      <c r="D9">
        <v>9</v>
      </c>
      <c r="E9">
        <v>-5.18</v>
      </c>
      <c r="F9">
        <v>2156</v>
      </c>
      <c r="G9">
        <v>729</v>
      </c>
      <c r="H9">
        <v>1666</v>
      </c>
      <c r="I9">
        <v>493</v>
      </c>
      <c r="J9">
        <v>650</v>
      </c>
      <c r="K9">
        <v>334</v>
      </c>
      <c r="L9">
        <v>1111</v>
      </c>
      <c r="M9">
        <v>349</v>
      </c>
      <c r="N9">
        <v>187</v>
      </c>
      <c r="O9">
        <v>53</v>
      </c>
      <c r="P9">
        <v>381</v>
      </c>
      <c r="Q9">
        <v>544</v>
      </c>
      <c r="R9">
        <v>8</v>
      </c>
    </row>
    <row r="10" spans="1:18">
      <c r="A10" s="1" t="s">
        <v>24</v>
      </c>
      <c r="B10">
        <v>32</v>
      </c>
      <c r="C10">
        <v>6</v>
      </c>
      <c r="D10">
        <v>26</v>
      </c>
      <c r="E10">
        <v>-9.9499999999999993</v>
      </c>
      <c r="F10">
        <v>2066</v>
      </c>
      <c r="G10">
        <v>724</v>
      </c>
      <c r="H10">
        <v>1864</v>
      </c>
      <c r="I10">
        <v>463</v>
      </c>
      <c r="J10">
        <v>704</v>
      </c>
      <c r="K10">
        <v>376</v>
      </c>
      <c r="L10">
        <v>1038</v>
      </c>
      <c r="M10">
        <v>285</v>
      </c>
      <c r="N10">
        <v>191</v>
      </c>
      <c r="O10">
        <v>86</v>
      </c>
      <c r="P10">
        <v>367</v>
      </c>
      <c r="Q10">
        <v>571</v>
      </c>
      <c r="R10">
        <v>9</v>
      </c>
    </row>
    <row r="11" spans="1:18">
      <c r="A11" s="1" t="s">
        <v>25</v>
      </c>
      <c r="B11">
        <v>33</v>
      </c>
      <c r="C11">
        <v>17</v>
      </c>
      <c r="D11">
        <v>16</v>
      </c>
      <c r="E11">
        <v>-3.71</v>
      </c>
      <c r="F11">
        <v>1938</v>
      </c>
      <c r="G11">
        <v>683</v>
      </c>
      <c r="H11">
        <v>1479</v>
      </c>
      <c r="I11">
        <v>359</v>
      </c>
      <c r="J11">
        <v>509</v>
      </c>
      <c r="K11">
        <v>188</v>
      </c>
      <c r="L11">
        <v>827</v>
      </c>
      <c r="M11">
        <v>408</v>
      </c>
      <c r="N11">
        <v>196</v>
      </c>
      <c r="O11">
        <v>84</v>
      </c>
      <c r="P11">
        <v>370</v>
      </c>
      <c r="Q11">
        <v>484</v>
      </c>
      <c r="R11">
        <v>10</v>
      </c>
    </row>
    <row r="12" spans="1:18">
      <c r="A12" s="1" t="s">
        <v>271</v>
      </c>
      <c r="B12">
        <v>29</v>
      </c>
      <c r="C12">
        <v>12</v>
      </c>
      <c r="D12">
        <v>17</v>
      </c>
      <c r="E12">
        <v>-3.18</v>
      </c>
      <c r="F12">
        <v>1841</v>
      </c>
      <c r="G12">
        <v>637</v>
      </c>
      <c r="H12">
        <v>1602</v>
      </c>
      <c r="I12">
        <v>381</v>
      </c>
      <c r="J12">
        <v>537</v>
      </c>
      <c r="K12">
        <v>329</v>
      </c>
      <c r="L12">
        <v>1010</v>
      </c>
      <c r="M12">
        <v>318</v>
      </c>
      <c r="N12">
        <v>122</v>
      </c>
      <c r="O12">
        <v>61</v>
      </c>
      <c r="P12">
        <v>397</v>
      </c>
      <c r="Q12">
        <v>551</v>
      </c>
      <c r="R12">
        <v>11</v>
      </c>
    </row>
    <row r="13" spans="1:18">
      <c r="A13" s="1" t="s">
        <v>26</v>
      </c>
      <c r="B13">
        <v>34</v>
      </c>
      <c r="C13">
        <v>18</v>
      </c>
      <c r="D13">
        <v>16</v>
      </c>
      <c r="E13">
        <v>6.66</v>
      </c>
      <c r="F13">
        <v>2360</v>
      </c>
      <c r="G13">
        <v>809</v>
      </c>
      <c r="H13">
        <v>1818</v>
      </c>
      <c r="I13">
        <v>511</v>
      </c>
      <c r="J13">
        <v>766</v>
      </c>
      <c r="K13">
        <v>365</v>
      </c>
      <c r="L13">
        <v>1184</v>
      </c>
      <c r="M13">
        <v>431</v>
      </c>
      <c r="N13">
        <v>199</v>
      </c>
      <c r="O13">
        <v>79</v>
      </c>
      <c r="P13">
        <v>474</v>
      </c>
      <c r="Q13">
        <v>638</v>
      </c>
      <c r="R13">
        <v>12</v>
      </c>
    </row>
    <row r="14" spans="1:18">
      <c r="A14" s="1" t="s">
        <v>356</v>
      </c>
      <c r="B14">
        <v>38</v>
      </c>
      <c r="C14">
        <v>34</v>
      </c>
      <c r="D14">
        <v>4</v>
      </c>
      <c r="E14">
        <v>7.41</v>
      </c>
      <c r="F14">
        <v>2911</v>
      </c>
      <c r="G14">
        <v>1009</v>
      </c>
      <c r="H14">
        <v>2068</v>
      </c>
      <c r="I14">
        <v>700</v>
      </c>
      <c r="J14">
        <v>974</v>
      </c>
      <c r="K14">
        <v>411</v>
      </c>
      <c r="L14">
        <v>1399</v>
      </c>
      <c r="M14">
        <v>528</v>
      </c>
      <c r="N14">
        <v>275</v>
      </c>
      <c r="O14">
        <v>131</v>
      </c>
      <c r="P14">
        <v>419</v>
      </c>
      <c r="Q14">
        <v>681</v>
      </c>
      <c r="R14">
        <v>13</v>
      </c>
    </row>
    <row r="15" spans="1:18">
      <c r="A15" s="1" t="s">
        <v>27</v>
      </c>
      <c r="B15">
        <v>31</v>
      </c>
      <c r="C15">
        <v>13</v>
      </c>
      <c r="D15">
        <v>18</v>
      </c>
      <c r="E15">
        <v>-3.81</v>
      </c>
      <c r="F15">
        <v>2146</v>
      </c>
      <c r="G15">
        <v>741</v>
      </c>
      <c r="H15">
        <v>1779</v>
      </c>
      <c r="I15">
        <v>445</v>
      </c>
      <c r="J15">
        <v>632</v>
      </c>
      <c r="K15">
        <v>329</v>
      </c>
      <c r="L15">
        <v>1063</v>
      </c>
      <c r="M15">
        <v>380</v>
      </c>
      <c r="N15">
        <v>174</v>
      </c>
      <c r="O15">
        <v>86</v>
      </c>
      <c r="P15">
        <v>326</v>
      </c>
      <c r="Q15">
        <v>588</v>
      </c>
      <c r="R15">
        <v>14</v>
      </c>
    </row>
    <row r="16" spans="1:18">
      <c r="A16" s="1" t="s">
        <v>28</v>
      </c>
      <c r="B16">
        <v>32</v>
      </c>
      <c r="C16">
        <v>12</v>
      </c>
      <c r="D16">
        <v>20</v>
      </c>
      <c r="E16">
        <v>-8.61</v>
      </c>
      <c r="F16">
        <v>1912</v>
      </c>
      <c r="G16">
        <v>656</v>
      </c>
      <c r="H16">
        <v>1638</v>
      </c>
      <c r="I16">
        <v>397</v>
      </c>
      <c r="J16">
        <v>584</v>
      </c>
      <c r="K16">
        <v>326</v>
      </c>
      <c r="L16">
        <v>927</v>
      </c>
      <c r="M16">
        <v>323</v>
      </c>
      <c r="N16">
        <v>283</v>
      </c>
      <c r="O16">
        <v>108</v>
      </c>
      <c r="P16">
        <v>489</v>
      </c>
      <c r="Q16">
        <v>623</v>
      </c>
      <c r="R16">
        <v>15</v>
      </c>
    </row>
    <row r="17" spans="1:18">
      <c r="A17" s="1" t="s">
        <v>29</v>
      </c>
      <c r="B17">
        <v>29</v>
      </c>
      <c r="C17">
        <v>11</v>
      </c>
      <c r="D17">
        <v>18</v>
      </c>
      <c r="E17">
        <v>-3.81</v>
      </c>
      <c r="F17">
        <v>1869</v>
      </c>
      <c r="G17">
        <v>664</v>
      </c>
      <c r="H17">
        <v>1631</v>
      </c>
      <c r="I17">
        <v>372</v>
      </c>
      <c r="J17">
        <v>530</v>
      </c>
      <c r="K17">
        <v>318</v>
      </c>
      <c r="L17">
        <v>1038</v>
      </c>
      <c r="M17">
        <v>321</v>
      </c>
      <c r="N17">
        <v>154</v>
      </c>
      <c r="O17">
        <v>89</v>
      </c>
      <c r="P17">
        <v>390</v>
      </c>
      <c r="Q17">
        <v>496</v>
      </c>
      <c r="R17">
        <v>16</v>
      </c>
    </row>
    <row r="18" spans="1:18">
      <c r="A18" s="1" t="s">
        <v>302</v>
      </c>
      <c r="B18">
        <v>36</v>
      </c>
      <c r="C18">
        <v>27</v>
      </c>
      <c r="D18">
        <v>9</v>
      </c>
      <c r="E18">
        <v>6.79</v>
      </c>
      <c r="F18">
        <v>2787</v>
      </c>
      <c r="G18">
        <v>978</v>
      </c>
      <c r="H18">
        <v>2196</v>
      </c>
      <c r="I18">
        <v>593</v>
      </c>
      <c r="J18">
        <v>819</v>
      </c>
      <c r="K18">
        <v>470</v>
      </c>
      <c r="L18">
        <v>1290</v>
      </c>
      <c r="M18">
        <v>579</v>
      </c>
      <c r="N18">
        <v>277</v>
      </c>
      <c r="O18">
        <v>168</v>
      </c>
      <c r="P18">
        <v>430</v>
      </c>
      <c r="Q18">
        <v>684</v>
      </c>
      <c r="R18">
        <v>17</v>
      </c>
    </row>
    <row r="19" spans="1:18">
      <c r="A19" s="1" t="s">
        <v>30</v>
      </c>
      <c r="B19">
        <v>30</v>
      </c>
      <c r="C19">
        <v>15</v>
      </c>
      <c r="D19">
        <v>15</v>
      </c>
      <c r="E19">
        <v>-4.9800000000000004</v>
      </c>
      <c r="F19">
        <v>2164</v>
      </c>
      <c r="G19">
        <v>779</v>
      </c>
      <c r="H19">
        <v>1768</v>
      </c>
      <c r="I19">
        <v>379</v>
      </c>
      <c r="J19">
        <v>557</v>
      </c>
      <c r="K19">
        <v>325</v>
      </c>
      <c r="L19">
        <v>1033</v>
      </c>
      <c r="M19">
        <v>437</v>
      </c>
      <c r="N19">
        <v>192</v>
      </c>
      <c r="O19">
        <v>106</v>
      </c>
      <c r="P19">
        <v>396</v>
      </c>
      <c r="Q19">
        <v>612</v>
      </c>
      <c r="R19">
        <v>18</v>
      </c>
    </row>
    <row r="20" spans="1:18">
      <c r="A20" s="1" t="s">
        <v>272</v>
      </c>
      <c r="B20">
        <v>35</v>
      </c>
      <c r="C20">
        <v>15</v>
      </c>
      <c r="D20">
        <v>20</v>
      </c>
      <c r="E20">
        <v>8.15</v>
      </c>
      <c r="F20">
        <v>2378</v>
      </c>
      <c r="G20">
        <v>760</v>
      </c>
      <c r="H20">
        <v>1880</v>
      </c>
      <c r="I20">
        <v>606</v>
      </c>
      <c r="J20">
        <v>910</v>
      </c>
      <c r="K20">
        <v>356</v>
      </c>
      <c r="L20">
        <v>1104</v>
      </c>
      <c r="M20">
        <v>376</v>
      </c>
      <c r="N20">
        <v>238</v>
      </c>
      <c r="O20">
        <v>89</v>
      </c>
      <c r="P20">
        <v>452</v>
      </c>
      <c r="Q20">
        <v>708</v>
      </c>
      <c r="R20">
        <v>19</v>
      </c>
    </row>
    <row r="21" spans="1:18">
      <c r="A21" s="1" t="s">
        <v>31</v>
      </c>
      <c r="B21">
        <v>30</v>
      </c>
      <c r="C21">
        <v>8</v>
      </c>
      <c r="D21">
        <v>22</v>
      </c>
      <c r="E21">
        <v>-2.81</v>
      </c>
      <c r="F21">
        <v>1937</v>
      </c>
      <c r="G21">
        <v>663</v>
      </c>
      <c r="H21">
        <v>1667</v>
      </c>
      <c r="I21">
        <v>456</v>
      </c>
      <c r="J21">
        <v>685</v>
      </c>
      <c r="K21">
        <v>373</v>
      </c>
      <c r="L21">
        <v>1043</v>
      </c>
      <c r="M21">
        <v>360</v>
      </c>
      <c r="N21">
        <v>191</v>
      </c>
      <c r="O21">
        <v>124</v>
      </c>
      <c r="P21">
        <v>428</v>
      </c>
      <c r="Q21">
        <v>514</v>
      </c>
      <c r="R21">
        <v>20</v>
      </c>
    </row>
    <row r="22" spans="1:18">
      <c r="A22" s="1" t="s">
        <v>273</v>
      </c>
      <c r="B22">
        <v>30</v>
      </c>
      <c r="C22">
        <v>7</v>
      </c>
      <c r="D22">
        <v>23</v>
      </c>
      <c r="E22">
        <v>0.04</v>
      </c>
      <c r="F22">
        <v>1961</v>
      </c>
      <c r="G22">
        <v>669</v>
      </c>
      <c r="H22">
        <v>1580</v>
      </c>
      <c r="I22">
        <v>389</v>
      </c>
      <c r="J22">
        <v>561</v>
      </c>
      <c r="K22">
        <v>303</v>
      </c>
      <c r="L22">
        <v>980</v>
      </c>
      <c r="M22">
        <v>383</v>
      </c>
      <c r="N22">
        <v>159</v>
      </c>
      <c r="O22">
        <v>71</v>
      </c>
      <c r="P22">
        <v>424</v>
      </c>
      <c r="Q22">
        <v>576</v>
      </c>
      <c r="R22">
        <v>21</v>
      </c>
    </row>
    <row r="23" spans="1:18">
      <c r="A23" s="1" t="s">
        <v>32</v>
      </c>
      <c r="B23">
        <v>34</v>
      </c>
      <c r="C23">
        <v>24</v>
      </c>
      <c r="D23">
        <v>10</v>
      </c>
      <c r="E23">
        <v>9.33</v>
      </c>
      <c r="F23">
        <v>2349</v>
      </c>
      <c r="G23">
        <v>813</v>
      </c>
      <c r="H23">
        <v>1874</v>
      </c>
      <c r="I23">
        <v>487</v>
      </c>
      <c r="J23">
        <v>723</v>
      </c>
      <c r="K23">
        <v>497</v>
      </c>
      <c r="L23">
        <v>1333</v>
      </c>
      <c r="M23">
        <v>497</v>
      </c>
      <c r="N23">
        <v>263</v>
      </c>
      <c r="O23">
        <v>132</v>
      </c>
      <c r="P23">
        <v>434</v>
      </c>
      <c r="Q23">
        <v>565</v>
      </c>
      <c r="R23">
        <v>22</v>
      </c>
    </row>
    <row r="24" spans="1:18">
      <c r="A24" s="1" t="s">
        <v>33</v>
      </c>
      <c r="B24">
        <v>33</v>
      </c>
      <c r="C24">
        <v>22</v>
      </c>
      <c r="D24">
        <v>11</v>
      </c>
      <c r="E24">
        <v>-2.77</v>
      </c>
      <c r="F24">
        <v>2450</v>
      </c>
      <c r="G24">
        <v>858</v>
      </c>
      <c r="H24">
        <v>1803</v>
      </c>
      <c r="I24">
        <v>405</v>
      </c>
      <c r="J24">
        <v>585</v>
      </c>
      <c r="K24">
        <v>307</v>
      </c>
      <c r="L24">
        <v>1093</v>
      </c>
      <c r="M24">
        <v>504</v>
      </c>
      <c r="N24">
        <v>209</v>
      </c>
      <c r="O24">
        <v>66</v>
      </c>
      <c r="P24">
        <v>451</v>
      </c>
      <c r="Q24">
        <v>549</v>
      </c>
      <c r="R24">
        <v>23</v>
      </c>
    </row>
    <row r="25" spans="1:18">
      <c r="A25" s="1" t="s">
        <v>34</v>
      </c>
      <c r="B25">
        <v>32</v>
      </c>
      <c r="C25">
        <v>11</v>
      </c>
      <c r="D25">
        <v>21</v>
      </c>
      <c r="E25">
        <v>-10.45</v>
      </c>
      <c r="F25">
        <v>1899</v>
      </c>
      <c r="G25">
        <v>627</v>
      </c>
      <c r="H25">
        <v>1567</v>
      </c>
      <c r="I25">
        <v>482</v>
      </c>
      <c r="J25">
        <v>672</v>
      </c>
      <c r="K25">
        <v>372</v>
      </c>
      <c r="L25">
        <v>1056</v>
      </c>
      <c r="M25">
        <v>264</v>
      </c>
      <c r="N25">
        <v>174</v>
      </c>
      <c r="O25">
        <v>84</v>
      </c>
      <c r="P25">
        <v>449</v>
      </c>
      <c r="Q25">
        <v>623</v>
      </c>
      <c r="R25">
        <v>24</v>
      </c>
    </row>
    <row r="26" spans="1:18">
      <c r="A26" s="1" t="s">
        <v>303</v>
      </c>
      <c r="B26">
        <v>32</v>
      </c>
      <c r="C26">
        <v>6</v>
      </c>
      <c r="D26">
        <v>26</v>
      </c>
      <c r="E26">
        <v>-3.49</v>
      </c>
      <c r="F26">
        <v>1845</v>
      </c>
      <c r="G26">
        <v>633</v>
      </c>
      <c r="H26">
        <v>1598</v>
      </c>
      <c r="I26">
        <v>408</v>
      </c>
      <c r="J26">
        <v>618</v>
      </c>
      <c r="K26">
        <v>288</v>
      </c>
      <c r="L26">
        <v>992</v>
      </c>
      <c r="M26">
        <v>278</v>
      </c>
      <c r="N26">
        <v>186</v>
      </c>
      <c r="O26">
        <v>80</v>
      </c>
      <c r="P26">
        <v>433</v>
      </c>
      <c r="Q26">
        <v>577</v>
      </c>
      <c r="R26">
        <v>25</v>
      </c>
    </row>
    <row r="27" spans="1:18">
      <c r="A27" s="1" t="s">
        <v>35</v>
      </c>
      <c r="B27">
        <v>34</v>
      </c>
      <c r="C27">
        <v>25</v>
      </c>
      <c r="D27">
        <v>9</v>
      </c>
      <c r="E27">
        <v>1.38</v>
      </c>
      <c r="F27">
        <v>2390</v>
      </c>
      <c r="G27">
        <v>831</v>
      </c>
      <c r="H27">
        <v>1823</v>
      </c>
      <c r="I27">
        <v>431</v>
      </c>
      <c r="J27">
        <v>591</v>
      </c>
      <c r="K27">
        <v>298</v>
      </c>
      <c r="L27">
        <v>1119</v>
      </c>
      <c r="M27">
        <v>409</v>
      </c>
      <c r="N27">
        <v>206</v>
      </c>
      <c r="O27">
        <v>79</v>
      </c>
      <c r="P27">
        <v>348</v>
      </c>
      <c r="Q27">
        <v>582</v>
      </c>
      <c r="R27">
        <v>26</v>
      </c>
    </row>
    <row r="28" spans="1:18">
      <c r="A28" s="1" t="s">
        <v>36</v>
      </c>
      <c r="B28">
        <v>32</v>
      </c>
      <c r="C28">
        <v>13</v>
      </c>
      <c r="D28">
        <v>19</v>
      </c>
      <c r="E28">
        <v>7.94</v>
      </c>
      <c r="F28">
        <v>2105</v>
      </c>
      <c r="G28">
        <v>743</v>
      </c>
      <c r="H28">
        <v>1668</v>
      </c>
      <c r="I28">
        <v>412</v>
      </c>
      <c r="J28">
        <v>584</v>
      </c>
      <c r="K28">
        <v>263</v>
      </c>
      <c r="L28">
        <v>983</v>
      </c>
      <c r="M28">
        <v>421</v>
      </c>
      <c r="N28">
        <v>183</v>
      </c>
      <c r="O28">
        <v>86</v>
      </c>
      <c r="P28">
        <v>389</v>
      </c>
      <c r="Q28">
        <v>607</v>
      </c>
      <c r="R28">
        <v>27</v>
      </c>
    </row>
    <row r="29" spans="1:18">
      <c r="A29" s="1" t="s">
        <v>37</v>
      </c>
      <c r="B29">
        <v>30</v>
      </c>
      <c r="C29">
        <v>13</v>
      </c>
      <c r="D29">
        <v>17</v>
      </c>
      <c r="E29">
        <v>-3.12</v>
      </c>
      <c r="F29">
        <v>2037</v>
      </c>
      <c r="G29">
        <v>668</v>
      </c>
      <c r="H29">
        <v>1498</v>
      </c>
      <c r="I29">
        <v>469</v>
      </c>
      <c r="J29">
        <v>674</v>
      </c>
      <c r="K29">
        <v>263</v>
      </c>
      <c r="L29">
        <v>953</v>
      </c>
      <c r="M29">
        <v>368</v>
      </c>
      <c r="N29">
        <v>170</v>
      </c>
      <c r="O29">
        <v>56</v>
      </c>
      <c r="P29">
        <v>369</v>
      </c>
      <c r="Q29">
        <v>522</v>
      </c>
      <c r="R29">
        <v>28</v>
      </c>
    </row>
    <row r="30" spans="1:18">
      <c r="A30" s="1" t="s">
        <v>38</v>
      </c>
      <c r="B30">
        <v>33</v>
      </c>
      <c r="C30">
        <v>21</v>
      </c>
      <c r="D30">
        <v>12</v>
      </c>
      <c r="E30">
        <v>-1.25</v>
      </c>
      <c r="F30">
        <v>2196</v>
      </c>
      <c r="G30">
        <v>778</v>
      </c>
      <c r="H30">
        <v>1806</v>
      </c>
      <c r="I30">
        <v>420</v>
      </c>
      <c r="J30">
        <v>588</v>
      </c>
      <c r="K30">
        <v>355</v>
      </c>
      <c r="L30">
        <v>1156</v>
      </c>
      <c r="M30">
        <v>406</v>
      </c>
      <c r="N30">
        <v>219</v>
      </c>
      <c r="O30">
        <v>123</v>
      </c>
      <c r="P30">
        <v>386</v>
      </c>
      <c r="Q30">
        <v>550</v>
      </c>
      <c r="R30">
        <v>29</v>
      </c>
    </row>
    <row r="31" spans="1:18">
      <c r="A31" s="1" t="s">
        <v>39</v>
      </c>
      <c r="B31">
        <v>33</v>
      </c>
      <c r="C31">
        <v>9</v>
      </c>
      <c r="D31">
        <v>24</v>
      </c>
      <c r="E31">
        <v>1.52</v>
      </c>
      <c r="F31">
        <v>1882</v>
      </c>
      <c r="G31">
        <v>639</v>
      </c>
      <c r="H31">
        <v>1700</v>
      </c>
      <c r="I31">
        <v>425</v>
      </c>
      <c r="J31">
        <v>641</v>
      </c>
      <c r="K31">
        <v>377</v>
      </c>
      <c r="L31">
        <v>1098</v>
      </c>
      <c r="M31">
        <v>308</v>
      </c>
      <c r="N31">
        <v>227</v>
      </c>
      <c r="O31">
        <v>93</v>
      </c>
      <c r="P31">
        <v>418</v>
      </c>
      <c r="Q31">
        <v>645</v>
      </c>
      <c r="R31">
        <v>30</v>
      </c>
    </row>
    <row r="32" spans="1:18">
      <c r="A32" s="1" t="s">
        <v>40</v>
      </c>
      <c r="B32">
        <v>35</v>
      </c>
      <c r="C32">
        <v>25</v>
      </c>
      <c r="D32">
        <v>10</v>
      </c>
      <c r="E32">
        <v>5.0199999999999996</v>
      </c>
      <c r="F32">
        <v>2931</v>
      </c>
      <c r="G32">
        <v>976</v>
      </c>
      <c r="H32">
        <v>2090</v>
      </c>
      <c r="I32">
        <v>679</v>
      </c>
      <c r="J32">
        <v>886</v>
      </c>
      <c r="K32">
        <v>421</v>
      </c>
      <c r="L32">
        <v>1349</v>
      </c>
      <c r="M32">
        <v>594</v>
      </c>
      <c r="N32">
        <v>257</v>
      </c>
      <c r="O32">
        <v>103</v>
      </c>
      <c r="P32">
        <v>417</v>
      </c>
      <c r="Q32">
        <v>721</v>
      </c>
      <c r="R32">
        <v>31</v>
      </c>
    </row>
    <row r="33" spans="1:18">
      <c r="A33" s="1" t="s">
        <v>41</v>
      </c>
      <c r="B33">
        <v>31</v>
      </c>
      <c r="C33">
        <v>13</v>
      </c>
      <c r="D33">
        <v>18</v>
      </c>
      <c r="E33">
        <v>-1.99</v>
      </c>
      <c r="F33">
        <v>2048</v>
      </c>
      <c r="G33">
        <v>686</v>
      </c>
      <c r="H33">
        <v>1623</v>
      </c>
      <c r="I33">
        <v>501</v>
      </c>
      <c r="J33">
        <v>727</v>
      </c>
      <c r="K33">
        <v>324</v>
      </c>
      <c r="L33">
        <v>1129</v>
      </c>
      <c r="M33">
        <v>369</v>
      </c>
      <c r="N33">
        <v>139</v>
      </c>
      <c r="O33">
        <v>138</v>
      </c>
      <c r="P33">
        <v>460</v>
      </c>
      <c r="Q33">
        <v>591</v>
      </c>
      <c r="R33">
        <v>32</v>
      </c>
    </row>
    <row r="34" spans="1:18">
      <c r="A34" s="1" t="s">
        <v>352</v>
      </c>
      <c r="B34">
        <v>31</v>
      </c>
      <c r="C34">
        <v>16</v>
      </c>
      <c r="D34">
        <v>15</v>
      </c>
      <c r="E34">
        <v>-4.93</v>
      </c>
      <c r="F34">
        <v>2058</v>
      </c>
      <c r="G34">
        <v>709</v>
      </c>
      <c r="H34">
        <v>1683</v>
      </c>
      <c r="I34">
        <v>414</v>
      </c>
      <c r="J34">
        <v>552</v>
      </c>
      <c r="K34">
        <v>306</v>
      </c>
      <c r="L34">
        <v>1029</v>
      </c>
      <c r="M34">
        <v>381</v>
      </c>
      <c r="N34">
        <v>157</v>
      </c>
      <c r="O34">
        <v>77</v>
      </c>
      <c r="P34">
        <v>366</v>
      </c>
      <c r="Q34">
        <v>560</v>
      </c>
      <c r="R34">
        <v>33</v>
      </c>
    </row>
    <row r="35" spans="1:18">
      <c r="A35" s="1" t="s">
        <v>42</v>
      </c>
      <c r="B35">
        <v>34</v>
      </c>
      <c r="C35">
        <v>19</v>
      </c>
      <c r="D35">
        <v>15</v>
      </c>
      <c r="E35">
        <v>-2.75</v>
      </c>
      <c r="F35">
        <v>2339</v>
      </c>
      <c r="G35">
        <v>800</v>
      </c>
      <c r="H35">
        <v>1828</v>
      </c>
      <c r="I35">
        <v>506</v>
      </c>
      <c r="J35">
        <v>726</v>
      </c>
      <c r="K35">
        <v>340</v>
      </c>
      <c r="L35">
        <v>1145</v>
      </c>
      <c r="M35">
        <v>446</v>
      </c>
      <c r="N35">
        <v>139</v>
      </c>
      <c r="O35">
        <v>95</v>
      </c>
      <c r="P35">
        <v>377</v>
      </c>
      <c r="Q35">
        <v>631</v>
      </c>
      <c r="R35">
        <v>34</v>
      </c>
    </row>
    <row r="36" spans="1:18">
      <c r="A36" s="1" t="s">
        <v>43</v>
      </c>
      <c r="B36">
        <v>33</v>
      </c>
      <c r="C36">
        <v>23</v>
      </c>
      <c r="D36">
        <v>10</v>
      </c>
      <c r="E36">
        <v>1.6</v>
      </c>
      <c r="F36">
        <v>2462</v>
      </c>
      <c r="G36">
        <v>837</v>
      </c>
      <c r="H36">
        <v>1922</v>
      </c>
      <c r="I36">
        <v>589</v>
      </c>
      <c r="J36">
        <v>819</v>
      </c>
      <c r="K36">
        <v>420</v>
      </c>
      <c r="L36">
        <v>1260</v>
      </c>
      <c r="M36">
        <v>433</v>
      </c>
      <c r="N36">
        <v>248</v>
      </c>
      <c r="O36">
        <v>132</v>
      </c>
      <c r="P36">
        <v>378</v>
      </c>
      <c r="Q36">
        <v>613</v>
      </c>
      <c r="R36">
        <v>35</v>
      </c>
    </row>
    <row r="37" spans="1:18">
      <c r="A37" s="1" t="s">
        <v>304</v>
      </c>
      <c r="B37">
        <v>34</v>
      </c>
      <c r="C37">
        <v>23</v>
      </c>
      <c r="D37">
        <v>11</v>
      </c>
      <c r="E37">
        <v>8.6199999999999992</v>
      </c>
      <c r="F37">
        <v>2346</v>
      </c>
      <c r="G37">
        <v>814</v>
      </c>
      <c r="H37">
        <v>1882</v>
      </c>
      <c r="I37">
        <v>526</v>
      </c>
      <c r="J37">
        <v>767</v>
      </c>
      <c r="K37">
        <v>408</v>
      </c>
      <c r="L37">
        <v>1239</v>
      </c>
      <c r="M37">
        <v>387</v>
      </c>
      <c r="N37">
        <v>217</v>
      </c>
      <c r="O37">
        <v>103</v>
      </c>
      <c r="P37">
        <v>376</v>
      </c>
      <c r="Q37">
        <v>592</v>
      </c>
      <c r="R37">
        <v>36</v>
      </c>
    </row>
    <row r="38" spans="1:18">
      <c r="A38" s="1" t="s">
        <v>44</v>
      </c>
      <c r="B38">
        <v>29</v>
      </c>
      <c r="C38">
        <v>13</v>
      </c>
      <c r="D38">
        <v>16</v>
      </c>
      <c r="E38">
        <v>0.43</v>
      </c>
      <c r="F38">
        <v>1752</v>
      </c>
      <c r="G38">
        <v>620</v>
      </c>
      <c r="H38">
        <v>1589</v>
      </c>
      <c r="I38">
        <v>346</v>
      </c>
      <c r="J38">
        <v>506</v>
      </c>
      <c r="K38">
        <v>342</v>
      </c>
      <c r="L38">
        <v>1002</v>
      </c>
      <c r="M38">
        <v>295</v>
      </c>
      <c r="N38">
        <v>158</v>
      </c>
      <c r="O38">
        <v>87</v>
      </c>
      <c r="P38">
        <v>255</v>
      </c>
      <c r="Q38">
        <v>465</v>
      </c>
      <c r="R38">
        <v>37</v>
      </c>
    </row>
    <row r="39" spans="1:18">
      <c r="A39" s="1" t="s">
        <v>343</v>
      </c>
      <c r="B39">
        <v>33</v>
      </c>
      <c r="C39">
        <v>14</v>
      </c>
      <c r="D39">
        <v>19</v>
      </c>
      <c r="E39">
        <v>-5.8</v>
      </c>
      <c r="F39">
        <v>2100</v>
      </c>
      <c r="G39">
        <v>715</v>
      </c>
      <c r="H39">
        <v>1703</v>
      </c>
      <c r="I39">
        <v>484</v>
      </c>
      <c r="J39">
        <v>669</v>
      </c>
      <c r="K39">
        <v>368</v>
      </c>
      <c r="L39">
        <v>1143</v>
      </c>
      <c r="M39">
        <v>427</v>
      </c>
      <c r="N39">
        <v>190</v>
      </c>
      <c r="O39">
        <v>59</v>
      </c>
      <c r="P39">
        <v>409</v>
      </c>
      <c r="Q39">
        <v>673</v>
      </c>
      <c r="R39">
        <v>38</v>
      </c>
    </row>
    <row r="40" spans="1:18">
      <c r="A40" s="1" t="s">
        <v>45</v>
      </c>
      <c r="B40">
        <v>31</v>
      </c>
      <c r="C40">
        <v>9</v>
      </c>
      <c r="D40">
        <v>22</v>
      </c>
      <c r="E40">
        <v>-1.06</v>
      </c>
      <c r="F40">
        <v>1991</v>
      </c>
      <c r="G40">
        <v>698</v>
      </c>
      <c r="H40">
        <v>1695</v>
      </c>
      <c r="I40">
        <v>428</v>
      </c>
      <c r="J40">
        <v>623</v>
      </c>
      <c r="K40">
        <v>323</v>
      </c>
      <c r="L40">
        <v>1088</v>
      </c>
      <c r="M40">
        <v>305</v>
      </c>
      <c r="N40">
        <v>156</v>
      </c>
      <c r="O40">
        <v>62</v>
      </c>
      <c r="P40">
        <v>391</v>
      </c>
      <c r="Q40">
        <v>566</v>
      </c>
      <c r="R40">
        <v>39</v>
      </c>
    </row>
    <row r="41" spans="1:18">
      <c r="A41" s="1" t="s">
        <v>46</v>
      </c>
      <c r="B41">
        <v>33</v>
      </c>
      <c r="C41">
        <v>9</v>
      </c>
      <c r="D41">
        <v>24</v>
      </c>
      <c r="E41">
        <v>0.39</v>
      </c>
      <c r="F41">
        <v>2148</v>
      </c>
      <c r="G41">
        <v>740</v>
      </c>
      <c r="H41">
        <v>1742</v>
      </c>
      <c r="I41">
        <v>558</v>
      </c>
      <c r="J41">
        <v>729</v>
      </c>
      <c r="K41">
        <v>325</v>
      </c>
      <c r="L41">
        <v>1133</v>
      </c>
      <c r="M41">
        <v>443</v>
      </c>
      <c r="N41">
        <v>180</v>
      </c>
      <c r="O41">
        <v>125</v>
      </c>
      <c r="P41">
        <v>435</v>
      </c>
      <c r="Q41">
        <v>597</v>
      </c>
      <c r="R41">
        <v>40</v>
      </c>
    </row>
    <row r="42" spans="1:18">
      <c r="A42" s="1" t="s">
        <v>330</v>
      </c>
      <c r="B42">
        <v>32</v>
      </c>
      <c r="C42">
        <v>25</v>
      </c>
      <c r="D42">
        <v>7</v>
      </c>
      <c r="E42">
        <v>-2.58</v>
      </c>
      <c r="F42">
        <v>2263</v>
      </c>
      <c r="G42">
        <v>775</v>
      </c>
      <c r="H42">
        <v>1583</v>
      </c>
      <c r="I42">
        <v>439</v>
      </c>
      <c r="J42">
        <v>598</v>
      </c>
      <c r="K42">
        <v>255</v>
      </c>
      <c r="L42">
        <v>995</v>
      </c>
      <c r="M42">
        <v>425</v>
      </c>
      <c r="N42">
        <v>165</v>
      </c>
      <c r="O42">
        <v>63</v>
      </c>
      <c r="P42">
        <v>427</v>
      </c>
      <c r="Q42">
        <v>563</v>
      </c>
      <c r="R42">
        <v>41</v>
      </c>
    </row>
    <row r="43" spans="1:18">
      <c r="A43" s="1" t="s">
        <v>47</v>
      </c>
      <c r="B43">
        <v>34</v>
      </c>
      <c r="C43">
        <v>21</v>
      </c>
      <c r="D43">
        <v>13</v>
      </c>
      <c r="E43">
        <v>0.45</v>
      </c>
      <c r="F43">
        <v>2295</v>
      </c>
      <c r="G43">
        <v>854</v>
      </c>
      <c r="H43">
        <v>1851</v>
      </c>
      <c r="I43">
        <v>370</v>
      </c>
      <c r="J43">
        <v>541</v>
      </c>
      <c r="K43">
        <v>329</v>
      </c>
      <c r="L43">
        <v>1198</v>
      </c>
      <c r="M43">
        <v>480</v>
      </c>
      <c r="N43">
        <v>194</v>
      </c>
      <c r="O43">
        <v>168</v>
      </c>
      <c r="P43">
        <v>396</v>
      </c>
      <c r="Q43">
        <v>578</v>
      </c>
      <c r="R43">
        <v>42</v>
      </c>
    </row>
    <row r="44" spans="1:18">
      <c r="A44" s="1" t="s">
        <v>305</v>
      </c>
      <c r="B44">
        <v>31</v>
      </c>
      <c r="C44">
        <v>14</v>
      </c>
      <c r="D44">
        <v>17</v>
      </c>
      <c r="E44">
        <v>-1.1599999999999999</v>
      </c>
      <c r="F44">
        <v>2025</v>
      </c>
      <c r="G44">
        <v>707</v>
      </c>
      <c r="H44">
        <v>1691</v>
      </c>
      <c r="I44">
        <v>404</v>
      </c>
      <c r="J44">
        <v>592</v>
      </c>
      <c r="K44">
        <v>337</v>
      </c>
      <c r="L44">
        <v>1080</v>
      </c>
      <c r="M44">
        <v>399</v>
      </c>
      <c r="N44">
        <v>208</v>
      </c>
      <c r="O44">
        <v>111</v>
      </c>
      <c r="P44">
        <v>413</v>
      </c>
      <c r="Q44">
        <v>626</v>
      </c>
      <c r="R44">
        <v>43</v>
      </c>
    </row>
    <row r="45" spans="1:18">
      <c r="A45" s="1" t="s">
        <v>48</v>
      </c>
      <c r="B45">
        <v>33</v>
      </c>
      <c r="C45">
        <v>19</v>
      </c>
      <c r="D45">
        <v>14</v>
      </c>
      <c r="E45">
        <v>0.98</v>
      </c>
      <c r="F45">
        <v>2258</v>
      </c>
      <c r="G45">
        <v>806</v>
      </c>
      <c r="H45">
        <v>1836</v>
      </c>
      <c r="I45">
        <v>421</v>
      </c>
      <c r="J45">
        <v>572</v>
      </c>
      <c r="K45">
        <v>352</v>
      </c>
      <c r="L45">
        <v>1134</v>
      </c>
      <c r="M45">
        <v>503</v>
      </c>
      <c r="N45">
        <v>171</v>
      </c>
      <c r="O45">
        <v>118</v>
      </c>
      <c r="P45">
        <v>360</v>
      </c>
      <c r="Q45">
        <v>619</v>
      </c>
      <c r="R45">
        <v>44</v>
      </c>
    </row>
    <row r="46" spans="1:18">
      <c r="A46" s="1" t="s">
        <v>49</v>
      </c>
      <c r="B46">
        <v>33</v>
      </c>
      <c r="C46">
        <v>18</v>
      </c>
      <c r="D46">
        <v>15</v>
      </c>
      <c r="E46">
        <v>6.15</v>
      </c>
      <c r="F46">
        <v>2195</v>
      </c>
      <c r="G46">
        <v>821</v>
      </c>
      <c r="H46">
        <v>1868</v>
      </c>
      <c r="I46">
        <v>368</v>
      </c>
      <c r="J46">
        <v>567</v>
      </c>
      <c r="K46">
        <v>299</v>
      </c>
      <c r="L46">
        <v>1170</v>
      </c>
      <c r="M46">
        <v>412</v>
      </c>
      <c r="N46">
        <v>137</v>
      </c>
      <c r="O46">
        <v>127</v>
      </c>
      <c r="P46">
        <v>365</v>
      </c>
      <c r="Q46">
        <v>627</v>
      </c>
      <c r="R46">
        <v>45</v>
      </c>
    </row>
    <row r="47" spans="1:18">
      <c r="A47" s="1" t="s">
        <v>50</v>
      </c>
      <c r="B47">
        <v>32</v>
      </c>
      <c r="C47">
        <v>10</v>
      </c>
      <c r="D47">
        <v>22</v>
      </c>
      <c r="E47">
        <v>-5.3</v>
      </c>
      <c r="F47">
        <v>2045</v>
      </c>
      <c r="G47">
        <v>705</v>
      </c>
      <c r="H47">
        <v>1654</v>
      </c>
      <c r="I47">
        <v>373</v>
      </c>
      <c r="J47">
        <v>597</v>
      </c>
      <c r="K47">
        <v>305</v>
      </c>
      <c r="L47">
        <v>988</v>
      </c>
      <c r="M47">
        <v>419</v>
      </c>
      <c r="N47">
        <v>226</v>
      </c>
      <c r="O47">
        <v>92</v>
      </c>
      <c r="P47">
        <v>403</v>
      </c>
      <c r="Q47">
        <v>576</v>
      </c>
      <c r="R47">
        <v>46</v>
      </c>
    </row>
    <row r="48" spans="1:18">
      <c r="A48" s="1" t="s">
        <v>51</v>
      </c>
      <c r="B48">
        <v>33</v>
      </c>
      <c r="C48">
        <v>18</v>
      </c>
      <c r="D48">
        <v>15</v>
      </c>
      <c r="E48">
        <v>-2.79</v>
      </c>
      <c r="F48">
        <v>2168</v>
      </c>
      <c r="G48">
        <v>762</v>
      </c>
      <c r="H48">
        <v>1864</v>
      </c>
      <c r="I48">
        <v>429</v>
      </c>
      <c r="J48">
        <v>596</v>
      </c>
      <c r="K48">
        <v>401</v>
      </c>
      <c r="L48">
        <v>1157</v>
      </c>
      <c r="M48">
        <v>465</v>
      </c>
      <c r="N48">
        <v>223</v>
      </c>
      <c r="O48">
        <v>108</v>
      </c>
      <c r="P48">
        <v>393</v>
      </c>
      <c r="Q48">
        <v>608</v>
      </c>
      <c r="R48">
        <v>47</v>
      </c>
    </row>
    <row r="49" spans="1:18">
      <c r="A49" s="1" t="s">
        <v>344</v>
      </c>
      <c r="B49">
        <v>29</v>
      </c>
      <c r="C49">
        <v>2</v>
      </c>
      <c r="D49">
        <v>27</v>
      </c>
      <c r="E49">
        <v>-5.94</v>
      </c>
      <c r="F49">
        <v>1894</v>
      </c>
      <c r="G49">
        <v>646</v>
      </c>
      <c r="H49">
        <v>1524</v>
      </c>
      <c r="I49">
        <v>406</v>
      </c>
      <c r="J49">
        <v>599</v>
      </c>
      <c r="K49">
        <v>273</v>
      </c>
      <c r="L49">
        <v>903</v>
      </c>
      <c r="M49">
        <v>361</v>
      </c>
      <c r="N49">
        <v>182</v>
      </c>
      <c r="O49">
        <v>114</v>
      </c>
      <c r="P49">
        <v>529</v>
      </c>
      <c r="Q49">
        <v>604</v>
      </c>
      <c r="R49">
        <v>48</v>
      </c>
    </row>
    <row r="50" spans="1:18">
      <c r="A50" s="1" t="s">
        <v>274</v>
      </c>
      <c r="B50">
        <v>31</v>
      </c>
      <c r="C50">
        <v>5</v>
      </c>
      <c r="D50">
        <v>26</v>
      </c>
      <c r="E50">
        <v>-5.62</v>
      </c>
      <c r="F50">
        <v>1834</v>
      </c>
      <c r="G50">
        <v>674</v>
      </c>
      <c r="H50">
        <v>1675</v>
      </c>
      <c r="I50">
        <v>340</v>
      </c>
      <c r="J50">
        <v>479</v>
      </c>
      <c r="K50">
        <v>332</v>
      </c>
      <c r="L50">
        <v>1046</v>
      </c>
      <c r="M50">
        <v>340</v>
      </c>
      <c r="N50">
        <v>153</v>
      </c>
      <c r="O50">
        <v>109</v>
      </c>
      <c r="P50">
        <v>425</v>
      </c>
      <c r="Q50">
        <v>429</v>
      </c>
      <c r="R50">
        <v>49</v>
      </c>
    </row>
    <row r="51" spans="1:18">
      <c r="A51" s="1" t="s">
        <v>53</v>
      </c>
      <c r="B51">
        <v>30</v>
      </c>
      <c r="C51">
        <v>12</v>
      </c>
      <c r="D51">
        <v>18</v>
      </c>
      <c r="E51">
        <v>0.78</v>
      </c>
      <c r="F51">
        <v>1981</v>
      </c>
      <c r="G51">
        <v>704</v>
      </c>
      <c r="H51">
        <v>1621</v>
      </c>
      <c r="I51">
        <v>371</v>
      </c>
      <c r="J51">
        <v>577</v>
      </c>
      <c r="K51">
        <v>313</v>
      </c>
      <c r="L51">
        <v>997</v>
      </c>
      <c r="M51">
        <v>369</v>
      </c>
      <c r="N51">
        <v>155</v>
      </c>
      <c r="O51">
        <v>128</v>
      </c>
      <c r="P51">
        <v>390</v>
      </c>
      <c r="Q51">
        <v>470</v>
      </c>
      <c r="R51">
        <v>50</v>
      </c>
    </row>
    <row r="52" spans="1:18">
      <c r="A52" s="1" t="s">
        <v>54</v>
      </c>
      <c r="B52">
        <v>32</v>
      </c>
      <c r="C52">
        <v>23</v>
      </c>
      <c r="D52">
        <v>9</v>
      </c>
      <c r="E52">
        <v>-1.1000000000000001</v>
      </c>
      <c r="F52">
        <v>2504</v>
      </c>
      <c r="G52">
        <v>848</v>
      </c>
      <c r="H52">
        <v>1816</v>
      </c>
      <c r="I52">
        <v>486</v>
      </c>
      <c r="J52">
        <v>670</v>
      </c>
      <c r="K52">
        <v>327</v>
      </c>
      <c r="L52">
        <v>1080</v>
      </c>
      <c r="M52">
        <v>447</v>
      </c>
      <c r="N52">
        <v>226</v>
      </c>
      <c r="O52">
        <v>84</v>
      </c>
      <c r="P52">
        <v>325</v>
      </c>
      <c r="Q52">
        <v>562</v>
      </c>
      <c r="R52">
        <v>51</v>
      </c>
    </row>
    <row r="53" spans="1:18">
      <c r="A53" s="1" t="s">
        <v>55</v>
      </c>
      <c r="B53">
        <v>31</v>
      </c>
      <c r="C53">
        <v>19</v>
      </c>
      <c r="D53">
        <v>12</v>
      </c>
      <c r="E53">
        <v>-5.23</v>
      </c>
      <c r="F53">
        <v>2277</v>
      </c>
      <c r="G53">
        <v>777</v>
      </c>
      <c r="H53">
        <v>1846</v>
      </c>
      <c r="I53">
        <v>435</v>
      </c>
      <c r="J53">
        <v>633</v>
      </c>
      <c r="K53">
        <v>403</v>
      </c>
      <c r="L53">
        <v>1171</v>
      </c>
      <c r="M53">
        <v>397</v>
      </c>
      <c r="N53">
        <v>214</v>
      </c>
      <c r="O53">
        <v>69</v>
      </c>
      <c r="P53">
        <v>354</v>
      </c>
      <c r="Q53">
        <v>540</v>
      </c>
      <c r="R53">
        <v>52</v>
      </c>
    </row>
    <row r="54" spans="1:18">
      <c r="A54" s="1" t="s">
        <v>56</v>
      </c>
      <c r="B54">
        <v>32</v>
      </c>
      <c r="C54">
        <v>14</v>
      </c>
      <c r="D54">
        <v>18</v>
      </c>
      <c r="E54">
        <v>0.35</v>
      </c>
      <c r="F54">
        <v>2362</v>
      </c>
      <c r="G54">
        <v>858</v>
      </c>
      <c r="H54">
        <v>1853</v>
      </c>
      <c r="I54">
        <v>445</v>
      </c>
      <c r="J54">
        <v>685</v>
      </c>
      <c r="K54">
        <v>382</v>
      </c>
      <c r="L54">
        <v>1166</v>
      </c>
      <c r="M54">
        <v>437</v>
      </c>
      <c r="N54">
        <v>207</v>
      </c>
      <c r="O54">
        <v>80</v>
      </c>
      <c r="P54">
        <v>435</v>
      </c>
      <c r="Q54">
        <v>558</v>
      </c>
      <c r="R54">
        <v>53</v>
      </c>
    </row>
    <row r="55" spans="1:18">
      <c r="A55" s="1" t="s">
        <v>57</v>
      </c>
      <c r="B55">
        <v>32</v>
      </c>
      <c r="C55">
        <v>22</v>
      </c>
      <c r="D55">
        <v>10</v>
      </c>
      <c r="E55">
        <v>-4.0599999999999996</v>
      </c>
      <c r="F55">
        <v>2325</v>
      </c>
      <c r="G55">
        <v>793</v>
      </c>
      <c r="H55">
        <v>1754</v>
      </c>
      <c r="I55">
        <v>522</v>
      </c>
      <c r="J55">
        <v>762</v>
      </c>
      <c r="K55">
        <v>371</v>
      </c>
      <c r="L55">
        <v>1118</v>
      </c>
      <c r="M55">
        <v>384</v>
      </c>
      <c r="N55">
        <v>210</v>
      </c>
      <c r="O55">
        <v>203</v>
      </c>
      <c r="P55">
        <v>418</v>
      </c>
      <c r="Q55">
        <v>620</v>
      </c>
      <c r="R55">
        <v>54</v>
      </c>
    </row>
    <row r="56" spans="1:18">
      <c r="A56" s="1" t="s">
        <v>58</v>
      </c>
      <c r="B56">
        <v>32</v>
      </c>
      <c r="C56">
        <v>8</v>
      </c>
      <c r="D56">
        <v>24</v>
      </c>
      <c r="E56">
        <v>-2.48</v>
      </c>
      <c r="F56">
        <v>1855</v>
      </c>
      <c r="G56">
        <v>659</v>
      </c>
      <c r="H56">
        <v>1747</v>
      </c>
      <c r="I56">
        <v>343</v>
      </c>
      <c r="J56">
        <v>514</v>
      </c>
      <c r="K56">
        <v>391</v>
      </c>
      <c r="L56">
        <v>1050</v>
      </c>
      <c r="M56">
        <v>295</v>
      </c>
      <c r="N56">
        <v>268</v>
      </c>
      <c r="O56">
        <v>93</v>
      </c>
      <c r="P56">
        <v>471</v>
      </c>
      <c r="Q56">
        <v>680</v>
      </c>
      <c r="R56">
        <v>55</v>
      </c>
    </row>
    <row r="57" spans="1:18">
      <c r="A57" s="1" t="s">
        <v>335</v>
      </c>
      <c r="B57">
        <v>34</v>
      </c>
      <c r="C57">
        <v>23</v>
      </c>
      <c r="D57">
        <v>11</v>
      </c>
      <c r="E57">
        <v>4.4000000000000004</v>
      </c>
      <c r="F57">
        <v>2113</v>
      </c>
      <c r="G57">
        <v>761</v>
      </c>
      <c r="H57">
        <v>1705</v>
      </c>
      <c r="I57">
        <v>424</v>
      </c>
      <c r="J57">
        <v>633</v>
      </c>
      <c r="K57">
        <v>383</v>
      </c>
      <c r="L57">
        <v>1178</v>
      </c>
      <c r="M57">
        <v>394</v>
      </c>
      <c r="N57">
        <v>222</v>
      </c>
      <c r="O57">
        <v>185</v>
      </c>
      <c r="P57">
        <v>432</v>
      </c>
      <c r="Q57">
        <v>507</v>
      </c>
      <c r="R57">
        <v>56</v>
      </c>
    </row>
    <row r="58" spans="1:18">
      <c r="A58" s="1" t="s">
        <v>59</v>
      </c>
      <c r="B58">
        <v>30</v>
      </c>
      <c r="C58">
        <v>11</v>
      </c>
      <c r="D58">
        <v>19</v>
      </c>
      <c r="E58">
        <v>-4.68</v>
      </c>
      <c r="F58">
        <v>1919</v>
      </c>
      <c r="G58">
        <v>647</v>
      </c>
      <c r="H58">
        <v>1436</v>
      </c>
      <c r="I58">
        <v>419</v>
      </c>
      <c r="J58">
        <v>546</v>
      </c>
      <c r="K58">
        <v>271</v>
      </c>
      <c r="L58">
        <v>874</v>
      </c>
      <c r="M58">
        <v>394</v>
      </c>
      <c r="N58">
        <v>141</v>
      </c>
      <c r="O58">
        <v>66</v>
      </c>
      <c r="P58">
        <v>392</v>
      </c>
      <c r="Q58">
        <v>449</v>
      </c>
      <c r="R58">
        <v>57</v>
      </c>
    </row>
    <row r="59" spans="1:18">
      <c r="A59" s="1" t="s">
        <v>60</v>
      </c>
      <c r="B59">
        <v>31</v>
      </c>
      <c r="C59">
        <v>16</v>
      </c>
      <c r="D59">
        <v>15</v>
      </c>
      <c r="E59">
        <v>7.18</v>
      </c>
      <c r="F59">
        <v>1944</v>
      </c>
      <c r="G59">
        <v>689</v>
      </c>
      <c r="H59">
        <v>1685</v>
      </c>
      <c r="I59">
        <v>395</v>
      </c>
      <c r="J59">
        <v>579</v>
      </c>
      <c r="K59">
        <v>369</v>
      </c>
      <c r="L59">
        <v>1122</v>
      </c>
      <c r="M59">
        <v>330</v>
      </c>
      <c r="N59">
        <v>168</v>
      </c>
      <c r="O59">
        <v>148</v>
      </c>
      <c r="P59">
        <v>365</v>
      </c>
      <c r="Q59">
        <v>502</v>
      </c>
      <c r="R59">
        <v>58</v>
      </c>
    </row>
    <row r="60" spans="1:18">
      <c r="A60" s="1" t="s">
        <v>61</v>
      </c>
      <c r="B60">
        <v>34</v>
      </c>
      <c r="C60">
        <v>19</v>
      </c>
      <c r="D60">
        <v>15</v>
      </c>
      <c r="E60">
        <v>-0.78</v>
      </c>
      <c r="F60">
        <v>2296</v>
      </c>
      <c r="G60">
        <v>836</v>
      </c>
      <c r="H60">
        <v>1820</v>
      </c>
      <c r="I60">
        <v>395</v>
      </c>
      <c r="J60">
        <v>575</v>
      </c>
      <c r="K60">
        <v>353</v>
      </c>
      <c r="L60">
        <v>1072</v>
      </c>
      <c r="M60">
        <v>454</v>
      </c>
      <c r="N60">
        <v>266</v>
      </c>
      <c r="O60">
        <v>112</v>
      </c>
      <c r="P60">
        <v>408</v>
      </c>
      <c r="Q60">
        <v>652</v>
      </c>
      <c r="R60">
        <v>59</v>
      </c>
    </row>
    <row r="61" spans="1:18">
      <c r="A61" s="1" t="s">
        <v>62</v>
      </c>
      <c r="B61">
        <v>34</v>
      </c>
      <c r="C61">
        <v>24</v>
      </c>
      <c r="D61">
        <v>10</v>
      </c>
      <c r="E61">
        <v>-6.18</v>
      </c>
      <c r="F61">
        <v>2438</v>
      </c>
      <c r="G61">
        <v>836</v>
      </c>
      <c r="H61">
        <v>1899</v>
      </c>
      <c r="I61">
        <v>538</v>
      </c>
      <c r="J61">
        <v>780</v>
      </c>
      <c r="K61">
        <v>447</v>
      </c>
      <c r="L61">
        <v>1338</v>
      </c>
      <c r="M61">
        <v>385</v>
      </c>
      <c r="N61">
        <v>240</v>
      </c>
      <c r="O61">
        <v>111</v>
      </c>
      <c r="P61">
        <v>399</v>
      </c>
      <c r="Q61">
        <v>559</v>
      </c>
      <c r="R61">
        <v>60</v>
      </c>
    </row>
    <row r="62" spans="1:18">
      <c r="A62" s="1" t="s">
        <v>63</v>
      </c>
      <c r="B62">
        <v>33</v>
      </c>
      <c r="C62">
        <v>16</v>
      </c>
      <c r="D62">
        <v>17</v>
      </c>
      <c r="E62">
        <v>-3.41</v>
      </c>
      <c r="F62">
        <v>2177</v>
      </c>
      <c r="G62">
        <v>804</v>
      </c>
      <c r="H62">
        <v>1661</v>
      </c>
      <c r="I62">
        <v>316</v>
      </c>
      <c r="J62">
        <v>453</v>
      </c>
      <c r="K62">
        <v>229</v>
      </c>
      <c r="L62">
        <v>994</v>
      </c>
      <c r="M62">
        <v>446</v>
      </c>
      <c r="N62">
        <v>170</v>
      </c>
      <c r="O62">
        <v>89</v>
      </c>
      <c r="P62">
        <v>379</v>
      </c>
      <c r="Q62">
        <v>557</v>
      </c>
      <c r="R62">
        <v>61</v>
      </c>
    </row>
    <row r="63" spans="1:18">
      <c r="A63" s="1" t="s">
        <v>64</v>
      </c>
      <c r="B63">
        <v>33</v>
      </c>
      <c r="C63">
        <v>9</v>
      </c>
      <c r="D63">
        <v>24</v>
      </c>
      <c r="E63">
        <v>-1.26</v>
      </c>
      <c r="F63">
        <v>1934</v>
      </c>
      <c r="G63">
        <v>686</v>
      </c>
      <c r="H63">
        <v>1708</v>
      </c>
      <c r="I63">
        <v>365</v>
      </c>
      <c r="J63">
        <v>553</v>
      </c>
      <c r="K63">
        <v>314</v>
      </c>
      <c r="L63">
        <v>1064</v>
      </c>
      <c r="M63">
        <v>317</v>
      </c>
      <c r="N63">
        <v>182</v>
      </c>
      <c r="O63">
        <v>96</v>
      </c>
      <c r="P63">
        <v>397</v>
      </c>
      <c r="Q63">
        <v>679</v>
      </c>
      <c r="R63">
        <v>62</v>
      </c>
    </row>
    <row r="64" spans="1:18">
      <c r="A64" s="1" t="s">
        <v>65</v>
      </c>
      <c r="B64">
        <v>34</v>
      </c>
      <c r="C64">
        <v>27</v>
      </c>
      <c r="D64">
        <v>7</v>
      </c>
      <c r="E64">
        <v>0.69</v>
      </c>
      <c r="F64">
        <v>2454</v>
      </c>
      <c r="G64">
        <v>837</v>
      </c>
      <c r="H64">
        <v>1901</v>
      </c>
      <c r="I64">
        <v>535</v>
      </c>
      <c r="J64">
        <v>794</v>
      </c>
      <c r="K64">
        <v>411</v>
      </c>
      <c r="L64">
        <v>1287</v>
      </c>
      <c r="M64">
        <v>499</v>
      </c>
      <c r="N64">
        <v>190</v>
      </c>
      <c r="O64">
        <v>116</v>
      </c>
      <c r="P64">
        <v>361</v>
      </c>
      <c r="Q64">
        <v>573</v>
      </c>
      <c r="R64">
        <v>63</v>
      </c>
    </row>
    <row r="65" spans="1:18">
      <c r="A65" s="1" t="s">
        <v>66</v>
      </c>
      <c r="B65">
        <v>34</v>
      </c>
      <c r="C65">
        <v>16</v>
      </c>
      <c r="D65">
        <v>18</v>
      </c>
      <c r="E65">
        <v>6.19</v>
      </c>
      <c r="F65">
        <v>2345</v>
      </c>
      <c r="G65">
        <v>812</v>
      </c>
      <c r="H65">
        <v>1861</v>
      </c>
      <c r="I65">
        <v>542</v>
      </c>
      <c r="J65">
        <v>760</v>
      </c>
      <c r="K65">
        <v>400</v>
      </c>
      <c r="L65">
        <v>1269</v>
      </c>
      <c r="M65">
        <v>400</v>
      </c>
      <c r="N65">
        <v>194</v>
      </c>
      <c r="O65">
        <v>133</v>
      </c>
      <c r="P65">
        <v>450</v>
      </c>
      <c r="Q65">
        <v>614</v>
      </c>
      <c r="R65">
        <v>64</v>
      </c>
    </row>
    <row r="66" spans="1:18">
      <c r="A66" s="1" t="s">
        <v>67</v>
      </c>
      <c r="B66">
        <v>28</v>
      </c>
      <c r="C66">
        <v>13</v>
      </c>
      <c r="D66">
        <v>15</v>
      </c>
      <c r="E66">
        <v>-1.49</v>
      </c>
      <c r="F66">
        <v>1816</v>
      </c>
      <c r="G66">
        <v>637</v>
      </c>
      <c r="H66">
        <v>1453</v>
      </c>
      <c r="I66">
        <v>298</v>
      </c>
      <c r="J66">
        <v>416</v>
      </c>
      <c r="K66">
        <v>287</v>
      </c>
      <c r="L66">
        <v>916</v>
      </c>
      <c r="M66">
        <v>333</v>
      </c>
      <c r="N66">
        <v>137</v>
      </c>
      <c r="O66">
        <v>100</v>
      </c>
      <c r="P66">
        <v>328</v>
      </c>
      <c r="Q66">
        <v>502</v>
      </c>
      <c r="R66">
        <v>65</v>
      </c>
    </row>
    <row r="67" spans="1:18">
      <c r="A67" s="1" t="s">
        <v>275</v>
      </c>
      <c r="B67">
        <v>35</v>
      </c>
      <c r="C67">
        <v>20</v>
      </c>
      <c r="D67">
        <v>15</v>
      </c>
      <c r="E67">
        <v>4.22</v>
      </c>
      <c r="F67">
        <v>2243</v>
      </c>
      <c r="G67">
        <v>800</v>
      </c>
      <c r="H67">
        <v>1824</v>
      </c>
      <c r="I67">
        <v>417</v>
      </c>
      <c r="J67">
        <v>590</v>
      </c>
      <c r="K67">
        <v>331</v>
      </c>
      <c r="L67">
        <v>1178</v>
      </c>
      <c r="M67">
        <v>416</v>
      </c>
      <c r="N67">
        <v>166</v>
      </c>
      <c r="O67">
        <v>183</v>
      </c>
      <c r="P67">
        <v>404</v>
      </c>
      <c r="Q67">
        <v>573</v>
      </c>
      <c r="R67">
        <v>66</v>
      </c>
    </row>
    <row r="68" spans="1:18">
      <c r="A68" s="1" t="s">
        <v>68</v>
      </c>
      <c r="B68">
        <v>31</v>
      </c>
      <c r="C68">
        <v>8</v>
      </c>
      <c r="D68">
        <v>23</v>
      </c>
      <c r="E68">
        <v>-4.78</v>
      </c>
      <c r="F68">
        <v>2219</v>
      </c>
      <c r="G68">
        <v>758</v>
      </c>
      <c r="H68">
        <v>1906</v>
      </c>
      <c r="I68">
        <v>408</v>
      </c>
      <c r="J68">
        <v>590</v>
      </c>
      <c r="K68">
        <v>319</v>
      </c>
      <c r="L68">
        <v>994</v>
      </c>
      <c r="M68">
        <v>390</v>
      </c>
      <c r="N68">
        <v>207</v>
      </c>
      <c r="O68">
        <v>99</v>
      </c>
      <c r="P68">
        <v>418</v>
      </c>
      <c r="Q68">
        <v>632</v>
      </c>
      <c r="R68">
        <v>67</v>
      </c>
    </row>
    <row r="69" spans="1:18">
      <c r="A69" s="1" t="s">
        <v>69</v>
      </c>
      <c r="B69">
        <v>30</v>
      </c>
      <c r="C69">
        <v>13</v>
      </c>
      <c r="D69">
        <v>17</v>
      </c>
      <c r="E69">
        <v>-1.92</v>
      </c>
      <c r="F69">
        <v>1868</v>
      </c>
      <c r="G69">
        <v>615</v>
      </c>
      <c r="H69">
        <v>1558</v>
      </c>
      <c r="I69">
        <v>457</v>
      </c>
      <c r="J69">
        <v>610</v>
      </c>
      <c r="K69">
        <v>248</v>
      </c>
      <c r="L69">
        <v>981</v>
      </c>
      <c r="M69">
        <v>312</v>
      </c>
      <c r="N69">
        <v>187</v>
      </c>
      <c r="O69">
        <v>142</v>
      </c>
      <c r="P69">
        <v>359</v>
      </c>
      <c r="Q69">
        <v>569</v>
      </c>
      <c r="R69">
        <v>68</v>
      </c>
    </row>
    <row r="70" spans="1:18">
      <c r="A70" s="1" t="s">
        <v>326</v>
      </c>
      <c r="B70">
        <v>33</v>
      </c>
      <c r="C70">
        <v>14</v>
      </c>
      <c r="D70">
        <v>19</v>
      </c>
      <c r="E70">
        <v>7.05</v>
      </c>
      <c r="F70">
        <v>2221</v>
      </c>
      <c r="G70">
        <v>746</v>
      </c>
      <c r="H70">
        <v>1776</v>
      </c>
      <c r="I70">
        <v>467</v>
      </c>
      <c r="J70">
        <v>644</v>
      </c>
      <c r="K70">
        <v>348</v>
      </c>
      <c r="L70">
        <v>1139</v>
      </c>
      <c r="M70">
        <v>449</v>
      </c>
      <c r="N70">
        <v>147</v>
      </c>
      <c r="O70">
        <v>77</v>
      </c>
      <c r="P70">
        <v>391</v>
      </c>
      <c r="Q70">
        <v>591</v>
      </c>
      <c r="R70">
        <v>69</v>
      </c>
    </row>
    <row r="71" spans="1:18">
      <c r="A71" s="1" t="s">
        <v>70</v>
      </c>
      <c r="B71">
        <v>29</v>
      </c>
      <c r="C71">
        <v>14</v>
      </c>
      <c r="D71">
        <v>15</v>
      </c>
      <c r="E71">
        <v>-3.32</v>
      </c>
      <c r="F71">
        <v>1835</v>
      </c>
      <c r="G71">
        <v>657</v>
      </c>
      <c r="H71">
        <v>1510</v>
      </c>
      <c r="I71">
        <v>348</v>
      </c>
      <c r="J71">
        <v>539</v>
      </c>
      <c r="K71">
        <v>298</v>
      </c>
      <c r="L71">
        <v>949</v>
      </c>
      <c r="M71">
        <v>357</v>
      </c>
      <c r="N71">
        <v>222</v>
      </c>
      <c r="O71">
        <v>101</v>
      </c>
      <c r="P71">
        <v>373</v>
      </c>
      <c r="Q71">
        <v>557</v>
      </c>
      <c r="R71">
        <v>70</v>
      </c>
    </row>
    <row r="72" spans="1:18">
      <c r="A72" s="1" t="s">
        <v>71</v>
      </c>
      <c r="B72">
        <v>32</v>
      </c>
      <c r="C72">
        <v>24</v>
      </c>
      <c r="D72">
        <v>8</v>
      </c>
      <c r="E72">
        <v>3.19</v>
      </c>
      <c r="F72">
        <v>2529</v>
      </c>
      <c r="G72">
        <v>898</v>
      </c>
      <c r="H72">
        <v>1924</v>
      </c>
      <c r="I72">
        <v>390</v>
      </c>
      <c r="J72">
        <v>553</v>
      </c>
      <c r="K72">
        <v>335</v>
      </c>
      <c r="L72">
        <v>1144</v>
      </c>
      <c r="M72">
        <v>547</v>
      </c>
      <c r="N72">
        <v>171</v>
      </c>
      <c r="O72">
        <v>93</v>
      </c>
      <c r="P72">
        <v>303</v>
      </c>
      <c r="Q72">
        <v>601</v>
      </c>
      <c r="R72">
        <v>71</v>
      </c>
    </row>
    <row r="73" spans="1:18">
      <c r="A73" s="1" t="s">
        <v>276</v>
      </c>
      <c r="B73">
        <v>36</v>
      </c>
      <c r="C73">
        <v>27</v>
      </c>
      <c r="D73">
        <v>9</v>
      </c>
      <c r="E73">
        <v>4.0599999999999996</v>
      </c>
      <c r="F73">
        <v>2439</v>
      </c>
      <c r="G73">
        <v>810</v>
      </c>
      <c r="H73">
        <v>1755</v>
      </c>
      <c r="I73">
        <v>580</v>
      </c>
      <c r="J73">
        <v>846</v>
      </c>
      <c r="K73">
        <v>255</v>
      </c>
      <c r="L73">
        <v>1121</v>
      </c>
      <c r="M73">
        <v>490</v>
      </c>
      <c r="N73">
        <v>250</v>
      </c>
      <c r="O73">
        <v>91</v>
      </c>
      <c r="P73">
        <v>415</v>
      </c>
      <c r="Q73">
        <v>573</v>
      </c>
      <c r="R73">
        <v>72</v>
      </c>
    </row>
    <row r="74" spans="1:18">
      <c r="A74" s="1" t="s">
        <v>72</v>
      </c>
      <c r="B74">
        <v>36</v>
      </c>
      <c r="C74">
        <v>18</v>
      </c>
      <c r="D74">
        <v>18</v>
      </c>
      <c r="E74">
        <v>-6.75</v>
      </c>
      <c r="F74">
        <v>2533</v>
      </c>
      <c r="G74">
        <v>888</v>
      </c>
      <c r="H74">
        <v>2121</v>
      </c>
      <c r="I74">
        <v>475</v>
      </c>
      <c r="J74">
        <v>672</v>
      </c>
      <c r="K74">
        <v>424</v>
      </c>
      <c r="L74">
        <v>1375</v>
      </c>
      <c r="M74">
        <v>430</v>
      </c>
      <c r="N74">
        <v>179</v>
      </c>
      <c r="O74">
        <v>141</v>
      </c>
      <c r="P74">
        <v>484</v>
      </c>
      <c r="Q74">
        <v>614</v>
      </c>
      <c r="R74">
        <v>73</v>
      </c>
    </row>
    <row r="75" spans="1:18">
      <c r="A75" s="1" t="s">
        <v>73</v>
      </c>
      <c r="B75">
        <v>30</v>
      </c>
      <c r="C75">
        <v>10</v>
      </c>
      <c r="D75">
        <v>20</v>
      </c>
      <c r="E75">
        <v>-1.69</v>
      </c>
      <c r="F75">
        <v>1979</v>
      </c>
      <c r="G75">
        <v>675</v>
      </c>
      <c r="H75">
        <v>1646</v>
      </c>
      <c r="I75">
        <v>430</v>
      </c>
      <c r="J75">
        <v>627</v>
      </c>
      <c r="K75">
        <v>314</v>
      </c>
      <c r="L75">
        <v>1061</v>
      </c>
      <c r="M75">
        <v>376</v>
      </c>
      <c r="N75">
        <v>128</v>
      </c>
      <c r="O75">
        <v>108</v>
      </c>
      <c r="P75">
        <v>367</v>
      </c>
      <c r="Q75">
        <v>522</v>
      </c>
      <c r="R75">
        <v>74</v>
      </c>
    </row>
    <row r="76" spans="1:18">
      <c r="A76" s="1" t="s">
        <v>74</v>
      </c>
      <c r="B76">
        <v>30</v>
      </c>
      <c r="C76">
        <v>12</v>
      </c>
      <c r="D76">
        <v>18</v>
      </c>
      <c r="E76">
        <v>-3.13</v>
      </c>
      <c r="F76">
        <v>1865</v>
      </c>
      <c r="G76">
        <v>657</v>
      </c>
      <c r="H76">
        <v>1369</v>
      </c>
      <c r="I76">
        <v>327</v>
      </c>
      <c r="J76">
        <v>427</v>
      </c>
      <c r="K76">
        <v>148</v>
      </c>
      <c r="L76">
        <v>717</v>
      </c>
      <c r="M76">
        <v>457</v>
      </c>
      <c r="N76">
        <v>179</v>
      </c>
      <c r="O76">
        <v>55</v>
      </c>
      <c r="P76">
        <v>338</v>
      </c>
      <c r="Q76">
        <v>611</v>
      </c>
      <c r="R76">
        <v>75</v>
      </c>
    </row>
    <row r="77" spans="1:18">
      <c r="A77" s="1" t="s">
        <v>277</v>
      </c>
      <c r="B77">
        <v>32</v>
      </c>
      <c r="C77">
        <v>12</v>
      </c>
      <c r="D77">
        <v>20</v>
      </c>
      <c r="E77">
        <v>7.49</v>
      </c>
      <c r="F77">
        <v>2220</v>
      </c>
      <c r="G77">
        <v>757</v>
      </c>
      <c r="H77">
        <v>1739</v>
      </c>
      <c r="I77">
        <v>458</v>
      </c>
      <c r="J77">
        <v>635</v>
      </c>
      <c r="K77">
        <v>292</v>
      </c>
      <c r="L77">
        <v>969</v>
      </c>
      <c r="M77">
        <v>395</v>
      </c>
      <c r="N77">
        <v>212</v>
      </c>
      <c r="O77">
        <v>122</v>
      </c>
      <c r="P77">
        <v>428</v>
      </c>
      <c r="Q77">
        <v>679</v>
      </c>
      <c r="R77">
        <v>76</v>
      </c>
    </row>
    <row r="78" spans="1:18">
      <c r="A78" s="1" t="s">
        <v>75</v>
      </c>
      <c r="B78">
        <v>33</v>
      </c>
      <c r="C78">
        <v>15</v>
      </c>
      <c r="D78">
        <v>18</v>
      </c>
      <c r="E78">
        <v>0.13</v>
      </c>
      <c r="F78">
        <v>2334</v>
      </c>
      <c r="G78">
        <v>840</v>
      </c>
      <c r="H78">
        <v>1889</v>
      </c>
      <c r="I78">
        <v>423</v>
      </c>
      <c r="J78">
        <v>619</v>
      </c>
      <c r="K78">
        <v>343</v>
      </c>
      <c r="L78">
        <v>1109</v>
      </c>
      <c r="M78">
        <v>444</v>
      </c>
      <c r="N78">
        <v>254</v>
      </c>
      <c r="O78">
        <v>112</v>
      </c>
      <c r="P78">
        <v>436</v>
      </c>
      <c r="Q78">
        <v>687</v>
      </c>
      <c r="R78">
        <v>77</v>
      </c>
    </row>
    <row r="79" spans="1:18">
      <c r="A79" s="1" t="s">
        <v>76</v>
      </c>
      <c r="B79">
        <v>31</v>
      </c>
      <c r="C79">
        <v>9</v>
      </c>
      <c r="D79">
        <v>22</v>
      </c>
      <c r="E79">
        <v>2.2200000000000002</v>
      </c>
      <c r="F79">
        <v>1844</v>
      </c>
      <c r="G79">
        <v>637</v>
      </c>
      <c r="H79">
        <v>1396</v>
      </c>
      <c r="I79">
        <v>370</v>
      </c>
      <c r="J79">
        <v>482</v>
      </c>
      <c r="K79">
        <v>192</v>
      </c>
      <c r="L79">
        <v>810</v>
      </c>
      <c r="M79">
        <v>370</v>
      </c>
      <c r="N79">
        <v>138</v>
      </c>
      <c r="O79">
        <v>60</v>
      </c>
      <c r="P79">
        <v>409</v>
      </c>
      <c r="Q79">
        <v>485</v>
      </c>
      <c r="R79">
        <v>78</v>
      </c>
    </row>
    <row r="80" spans="1:18">
      <c r="A80" s="1" t="s">
        <v>77</v>
      </c>
      <c r="B80">
        <v>30</v>
      </c>
      <c r="C80">
        <v>11</v>
      </c>
      <c r="D80">
        <v>19</v>
      </c>
      <c r="E80">
        <v>-0.85</v>
      </c>
      <c r="F80">
        <v>1787</v>
      </c>
      <c r="G80">
        <v>614</v>
      </c>
      <c r="H80">
        <v>1569</v>
      </c>
      <c r="I80">
        <v>383</v>
      </c>
      <c r="J80">
        <v>514</v>
      </c>
      <c r="K80">
        <v>287</v>
      </c>
      <c r="L80">
        <v>948</v>
      </c>
      <c r="M80">
        <v>317</v>
      </c>
      <c r="N80">
        <v>155</v>
      </c>
      <c r="O80">
        <v>110</v>
      </c>
      <c r="P80">
        <v>313</v>
      </c>
      <c r="Q80">
        <v>523</v>
      </c>
      <c r="R80">
        <v>79</v>
      </c>
    </row>
    <row r="81" spans="1:18">
      <c r="A81" s="1" t="s">
        <v>373</v>
      </c>
      <c r="B81">
        <v>39</v>
      </c>
      <c r="C81">
        <v>35</v>
      </c>
      <c r="D81">
        <v>4</v>
      </c>
      <c r="E81">
        <v>9.8699999999999992</v>
      </c>
      <c r="F81">
        <v>3091</v>
      </c>
      <c r="G81">
        <v>1099</v>
      </c>
      <c r="H81">
        <v>2191</v>
      </c>
      <c r="I81">
        <v>610</v>
      </c>
      <c r="J81">
        <v>873</v>
      </c>
      <c r="K81">
        <v>445</v>
      </c>
      <c r="L81">
        <v>1436</v>
      </c>
      <c r="M81">
        <v>588</v>
      </c>
      <c r="N81">
        <v>278</v>
      </c>
      <c r="O81">
        <v>149</v>
      </c>
      <c r="P81">
        <v>421</v>
      </c>
      <c r="Q81">
        <v>607</v>
      </c>
      <c r="R81">
        <v>80</v>
      </c>
    </row>
    <row r="82" spans="1:18">
      <c r="A82" s="1" t="s">
        <v>78</v>
      </c>
      <c r="B82">
        <v>31</v>
      </c>
      <c r="C82">
        <v>12</v>
      </c>
      <c r="D82">
        <v>19</v>
      </c>
      <c r="E82">
        <v>1.41</v>
      </c>
      <c r="F82">
        <v>2213</v>
      </c>
      <c r="G82">
        <v>803</v>
      </c>
      <c r="H82">
        <v>1788</v>
      </c>
      <c r="I82">
        <v>362</v>
      </c>
      <c r="J82">
        <v>577</v>
      </c>
      <c r="K82">
        <v>353</v>
      </c>
      <c r="L82">
        <v>1124</v>
      </c>
      <c r="M82">
        <v>466</v>
      </c>
      <c r="N82">
        <v>159</v>
      </c>
      <c r="O82">
        <v>104</v>
      </c>
      <c r="P82">
        <v>381</v>
      </c>
      <c r="Q82">
        <v>558</v>
      </c>
      <c r="R82">
        <v>81</v>
      </c>
    </row>
    <row r="83" spans="1:18">
      <c r="A83" s="1" t="s">
        <v>79</v>
      </c>
      <c r="B83">
        <v>33</v>
      </c>
      <c r="C83">
        <v>14</v>
      </c>
      <c r="D83">
        <v>19</v>
      </c>
      <c r="E83">
        <v>1</v>
      </c>
      <c r="F83">
        <v>2116</v>
      </c>
      <c r="G83">
        <v>750</v>
      </c>
      <c r="H83">
        <v>1777</v>
      </c>
      <c r="I83">
        <v>383</v>
      </c>
      <c r="J83">
        <v>563</v>
      </c>
      <c r="K83">
        <v>333</v>
      </c>
      <c r="L83">
        <v>1048</v>
      </c>
      <c r="M83">
        <v>443</v>
      </c>
      <c r="N83">
        <v>208</v>
      </c>
      <c r="O83">
        <v>64</v>
      </c>
      <c r="P83">
        <v>379</v>
      </c>
      <c r="Q83">
        <v>571</v>
      </c>
      <c r="R83">
        <v>82</v>
      </c>
    </row>
    <row r="84" spans="1:18">
      <c r="A84" s="1" t="s">
        <v>80</v>
      </c>
      <c r="B84">
        <v>30</v>
      </c>
      <c r="C84">
        <v>16</v>
      </c>
      <c r="D84">
        <v>14</v>
      </c>
      <c r="E84">
        <v>-4.01</v>
      </c>
      <c r="F84">
        <v>2201</v>
      </c>
      <c r="G84">
        <v>722</v>
      </c>
      <c r="H84">
        <v>1712</v>
      </c>
      <c r="I84">
        <v>477</v>
      </c>
      <c r="J84">
        <v>661</v>
      </c>
      <c r="K84">
        <v>331</v>
      </c>
      <c r="L84">
        <v>1052</v>
      </c>
      <c r="M84">
        <v>382</v>
      </c>
      <c r="N84">
        <v>235</v>
      </c>
      <c r="O84">
        <v>83</v>
      </c>
      <c r="P84">
        <v>381</v>
      </c>
      <c r="Q84">
        <v>611</v>
      </c>
      <c r="R84">
        <v>83</v>
      </c>
    </row>
    <row r="85" spans="1:18">
      <c r="A85" s="1" t="s">
        <v>81</v>
      </c>
      <c r="B85">
        <v>33</v>
      </c>
      <c r="C85">
        <v>18</v>
      </c>
      <c r="D85">
        <v>15</v>
      </c>
      <c r="E85">
        <v>-2.42</v>
      </c>
      <c r="F85">
        <v>2097</v>
      </c>
      <c r="G85">
        <v>746</v>
      </c>
      <c r="H85">
        <v>1696</v>
      </c>
      <c r="I85">
        <v>364</v>
      </c>
      <c r="J85">
        <v>558</v>
      </c>
      <c r="K85">
        <v>255</v>
      </c>
      <c r="L85">
        <v>1003</v>
      </c>
      <c r="M85">
        <v>435</v>
      </c>
      <c r="N85">
        <v>186</v>
      </c>
      <c r="O85">
        <v>141</v>
      </c>
      <c r="P85">
        <v>396</v>
      </c>
      <c r="Q85">
        <v>535</v>
      </c>
      <c r="R85">
        <v>84</v>
      </c>
    </row>
    <row r="86" spans="1:18">
      <c r="A86" s="1" t="s">
        <v>82</v>
      </c>
      <c r="B86">
        <v>33</v>
      </c>
      <c r="C86">
        <v>21</v>
      </c>
      <c r="D86">
        <v>12</v>
      </c>
      <c r="E86">
        <v>-4.16</v>
      </c>
      <c r="F86">
        <v>2373</v>
      </c>
      <c r="G86">
        <v>818</v>
      </c>
      <c r="H86">
        <v>1763</v>
      </c>
      <c r="I86">
        <v>438</v>
      </c>
      <c r="J86">
        <v>562</v>
      </c>
      <c r="K86">
        <v>225</v>
      </c>
      <c r="L86">
        <v>876</v>
      </c>
      <c r="M86">
        <v>495</v>
      </c>
      <c r="N86">
        <v>321</v>
      </c>
      <c r="O86">
        <v>98</v>
      </c>
      <c r="P86">
        <v>374</v>
      </c>
      <c r="Q86">
        <v>556</v>
      </c>
      <c r="R86">
        <v>85</v>
      </c>
    </row>
    <row r="87" spans="1:18">
      <c r="A87" s="1" t="s">
        <v>83</v>
      </c>
      <c r="B87">
        <v>35</v>
      </c>
      <c r="C87">
        <v>21</v>
      </c>
      <c r="D87">
        <v>14</v>
      </c>
      <c r="E87">
        <v>-0.14000000000000001</v>
      </c>
      <c r="F87">
        <v>2429</v>
      </c>
      <c r="G87">
        <v>806</v>
      </c>
      <c r="H87">
        <v>1963</v>
      </c>
      <c r="I87">
        <v>587</v>
      </c>
      <c r="J87">
        <v>817</v>
      </c>
      <c r="K87">
        <v>403</v>
      </c>
      <c r="L87">
        <v>1271</v>
      </c>
      <c r="M87">
        <v>371</v>
      </c>
      <c r="N87">
        <v>305</v>
      </c>
      <c r="O87">
        <v>157</v>
      </c>
      <c r="P87">
        <v>411</v>
      </c>
      <c r="Q87">
        <v>659</v>
      </c>
      <c r="R87">
        <v>86</v>
      </c>
    </row>
    <row r="88" spans="1:18">
      <c r="A88" s="1" t="s">
        <v>84</v>
      </c>
      <c r="B88">
        <v>35</v>
      </c>
      <c r="C88">
        <v>26</v>
      </c>
      <c r="D88">
        <v>9</v>
      </c>
      <c r="E88">
        <v>-3.84</v>
      </c>
      <c r="F88">
        <v>2820</v>
      </c>
      <c r="G88">
        <v>977</v>
      </c>
      <c r="H88">
        <v>2045</v>
      </c>
      <c r="I88">
        <v>522</v>
      </c>
      <c r="J88">
        <v>719</v>
      </c>
      <c r="K88">
        <v>351</v>
      </c>
      <c r="L88">
        <v>1183</v>
      </c>
      <c r="M88">
        <v>454</v>
      </c>
      <c r="N88">
        <v>219</v>
      </c>
      <c r="O88">
        <v>167</v>
      </c>
      <c r="P88">
        <v>376</v>
      </c>
      <c r="Q88">
        <v>624</v>
      </c>
      <c r="R88">
        <v>87</v>
      </c>
    </row>
    <row r="89" spans="1:18">
      <c r="A89" s="1" t="s">
        <v>85</v>
      </c>
      <c r="B89">
        <v>33</v>
      </c>
      <c r="C89">
        <v>15</v>
      </c>
      <c r="D89">
        <v>18</v>
      </c>
      <c r="E89">
        <v>-2.69</v>
      </c>
      <c r="F89">
        <v>2329</v>
      </c>
      <c r="G89">
        <v>807</v>
      </c>
      <c r="H89">
        <v>1906</v>
      </c>
      <c r="I89">
        <v>475</v>
      </c>
      <c r="J89">
        <v>695</v>
      </c>
      <c r="K89">
        <v>355</v>
      </c>
      <c r="L89">
        <v>1151</v>
      </c>
      <c r="M89">
        <v>394</v>
      </c>
      <c r="N89">
        <v>213</v>
      </c>
      <c r="O89">
        <v>45</v>
      </c>
      <c r="P89">
        <v>440</v>
      </c>
      <c r="Q89">
        <v>691</v>
      </c>
      <c r="R89">
        <v>88</v>
      </c>
    </row>
    <row r="90" spans="1:18">
      <c r="A90" s="1" t="s">
        <v>86</v>
      </c>
      <c r="B90">
        <v>36</v>
      </c>
      <c r="C90">
        <v>24</v>
      </c>
      <c r="D90">
        <v>12</v>
      </c>
      <c r="E90">
        <v>-7.0000000000000007E-2</v>
      </c>
      <c r="F90">
        <v>2552</v>
      </c>
      <c r="G90">
        <v>899</v>
      </c>
      <c r="H90">
        <v>1854</v>
      </c>
      <c r="I90">
        <v>601</v>
      </c>
      <c r="J90">
        <v>803</v>
      </c>
      <c r="K90">
        <v>284</v>
      </c>
      <c r="L90">
        <v>1168</v>
      </c>
      <c r="M90">
        <v>574</v>
      </c>
      <c r="N90">
        <v>210</v>
      </c>
      <c r="O90">
        <v>129</v>
      </c>
      <c r="P90">
        <v>455</v>
      </c>
      <c r="Q90">
        <v>619</v>
      </c>
      <c r="R90">
        <v>89</v>
      </c>
    </row>
    <row r="91" spans="1:18">
      <c r="A91" s="1" t="s">
        <v>87</v>
      </c>
      <c r="B91">
        <v>31</v>
      </c>
      <c r="C91">
        <v>7</v>
      </c>
      <c r="D91">
        <v>24</v>
      </c>
      <c r="E91">
        <v>-2.31</v>
      </c>
      <c r="F91">
        <v>1845</v>
      </c>
      <c r="G91">
        <v>614</v>
      </c>
      <c r="H91">
        <v>1578</v>
      </c>
      <c r="I91">
        <v>419</v>
      </c>
      <c r="J91">
        <v>585</v>
      </c>
      <c r="K91">
        <v>286</v>
      </c>
      <c r="L91">
        <v>979</v>
      </c>
      <c r="M91">
        <v>324</v>
      </c>
      <c r="N91">
        <v>154</v>
      </c>
      <c r="O91">
        <v>109</v>
      </c>
      <c r="P91">
        <v>396</v>
      </c>
      <c r="Q91">
        <v>592</v>
      </c>
      <c r="R91">
        <v>90</v>
      </c>
    </row>
    <row r="92" spans="1:18">
      <c r="A92" s="1" t="s">
        <v>88</v>
      </c>
      <c r="B92">
        <v>29</v>
      </c>
      <c r="C92">
        <v>8</v>
      </c>
      <c r="D92">
        <v>21</v>
      </c>
      <c r="E92">
        <v>-4.54</v>
      </c>
      <c r="F92">
        <v>1956</v>
      </c>
      <c r="G92">
        <v>681</v>
      </c>
      <c r="H92">
        <v>1658</v>
      </c>
      <c r="I92">
        <v>386</v>
      </c>
      <c r="J92">
        <v>557</v>
      </c>
      <c r="K92">
        <v>300</v>
      </c>
      <c r="L92">
        <v>869</v>
      </c>
      <c r="M92">
        <v>325</v>
      </c>
      <c r="N92">
        <v>252</v>
      </c>
      <c r="O92">
        <v>94</v>
      </c>
      <c r="P92">
        <v>372</v>
      </c>
      <c r="Q92">
        <v>648</v>
      </c>
      <c r="R92">
        <v>91</v>
      </c>
    </row>
    <row r="93" spans="1:18">
      <c r="A93" s="1" t="s">
        <v>89</v>
      </c>
      <c r="B93">
        <v>29</v>
      </c>
      <c r="C93">
        <v>2</v>
      </c>
      <c r="D93">
        <v>27</v>
      </c>
      <c r="E93">
        <v>-8.52</v>
      </c>
      <c r="F93">
        <v>1607</v>
      </c>
      <c r="G93">
        <v>560</v>
      </c>
      <c r="H93">
        <v>1500</v>
      </c>
      <c r="I93">
        <v>368</v>
      </c>
      <c r="J93">
        <v>567</v>
      </c>
      <c r="K93">
        <v>281</v>
      </c>
      <c r="L93">
        <v>914</v>
      </c>
      <c r="M93">
        <v>241</v>
      </c>
      <c r="N93">
        <v>143</v>
      </c>
      <c r="O93">
        <v>62</v>
      </c>
      <c r="P93">
        <v>415</v>
      </c>
      <c r="Q93">
        <v>518</v>
      </c>
      <c r="R93">
        <v>92</v>
      </c>
    </row>
    <row r="94" spans="1:18">
      <c r="A94" s="1" t="s">
        <v>90</v>
      </c>
      <c r="B94">
        <v>29</v>
      </c>
      <c r="C94">
        <v>9</v>
      </c>
      <c r="D94">
        <v>20</v>
      </c>
      <c r="E94">
        <v>-2.06</v>
      </c>
      <c r="F94">
        <v>1815</v>
      </c>
      <c r="G94">
        <v>651</v>
      </c>
      <c r="H94">
        <v>1562</v>
      </c>
      <c r="I94">
        <v>301</v>
      </c>
      <c r="J94">
        <v>447</v>
      </c>
      <c r="K94">
        <v>265</v>
      </c>
      <c r="L94">
        <v>904</v>
      </c>
      <c r="M94">
        <v>297</v>
      </c>
      <c r="N94">
        <v>126</v>
      </c>
      <c r="O94">
        <v>99</v>
      </c>
      <c r="P94">
        <v>367</v>
      </c>
      <c r="Q94">
        <v>522</v>
      </c>
      <c r="R94">
        <v>93</v>
      </c>
    </row>
    <row r="95" spans="1:18">
      <c r="A95" s="1" t="s">
        <v>346</v>
      </c>
      <c r="B95">
        <v>33</v>
      </c>
      <c r="C95">
        <v>22</v>
      </c>
      <c r="D95">
        <v>11</v>
      </c>
      <c r="E95">
        <v>-4.9800000000000004</v>
      </c>
      <c r="F95">
        <v>2224</v>
      </c>
      <c r="G95">
        <v>814</v>
      </c>
      <c r="H95">
        <v>1883</v>
      </c>
      <c r="I95">
        <v>399</v>
      </c>
      <c r="J95">
        <v>603</v>
      </c>
      <c r="K95">
        <v>404</v>
      </c>
      <c r="L95">
        <v>1257</v>
      </c>
      <c r="M95">
        <v>467</v>
      </c>
      <c r="N95">
        <v>185</v>
      </c>
      <c r="O95">
        <v>127</v>
      </c>
      <c r="P95">
        <v>386</v>
      </c>
      <c r="Q95">
        <v>559</v>
      </c>
      <c r="R95">
        <v>94</v>
      </c>
    </row>
    <row r="96" spans="1:18">
      <c r="A96" s="1" t="s">
        <v>91</v>
      </c>
      <c r="B96">
        <v>33</v>
      </c>
      <c r="C96">
        <v>16</v>
      </c>
      <c r="D96">
        <v>17</v>
      </c>
      <c r="E96">
        <v>-3.23</v>
      </c>
      <c r="F96">
        <v>2060</v>
      </c>
      <c r="G96">
        <v>749</v>
      </c>
      <c r="H96">
        <v>1694</v>
      </c>
      <c r="I96">
        <v>411</v>
      </c>
      <c r="J96">
        <v>647</v>
      </c>
      <c r="K96">
        <v>313</v>
      </c>
      <c r="L96">
        <v>1129</v>
      </c>
      <c r="M96">
        <v>374</v>
      </c>
      <c r="N96">
        <v>224</v>
      </c>
      <c r="O96">
        <v>150</v>
      </c>
      <c r="P96">
        <v>493</v>
      </c>
      <c r="Q96">
        <v>613</v>
      </c>
      <c r="R96">
        <v>95</v>
      </c>
    </row>
    <row r="97" spans="1:18">
      <c r="A97" s="1" t="s">
        <v>92</v>
      </c>
      <c r="B97">
        <v>33</v>
      </c>
      <c r="C97">
        <v>17</v>
      </c>
      <c r="D97">
        <v>16</v>
      </c>
      <c r="E97">
        <v>7.02</v>
      </c>
      <c r="F97">
        <v>2199</v>
      </c>
      <c r="G97">
        <v>763</v>
      </c>
      <c r="H97">
        <v>1669</v>
      </c>
      <c r="I97">
        <v>524</v>
      </c>
      <c r="J97">
        <v>783</v>
      </c>
      <c r="K97">
        <v>328</v>
      </c>
      <c r="L97">
        <v>1109</v>
      </c>
      <c r="M97">
        <v>380</v>
      </c>
      <c r="N97">
        <v>181</v>
      </c>
      <c r="O97">
        <v>157</v>
      </c>
      <c r="P97">
        <v>478</v>
      </c>
      <c r="Q97">
        <v>612</v>
      </c>
      <c r="R97">
        <v>96</v>
      </c>
    </row>
    <row r="98" spans="1:18">
      <c r="A98" s="1" t="s">
        <v>347</v>
      </c>
      <c r="B98">
        <v>33</v>
      </c>
      <c r="C98">
        <v>16</v>
      </c>
      <c r="D98">
        <v>17</v>
      </c>
      <c r="E98">
        <v>9.67</v>
      </c>
      <c r="F98">
        <v>2101</v>
      </c>
      <c r="G98">
        <v>766</v>
      </c>
      <c r="H98">
        <v>1763</v>
      </c>
      <c r="I98">
        <v>351</v>
      </c>
      <c r="J98">
        <v>553</v>
      </c>
      <c r="K98">
        <v>348</v>
      </c>
      <c r="L98">
        <v>1095</v>
      </c>
      <c r="M98">
        <v>431</v>
      </c>
      <c r="N98">
        <v>228</v>
      </c>
      <c r="O98">
        <v>118</v>
      </c>
      <c r="P98">
        <v>409</v>
      </c>
      <c r="Q98">
        <v>558</v>
      </c>
      <c r="R98">
        <v>97</v>
      </c>
    </row>
    <row r="99" spans="1:18">
      <c r="A99" s="1" t="s">
        <v>93</v>
      </c>
      <c r="B99">
        <v>31</v>
      </c>
      <c r="C99">
        <v>10</v>
      </c>
      <c r="D99">
        <v>21</v>
      </c>
      <c r="E99">
        <v>2.72</v>
      </c>
      <c r="F99">
        <v>2015</v>
      </c>
      <c r="G99">
        <v>711</v>
      </c>
      <c r="H99">
        <v>1713</v>
      </c>
      <c r="I99">
        <v>406</v>
      </c>
      <c r="J99">
        <v>559</v>
      </c>
      <c r="K99">
        <v>373</v>
      </c>
      <c r="L99">
        <v>1117</v>
      </c>
      <c r="M99">
        <v>390</v>
      </c>
      <c r="N99">
        <v>209</v>
      </c>
      <c r="O99">
        <v>119</v>
      </c>
      <c r="P99">
        <v>452</v>
      </c>
      <c r="Q99">
        <v>582</v>
      </c>
      <c r="R99">
        <v>98</v>
      </c>
    </row>
    <row r="100" spans="1:18">
      <c r="A100" s="1" t="s">
        <v>306</v>
      </c>
      <c r="B100">
        <v>32</v>
      </c>
      <c r="C100">
        <v>15</v>
      </c>
      <c r="D100">
        <v>17</v>
      </c>
      <c r="E100">
        <v>1.3</v>
      </c>
      <c r="F100">
        <v>2086</v>
      </c>
      <c r="G100">
        <v>725</v>
      </c>
      <c r="H100">
        <v>1692</v>
      </c>
      <c r="I100">
        <v>457</v>
      </c>
      <c r="J100">
        <v>662</v>
      </c>
      <c r="K100">
        <v>286</v>
      </c>
      <c r="L100">
        <v>1010</v>
      </c>
      <c r="M100">
        <v>336</v>
      </c>
      <c r="N100">
        <v>250</v>
      </c>
      <c r="O100">
        <v>114</v>
      </c>
      <c r="P100">
        <v>358</v>
      </c>
      <c r="Q100">
        <v>644</v>
      </c>
      <c r="R100">
        <v>99</v>
      </c>
    </row>
    <row r="101" spans="1:18">
      <c r="A101" s="1" t="s">
        <v>94</v>
      </c>
      <c r="B101">
        <v>33</v>
      </c>
      <c r="C101">
        <v>11</v>
      </c>
      <c r="D101">
        <v>22</v>
      </c>
      <c r="E101">
        <v>-3.46</v>
      </c>
      <c r="F101">
        <v>2098</v>
      </c>
      <c r="G101">
        <v>701</v>
      </c>
      <c r="H101">
        <v>1636</v>
      </c>
      <c r="I101">
        <v>480</v>
      </c>
      <c r="J101">
        <v>717</v>
      </c>
      <c r="K101">
        <v>316</v>
      </c>
      <c r="L101">
        <v>1068</v>
      </c>
      <c r="M101">
        <v>342</v>
      </c>
      <c r="N101">
        <v>183</v>
      </c>
      <c r="O101">
        <v>94</v>
      </c>
      <c r="P101">
        <v>438</v>
      </c>
      <c r="Q101">
        <v>582</v>
      </c>
      <c r="R101">
        <v>100</v>
      </c>
    </row>
    <row r="102" spans="1:18">
      <c r="A102" s="1" t="s">
        <v>318</v>
      </c>
      <c r="B102">
        <v>35</v>
      </c>
      <c r="C102">
        <v>20</v>
      </c>
      <c r="D102">
        <v>15</v>
      </c>
      <c r="E102">
        <v>-3.11</v>
      </c>
      <c r="F102">
        <v>2619</v>
      </c>
      <c r="G102">
        <v>909</v>
      </c>
      <c r="H102">
        <v>2028</v>
      </c>
      <c r="I102">
        <v>513</v>
      </c>
      <c r="J102">
        <v>767</v>
      </c>
      <c r="K102">
        <v>387</v>
      </c>
      <c r="L102">
        <v>1226</v>
      </c>
      <c r="M102">
        <v>565</v>
      </c>
      <c r="N102">
        <v>233</v>
      </c>
      <c r="O102">
        <v>83</v>
      </c>
      <c r="P102">
        <v>430</v>
      </c>
      <c r="Q102">
        <v>569</v>
      </c>
      <c r="R102">
        <v>101</v>
      </c>
    </row>
    <row r="103" spans="1:18">
      <c r="A103" s="1" t="s">
        <v>95</v>
      </c>
      <c r="B103">
        <v>31</v>
      </c>
      <c r="C103">
        <v>9</v>
      </c>
      <c r="D103">
        <v>22</v>
      </c>
      <c r="E103">
        <v>4.5999999999999996</v>
      </c>
      <c r="F103">
        <v>1996</v>
      </c>
      <c r="G103">
        <v>708</v>
      </c>
      <c r="H103">
        <v>1663</v>
      </c>
      <c r="I103">
        <v>450</v>
      </c>
      <c r="J103">
        <v>676</v>
      </c>
      <c r="K103">
        <v>391</v>
      </c>
      <c r="L103">
        <v>1113</v>
      </c>
      <c r="M103">
        <v>315</v>
      </c>
      <c r="N103">
        <v>187</v>
      </c>
      <c r="O103">
        <v>120</v>
      </c>
      <c r="P103">
        <v>445</v>
      </c>
      <c r="Q103">
        <v>638</v>
      </c>
      <c r="R103">
        <v>102</v>
      </c>
    </row>
    <row r="104" spans="1:18">
      <c r="A104" s="1" t="s">
        <v>96</v>
      </c>
      <c r="B104">
        <v>35</v>
      </c>
      <c r="C104">
        <v>22</v>
      </c>
      <c r="D104">
        <v>13</v>
      </c>
      <c r="E104">
        <v>2.79</v>
      </c>
      <c r="F104">
        <v>2354</v>
      </c>
      <c r="G104">
        <v>827</v>
      </c>
      <c r="H104">
        <v>1887</v>
      </c>
      <c r="I104">
        <v>508</v>
      </c>
      <c r="J104">
        <v>754</v>
      </c>
      <c r="K104">
        <v>422</v>
      </c>
      <c r="L104">
        <v>1278</v>
      </c>
      <c r="M104">
        <v>408</v>
      </c>
      <c r="N104">
        <v>197</v>
      </c>
      <c r="O104">
        <v>136</v>
      </c>
      <c r="P104">
        <v>420</v>
      </c>
      <c r="Q104">
        <v>560</v>
      </c>
      <c r="R104">
        <v>103</v>
      </c>
    </row>
    <row r="105" spans="1:18">
      <c r="A105" s="1" t="s">
        <v>97</v>
      </c>
      <c r="B105">
        <v>33</v>
      </c>
      <c r="C105">
        <v>22</v>
      </c>
      <c r="D105">
        <v>11</v>
      </c>
      <c r="E105">
        <v>9.81</v>
      </c>
      <c r="F105">
        <v>2340</v>
      </c>
      <c r="G105">
        <v>799</v>
      </c>
      <c r="H105">
        <v>1753</v>
      </c>
      <c r="I105">
        <v>541</v>
      </c>
      <c r="J105">
        <v>769</v>
      </c>
      <c r="K105">
        <v>367</v>
      </c>
      <c r="L105">
        <v>1152</v>
      </c>
      <c r="M105">
        <v>427</v>
      </c>
      <c r="N105">
        <v>251</v>
      </c>
      <c r="O105">
        <v>156</v>
      </c>
      <c r="P105">
        <v>415</v>
      </c>
      <c r="Q105">
        <v>668</v>
      </c>
      <c r="R105">
        <v>104</v>
      </c>
    </row>
    <row r="106" spans="1:18">
      <c r="A106" s="1" t="s">
        <v>98</v>
      </c>
      <c r="B106">
        <v>31</v>
      </c>
      <c r="C106">
        <v>22</v>
      </c>
      <c r="D106">
        <v>9</v>
      </c>
      <c r="E106">
        <v>-4.72</v>
      </c>
      <c r="F106">
        <v>2112</v>
      </c>
      <c r="G106">
        <v>733</v>
      </c>
      <c r="H106">
        <v>1765</v>
      </c>
      <c r="I106">
        <v>412</v>
      </c>
      <c r="J106">
        <v>616</v>
      </c>
      <c r="K106">
        <v>391</v>
      </c>
      <c r="L106">
        <v>1160</v>
      </c>
      <c r="M106">
        <v>361</v>
      </c>
      <c r="N106">
        <v>226</v>
      </c>
      <c r="O106">
        <v>99</v>
      </c>
      <c r="P106">
        <v>365</v>
      </c>
      <c r="Q106">
        <v>522</v>
      </c>
      <c r="R106">
        <v>105</v>
      </c>
    </row>
    <row r="107" spans="1:18">
      <c r="A107" s="1" t="s">
        <v>99</v>
      </c>
      <c r="B107">
        <v>35</v>
      </c>
      <c r="C107">
        <v>25</v>
      </c>
      <c r="D107">
        <v>10</v>
      </c>
      <c r="E107">
        <v>-2.0299999999999998</v>
      </c>
      <c r="F107">
        <v>2499</v>
      </c>
      <c r="G107">
        <v>902</v>
      </c>
      <c r="H107">
        <v>1878</v>
      </c>
      <c r="I107">
        <v>521</v>
      </c>
      <c r="J107">
        <v>719</v>
      </c>
      <c r="K107">
        <v>322</v>
      </c>
      <c r="L107">
        <v>1116</v>
      </c>
      <c r="M107">
        <v>479</v>
      </c>
      <c r="N107">
        <v>321</v>
      </c>
      <c r="O107">
        <v>143</v>
      </c>
      <c r="P107">
        <v>366</v>
      </c>
      <c r="Q107">
        <v>642</v>
      </c>
      <c r="R107">
        <v>106</v>
      </c>
    </row>
    <row r="108" spans="1:18">
      <c r="A108" s="1" t="s">
        <v>100</v>
      </c>
      <c r="B108">
        <v>31</v>
      </c>
      <c r="C108">
        <v>12</v>
      </c>
      <c r="D108">
        <v>19</v>
      </c>
      <c r="E108">
        <v>8.4499999999999993</v>
      </c>
      <c r="F108">
        <v>1962</v>
      </c>
      <c r="G108">
        <v>734</v>
      </c>
      <c r="H108">
        <v>1800</v>
      </c>
      <c r="I108">
        <v>363</v>
      </c>
      <c r="J108">
        <v>560</v>
      </c>
      <c r="K108">
        <v>444</v>
      </c>
      <c r="L108">
        <v>1187</v>
      </c>
      <c r="M108">
        <v>362</v>
      </c>
      <c r="N108">
        <v>177</v>
      </c>
      <c r="O108">
        <v>104</v>
      </c>
      <c r="P108">
        <v>394</v>
      </c>
      <c r="Q108">
        <v>516</v>
      </c>
      <c r="R108">
        <v>107</v>
      </c>
    </row>
    <row r="109" spans="1:18">
      <c r="A109" s="1" t="s">
        <v>101</v>
      </c>
      <c r="B109">
        <v>33</v>
      </c>
      <c r="C109">
        <v>21</v>
      </c>
      <c r="D109">
        <v>12</v>
      </c>
      <c r="E109">
        <v>8.6</v>
      </c>
      <c r="F109">
        <v>2250</v>
      </c>
      <c r="G109">
        <v>747</v>
      </c>
      <c r="H109">
        <v>1730</v>
      </c>
      <c r="I109">
        <v>572</v>
      </c>
      <c r="J109">
        <v>826</v>
      </c>
      <c r="K109">
        <v>360</v>
      </c>
      <c r="L109">
        <v>1260</v>
      </c>
      <c r="M109">
        <v>411</v>
      </c>
      <c r="N109">
        <v>183</v>
      </c>
      <c r="O109">
        <v>151</v>
      </c>
      <c r="P109">
        <v>420</v>
      </c>
      <c r="Q109">
        <v>608</v>
      </c>
      <c r="R109">
        <v>108</v>
      </c>
    </row>
    <row r="110" spans="1:18">
      <c r="A110" s="1" t="s">
        <v>374</v>
      </c>
      <c r="B110">
        <v>38</v>
      </c>
      <c r="C110">
        <v>35</v>
      </c>
      <c r="D110">
        <v>3</v>
      </c>
      <c r="E110">
        <v>5.12</v>
      </c>
      <c r="F110">
        <v>2989</v>
      </c>
      <c r="G110">
        <v>1084</v>
      </c>
      <c r="H110">
        <v>2083</v>
      </c>
      <c r="I110">
        <v>557</v>
      </c>
      <c r="J110">
        <v>806</v>
      </c>
      <c r="K110">
        <v>391</v>
      </c>
      <c r="L110">
        <v>1441</v>
      </c>
      <c r="M110">
        <v>620</v>
      </c>
      <c r="N110">
        <v>226</v>
      </c>
      <c r="O110">
        <v>126</v>
      </c>
      <c r="P110">
        <v>397</v>
      </c>
      <c r="Q110">
        <v>637</v>
      </c>
      <c r="R110">
        <v>109</v>
      </c>
    </row>
    <row r="111" spans="1:18">
      <c r="A111" s="1" t="s">
        <v>102</v>
      </c>
      <c r="B111">
        <v>29</v>
      </c>
      <c r="C111">
        <v>2</v>
      </c>
      <c r="D111">
        <v>27</v>
      </c>
      <c r="E111">
        <v>-8</v>
      </c>
      <c r="F111">
        <v>1509</v>
      </c>
      <c r="G111">
        <v>512</v>
      </c>
      <c r="H111">
        <v>1417</v>
      </c>
      <c r="I111">
        <v>380</v>
      </c>
      <c r="J111">
        <v>584</v>
      </c>
      <c r="K111">
        <v>294</v>
      </c>
      <c r="L111">
        <v>928</v>
      </c>
      <c r="M111">
        <v>225</v>
      </c>
      <c r="N111">
        <v>154</v>
      </c>
      <c r="O111">
        <v>52</v>
      </c>
      <c r="P111">
        <v>486</v>
      </c>
      <c r="Q111">
        <v>551</v>
      </c>
      <c r="R111">
        <v>110</v>
      </c>
    </row>
    <row r="112" spans="1:18">
      <c r="A112" s="1" t="s">
        <v>364</v>
      </c>
      <c r="B112">
        <v>32</v>
      </c>
      <c r="C112">
        <v>17</v>
      </c>
      <c r="D112">
        <v>15</v>
      </c>
      <c r="E112">
        <v>-5.45</v>
      </c>
      <c r="F112">
        <v>2198</v>
      </c>
      <c r="G112">
        <v>759</v>
      </c>
      <c r="H112">
        <v>1683</v>
      </c>
      <c r="I112">
        <v>482</v>
      </c>
      <c r="J112">
        <v>674</v>
      </c>
      <c r="K112">
        <v>281</v>
      </c>
      <c r="L112">
        <v>1016</v>
      </c>
      <c r="M112">
        <v>388</v>
      </c>
      <c r="N112">
        <v>171</v>
      </c>
      <c r="O112">
        <v>99</v>
      </c>
      <c r="P112">
        <v>358</v>
      </c>
      <c r="Q112">
        <v>627</v>
      </c>
      <c r="R112">
        <v>111</v>
      </c>
    </row>
    <row r="113" spans="1:18">
      <c r="A113" s="1" t="s">
        <v>103</v>
      </c>
      <c r="B113">
        <v>33</v>
      </c>
      <c r="C113">
        <v>24</v>
      </c>
      <c r="D113">
        <v>9</v>
      </c>
      <c r="E113">
        <v>-0.4</v>
      </c>
      <c r="F113">
        <v>2252</v>
      </c>
      <c r="G113">
        <v>829</v>
      </c>
      <c r="H113">
        <v>1808</v>
      </c>
      <c r="I113">
        <v>453</v>
      </c>
      <c r="J113">
        <v>705</v>
      </c>
      <c r="K113">
        <v>369</v>
      </c>
      <c r="L113">
        <v>1178</v>
      </c>
      <c r="M113">
        <v>464</v>
      </c>
      <c r="N113">
        <v>245</v>
      </c>
      <c r="O113">
        <v>161</v>
      </c>
      <c r="P113">
        <v>391</v>
      </c>
      <c r="Q113">
        <v>610</v>
      </c>
      <c r="R113">
        <v>112</v>
      </c>
    </row>
    <row r="114" spans="1:18">
      <c r="A114" s="1" t="s">
        <v>104</v>
      </c>
      <c r="B114">
        <v>35</v>
      </c>
      <c r="C114">
        <v>17</v>
      </c>
      <c r="D114">
        <v>18</v>
      </c>
      <c r="E114">
        <v>-7.08</v>
      </c>
      <c r="F114">
        <v>2346</v>
      </c>
      <c r="G114">
        <v>796</v>
      </c>
      <c r="H114">
        <v>1959</v>
      </c>
      <c r="I114">
        <v>560</v>
      </c>
      <c r="J114">
        <v>859</v>
      </c>
      <c r="K114">
        <v>416</v>
      </c>
      <c r="L114">
        <v>1292</v>
      </c>
      <c r="M114">
        <v>372</v>
      </c>
      <c r="N114">
        <v>235</v>
      </c>
      <c r="O114">
        <v>141</v>
      </c>
      <c r="P114">
        <v>494</v>
      </c>
      <c r="Q114">
        <v>752</v>
      </c>
      <c r="R114">
        <v>113</v>
      </c>
    </row>
    <row r="115" spans="1:18">
      <c r="A115" s="1" t="s">
        <v>105</v>
      </c>
      <c r="B115">
        <v>30</v>
      </c>
      <c r="C115">
        <v>14</v>
      </c>
      <c r="D115">
        <v>16</v>
      </c>
      <c r="E115">
        <v>-5.16</v>
      </c>
      <c r="F115">
        <v>1858</v>
      </c>
      <c r="G115">
        <v>645</v>
      </c>
      <c r="H115">
        <v>1596</v>
      </c>
      <c r="I115">
        <v>333</v>
      </c>
      <c r="J115">
        <v>477</v>
      </c>
      <c r="K115">
        <v>264</v>
      </c>
      <c r="L115">
        <v>936</v>
      </c>
      <c r="M115">
        <v>362</v>
      </c>
      <c r="N115">
        <v>187</v>
      </c>
      <c r="O115">
        <v>48</v>
      </c>
      <c r="P115">
        <v>364</v>
      </c>
      <c r="Q115">
        <v>555</v>
      </c>
      <c r="R115">
        <v>114</v>
      </c>
    </row>
    <row r="116" spans="1:18">
      <c r="A116" s="1" t="s">
        <v>106</v>
      </c>
      <c r="B116">
        <v>30</v>
      </c>
      <c r="C116">
        <v>22</v>
      </c>
      <c r="D116">
        <v>8</v>
      </c>
      <c r="E116">
        <v>-0.25</v>
      </c>
      <c r="F116">
        <v>1926</v>
      </c>
      <c r="G116">
        <v>671</v>
      </c>
      <c r="H116">
        <v>1548</v>
      </c>
      <c r="I116">
        <v>438</v>
      </c>
      <c r="J116">
        <v>609</v>
      </c>
      <c r="K116">
        <v>316</v>
      </c>
      <c r="L116">
        <v>1025</v>
      </c>
      <c r="M116">
        <v>384</v>
      </c>
      <c r="N116">
        <v>213</v>
      </c>
      <c r="O116">
        <v>135</v>
      </c>
      <c r="P116">
        <v>349</v>
      </c>
      <c r="Q116">
        <v>472</v>
      </c>
      <c r="R116">
        <v>115</v>
      </c>
    </row>
    <row r="117" spans="1:18">
      <c r="A117" s="1" t="s">
        <v>107</v>
      </c>
      <c r="B117">
        <v>35</v>
      </c>
      <c r="C117">
        <v>22</v>
      </c>
      <c r="D117">
        <v>13</v>
      </c>
      <c r="E117">
        <v>-0.83</v>
      </c>
      <c r="F117">
        <v>2551</v>
      </c>
      <c r="G117">
        <v>901</v>
      </c>
      <c r="H117">
        <v>2056</v>
      </c>
      <c r="I117">
        <v>523</v>
      </c>
      <c r="J117">
        <v>762</v>
      </c>
      <c r="K117">
        <v>421</v>
      </c>
      <c r="L117">
        <v>1231</v>
      </c>
      <c r="M117">
        <v>465</v>
      </c>
      <c r="N117">
        <v>337</v>
      </c>
      <c r="O117">
        <v>139</v>
      </c>
      <c r="P117">
        <v>467</v>
      </c>
      <c r="Q117">
        <v>712</v>
      </c>
      <c r="R117">
        <v>116</v>
      </c>
    </row>
    <row r="118" spans="1:18">
      <c r="A118" s="1" t="s">
        <v>108</v>
      </c>
      <c r="B118">
        <v>33</v>
      </c>
      <c r="C118">
        <v>23</v>
      </c>
      <c r="D118">
        <v>10</v>
      </c>
      <c r="E118">
        <v>-4.6100000000000003</v>
      </c>
      <c r="F118">
        <v>2407</v>
      </c>
      <c r="G118">
        <v>862</v>
      </c>
      <c r="H118">
        <v>1816</v>
      </c>
      <c r="I118">
        <v>477</v>
      </c>
      <c r="J118">
        <v>649</v>
      </c>
      <c r="K118">
        <v>323</v>
      </c>
      <c r="L118">
        <v>1086</v>
      </c>
      <c r="M118">
        <v>487</v>
      </c>
      <c r="N118">
        <v>206</v>
      </c>
      <c r="O118">
        <v>94</v>
      </c>
      <c r="P118">
        <v>376</v>
      </c>
      <c r="Q118">
        <v>515</v>
      </c>
      <c r="R118">
        <v>117</v>
      </c>
    </row>
    <row r="119" spans="1:18">
      <c r="A119" s="1" t="s">
        <v>307</v>
      </c>
      <c r="B119">
        <v>34</v>
      </c>
      <c r="C119">
        <v>20</v>
      </c>
      <c r="D119">
        <v>14</v>
      </c>
      <c r="E119">
        <v>-4.46</v>
      </c>
      <c r="F119">
        <v>2668</v>
      </c>
      <c r="G119">
        <v>902</v>
      </c>
      <c r="H119">
        <v>2013</v>
      </c>
      <c r="I119">
        <v>561</v>
      </c>
      <c r="J119">
        <v>801</v>
      </c>
      <c r="K119">
        <v>402</v>
      </c>
      <c r="L119">
        <v>1240</v>
      </c>
      <c r="M119">
        <v>525</v>
      </c>
      <c r="N119">
        <v>254</v>
      </c>
      <c r="O119">
        <v>90</v>
      </c>
      <c r="P119">
        <v>379</v>
      </c>
      <c r="Q119">
        <v>650</v>
      </c>
      <c r="R119">
        <v>118</v>
      </c>
    </row>
    <row r="120" spans="1:18">
      <c r="A120" s="1" t="s">
        <v>109</v>
      </c>
      <c r="B120">
        <v>30</v>
      </c>
      <c r="C120">
        <v>14</v>
      </c>
      <c r="D120">
        <v>16</v>
      </c>
      <c r="E120">
        <v>-3.82</v>
      </c>
      <c r="F120">
        <v>1981</v>
      </c>
      <c r="G120">
        <v>692</v>
      </c>
      <c r="H120">
        <v>1643</v>
      </c>
      <c r="I120">
        <v>406</v>
      </c>
      <c r="J120">
        <v>568</v>
      </c>
      <c r="K120">
        <v>305</v>
      </c>
      <c r="L120">
        <v>930</v>
      </c>
      <c r="M120">
        <v>334</v>
      </c>
      <c r="N120">
        <v>228</v>
      </c>
      <c r="O120">
        <v>143</v>
      </c>
      <c r="P120">
        <v>328</v>
      </c>
      <c r="Q120">
        <v>582</v>
      </c>
      <c r="R120">
        <v>119</v>
      </c>
    </row>
    <row r="121" spans="1:18">
      <c r="A121" s="1" t="s">
        <v>353</v>
      </c>
      <c r="B121">
        <v>28</v>
      </c>
      <c r="C121">
        <v>12</v>
      </c>
      <c r="D121">
        <v>16</v>
      </c>
      <c r="E121">
        <v>-5.63</v>
      </c>
      <c r="F121">
        <v>2028</v>
      </c>
      <c r="G121">
        <v>728</v>
      </c>
      <c r="H121">
        <v>1596</v>
      </c>
      <c r="I121">
        <v>443</v>
      </c>
      <c r="J121">
        <v>611</v>
      </c>
      <c r="K121">
        <v>366</v>
      </c>
      <c r="L121">
        <v>1061</v>
      </c>
      <c r="M121">
        <v>348</v>
      </c>
      <c r="N121">
        <v>166</v>
      </c>
      <c r="O121">
        <v>115</v>
      </c>
      <c r="P121">
        <v>429</v>
      </c>
      <c r="Q121">
        <v>585</v>
      </c>
      <c r="R121">
        <v>120</v>
      </c>
    </row>
    <row r="122" spans="1:18">
      <c r="A122" s="1" t="s">
        <v>110</v>
      </c>
      <c r="B122">
        <v>32</v>
      </c>
      <c r="C122">
        <v>13</v>
      </c>
      <c r="D122">
        <v>19</v>
      </c>
      <c r="E122">
        <v>-0.91</v>
      </c>
      <c r="F122">
        <v>2060</v>
      </c>
      <c r="G122">
        <v>705</v>
      </c>
      <c r="H122">
        <v>1795</v>
      </c>
      <c r="I122">
        <v>391</v>
      </c>
      <c r="J122">
        <v>575</v>
      </c>
      <c r="K122">
        <v>403</v>
      </c>
      <c r="L122">
        <v>1129</v>
      </c>
      <c r="M122">
        <v>376</v>
      </c>
      <c r="N122">
        <v>184</v>
      </c>
      <c r="O122">
        <v>121</v>
      </c>
      <c r="P122">
        <v>425</v>
      </c>
      <c r="Q122">
        <v>565</v>
      </c>
      <c r="R122">
        <v>121</v>
      </c>
    </row>
    <row r="123" spans="1:18">
      <c r="A123" s="1" t="s">
        <v>111</v>
      </c>
      <c r="B123">
        <v>32</v>
      </c>
      <c r="C123">
        <v>16</v>
      </c>
      <c r="D123">
        <v>16</v>
      </c>
      <c r="E123">
        <v>-7.86</v>
      </c>
      <c r="F123">
        <v>2032</v>
      </c>
      <c r="G123">
        <v>695</v>
      </c>
      <c r="H123">
        <v>1621</v>
      </c>
      <c r="I123">
        <v>493</v>
      </c>
      <c r="J123">
        <v>705</v>
      </c>
      <c r="K123">
        <v>353</v>
      </c>
      <c r="L123">
        <v>1110</v>
      </c>
      <c r="M123">
        <v>270</v>
      </c>
      <c r="N123">
        <v>242</v>
      </c>
      <c r="O123">
        <v>130</v>
      </c>
      <c r="P123">
        <v>517</v>
      </c>
      <c r="Q123">
        <v>596</v>
      </c>
      <c r="R123">
        <v>122</v>
      </c>
    </row>
    <row r="124" spans="1:18">
      <c r="A124" s="1" t="s">
        <v>112</v>
      </c>
      <c r="B124">
        <v>30</v>
      </c>
      <c r="C124">
        <v>7</v>
      </c>
      <c r="D124">
        <v>23</v>
      </c>
      <c r="E124">
        <v>-5.45</v>
      </c>
      <c r="F124">
        <v>1937</v>
      </c>
      <c r="G124">
        <v>699</v>
      </c>
      <c r="H124">
        <v>1588</v>
      </c>
      <c r="I124">
        <v>391</v>
      </c>
      <c r="J124">
        <v>601</v>
      </c>
      <c r="K124">
        <v>302</v>
      </c>
      <c r="L124">
        <v>972</v>
      </c>
      <c r="M124">
        <v>337</v>
      </c>
      <c r="N124">
        <v>207</v>
      </c>
      <c r="O124">
        <v>77</v>
      </c>
      <c r="P124">
        <v>355</v>
      </c>
      <c r="Q124">
        <v>526</v>
      </c>
      <c r="R124">
        <v>123</v>
      </c>
    </row>
    <row r="125" spans="1:18">
      <c r="A125" s="1" t="s">
        <v>113</v>
      </c>
      <c r="B125">
        <v>30</v>
      </c>
      <c r="C125">
        <v>13</v>
      </c>
      <c r="D125">
        <v>17</v>
      </c>
      <c r="E125">
        <v>-4.79</v>
      </c>
      <c r="F125">
        <v>2301</v>
      </c>
      <c r="G125">
        <v>805</v>
      </c>
      <c r="H125">
        <v>1726</v>
      </c>
      <c r="I125">
        <v>455</v>
      </c>
      <c r="J125">
        <v>642</v>
      </c>
      <c r="K125">
        <v>312</v>
      </c>
      <c r="L125">
        <v>1086</v>
      </c>
      <c r="M125">
        <v>405</v>
      </c>
      <c r="N125">
        <v>140</v>
      </c>
      <c r="O125">
        <v>57</v>
      </c>
      <c r="P125">
        <v>360</v>
      </c>
      <c r="Q125">
        <v>634</v>
      </c>
      <c r="R125">
        <v>124</v>
      </c>
    </row>
    <row r="126" spans="1:18">
      <c r="A126" s="1" t="s">
        <v>114</v>
      </c>
      <c r="B126">
        <v>34</v>
      </c>
      <c r="C126">
        <v>10</v>
      </c>
      <c r="D126">
        <v>24</v>
      </c>
      <c r="E126">
        <v>-0.36</v>
      </c>
      <c r="F126">
        <v>2201</v>
      </c>
      <c r="G126">
        <v>724</v>
      </c>
      <c r="H126">
        <v>1870</v>
      </c>
      <c r="I126">
        <v>549</v>
      </c>
      <c r="J126">
        <v>745</v>
      </c>
      <c r="K126">
        <v>391</v>
      </c>
      <c r="L126">
        <v>1142</v>
      </c>
      <c r="M126">
        <v>413</v>
      </c>
      <c r="N126">
        <v>205</v>
      </c>
      <c r="O126">
        <v>92</v>
      </c>
      <c r="P126">
        <v>375</v>
      </c>
      <c r="Q126">
        <v>609</v>
      </c>
      <c r="R126">
        <v>125</v>
      </c>
    </row>
    <row r="127" spans="1:18">
      <c r="A127" s="1" t="s">
        <v>115</v>
      </c>
      <c r="B127">
        <v>35</v>
      </c>
      <c r="C127">
        <v>22</v>
      </c>
      <c r="D127">
        <v>13</v>
      </c>
      <c r="E127">
        <v>2.87</v>
      </c>
      <c r="F127">
        <v>2385</v>
      </c>
      <c r="G127">
        <v>846</v>
      </c>
      <c r="H127">
        <v>1945</v>
      </c>
      <c r="I127">
        <v>481</v>
      </c>
      <c r="J127">
        <v>674</v>
      </c>
      <c r="K127">
        <v>439</v>
      </c>
      <c r="L127">
        <v>1256</v>
      </c>
      <c r="M127">
        <v>408</v>
      </c>
      <c r="N127">
        <v>254</v>
      </c>
      <c r="O127">
        <v>152</v>
      </c>
      <c r="P127">
        <v>449</v>
      </c>
      <c r="Q127">
        <v>662</v>
      </c>
      <c r="R127">
        <v>126</v>
      </c>
    </row>
    <row r="128" spans="1:18">
      <c r="A128" s="1" t="s">
        <v>348</v>
      </c>
      <c r="B128">
        <v>33</v>
      </c>
      <c r="C128">
        <v>19</v>
      </c>
      <c r="D128">
        <v>14</v>
      </c>
      <c r="E128">
        <v>6.93</v>
      </c>
      <c r="F128">
        <v>2281</v>
      </c>
      <c r="G128">
        <v>786</v>
      </c>
      <c r="H128">
        <v>1903</v>
      </c>
      <c r="I128">
        <v>471</v>
      </c>
      <c r="J128">
        <v>593</v>
      </c>
      <c r="K128">
        <v>351</v>
      </c>
      <c r="L128">
        <v>1134</v>
      </c>
      <c r="M128">
        <v>389</v>
      </c>
      <c r="N128">
        <v>208</v>
      </c>
      <c r="O128">
        <v>105</v>
      </c>
      <c r="P128">
        <v>328</v>
      </c>
      <c r="Q128">
        <v>577</v>
      </c>
      <c r="R128">
        <v>127</v>
      </c>
    </row>
    <row r="129" spans="1:18">
      <c r="A129" s="1" t="s">
        <v>365</v>
      </c>
      <c r="B129">
        <v>29</v>
      </c>
      <c r="C129">
        <v>18</v>
      </c>
      <c r="D129">
        <v>11</v>
      </c>
      <c r="E129">
        <v>-6.47</v>
      </c>
      <c r="F129">
        <v>2298</v>
      </c>
      <c r="G129">
        <v>773</v>
      </c>
      <c r="H129">
        <v>1647</v>
      </c>
      <c r="I129">
        <v>548</v>
      </c>
      <c r="J129">
        <v>747</v>
      </c>
      <c r="K129">
        <v>267</v>
      </c>
      <c r="L129">
        <v>969</v>
      </c>
      <c r="M129">
        <v>382</v>
      </c>
      <c r="N129">
        <v>229</v>
      </c>
      <c r="O129">
        <v>128</v>
      </c>
      <c r="P129">
        <v>329</v>
      </c>
      <c r="Q129">
        <v>538</v>
      </c>
      <c r="R129">
        <v>128</v>
      </c>
    </row>
    <row r="130" spans="1:18">
      <c r="A130" s="1" t="s">
        <v>308</v>
      </c>
      <c r="B130">
        <v>31</v>
      </c>
      <c r="C130">
        <v>15</v>
      </c>
      <c r="D130">
        <v>16</v>
      </c>
      <c r="E130">
        <v>1.21</v>
      </c>
      <c r="F130">
        <v>2060</v>
      </c>
      <c r="G130">
        <v>681</v>
      </c>
      <c r="H130">
        <v>1601</v>
      </c>
      <c r="I130">
        <v>473</v>
      </c>
      <c r="J130">
        <v>674</v>
      </c>
      <c r="K130">
        <v>271</v>
      </c>
      <c r="L130">
        <v>1008</v>
      </c>
      <c r="M130">
        <v>398</v>
      </c>
      <c r="N130">
        <v>175</v>
      </c>
      <c r="O130">
        <v>98</v>
      </c>
      <c r="P130">
        <v>437</v>
      </c>
      <c r="Q130">
        <v>562</v>
      </c>
      <c r="R130">
        <v>129</v>
      </c>
    </row>
    <row r="131" spans="1:18">
      <c r="A131" s="1" t="s">
        <v>327</v>
      </c>
      <c r="B131">
        <v>34</v>
      </c>
      <c r="C131">
        <v>20</v>
      </c>
      <c r="D131">
        <v>14</v>
      </c>
      <c r="E131">
        <v>7.2</v>
      </c>
      <c r="F131">
        <v>2633</v>
      </c>
      <c r="G131">
        <v>923</v>
      </c>
      <c r="H131">
        <v>1989</v>
      </c>
      <c r="I131">
        <v>468</v>
      </c>
      <c r="J131">
        <v>651</v>
      </c>
      <c r="K131">
        <v>407</v>
      </c>
      <c r="L131">
        <v>1224</v>
      </c>
      <c r="M131">
        <v>473</v>
      </c>
      <c r="N131">
        <v>170</v>
      </c>
      <c r="O131">
        <v>108</v>
      </c>
      <c r="P131">
        <v>392</v>
      </c>
      <c r="Q131">
        <v>606</v>
      </c>
      <c r="R131">
        <v>130</v>
      </c>
    </row>
    <row r="132" spans="1:18">
      <c r="A132" s="1" t="s">
        <v>309</v>
      </c>
      <c r="B132">
        <v>35</v>
      </c>
      <c r="C132">
        <v>26</v>
      </c>
      <c r="D132">
        <v>9</v>
      </c>
      <c r="E132">
        <v>-2.52</v>
      </c>
      <c r="F132">
        <v>2782</v>
      </c>
      <c r="G132">
        <v>950</v>
      </c>
      <c r="H132">
        <v>2051</v>
      </c>
      <c r="I132">
        <v>538</v>
      </c>
      <c r="J132">
        <v>768</v>
      </c>
      <c r="K132">
        <v>348</v>
      </c>
      <c r="L132">
        <v>1260</v>
      </c>
      <c r="M132">
        <v>573</v>
      </c>
      <c r="N132">
        <v>226</v>
      </c>
      <c r="O132">
        <v>135</v>
      </c>
      <c r="P132">
        <v>427</v>
      </c>
      <c r="Q132">
        <v>605</v>
      </c>
      <c r="R132">
        <v>131</v>
      </c>
    </row>
    <row r="133" spans="1:18">
      <c r="A133" s="1" t="s">
        <v>310</v>
      </c>
      <c r="B133">
        <v>34</v>
      </c>
      <c r="C133">
        <v>25</v>
      </c>
      <c r="D133">
        <v>9</v>
      </c>
      <c r="E133">
        <v>9.15</v>
      </c>
      <c r="F133">
        <v>2645</v>
      </c>
      <c r="G133">
        <v>940</v>
      </c>
      <c r="H133">
        <v>1973</v>
      </c>
      <c r="I133">
        <v>502</v>
      </c>
      <c r="J133">
        <v>721</v>
      </c>
      <c r="K133">
        <v>323</v>
      </c>
      <c r="L133">
        <v>1221</v>
      </c>
      <c r="M133">
        <v>546</v>
      </c>
      <c r="N133">
        <v>218</v>
      </c>
      <c r="O133">
        <v>133</v>
      </c>
      <c r="P133">
        <v>375</v>
      </c>
      <c r="Q133">
        <v>527</v>
      </c>
      <c r="R133">
        <v>132</v>
      </c>
    </row>
    <row r="134" spans="1:18">
      <c r="A134" s="1" t="s">
        <v>116</v>
      </c>
      <c r="B134">
        <v>34</v>
      </c>
      <c r="C134">
        <v>22</v>
      </c>
      <c r="D134">
        <v>12</v>
      </c>
      <c r="E134">
        <v>8.39</v>
      </c>
      <c r="F134">
        <v>2372</v>
      </c>
      <c r="G134">
        <v>821</v>
      </c>
      <c r="H134">
        <v>1905</v>
      </c>
      <c r="I134">
        <v>538</v>
      </c>
      <c r="J134">
        <v>723</v>
      </c>
      <c r="K134">
        <v>422</v>
      </c>
      <c r="L134">
        <v>1274</v>
      </c>
      <c r="M134">
        <v>482</v>
      </c>
      <c r="N134">
        <v>218</v>
      </c>
      <c r="O134">
        <v>158</v>
      </c>
      <c r="P134">
        <v>377</v>
      </c>
      <c r="Q134">
        <v>536</v>
      </c>
      <c r="R134">
        <v>133</v>
      </c>
    </row>
    <row r="135" spans="1:18">
      <c r="A135" s="1" t="s">
        <v>319</v>
      </c>
      <c r="B135">
        <v>31</v>
      </c>
      <c r="C135">
        <v>16</v>
      </c>
      <c r="D135">
        <v>15</v>
      </c>
      <c r="E135">
        <v>-3.41</v>
      </c>
      <c r="F135">
        <v>2171</v>
      </c>
      <c r="G135">
        <v>754</v>
      </c>
      <c r="H135">
        <v>1603</v>
      </c>
      <c r="I135">
        <v>442</v>
      </c>
      <c r="J135">
        <v>645</v>
      </c>
      <c r="K135">
        <v>242</v>
      </c>
      <c r="L135">
        <v>1001</v>
      </c>
      <c r="M135">
        <v>444</v>
      </c>
      <c r="N135">
        <v>178</v>
      </c>
      <c r="O135">
        <v>92</v>
      </c>
      <c r="P135">
        <v>365</v>
      </c>
      <c r="Q135">
        <v>502</v>
      </c>
      <c r="R135">
        <v>134</v>
      </c>
    </row>
    <row r="136" spans="1:18">
      <c r="A136" s="1" t="s">
        <v>117</v>
      </c>
      <c r="B136">
        <v>31</v>
      </c>
      <c r="C136">
        <v>10</v>
      </c>
      <c r="D136">
        <v>21</v>
      </c>
      <c r="E136">
        <v>-1.93</v>
      </c>
      <c r="F136">
        <v>1883</v>
      </c>
      <c r="G136">
        <v>692</v>
      </c>
      <c r="H136">
        <v>1623</v>
      </c>
      <c r="I136">
        <v>373</v>
      </c>
      <c r="J136">
        <v>532</v>
      </c>
      <c r="K136">
        <v>318</v>
      </c>
      <c r="L136">
        <v>1009</v>
      </c>
      <c r="M136">
        <v>348</v>
      </c>
      <c r="N136">
        <v>218</v>
      </c>
      <c r="O136">
        <v>65</v>
      </c>
      <c r="P136">
        <v>482</v>
      </c>
      <c r="Q136">
        <v>635</v>
      </c>
      <c r="R136">
        <v>135</v>
      </c>
    </row>
    <row r="137" spans="1:18">
      <c r="A137" s="1" t="s">
        <v>278</v>
      </c>
      <c r="B137">
        <v>32</v>
      </c>
      <c r="C137">
        <v>11</v>
      </c>
      <c r="D137">
        <v>21</v>
      </c>
      <c r="E137">
        <v>-9.52</v>
      </c>
      <c r="F137">
        <v>1941</v>
      </c>
      <c r="G137">
        <v>701</v>
      </c>
      <c r="H137">
        <v>1812</v>
      </c>
      <c r="I137">
        <v>386</v>
      </c>
      <c r="J137">
        <v>597</v>
      </c>
      <c r="K137">
        <v>460</v>
      </c>
      <c r="L137">
        <v>1188</v>
      </c>
      <c r="M137">
        <v>324</v>
      </c>
      <c r="N137">
        <v>203</v>
      </c>
      <c r="O137">
        <v>81</v>
      </c>
      <c r="P137">
        <v>459</v>
      </c>
      <c r="Q137">
        <v>695</v>
      </c>
      <c r="R137">
        <v>136</v>
      </c>
    </row>
    <row r="138" spans="1:18">
      <c r="A138" s="1" t="s">
        <v>118</v>
      </c>
      <c r="B138">
        <v>31</v>
      </c>
      <c r="C138">
        <v>12</v>
      </c>
      <c r="D138">
        <v>19</v>
      </c>
      <c r="E138">
        <v>-4.5199999999999996</v>
      </c>
      <c r="F138">
        <v>1939</v>
      </c>
      <c r="G138">
        <v>647</v>
      </c>
      <c r="H138">
        <v>1698</v>
      </c>
      <c r="I138">
        <v>466</v>
      </c>
      <c r="J138">
        <v>651</v>
      </c>
      <c r="K138">
        <v>346</v>
      </c>
      <c r="L138">
        <v>1043</v>
      </c>
      <c r="M138">
        <v>371</v>
      </c>
      <c r="N138">
        <v>191</v>
      </c>
      <c r="O138">
        <v>129</v>
      </c>
      <c r="P138">
        <v>377</v>
      </c>
      <c r="Q138">
        <v>606</v>
      </c>
      <c r="R138">
        <v>137</v>
      </c>
    </row>
    <row r="139" spans="1:18">
      <c r="A139" s="1" t="s">
        <v>119</v>
      </c>
      <c r="B139">
        <v>32</v>
      </c>
      <c r="C139">
        <v>10</v>
      </c>
      <c r="D139">
        <v>22</v>
      </c>
      <c r="E139">
        <v>-6.46</v>
      </c>
      <c r="F139">
        <v>2058</v>
      </c>
      <c r="G139">
        <v>701</v>
      </c>
      <c r="H139">
        <v>1710</v>
      </c>
      <c r="I139">
        <v>453</v>
      </c>
      <c r="J139">
        <v>685</v>
      </c>
      <c r="K139">
        <v>317</v>
      </c>
      <c r="L139">
        <v>1008</v>
      </c>
      <c r="M139">
        <v>341</v>
      </c>
      <c r="N139">
        <v>207</v>
      </c>
      <c r="O139">
        <v>79</v>
      </c>
      <c r="P139">
        <v>394</v>
      </c>
      <c r="Q139">
        <v>578</v>
      </c>
      <c r="R139">
        <v>138</v>
      </c>
    </row>
    <row r="140" spans="1:18">
      <c r="A140" s="1" t="s">
        <v>120</v>
      </c>
      <c r="B140">
        <v>33</v>
      </c>
      <c r="C140">
        <v>19</v>
      </c>
      <c r="D140">
        <v>14</v>
      </c>
      <c r="E140">
        <v>-1.53</v>
      </c>
      <c r="F140">
        <v>2217</v>
      </c>
      <c r="G140">
        <v>748</v>
      </c>
      <c r="H140">
        <v>1660</v>
      </c>
      <c r="I140">
        <v>493</v>
      </c>
      <c r="J140">
        <v>700</v>
      </c>
      <c r="K140">
        <v>299</v>
      </c>
      <c r="L140">
        <v>1067</v>
      </c>
      <c r="M140">
        <v>419</v>
      </c>
      <c r="N140">
        <v>212</v>
      </c>
      <c r="O140">
        <v>78</v>
      </c>
      <c r="P140">
        <v>431</v>
      </c>
      <c r="Q140">
        <v>531</v>
      </c>
      <c r="R140">
        <v>139</v>
      </c>
    </row>
    <row r="141" spans="1:18">
      <c r="A141" s="1" t="s">
        <v>121</v>
      </c>
      <c r="B141">
        <v>32</v>
      </c>
      <c r="C141">
        <v>15</v>
      </c>
      <c r="D141">
        <v>17</v>
      </c>
      <c r="E141">
        <v>9.2899999999999991</v>
      </c>
      <c r="F141">
        <v>2016</v>
      </c>
      <c r="G141">
        <v>690</v>
      </c>
      <c r="H141">
        <v>1593</v>
      </c>
      <c r="I141">
        <v>495</v>
      </c>
      <c r="J141">
        <v>732</v>
      </c>
      <c r="K141">
        <v>338</v>
      </c>
      <c r="L141">
        <v>1015</v>
      </c>
      <c r="M141">
        <v>417</v>
      </c>
      <c r="N141">
        <v>195</v>
      </c>
      <c r="O141">
        <v>74</v>
      </c>
      <c r="P141">
        <v>424</v>
      </c>
      <c r="Q141">
        <v>639</v>
      </c>
      <c r="R141">
        <v>140</v>
      </c>
    </row>
    <row r="142" spans="1:18">
      <c r="A142" s="1" t="s">
        <v>375</v>
      </c>
      <c r="B142">
        <v>36</v>
      </c>
      <c r="C142">
        <v>27</v>
      </c>
      <c r="D142">
        <v>9</v>
      </c>
      <c r="E142">
        <v>12.13</v>
      </c>
      <c r="F142">
        <v>2561</v>
      </c>
      <c r="G142">
        <v>869</v>
      </c>
      <c r="H142">
        <v>1976</v>
      </c>
      <c r="I142">
        <v>610</v>
      </c>
      <c r="J142">
        <v>842</v>
      </c>
      <c r="K142">
        <v>426</v>
      </c>
      <c r="L142">
        <v>1364</v>
      </c>
      <c r="M142">
        <v>475</v>
      </c>
      <c r="N142">
        <v>237</v>
      </c>
      <c r="O142">
        <v>175</v>
      </c>
      <c r="P142">
        <v>463</v>
      </c>
      <c r="Q142">
        <v>639</v>
      </c>
      <c r="R142">
        <v>141</v>
      </c>
    </row>
    <row r="143" spans="1:18">
      <c r="A143" s="1" t="s">
        <v>336</v>
      </c>
      <c r="B143">
        <v>32</v>
      </c>
      <c r="C143">
        <v>10</v>
      </c>
      <c r="D143">
        <v>22</v>
      </c>
      <c r="E143">
        <v>-5.0999999999999996</v>
      </c>
      <c r="F143">
        <v>2027</v>
      </c>
      <c r="G143">
        <v>717</v>
      </c>
      <c r="H143">
        <v>1775</v>
      </c>
      <c r="I143">
        <v>379</v>
      </c>
      <c r="J143">
        <v>518</v>
      </c>
      <c r="K143">
        <v>343</v>
      </c>
      <c r="L143">
        <v>1094</v>
      </c>
      <c r="M143">
        <v>331</v>
      </c>
      <c r="N143">
        <v>173</v>
      </c>
      <c r="O143">
        <v>110</v>
      </c>
      <c r="P143">
        <v>455</v>
      </c>
      <c r="Q143">
        <v>567</v>
      </c>
      <c r="R143">
        <v>142</v>
      </c>
    </row>
    <row r="144" spans="1:18">
      <c r="A144" s="1" t="s">
        <v>122</v>
      </c>
      <c r="B144">
        <v>35</v>
      </c>
      <c r="C144">
        <v>23</v>
      </c>
      <c r="D144">
        <v>12</v>
      </c>
      <c r="E144">
        <v>-0.94</v>
      </c>
      <c r="F144">
        <v>2313</v>
      </c>
      <c r="G144">
        <v>797</v>
      </c>
      <c r="H144">
        <v>1868</v>
      </c>
      <c r="I144">
        <v>469</v>
      </c>
      <c r="J144">
        <v>713</v>
      </c>
      <c r="K144">
        <v>405</v>
      </c>
      <c r="L144">
        <v>1222</v>
      </c>
      <c r="M144">
        <v>368</v>
      </c>
      <c r="N144">
        <v>177</v>
      </c>
      <c r="O144">
        <v>133</v>
      </c>
      <c r="P144">
        <v>393</v>
      </c>
      <c r="Q144">
        <v>645</v>
      </c>
      <c r="R144">
        <v>143</v>
      </c>
    </row>
    <row r="145" spans="1:18">
      <c r="A145" s="1" t="s">
        <v>354</v>
      </c>
      <c r="B145">
        <v>39</v>
      </c>
      <c r="C145">
        <v>38</v>
      </c>
      <c r="D145">
        <v>1</v>
      </c>
      <c r="E145">
        <v>8.67</v>
      </c>
      <c r="F145">
        <v>2900</v>
      </c>
      <c r="G145">
        <v>1006</v>
      </c>
      <c r="H145">
        <v>2150</v>
      </c>
      <c r="I145">
        <v>685</v>
      </c>
      <c r="J145">
        <v>943</v>
      </c>
      <c r="K145">
        <v>491</v>
      </c>
      <c r="L145">
        <v>1482</v>
      </c>
      <c r="M145">
        <v>553</v>
      </c>
      <c r="N145">
        <v>253</v>
      </c>
      <c r="O145">
        <v>268</v>
      </c>
      <c r="P145">
        <v>408</v>
      </c>
      <c r="Q145">
        <v>665</v>
      </c>
      <c r="R145">
        <v>144</v>
      </c>
    </row>
    <row r="146" spans="1:18">
      <c r="A146" s="1" t="s">
        <v>123</v>
      </c>
      <c r="B146">
        <v>33</v>
      </c>
      <c r="C146">
        <v>17</v>
      </c>
      <c r="D146">
        <v>16</v>
      </c>
      <c r="E146">
        <v>3.91</v>
      </c>
      <c r="F146">
        <v>2086</v>
      </c>
      <c r="G146">
        <v>738</v>
      </c>
      <c r="H146">
        <v>1757</v>
      </c>
      <c r="I146">
        <v>444</v>
      </c>
      <c r="J146">
        <v>640</v>
      </c>
      <c r="K146">
        <v>332</v>
      </c>
      <c r="L146">
        <v>1126</v>
      </c>
      <c r="M146">
        <v>398</v>
      </c>
      <c r="N146">
        <v>211</v>
      </c>
      <c r="O146">
        <v>120</v>
      </c>
      <c r="P146">
        <v>429</v>
      </c>
      <c r="Q146">
        <v>582</v>
      </c>
      <c r="R146">
        <v>145</v>
      </c>
    </row>
    <row r="147" spans="1:18">
      <c r="A147" s="1" t="s">
        <v>279</v>
      </c>
      <c r="B147">
        <v>33</v>
      </c>
      <c r="C147">
        <v>20</v>
      </c>
      <c r="D147">
        <v>13</v>
      </c>
      <c r="E147">
        <v>-3.12</v>
      </c>
      <c r="F147">
        <v>2426</v>
      </c>
      <c r="G147">
        <v>872</v>
      </c>
      <c r="H147">
        <v>1799</v>
      </c>
      <c r="I147">
        <v>421</v>
      </c>
      <c r="J147">
        <v>549</v>
      </c>
      <c r="K147">
        <v>282</v>
      </c>
      <c r="L147">
        <v>1017</v>
      </c>
      <c r="M147">
        <v>514</v>
      </c>
      <c r="N147">
        <v>181</v>
      </c>
      <c r="O147">
        <v>83</v>
      </c>
      <c r="P147">
        <v>366</v>
      </c>
      <c r="Q147">
        <v>515</v>
      </c>
      <c r="R147">
        <v>146</v>
      </c>
    </row>
    <row r="148" spans="1:18">
      <c r="A148" s="1" t="s">
        <v>280</v>
      </c>
      <c r="B148">
        <v>30</v>
      </c>
      <c r="C148">
        <v>15</v>
      </c>
      <c r="D148">
        <v>15</v>
      </c>
      <c r="E148">
        <v>-5.29</v>
      </c>
      <c r="F148">
        <v>2146</v>
      </c>
      <c r="G148">
        <v>750</v>
      </c>
      <c r="H148">
        <v>1658</v>
      </c>
      <c r="I148">
        <v>477</v>
      </c>
      <c r="J148">
        <v>701</v>
      </c>
      <c r="K148">
        <v>376</v>
      </c>
      <c r="L148">
        <v>1063</v>
      </c>
      <c r="M148">
        <v>392</v>
      </c>
      <c r="N148">
        <v>224</v>
      </c>
      <c r="O148">
        <v>115</v>
      </c>
      <c r="P148">
        <v>465</v>
      </c>
      <c r="Q148">
        <v>623</v>
      </c>
      <c r="R148">
        <v>147</v>
      </c>
    </row>
    <row r="149" spans="1:18">
      <c r="A149" s="1" t="s">
        <v>124</v>
      </c>
      <c r="B149">
        <v>30</v>
      </c>
      <c r="C149">
        <v>16</v>
      </c>
      <c r="D149">
        <v>14</v>
      </c>
      <c r="E149">
        <v>-3.55</v>
      </c>
      <c r="F149">
        <v>2042</v>
      </c>
      <c r="G149">
        <v>724</v>
      </c>
      <c r="H149">
        <v>1640</v>
      </c>
      <c r="I149">
        <v>430</v>
      </c>
      <c r="J149">
        <v>593</v>
      </c>
      <c r="K149">
        <v>294</v>
      </c>
      <c r="L149">
        <v>1085</v>
      </c>
      <c r="M149">
        <v>429</v>
      </c>
      <c r="N149">
        <v>168</v>
      </c>
      <c r="O149">
        <v>97</v>
      </c>
      <c r="P149">
        <v>393</v>
      </c>
      <c r="Q149">
        <v>531</v>
      </c>
      <c r="R149">
        <v>148</v>
      </c>
    </row>
    <row r="150" spans="1:18">
      <c r="A150" s="1" t="s">
        <v>125</v>
      </c>
      <c r="B150">
        <v>32</v>
      </c>
      <c r="C150">
        <v>8</v>
      </c>
      <c r="D150">
        <v>24</v>
      </c>
      <c r="E150">
        <v>-6.44</v>
      </c>
      <c r="F150">
        <v>2045</v>
      </c>
      <c r="G150">
        <v>717</v>
      </c>
      <c r="H150">
        <v>1658</v>
      </c>
      <c r="I150">
        <v>457</v>
      </c>
      <c r="J150">
        <v>650</v>
      </c>
      <c r="K150">
        <v>341</v>
      </c>
      <c r="L150">
        <v>1132</v>
      </c>
      <c r="M150">
        <v>358</v>
      </c>
      <c r="N150">
        <v>175</v>
      </c>
      <c r="O150">
        <v>86</v>
      </c>
      <c r="P150">
        <v>522</v>
      </c>
      <c r="Q150">
        <v>602</v>
      </c>
      <c r="R150">
        <v>149</v>
      </c>
    </row>
    <row r="151" spans="1:18">
      <c r="A151" s="1" t="s">
        <v>320</v>
      </c>
      <c r="B151">
        <v>31</v>
      </c>
      <c r="C151">
        <v>14</v>
      </c>
      <c r="D151">
        <v>17</v>
      </c>
      <c r="E151">
        <v>-5.15</v>
      </c>
      <c r="F151">
        <v>2232</v>
      </c>
      <c r="G151">
        <v>741</v>
      </c>
      <c r="H151">
        <v>1769</v>
      </c>
      <c r="I151">
        <v>497</v>
      </c>
      <c r="J151">
        <v>715</v>
      </c>
      <c r="K151">
        <v>345</v>
      </c>
      <c r="L151">
        <v>1112</v>
      </c>
      <c r="M151">
        <v>432</v>
      </c>
      <c r="N151">
        <v>175</v>
      </c>
      <c r="O151">
        <v>61</v>
      </c>
      <c r="P151">
        <v>412</v>
      </c>
      <c r="Q151">
        <v>662</v>
      </c>
      <c r="R151">
        <v>150</v>
      </c>
    </row>
    <row r="152" spans="1:18">
      <c r="A152" s="1" t="s">
        <v>126</v>
      </c>
      <c r="B152">
        <v>33</v>
      </c>
      <c r="C152">
        <v>16</v>
      </c>
      <c r="D152">
        <v>17</v>
      </c>
      <c r="E152">
        <v>4.16</v>
      </c>
      <c r="F152">
        <v>2188</v>
      </c>
      <c r="G152">
        <v>761</v>
      </c>
      <c r="H152">
        <v>1809</v>
      </c>
      <c r="I152">
        <v>436</v>
      </c>
      <c r="J152">
        <v>638</v>
      </c>
      <c r="K152">
        <v>370</v>
      </c>
      <c r="L152">
        <v>1126</v>
      </c>
      <c r="M152">
        <v>369</v>
      </c>
      <c r="N152">
        <v>216</v>
      </c>
      <c r="O152">
        <v>78</v>
      </c>
      <c r="P152">
        <v>445</v>
      </c>
      <c r="Q152">
        <v>636</v>
      </c>
      <c r="R152">
        <v>151</v>
      </c>
    </row>
    <row r="153" spans="1:18">
      <c r="A153" s="1" t="s">
        <v>127</v>
      </c>
      <c r="B153">
        <v>30</v>
      </c>
      <c r="C153">
        <v>12</v>
      </c>
      <c r="D153">
        <v>18</v>
      </c>
      <c r="E153">
        <v>-5.32</v>
      </c>
      <c r="F153">
        <v>2022</v>
      </c>
      <c r="G153">
        <v>677</v>
      </c>
      <c r="H153">
        <v>1726</v>
      </c>
      <c r="I153">
        <v>473</v>
      </c>
      <c r="J153">
        <v>687</v>
      </c>
      <c r="K153">
        <v>368</v>
      </c>
      <c r="L153">
        <v>1121</v>
      </c>
      <c r="M153">
        <v>346</v>
      </c>
      <c r="N153">
        <v>171</v>
      </c>
      <c r="O153">
        <v>75</v>
      </c>
      <c r="P153">
        <v>411</v>
      </c>
      <c r="Q153">
        <v>605</v>
      </c>
      <c r="R153">
        <v>152</v>
      </c>
    </row>
    <row r="154" spans="1:18">
      <c r="A154" s="1" t="s">
        <v>331</v>
      </c>
      <c r="B154">
        <v>34</v>
      </c>
      <c r="C154">
        <v>11</v>
      </c>
      <c r="D154">
        <v>23</v>
      </c>
      <c r="E154">
        <v>-5.53</v>
      </c>
      <c r="F154">
        <v>2311</v>
      </c>
      <c r="G154">
        <v>809</v>
      </c>
      <c r="H154">
        <v>1899</v>
      </c>
      <c r="I154">
        <v>418</v>
      </c>
      <c r="J154">
        <v>580</v>
      </c>
      <c r="K154">
        <v>324</v>
      </c>
      <c r="L154">
        <v>1071</v>
      </c>
      <c r="M154">
        <v>397</v>
      </c>
      <c r="N154">
        <v>270</v>
      </c>
      <c r="O154">
        <v>106</v>
      </c>
      <c r="P154">
        <v>489</v>
      </c>
      <c r="Q154">
        <v>671</v>
      </c>
      <c r="R154">
        <v>153</v>
      </c>
    </row>
    <row r="155" spans="1:18">
      <c r="A155" s="1" t="s">
        <v>281</v>
      </c>
      <c r="B155">
        <v>36</v>
      </c>
      <c r="C155">
        <v>22</v>
      </c>
      <c r="D155">
        <v>14</v>
      </c>
      <c r="E155">
        <v>-3.61</v>
      </c>
      <c r="F155">
        <v>2789</v>
      </c>
      <c r="G155">
        <v>975</v>
      </c>
      <c r="H155">
        <v>2125</v>
      </c>
      <c r="I155">
        <v>599</v>
      </c>
      <c r="J155">
        <v>848</v>
      </c>
      <c r="K155">
        <v>452</v>
      </c>
      <c r="L155">
        <v>1421</v>
      </c>
      <c r="M155">
        <v>529</v>
      </c>
      <c r="N155">
        <v>239</v>
      </c>
      <c r="O155">
        <v>145</v>
      </c>
      <c r="P155">
        <v>525</v>
      </c>
      <c r="Q155">
        <v>665</v>
      </c>
      <c r="R155">
        <v>154</v>
      </c>
    </row>
    <row r="156" spans="1:18">
      <c r="A156" s="1" t="s">
        <v>128</v>
      </c>
      <c r="B156">
        <v>38</v>
      </c>
      <c r="C156">
        <v>24</v>
      </c>
      <c r="D156">
        <v>14</v>
      </c>
      <c r="E156">
        <v>-2.88</v>
      </c>
      <c r="F156">
        <v>2454</v>
      </c>
      <c r="G156">
        <v>923</v>
      </c>
      <c r="H156">
        <v>2162</v>
      </c>
      <c r="I156">
        <v>416</v>
      </c>
      <c r="J156">
        <v>583</v>
      </c>
      <c r="K156">
        <v>436</v>
      </c>
      <c r="L156">
        <v>1400</v>
      </c>
      <c r="M156">
        <v>497</v>
      </c>
      <c r="N156">
        <v>197</v>
      </c>
      <c r="O156">
        <v>153</v>
      </c>
      <c r="P156">
        <v>439</v>
      </c>
      <c r="Q156">
        <v>578</v>
      </c>
      <c r="R156">
        <v>155</v>
      </c>
    </row>
    <row r="157" spans="1:18">
      <c r="A157" s="1" t="s">
        <v>282</v>
      </c>
      <c r="B157">
        <v>33</v>
      </c>
      <c r="C157">
        <v>22</v>
      </c>
      <c r="D157">
        <v>11</v>
      </c>
      <c r="E157">
        <v>5.63</v>
      </c>
      <c r="F157">
        <v>2423</v>
      </c>
      <c r="G157">
        <v>892</v>
      </c>
      <c r="H157">
        <v>1962</v>
      </c>
      <c r="I157">
        <v>450</v>
      </c>
      <c r="J157">
        <v>658</v>
      </c>
      <c r="K157">
        <v>401</v>
      </c>
      <c r="L157">
        <v>1294</v>
      </c>
      <c r="M157">
        <v>516</v>
      </c>
      <c r="N157">
        <v>240</v>
      </c>
      <c r="O157">
        <v>204</v>
      </c>
      <c r="P157">
        <v>476</v>
      </c>
      <c r="Q157">
        <v>516</v>
      </c>
      <c r="R157">
        <v>156</v>
      </c>
    </row>
    <row r="158" spans="1:18">
      <c r="A158" s="1" t="s">
        <v>129</v>
      </c>
      <c r="B158">
        <v>36</v>
      </c>
      <c r="C158">
        <v>27</v>
      </c>
      <c r="D158">
        <v>9</v>
      </c>
      <c r="E158">
        <v>-1.34</v>
      </c>
      <c r="F158">
        <v>2632</v>
      </c>
      <c r="G158">
        <v>945</v>
      </c>
      <c r="H158">
        <v>2112</v>
      </c>
      <c r="I158">
        <v>494</v>
      </c>
      <c r="J158">
        <v>716</v>
      </c>
      <c r="K158">
        <v>375</v>
      </c>
      <c r="L158">
        <v>1210</v>
      </c>
      <c r="M158">
        <v>504</v>
      </c>
      <c r="N158">
        <v>303</v>
      </c>
      <c r="O158">
        <v>207</v>
      </c>
      <c r="P158">
        <v>390</v>
      </c>
      <c r="Q158">
        <v>597</v>
      </c>
      <c r="R158">
        <v>157</v>
      </c>
    </row>
    <row r="159" spans="1:18">
      <c r="A159" s="1" t="s">
        <v>283</v>
      </c>
      <c r="B159">
        <v>36</v>
      </c>
      <c r="C159">
        <v>27</v>
      </c>
      <c r="D159">
        <v>9</v>
      </c>
      <c r="E159">
        <v>8.98</v>
      </c>
      <c r="F159">
        <v>2483</v>
      </c>
      <c r="G159">
        <v>878</v>
      </c>
      <c r="H159">
        <v>2048</v>
      </c>
      <c r="I159">
        <v>529</v>
      </c>
      <c r="J159">
        <v>792</v>
      </c>
      <c r="K159">
        <v>454</v>
      </c>
      <c r="L159">
        <v>1351</v>
      </c>
      <c r="M159">
        <v>419</v>
      </c>
      <c r="N159">
        <v>283</v>
      </c>
      <c r="O159">
        <v>192</v>
      </c>
      <c r="P159">
        <v>408</v>
      </c>
      <c r="Q159">
        <v>623</v>
      </c>
      <c r="R159">
        <v>158</v>
      </c>
    </row>
    <row r="160" spans="1:18">
      <c r="A160" s="1" t="s">
        <v>130</v>
      </c>
      <c r="B160">
        <v>37</v>
      </c>
      <c r="C160">
        <v>24</v>
      </c>
      <c r="D160">
        <v>13</v>
      </c>
      <c r="E160">
        <v>0.46</v>
      </c>
      <c r="F160">
        <v>2324</v>
      </c>
      <c r="G160">
        <v>841</v>
      </c>
      <c r="H160">
        <v>1776</v>
      </c>
      <c r="I160">
        <v>418</v>
      </c>
      <c r="J160">
        <v>608</v>
      </c>
      <c r="K160">
        <v>291</v>
      </c>
      <c r="L160">
        <v>1078</v>
      </c>
      <c r="M160">
        <v>489</v>
      </c>
      <c r="N160">
        <v>240</v>
      </c>
      <c r="O160">
        <v>84</v>
      </c>
      <c r="P160">
        <v>466</v>
      </c>
      <c r="Q160">
        <v>568</v>
      </c>
      <c r="R160">
        <v>159</v>
      </c>
    </row>
    <row r="161" spans="1:18">
      <c r="A161" s="1" t="s">
        <v>131</v>
      </c>
      <c r="B161">
        <v>31</v>
      </c>
      <c r="C161">
        <v>8</v>
      </c>
      <c r="D161">
        <v>23</v>
      </c>
      <c r="E161">
        <v>5.28</v>
      </c>
      <c r="F161">
        <v>1928</v>
      </c>
      <c r="G161">
        <v>678</v>
      </c>
      <c r="H161">
        <v>1622</v>
      </c>
      <c r="I161">
        <v>412</v>
      </c>
      <c r="J161">
        <v>580</v>
      </c>
      <c r="K161">
        <v>351</v>
      </c>
      <c r="L161">
        <v>1011</v>
      </c>
      <c r="M161">
        <v>388</v>
      </c>
      <c r="N161">
        <v>188</v>
      </c>
      <c r="O161">
        <v>108</v>
      </c>
      <c r="P161">
        <v>422</v>
      </c>
      <c r="Q161">
        <v>540</v>
      </c>
      <c r="R161">
        <v>160</v>
      </c>
    </row>
    <row r="162" spans="1:18">
      <c r="A162" s="1" t="s">
        <v>132</v>
      </c>
      <c r="B162">
        <v>30</v>
      </c>
      <c r="C162">
        <v>11</v>
      </c>
      <c r="D162">
        <v>19</v>
      </c>
      <c r="E162">
        <v>-3.38</v>
      </c>
      <c r="F162">
        <v>1764</v>
      </c>
      <c r="G162">
        <v>607</v>
      </c>
      <c r="H162">
        <v>1591</v>
      </c>
      <c r="I162">
        <v>402</v>
      </c>
      <c r="J162">
        <v>599</v>
      </c>
      <c r="K162">
        <v>346</v>
      </c>
      <c r="L162">
        <v>1047</v>
      </c>
      <c r="M162">
        <v>290</v>
      </c>
      <c r="N162">
        <v>166</v>
      </c>
      <c r="O162">
        <v>92</v>
      </c>
      <c r="P162">
        <v>388</v>
      </c>
      <c r="Q162">
        <v>594</v>
      </c>
      <c r="R162">
        <v>161</v>
      </c>
    </row>
    <row r="163" spans="1:18">
      <c r="A163" s="1" t="s">
        <v>133</v>
      </c>
      <c r="B163">
        <v>30</v>
      </c>
      <c r="C163">
        <v>3</v>
      </c>
      <c r="D163">
        <v>27</v>
      </c>
      <c r="E163">
        <v>-3.4</v>
      </c>
      <c r="F163">
        <v>1812</v>
      </c>
      <c r="G163">
        <v>647</v>
      </c>
      <c r="H163">
        <v>1599</v>
      </c>
      <c r="I163">
        <v>321</v>
      </c>
      <c r="J163">
        <v>442</v>
      </c>
      <c r="K163">
        <v>238</v>
      </c>
      <c r="L163">
        <v>881</v>
      </c>
      <c r="M163">
        <v>393</v>
      </c>
      <c r="N163">
        <v>179</v>
      </c>
      <c r="O163">
        <v>32</v>
      </c>
      <c r="P163">
        <v>432</v>
      </c>
      <c r="Q163">
        <v>554</v>
      </c>
      <c r="R163">
        <v>162</v>
      </c>
    </row>
    <row r="164" spans="1:18">
      <c r="A164" s="1" t="s">
        <v>134</v>
      </c>
      <c r="B164">
        <v>33</v>
      </c>
      <c r="C164">
        <v>19</v>
      </c>
      <c r="D164">
        <v>14</v>
      </c>
      <c r="E164">
        <v>-3.34</v>
      </c>
      <c r="F164">
        <v>2300</v>
      </c>
      <c r="G164">
        <v>756</v>
      </c>
      <c r="H164">
        <v>1748</v>
      </c>
      <c r="I164">
        <v>573</v>
      </c>
      <c r="J164">
        <v>829</v>
      </c>
      <c r="K164">
        <v>345</v>
      </c>
      <c r="L164">
        <v>1065</v>
      </c>
      <c r="M164">
        <v>460</v>
      </c>
      <c r="N164">
        <v>264</v>
      </c>
      <c r="O164">
        <v>92</v>
      </c>
      <c r="P164">
        <v>481</v>
      </c>
      <c r="Q164">
        <v>758</v>
      </c>
      <c r="R164">
        <v>163</v>
      </c>
    </row>
    <row r="165" spans="1:18">
      <c r="A165" s="1" t="s">
        <v>135</v>
      </c>
      <c r="B165">
        <v>32</v>
      </c>
      <c r="C165">
        <v>7</v>
      </c>
      <c r="D165">
        <v>25</v>
      </c>
      <c r="E165">
        <v>-2.93</v>
      </c>
      <c r="F165">
        <v>1957</v>
      </c>
      <c r="G165">
        <v>649</v>
      </c>
      <c r="H165">
        <v>1629</v>
      </c>
      <c r="I165">
        <v>433</v>
      </c>
      <c r="J165">
        <v>619</v>
      </c>
      <c r="K165">
        <v>230</v>
      </c>
      <c r="L165">
        <v>936</v>
      </c>
      <c r="M165">
        <v>336</v>
      </c>
      <c r="N165">
        <v>223</v>
      </c>
      <c r="O165">
        <v>90</v>
      </c>
      <c r="P165">
        <v>436</v>
      </c>
      <c r="Q165">
        <v>571</v>
      </c>
      <c r="R165">
        <v>164</v>
      </c>
    </row>
    <row r="166" spans="1:18">
      <c r="A166" s="1" t="s">
        <v>136</v>
      </c>
      <c r="B166">
        <v>32</v>
      </c>
      <c r="C166">
        <v>13</v>
      </c>
      <c r="D166">
        <v>19</v>
      </c>
      <c r="E166">
        <v>9.02</v>
      </c>
      <c r="F166">
        <v>2083</v>
      </c>
      <c r="G166">
        <v>742</v>
      </c>
      <c r="H166">
        <v>1699</v>
      </c>
      <c r="I166">
        <v>392</v>
      </c>
      <c r="J166">
        <v>608</v>
      </c>
      <c r="K166">
        <v>306</v>
      </c>
      <c r="L166">
        <v>1000</v>
      </c>
      <c r="M166">
        <v>479</v>
      </c>
      <c r="N166">
        <v>241</v>
      </c>
      <c r="O166">
        <v>111</v>
      </c>
      <c r="P166">
        <v>402</v>
      </c>
      <c r="Q166">
        <v>505</v>
      </c>
      <c r="R166">
        <v>165</v>
      </c>
    </row>
    <row r="167" spans="1:18">
      <c r="A167" s="1" t="s">
        <v>137</v>
      </c>
      <c r="B167">
        <v>32</v>
      </c>
      <c r="C167">
        <v>11</v>
      </c>
      <c r="D167">
        <v>21</v>
      </c>
      <c r="E167">
        <v>-0.22</v>
      </c>
      <c r="F167">
        <v>2137</v>
      </c>
      <c r="G167">
        <v>738</v>
      </c>
      <c r="H167">
        <v>1840</v>
      </c>
      <c r="I167">
        <v>412</v>
      </c>
      <c r="J167">
        <v>636</v>
      </c>
      <c r="K167">
        <v>357</v>
      </c>
      <c r="L167">
        <v>1195</v>
      </c>
      <c r="M167">
        <v>412</v>
      </c>
      <c r="N167">
        <v>212</v>
      </c>
      <c r="O167">
        <v>93</v>
      </c>
      <c r="P167">
        <v>499</v>
      </c>
      <c r="Q167">
        <v>634</v>
      </c>
      <c r="R167">
        <v>166</v>
      </c>
    </row>
    <row r="168" spans="1:18">
      <c r="A168" s="1" t="s">
        <v>138</v>
      </c>
      <c r="B168">
        <v>30</v>
      </c>
      <c r="C168">
        <v>4</v>
      </c>
      <c r="D168">
        <v>26</v>
      </c>
      <c r="E168">
        <v>-5.14</v>
      </c>
      <c r="F168">
        <v>1682</v>
      </c>
      <c r="G168">
        <v>591</v>
      </c>
      <c r="H168">
        <v>1441</v>
      </c>
      <c r="I168">
        <v>347</v>
      </c>
      <c r="J168">
        <v>539</v>
      </c>
      <c r="K168">
        <v>225</v>
      </c>
      <c r="L168">
        <v>902</v>
      </c>
      <c r="M168">
        <v>338</v>
      </c>
      <c r="N168">
        <v>197</v>
      </c>
      <c r="O168">
        <v>90</v>
      </c>
      <c r="P168">
        <v>467</v>
      </c>
      <c r="Q168">
        <v>475</v>
      </c>
      <c r="R168">
        <v>167</v>
      </c>
    </row>
    <row r="169" spans="1:18">
      <c r="A169" s="1" t="s">
        <v>139</v>
      </c>
      <c r="B169">
        <v>33</v>
      </c>
      <c r="C169">
        <v>18</v>
      </c>
      <c r="D169">
        <v>15</v>
      </c>
      <c r="E169">
        <v>-6.94</v>
      </c>
      <c r="F169">
        <v>2229</v>
      </c>
      <c r="G169">
        <v>752</v>
      </c>
      <c r="H169">
        <v>1660</v>
      </c>
      <c r="I169">
        <v>512</v>
      </c>
      <c r="J169">
        <v>781</v>
      </c>
      <c r="K169">
        <v>379</v>
      </c>
      <c r="L169">
        <v>1100</v>
      </c>
      <c r="M169">
        <v>447</v>
      </c>
      <c r="N169">
        <v>248</v>
      </c>
      <c r="O169">
        <v>47</v>
      </c>
      <c r="P169">
        <v>504</v>
      </c>
      <c r="Q169">
        <v>658</v>
      </c>
      <c r="R169">
        <v>168</v>
      </c>
    </row>
    <row r="170" spans="1:18">
      <c r="A170" s="1" t="s">
        <v>332</v>
      </c>
      <c r="B170">
        <v>35</v>
      </c>
      <c r="C170">
        <v>28</v>
      </c>
      <c r="D170">
        <v>7</v>
      </c>
      <c r="E170">
        <v>7.63</v>
      </c>
      <c r="F170">
        <v>2417</v>
      </c>
      <c r="G170">
        <v>781</v>
      </c>
      <c r="H170">
        <v>1777</v>
      </c>
      <c r="I170">
        <v>597</v>
      </c>
      <c r="J170">
        <v>790</v>
      </c>
      <c r="K170">
        <v>314</v>
      </c>
      <c r="L170">
        <v>1223</v>
      </c>
      <c r="M170">
        <v>376</v>
      </c>
      <c r="N170">
        <v>169</v>
      </c>
      <c r="O170">
        <v>151</v>
      </c>
      <c r="P170">
        <v>431</v>
      </c>
      <c r="Q170">
        <v>584</v>
      </c>
      <c r="R170">
        <v>169</v>
      </c>
    </row>
    <row r="171" spans="1:18">
      <c r="A171" s="1" t="s">
        <v>366</v>
      </c>
      <c r="B171">
        <v>29</v>
      </c>
      <c r="C171">
        <v>12</v>
      </c>
      <c r="D171">
        <v>17</v>
      </c>
      <c r="E171">
        <v>-4.32</v>
      </c>
      <c r="F171">
        <v>1780</v>
      </c>
      <c r="G171">
        <v>610</v>
      </c>
      <c r="H171">
        <v>1481</v>
      </c>
      <c r="I171">
        <v>337</v>
      </c>
      <c r="J171">
        <v>508</v>
      </c>
      <c r="K171">
        <v>212</v>
      </c>
      <c r="L171">
        <v>837</v>
      </c>
      <c r="M171">
        <v>323</v>
      </c>
      <c r="N171">
        <v>201</v>
      </c>
      <c r="O171">
        <v>28</v>
      </c>
      <c r="P171">
        <v>383</v>
      </c>
      <c r="Q171">
        <v>523</v>
      </c>
      <c r="R171">
        <v>170</v>
      </c>
    </row>
    <row r="172" spans="1:18">
      <c r="A172" s="1" t="s">
        <v>140</v>
      </c>
      <c r="B172">
        <v>32</v>
      </c>
      <c r="C172">
        <v>17</v>
      </c>
      <c r="D172">
        <v>15</v>
      </c>
      <c r="E172">
        <v>4.6900000000000004</v>
      </c>
      <c r="F172">
        <v>2220</v>
      </c>
      <c r="G172">
        <v>772</v>
      </c>
      <c r="H172">
        <v>1785</v>
      </c>
      <c r="I172">
        <v>532</v>
      </c>
      <c r="J172">
        <v>756</v>
      </c>
      <c r="K172">
        <v>384</v>
      </c>
      <c r="L172">
        <v>1177</v>
      </c>
      <c r="M172">
        <v>429</v>
      </c>
      <c r="N172">
        <v>216</v>
      </c>
      <c r="O172">
        <v>135</v>
      </c>
      <c r="P172">
        <v>451</v>
      </c>
      <c r="Q172">
        <v>591</v>
      </c>
      <c r="R172">
        <v>171</v>
      </c>
    </row>
    <row r="173" spans="1:18">
      <c r="A173" s="1" t="s">
        <v>141</v>
      </c>
      <c r="B173">
        <v>31</v>
      </c>
      <c r="C173">
        <v>15</v>
      </c>
      <c r="D173">
        <v>16</v>
      </c>
      <c r="E173">
        <v>-5.42</v>
      </c>
      <c r="F173">
        <v>2154</v>
      </c>
      <c r="G173">
        <v>792</v>
      </c>
      <c r="H173">
        <v>1873</v>
      </c>
      <c r="I173">
        <v>377</v>
      </c>
      <c r="J173">
        <v>579</v>
      </c>
      <c r="K173">
        <v>413</v>
      </c>
      <c r="L173">
        <v>1118</v>
      </c>
      <c r="M173">
        <v>409</v>
      </c>
      <c r="N173">
        <v>223</v>
      </c>
      <c r="O173">
        <v>145</v>
      </c>
      <c r="P173">
        <v>333</v>
      </c>
      <c r="Q173">
        <v>528</v>
      </c>
      <c r="R173">
        <v>172</v>
      </c>
    </row>
    <row r="174" spans="1:18">
      <c r="A174" s="1" t="s">
        <v>142</v>
      </c>
      <c r="B174">
        <v>32</v>
      </c>
      <c r="C174">
        <v>18</v>
      </c>
      <c r="D174">
        <v>14</v>
      </c>
      <c r="E174">
        <v>2.9</v>
      </c>
      <c r="F174">
        <v>2155</v>
      </c>
      <c r="G174">
        <v>802</v>
      </c>
      <c r="H174">
        <v>1827</v>
      </c>
      <c r="I174">
        <v>385</v>
      </c>
      <c r="J174">
        <v>578</v>
      </c>
      <c r="K174">
        <v>409</v>
      </c>
      <c r="L174">
        <v>1195</v>
      </c>
      <c r="M174">
        <v>460</v>
      </c>
      <c r="N174">
        <v>224</v>
      </c>
      <c r="O174">
        <v>208</v>
      </c>
      <c r="P174">
        <v>427</v>
      </c>
      <c r="Q174">
        <v>587</v>
      </c>
      <c r="R174">
        <v>173</v>
      </c>
    </row>
    <row r="175" spans="1:18">
      <c r="A175" s="1" t="s">
        <v>143</v>
      </c>
      <c r="B175">
        <v>35</v>
      </c>
      <c r="C175">
        <v>19</v>
      </c>
      <c r="D175">
        <v>16</v>
      </c>
      <c r="E175">
        <v>-4.0999999999999996</v>
      </c>
      <c r="F175">
        <v>2334</v>
      </c>
      <c r="G175">
        <v>808</v>
      </c>
      <c r="H175">
        <v>1840</v>
      </c>
      <c r="I175">
        <v>506</v>
      </c>
      <c r="J175">
        <v>736</v>
      </c>
      <c r="K175">
        <v>385</v>
      </c>
      <c r="L175">
        <v>1191</v>
      </c>
      <c r="M175">
        <v>468</v>
      </c>
      <c r="N175">
        <v>224</v>
      </c>
      <c r="O175">
        <v>90</v>
      </c>
      <c r="P175">
        <v>377</v>
      </c>
      <c r="Q175">
        <v>560</v>
      </c>
      <c r="R175">
        <v>174</v>
      </c>
    </row>
    <row r="176" spans="1:18">
      <c r="A176" s="1" t="s">
        <v>284</v>
      </c>
      <c r="B176">
        <v>38</v>
      </c>
      <c r="C176">
        <v>25</v>
      </c>
      <c r="D176">
        <v>13</v>
      </c>
      <c r="E176">
        <v>7.05</v>
      </c>
      <c r="F176">
        <v>2592</v>
      </c>
      <c r="G176">
        <v>878</v>
      </c>
      <c r="H176">
        <v>2053</v>
      </c>
      <c r="I176">
        <v>544</v>
      </c>
      <c r="J176">
        <v>729</v>
      </c>
      <c r="K176">
        <v>377</v>
      </c>
      <c r="L176">
        <v>1317</v>
      </c>
      <c r="M176">
        <v>488</v>
      </c>
      <c r="N176">
        <v>209</v>
      </c>
      <c r="O176">
        <v>126</v>
      </c>
      <c r="P176">
        <v>385</v>
      </c>
      <c r="Q176">
        <v>593</v>
      </c>
      <c r="R176">
        <v>175</v>
      </c>
    </row>
    <row r="177" spans="1:18">
      <c r="A177" s="1" t="s">
        <v>144</v>
      </c>
      <c r="B177">
        <v>32</v>
      </c>
      <c r="C177">
        <v>13</v>
      </c>
      <c r="D177">
        <v>19</v>
      </c>
      <c r="E177">
        <v>0.31</v>
      </c>
      <c r="F177">
        <v>2123</v>
      </c>
      <c r="G177">
        <v>739</v>
      </c>
      <c r="H177">
        <v>1679</v>
      </c>
      <c r="I177">
        <v>456</v>
      </c>
      <c r="J177">
        <v>643</v>
      </c>
      <c r="K177">
        <v>268</v>
      </c>
      <c r="L177">
        <v>984</v>
      </c>
      <c r="M177">
        <v>375</v>
      </c>
      <c r="N177">
        <v>245</v>
      </c>
      <c r="O177">
        <v>64</v>
      </c>
      <c r="P177">
        <v>411</v>
      </c>
      <c r="Q177">
        <v>602</v>
      </c>
      <c r="R177">
        <v>176</v>
      </c>
    </row>
    <row r="178" spans="1:18">
      <c r="A178" s="1" t="s">
        <v>377</v>
      </c>
      <c r="B178">
        <v>39</v>
      </c>
      <c r="C178">
        <v>27</v>
      </c>
      <c r="D178">
        <v>12</v>
      </c>
      <c r="E178">
        <v>10</v>
      </c>
      <c r="F178">
        <v>2773</v>
      </c>
      <c r="G178">
        <v>1014</v>
      </c>
      <c r="H178">
        <v>2181</v>
      </c>
      <c r="I178">
        <v>451</v>
      </c>
      <c r="J178">
        <v>714</v>
      </c>
      <c r="K178">
        <v>436</v>
      </c>
      <c r="L178">
        <v>1458</v>
      </c>
      <c r="M178">
        <v>646</v>
      </c>
      <c r="N178">
        <v>203</v>
      </c>
      <c r="O178">
        <v>176</v>
      </c>
      <c r="P178">
        <v>441</v>
      </c>
      <c r="Q178">
        <v>738</v>
      </c>
      <c r="R178">
        <v>177</v>
      </c>
    </row>
    <row r="179" spans="1:18">
      <c r="A179" s="1" t="s">
        <v>145</v>
      </c>
      <c r="B179">
        <v>32</v>
      </c>
      <c r="C179">
        <v>16</v>
      </c>
      <c r="D179">
        <v>16</v>
      </c>
      <c r="E179">
        <v>9.59</v>
      </c>
      <c r="F179">
        <v>2071</v>
      </c>
      <c r="G179">
        <v>734</v>
      </c>
      <c r="H179">
        <v>1724</v>
      </c>
      <c r="I179">
        <v>353</v>
      </c>
      <c r="J179">
        <v>468</v>
      </c>
      <c r="K179">
        <v>267</v>
      </c>
      <c r="L179">
        <v>966</v>
      </c>
      <c r="M179">
        <v>382</v>
      </c>
      <c r="N179">
        <v>174</v>
      </c>
      <c r="O179">
        <v>57</v>
      </c>
      <c r="P179">
        <v>306</v>
      </c>
      <c r="Q179">
        <v>455</v>
      </c>
      <c r="R179">
        <v>178</v>
      </c>
    </row>
    <row r="180" spans="1:18">
      <c r="A180" s="1" t="s">
        <v>146</v>
      </c>
      <c r="B180">
        <v>36</v>
      </c>
      <c r="C180">
        <v>19</v>
      </c>
      <c r="D180">
        <v>17</v>
      </c>
      <c r="E180">
        <v>-0.39</v>
      </c>
      <c r="F180">
        <v>2285</v>
      </c>
      <c r="G180">
        <v>773</v>
      </c>
      <c r="H180">
        <v>1867</v>
      </c>
      <c r="I180">
        <v>497</v>
      </c>
      <c r="J180">
        <v>710</v>
      </c>
      <c r="K180">
        <v>386</v>
      </c>
      <c r="L180">
        <v>1215</v>
      </c>
      <c r="M180">
        <v>396</v>
      </c>
      <c r="N180">
        <v>214</v>
      </c>
      <c r="O180">
        <v>112</v>
      </c>
      <c r="P180">
        <v>469</v>
      </c>
      <c r="Q180">
        <v>660</v>
      </c>
      <c r="R180">
        <v>179</v>
      </c>
    </row>
    <row r="181" spans="1:18">
      <c r="A181" s="1" t="s">
        <v>147</v>
      </c>
      <c r="B181">
        <v>30</v>
      </c>
      <c r="C181">
        <v>14</v>
      </c>
      <c r="D181">
        <v>16</v>
      </c>
      <c r="E181">
        <v>0.15</v>
      </c>
      <c r="F181">
        <v>1963</v>
      </c>
      <c r="G181">
        <v>659</v>
      </c>
      <c r="H181">
        <v>1564</v>
      </c>
      <c r="I181">
        <v>434</v>
      </c>
      <c r="J181">
        <v>589</v>
      </c>
      <c r="K181">
        <v>264</v>
      </c>
      <c r="L181">
        <v>982</v>
      </c>
      <c r="M181">
        <v>388</v>
      </c>
      <c r="N181">
        <v>157</v>
      </c>
      <c r="O181">
        <v>83</v>
      </c>
      <c r="P181">
        <v>382</v>
      </c>
      <c r="Q181">
        <v>518</v>
      </c>
      <c r="R181">
        <v>180</v>
      </c>
    </row>
    <row r="182" spans="1:18">
      <c r="A182" s="1" t="s">
        <v>148</v>
      </c>
      <c r="B182">
        <v>33</v>
      </c>
      <c r="C182">
        <v>18</v>
      </c>
      <c r="D182">
        <v>15</v>
      </c>
      <c r="E182">
        <v>7.21</v>
      </c>
      <c r="F182">
        <v>2449</v>
      </c>
      <c r="G182">
        <v>890</v>
      </c>
      <c r="H182">
        <v>1924</v>
      </c>
      <c r="I182">
        <v>426</v>
      </c>
      <c r="J182">
        <v>634</v>
      </c>
      <c r="K182">
        <v>352</v>
      </c>
      <c r="L182">
        <v>1087</v>
      </c>
      <c r="M182">
        <v>519</v>
      </c>
      <c r="N182">
        <v>313</v>
      </c>
      <c r="O182">
        <v>110</v>
      </c>
      <c r="P182">
        <v>400</v>
      </c>
      <c r="Q182">
        <v>596</v>
      </c>
      <c r="R182">
        <v>181</v>
      </c>
    </row>
    <row r="183" spans="1:18">
      <c r="A183" s="1" t="s">
        <v>149</v>
      </c>
      <c r="B183">
        <v>32</v>
      </c>
      <c r="C183">
        <v>13</v>
      </c>
      <c r="D183">
        <v>19</v>
      </c>
      <c r="E183">
        <v>4.72</v>
      </c>
      <c r="F183">
        <v>1977</v>
      </c>
      <c r="G183">
        <v>669</v>
      </c>
      <c r="H183">
        <v>1557</v>
      </c>
      <c r="I183">
        <v>506</v>
      </c>
      <c r="J183">
        <v>727</v>
      </c>
      <c r="K183">
        <v>324</v>
      </c>
      <c r="L183">
        <v>1099</v>
      </c>
      <c r="M183">
        <v>278</v>
      </c>
      <c r="N183">
        <v>205</v>
      </c>
      <c r="O183">
        <v>90</v>
      </c>
      <c r="P183">
        <v>474</v>
      </c>
      <c r="Q183">
        <v>606</v>
      </c>
      <c r="R183">
        <v>182</v>
      </c>
    </row>
    <row r="184" spans="1:18">
      <c r="A184" s="1" t="s">
        <v>150</v>
      </c>
      <c r="B184">
        <v>32</v>
      </c>
      <c r="C184">
        <v>6</v>
      </c>
      <c r="D184">
        <v>26</v>
      </c>
      <c r="E184">
        <v>-7.78</v>
      </c>
      <c r="F184">
        <v>2045</v>
      </c>
      <c r="G184">
        <v>738</v>
      </c>
      <c r="H184">
        <v>1911</v>
      </c>
      <c r="I184">
        <v>412</v>
      </c>
      <c r="J184">
        <v>630</v>
      </c>
      <c r="K184">
        <v>382</v>
      </c>
      <c r="L184">
        <v>1052</v>
      </c>
      <c r="M184">
        <v>338</v>
      </c>
      <c r="N184">
        <v>241</v>
      </c>
      <c r="O184">
        <v>37</v>
      </c>
      <c r="P184">
        <v>481</v>
      </c>
      <c r="Q184">
        <v>589</v>
      </c>
      <c r="R184">
        <v>183</v>
      </c>
    </row>
    <row r="185" spans="1:18">
      <c r="A185" s="1" t="s">
        <v>151</v>
      </c>
      <c r="B185">
        <v>34</v>
      </c>
      <c r="C185">
        <v>21</v>
      </c>
      <c r="D185">
        <v>13</v>
      </c>
      <c r="E185">
        <v>7.01</v>
      </c>
      <c r="F185">
        <v>2475</v>
      </c>
      <c r="G185">
        <v>848</v>
      </c>
      <c r="H185">
        <v>2003</v>
      </c>
      <c r="I185">
        <v>559</v>
      </c>
      <c r="J185">
        <v>723</v>
      </c>
      <c r="K185">
        <v>430</v>
      </c>
      <c r="L185">
        <v>1284</v>
      </c>
      <c r="M185">
        <v>450</v>
      </c>
      <c r="N185">
        <v>225</v>
      </c>
      <c r="O185">
        <v>128</v>
      </c>
      <c r="P185">
        <v>378</v>
      </c>
      <c r="Q185">
        <v>668</v>
      </c>
      <c r="R185">
        <v>184</v>
      </c>
    </row>
    <row r="186" spans="1:18">
      <c r="A186" s="1" t="s">
        <v>152</v>
      </c>
      <c r="B186">
        <v>33</v>
      </c>
      <c r="C186">
        <v>14</v>
      </c>
      <c r="D186">
        <v>19</v>
      </c>
      <c r="E186">
        <v>-5.07</v>
      </c>
      <c r="F186">
        <v>2164</v>
      </c>
      <c r="G186">
        <v>723</v>
      </c>
      <c r="H186">
        <v>1776</v>
      </c>
      <c r="I186">
        <v>502</v>
      </c>
      <c r="J186">
        <v>724</v>
      </c>
      <c r="K186">
        <v>374</v>
      </c>
      <c r="L186">
        <v>1037</v>
      </c>
      <c r="M186">
        <v>376</v>
      </c>
      <c r="N186">
        <v>266</v>
      </c>
      <c r="O186">
        <v>111</v>
      </c>
      <c r="P186">
        <v>443</v>
      </c>
      <c r="Q186">
        <v>636</v>
      </c>
      <c r="R186">
        <v>185</v>
      </c>
    </row>
    <row r="187" spans="1:18">
      <c r="A187" s="1" t="s">
        <v>153</v>
      </c>
      <c r="B187">
        <v>31</v>
      </c>
      <c r="C187">
        <v>11</v>
      </c>
      <c r="D187">
        <v>20</v>
      </c>
      <c r="E187">
        <v>1.67</v>
      </c>
      <c r="F187">
        <v>1850</v>
      </c>
      <c r="G187">
        <v>654</v>
      </c>
      <c r="H187">
        <v>1612</v>
      </c>
      <c r="I187">
        <v>384</v>
      </c>
      <c r="J187">
        <v>525</v>
      </c>
      <c r="K187">
        <v>316</v>
      </c>
      <c r="L187">
        <v>1008</v>
      </c>
      <c r="M187">
        <v>347</v>
      </c>
      <c r="N187">
        <v>160</v>
      </c>
      <c r="O187">
        <v>100</v>
      </c>
      <c r="P187">
        <v>377</v>
      </c>
      <c r="Q187">
        <v>550</v>
      </c>
      <c r="R187">
        <v>186</v>
      </c>
    </row>
    <row r="188" spans="1:18">
      <c r="A188" s="1" t="s">
        <v>328</v>
      </c>
      <c r="B188">
        <v>32</v>
      </c>
      <c r="C188">
        <v>9</v>
      </c>
      <c r="D188">
        <v>23</v>
      </c>
      <c r="E188">
        <v>9.26</v>
      </c>
      <c r="F188">
        <v>1935</v>
      </c>
      <c r="G188">
        <v>683</v>
      </c>
      <c r="H188">
        <v>1694</v>
      </c>
      <c r="I188">
        <v>373</v>
      </c>
      <c r="J188">
        <v>560</v>
      </c>
      <c r="K188">
        <v>327</v>
      </c>
      <c r="L188">
        <v>1050</v>
      </c>
      <c r="M188">
        <v>343</v>
      </c>
      <c r="N188">
        <v>179</v>
      </c>
      <c r="O188">
        <v>90</v>
      </c>
      <c r="P188">
        <v>417</v>
      </c>
      <c r="Q188">
        <v>624</v>
      </c>
      <c r="R188">
        <v>187</v>
      </c>
    </row>
    <row r="189" spans="1:18">
      <c r="A189" s="1" t="s">
        <v>154</v>
      </c>
      <c r="B189">
        <v>33</v>
      </c>
      <c r="C189">
        <v>18</v>
      </c>
      <c r="D189">
        <v>15</v>
      </c>
      <c r="E189">
        <v>-2.91</v>
      </c>
      <c r="F189">
        <v>2134</v>
      </c>
      <c r="G189">
        <v>730</v>
      </c>
      <c r="H189">
        <v>1702</v>
      </c>
      <c r="I189">
        <v>503</v>
      </c>
      <c r="J189">
        <v>697</v>
      </c>
      <c r="K189">
        <v>320</v>
      </c>
      <c r="L189">
        <v>1080</v>
      </c>
      <c r="M189">
        <v>372</v>
      </c>
      <c r="N189">
        <v>231</v>
      </c>
      <c r="O189">
        <v>127</v>
      </c>
      <c r="P189">
        <v>426</v>
      </c>
      <c r="Q189">
        <v>622</v>
      </c>
      <c r="R189">
        <v>188</v>
      </c>
    </row>
    <row r="190" spans="1:18">
      <c r="A190" s="1" t="s">
        <v>155</v>
      </c>
      <c r="B190">
        <v>30</v>
      </c>
      <c r="C190">
        <v>7</v>
      </c>
      <c r="D190">
        <v>23</v>
      </c>
      <c r="E190">
        <v>-3.5</v>
      </c>
      <c r="F190">
        <v>1917</v>
      </c>
      <c r="G190">
        <v>662</v>
      </c>
      <c r="H190">
        <v>1665</v>
      </c>
      <c r="I190">
        <v>347</v>
      </c>
      <c r="J190">
        <v>482</v>
      </c>
      <c r="K190">
        <v>317</v>
      </c>
      <c r="L190">
        <v>1009</v>
      </c>
      <c r="M190">
        <v>349</v>
      </c>
      <c r="N190">
        <v>132</v>
      </c>
      <c r="O190">
        <v>91</v>
      </c>
      <c r="P190">
        <v>411</v>
      </c>
      <c r="Q190">
        <v>624</v>
      </c>
      <c r="R190">
        <v>189</v>
      </c>
    </row>
    <row r="191" spans="1:18">
      <c r="A191" s="1" t="s">
        <v>156</v>
      </c>
      <c r="B191">
        <v>33</v>
      </c>
      <c r="C191">
        <v>20</v>
      </c>
      <c r="D191">
        <v>13</v>
      </c>
      <c r="E191">
        <v>-3.78</v>
      </c>
      <c r="F191">
        <v>2347</v>
      </c>
      <c r="G191">
        <v>828</v>
      </c>
      <c r="H191">
        <v>1786</v>
      </c>
      <c r="I191">
        <v>417</v>
      </c>
      <c r="J191">
        <v>581</v>
      </c>
      <c r="K191">
        <v>295</v>
      </c>
      <c r="L191">
        <v>1055</v>
      </c>
      <c r="M191">
        <v>466</v>
      </c>
      <c r="N191">
        <v>218</v>
      </c>
      <c r="O191">
        <v>84</v>
      </c>
      <c r="P191">
        <v>391</v>
      </c>
      <c r="Q191">
        <v>634</v>
      </c>
      <c r="R191">
        <v>190</v>
      </c>
    </row>
    <row r="192" spans="1:18">
      <c r="A192" s="1" t="s">
        <v>157</v>
      </c>
      <c r="B192">
        <v>34</v>
      </c>
      <c r="C192">
        <v>17</v>
      </c>
      <c r="D192">
        <v>17</v>
      </c>
      <c r="E192">
        <v>-3.31</v>
      </c>
      <c r="F192">
        <v>2420</v>
      </c>
      <c r="G192">
        <v>854</v>
      </c>
      <c r="H192">
        <v>1930</v>
      </c>
      <c r="I192">
        <v>490</v>
      </c>
      <c r="J192">
        <v>684</v>
      </c>
      <c r="K192">
        <v>422</v>
      </c>
      <c r="L192">
        <v>1205</v>
      </c>
      <c r="M192">
        <v>495</v>
      </c>
      <c r="N192">
        <v>278</v>
      </c>
      <c r="O192">
        <v>110</v>
      </c>
      <c r="P192">
        <v>462</v>
      </c>
      <c r="Q192">
        <v>782</v>
      </c>
      <c r="R192">
        <v>191</v>
      </c>
    </row>
    <row r="193" spans="1:18">
      <c r="A193" s="1" t="s">
        <v>158</v>
      </c>
      <c r="B193">
        <v>31</v>
      </c>
      <c r="C193">
        <v>7</v>
      </c>
      <c r="D193">
        <v>24</v>
      </c>
      <c r="E193">
        <v>-6.48</v>
      </c>
      <c r="F193">
        <v>1898</v>
      </c>
      <c r="G193">
        <v>673</v>
      </c>
      <c r="H193">
        <v>1877</v>
      </c>
      <c r="I193">
        <v>389</v>
      </c>
      <c r="J193">
        <v>622</v>
      </c>
      <c r="K193">
        <v>468</v>
      </c>
      <c r="L193">
        <v>1098</v>
      </c>
      <c r="M193">
        <v>313</v>
      </c>
      <c r="N193">
        <v>175</v>
      </c>
      <c r="O193">
        <v>89</v>
      </c>
      <c r="P193">
        <v>332</v>
      </c>
      <c r="Q193">
        <v>580</v>
      </c>
      <c r="R193">
        <v>192</v>
      </c>
    </row>
    <row r="194" spans="1:18">
      <c r="A194" s="1" t="s">
        <v>159</v>
      </c>
      <c r="B194">
        <v>30</v>
      </c>
      <c r="C194">
        <v>15</v>
      </c>
      <c r="D194">
        <v>15</v>
      </c>
      <c r="E194">
        <v>-4.4000000000000004</v>
      </c>
      <c r="F194">
        <v>1893</v>
      </c>
      <c r="G194">
        <v>662</v>
      </c>
      <c r="H194">
        <v>1645</v>
      </c>
      <c r="I194">
        <v>341</v>
      </c>
      <c r="J194">
        <v>500</v>
      </c>
      <c r="K194">
        <v>325</v>
      </c>
      <c r="L194">
        <v>979</v>
      </c>
      <c r="M194">
        <v>342</v>
      </c>
      <c r="N194">
        <v>202</v>
      </c>
      <c r="O194">
        <v>112</v>
      </c>
      <c r="P194">
        <v>367</v>
      </c>
      <c r="Q194">
        <v>549</v>
      </c>
      <c r="R194">
        <v>193</v>
      </c>
    </row>
    <row r="195" spans="1:18">
      <c r="A195" s="1" t="s">
        <v>160</v>
      </c>
      <c r="B195">
        <v>35</v>
      </c>
      <c r="C195">
        <v>29</v>
      </c>
      <c r="D195">
        <v>6</v>
      </c>
      <c r="E195">
        <v>-2.81</v>
      </c>
      <c r="F195">
        <v>2764</v>
      </c>
      <c r="G195">
        <v>961</v>
      </c>
      <c r="H195">
        <v>1995</v>
      </c>
      <c r="I195">
        <v>579</v>
      </c>
      <c r="J195">
        <v>831</v>
      </c>
      <c r="K195">
        <v>422</v>
      </c>
      <c r="L195">
        <v>1292</v>
      </c>
      <c r="M195">
        <v>543</v>
      </c>
      <c r="N195">
        <v>253</v>
      </c>
      <c r="O195">
        <v>113</v>
      </c>
      <c r="P195">
        <v>411</v>
      </c>
      <c r="Q195">
        <v>649</v>
      </c>
      <c r="R195">
        <v>194</v>
      </c>
    </row>
    <row r="196" spans="1:18">
      <c r="A196" s="1" t="s">
        <v>161</v>
      </c>
      <c r="B196">
        <v>32</v>
      </c>
      <c r="C196">
        <v>13</v>
      </c>
      <c r="D196">
        <v>19</v>
      </c>
      <c r="E196">
        <v>-3.61</v>
      </c>
      <c r="F196">
        <v>1952</v>
      </c>
      <c r="G196">
        <v>719</v>
      </c>
      <c r="H196">
        <v>1637</v>
      </c>
      <c r="I196">
        <v>344</v>
      </c>
      <c r="J196">
        <v>513</v>
      </c>
      <c r="K196">
        <v>301</v>
      </c>
      <c r="L196">
        <v>982</v>
      </c>
      <c r="M196">
        <v>423</v>
      </c>
      <c r="N196">
        <v>188</v>
      </c>
      <c r="O196">
        <v>107</v>
      </c>
      <c r="P196">
        <v>391</v>
      </c>
      <c r="Q196">
        <v>554</v>
      </c>
      <c r="R196">
        <v>195</v>
      </c>
    </row>
    <row r="197" spans="1:18">
      <c r="A197" s="1" t="s">
        <v>360</v>
      </c>
      <c r="B197">
        <v>29</v>
      </c>
      <c r="C197">
        <v>12</v>
      </c>
      <c r="D197">
        <v>17</v>
      </c>
      <c r="E197">
        <v>-5.14</v>
      </c>
      <c r="F197">
        <v>2226</v>
      </c>
      <c r="G197">
        <v>767</v>
      </c>
      <c r="H197">
        <v>1724</v>
      </c>
      <c r="I197">
        <v>513</v>
      </c>
      <c r="J197">
        <v>737</v>
      </c>
      <c r="K197">
        <v>321</v>
      </c>
      <c r="L197">
        <v>1009</v>
      </c>
      <c r="M197">
        <v>350</v>
      </c>
      <c r="N197">
        <v>237</v>
      </c>
      <c r="O197">
        <v>92</v>
      </c>
      <c r="P197">
        <v>391</v>
      </c>
      <c r="Q197">
        <v>590</v>
      </c>
      <c r="R197">
        <v>196</v>
      </c>
    </row>
    <row r="198" spans="1:18">
      <c r="A198" s="1" t="s">
        <v>162</v>
      </c>
      <c r="B198">
        <v>31</v>
      </c>
      <c r="C198">
        <v>13</v>
      </c>
      <c r="D198">
        <v>18</v>
      </c>
      <c r="E198">
        <v>7.58</v>
      </c>
      <c r="F198">
        <v>1905</v>
      </c>
      <c r="G198">
        <v>664</v>
      </c>
      <c r="H198">
        <v>1613</v>
      </c>
      <c r="I198">
        <v>416</v>
      </c>
      <c r="J198">
        <v>588</v>
      </c>
      <c r="K198">
        <v>277</v>
      </c>
      <c r="L198">
        <v>1022</v>
      </c>
      <c r="M198">
        <v>315</v>
      </c>
      <c r="N198">
        <v>192</v>
      </c>
      <c r="O198">
        <v>90</v>
      </c>
      <c r="P198">
        <v>389</v>
      </c>
      <c r="Q198">
        <v>581</v>
      </c>
      <c r="R198">
        <v>197</v>
      </c>
    </row>
    <row r="199" spans="1:18">
      <c r="A199" s="1" t="s">
        <v>285</v>
      </c>
      <c r="B199">
        <v>33</v>
      </c>
      <c r="C199">
        <v>18</v>
      </c>
      <c r="D199">
        <v>15</v>
      </c>
      <c r="E199">
        <v>3.38</v>
      </c>
      <c r="F199">
        <v>2250</v>
      </c>
      <c r="G199">
        <v>808</v>
      </c>
      <c r="H199">
        <v>1816</v>
      </c>
      <c r="I199">
        <v>398</v>
      </c>
      <c r="J199">
        <v>600</v>
      </c>
      <c r="K199">
        <v>301</v>
      </c>
      <c r="L199">
        <v>1170</v>
      </c>
      <c r="M199">
        <v>453</v>
      </c>
      <c r="N199">
        <v>183</v>
      </c>
      <c r="O199">
        <v>223</v>
      </c>
      <c r="P199">
        <v>376</v>
      </c>
      <c r="Q199">
        <v>545</v>
      </c>
      <c r="R199">
        <v>198</v>
      </c>
    </row>
    <row r="200" spans="1:18">
      <c r="A200" s="1" t="s">
        <v>163</v>
      </c>
      <c r="B200">
        <v>31</v>
      </c>
      <c r="C200">
        <v>9</v>
      </c>
      <c r="D200">
        <v>22</v>
      </c>
      <c r="E200">
        <v>1.08</v>
      </c>
      <c r="F200">
        <v>1874</v>
      </c>
      <c r="G200">
        <v>637</v>
      </c>
      <c r="H200">
        <v>1673</v>
      </c>
      <c r="I200">
        <v>489</v>
      </c>
      <c r="J200">
        <v>703</v>
      </c>
      <c r="K200">
        <v>457</v>
      </c>
      <c r="L200">
        <v>1221</v>
      </c>
      <c r="M200">
        <v>298</v>
      </c>
      <c r="N200">
        <v>169</v>
      </c>
      <c r="O200">
        <v>129</v>
      </c>
      <c r="P200">
        <v>436</v>
      </c>
      <c r="Q200">
        <v>603</v>
      </c>
      <c r="R200">
        <v>199</v>
      </c>
    </row>
    <row r="201" spans="1:18">
      <c r="A201" s="1" t="s">
        <v>164</v>
      </c>
      <c r="B201">
        <v>32</v>
      </c>
      <c r="C201">
        <v>19</v>
      </c>
      <c r="D201">
        <v>13</v>
      </c>
      <c r="E201">
        <v>-6.29</v>
      </c>
      <c r="F201">
        <v>2148</v>
      </c>
      <c r="G201">
        <v>747</v>
      </c>
      <c r="H201">
        <v>1712</v>
      </c>
      <c r="I201">
        <v>423</v>
      </c>
      <c r="J201">
        <v>627</v>
      </c>
      <c r="K201">
        <v>302</v>
      </c>
      <c r="L201">
        <v>1174</v>
      </c>
      <c r="M201">
        <v>366</v>
      </c>
      <c r="N201">
        <v>167</v>
      </c>
      <c r="O201">
        <v>69</v>
      </c>
      <c r="P201">
        <v>394</v>
      </c>
      <c r="Q201">
        <v>607</v>
      </c>
      <c r="R201">
        <v>200</v>
      </c>
    </row>
    <row r="202" spans="1:18">
      <c r="A202" s="1" t="s">
        <v>165</v>
      </c>
      <c r="B202">
        <v>34</v>
      </c>
      <c r="C202">
        <v>23</v>
      </c>
      <c r="D202">
        <v>11</v>
      </c>
      <c r="E202">
        <v>-3.67</v>
      </c>
      <c r="F202">
        <v>2316</v>
      </c>
      <c r="G202">
        <v>808</v>
      </c>
      <c r="H202">
        <v>1748</v>
      </c>
      <c r="I202">
        <v>535</v>
      </c>
      <c r="J202">
        <v>771</v>
      </c>
      <c r="K202">
        <v>428</v>
      </c>
      <c r="L202">
        <v>1199</v>
      </c>
      <c r="M202">
        <v>406</v>
      </c>
      <c r="N202">
        <v>219</v>
      </c>
      <c r="O202">
        <v>124</v>
      </c>
      <c r="P202">
        <v>470</v>
      </c>
      <c r="Q202">
        <v>541</v>
      </c>
      <c r="R202">
        <v>201</v>
      </c>
    </row>
    <row r="203" spans="1:18">
      <c r="A203" s="1" t="s">
        <v>166</v>
      </c>
      <c r="B203">
        <v>31</v>
      </c>
      <c r="C203">
        <v>15</v>
      </c>
      <c r="D203">
        <v>16</v>
      </c>
      <c r="E203">
        <v>1.03</v>
      </c>
      <c r="F203">
        <v>1921</v>
      </c>
      <c r="G203">
        <v>686</v>
      </c>
      <c r="H203">
        <v>1588</v>
      </c>
      <c r="I203">
        <v>401</v>
      </c>
      <c r="J203">
        <v>609</v>
      </c>
      <c r="K203">
        <v>331</v>
      </c>
      <c r="L203">
        <v>1081</v>
      </c>
      <c r="M203">
        <v>398</v>
      </c>
      <c r="N203">
        <v>178</v>
      </c>
      <c r="O203">
        <v>139</v>
      </c>
      <c r="P203">
        <v>392</v>
      </c>
      <c r="Q203">
        <v>538</v>
      </c>
      <c r="R203">
        <v>202</v>
      </c>
    </row>
    <row r="204" spans="1:18">
      <c r="A204" s="1" t="s">
        <v>167</v>
      </c>
      <c r="B204">
        <v>29</v>
      </c>
      <c r="C204">
        <v>11</v>
      </c>
      <c r="D204">
        <v>18</v>
      </c>
      <c r="E204">
        <v>-6.36</v>
      </c>
      <c r="F204">
        <v>2062</v>
      </c>
      <c r="G204">
        <v>704</v>
      </c>
      <c r="H204">
        <v>1604</v>
      </c>
      <c r="I204">
        <v>531</v>
      </c>
      <c r="J204">
        <v>770</v>
      </c>
      <c r="K204">
        <v>365</v>
      </c>
      <c r="L204">
        <v>1014</v>
      </c>
      <c r="M204">
        <v>279</v>
      </c>
      <c r="N204">
        <v>216</v>
      </c>
      <c r="O204">
        <v>101</v>
      </c>
      <c r="P204">
        <v>452</v>
      </c>
      <c r="Q204">
        <v>608</v>
      </c>
      <c r="R204">
        <v>203</v>
      </c>
    </row>
    <row r="205" spans="1:18">
      <c r="A205" s="1" t="s">
        <v>168</v>
      </c>
      <c r="B205">
        <v>30</v>
      </c>
      <c r="C205">
        <v>8</v>
      </c>
      <c r="D205">
        <v>22</v>
      </c>
      <c r="E205">
        <v>-1.8</v>
      </c>
      <c r="F205">
        <v>1930</v>
      </c>
      <c r="G205">
        <v>642</v>
      </c>
      <c r="H205">
        <v>1608</v>
      </c>
      <c r="I205">
        <v>460</v>
      </c>
      <c r="J205">
        <v>662</v>
      </c>
      <c r="K205">
        <v>343</v>
      </c>
      <c r="L205">
        <v>1016</v>
      </c>
      <c r="M205">
        <v>338</v>
      </c>
      <c r="N205">
        <v>172</v>
      </c>
      <c r="O205">
        <v>69</v>
      </c>
      <c r="P205">
        <v>408</v>
      </c>
      <c r="Q205">
        <v>559</v>
      </c>
      <c r="R205">
        <v>204</v>
      </c>
    </row>
    <row r="206" spans="1:18">
      <c r="A206" s="1" t="s">
        <v>169</v>
      </c>
      <c r="B206">
        <v>29</v>
      </c>
      <c r="C206">
        <v>10</v>
      </c>
      <c r="D206">
        <v>19</v>
      </c>
      <c r="E206">
        <v>-5.3</v>
      </c>
      <c r="F206">
        <v>1885</v>
      </c>
      <c r="G206">
        <v>662</v>
      </c>
      <c r="H206">
        <v>1511</v>
      </c>
      <c r="I206">
        <v>404</v>
      </c>
      <c r="J206">
        <v>645</v>
      </c>
      <c r="K206">
        <v>314</v>
      </c>
      <c r="L206">
        <v>981</v>
      </c>
      <c r="M206">
        <v>367</v>
      </c>
      <c r="N206">
        <v>201</v>
      </c>
      <c r="O206">
        <v>120</v>
      </c>
      <c r="P206">
        <v>492</v>
      </c>
      <c r="Q206">
        <v>635</v>
      </c>
      <c r="R206">
        <v>205</v>
      </c>
    </row>
    <row r="207" spans="1:18">
      <c r="A207" s="1" t="s">
        <v>337</v>
      </c>
      <c r="B207">
        <v>33</v>
      </c>
      <c r="C207">
        <v>21</v>
      </c>
      <c r="D207">
        <v>12</v>
      </c>
      <c r="E207">
        <v>-4.07</v>
      </c>
      <c r="F207">
        <v>2368</v>
      </c>
      <c r="G207">
        <v>808</v>
      </c>
      <c r="H207">
        <v>1768</v>
      </c>
      <c r="I207">
        <v>473</v>
      </c>
      <c r="J207">
        <v>680</v>
      </c>
      <c r="K207">
        <v>319</v>
      </c>
      <c r="L207">
        <v>1110</v>
      </c>
      <c r="M207">
        <v>492</v>
      </c>
      <c r="N207">
        <v>232</v>
      </c>
      <c r="O207">
        <v>149</v>
      </c>
      <c r="P207">
        <v>450</v>
      </c>
      <c r="Q207">
        <v>646</v>
      </c>
      <c r="R207">
        <v>206</v>
      </c>
    </row>
    <row r="208" spans="1:18">
      <c r="A208" s="1" t="s">
        <v>170</v>
      </c>
      <c r="B208">
        <v>34</v>
      </c>
      <c r="C208">
        <v>20</v>
      </c>
      <c r="D208">
        <v>14</v>
      </c>
      <c r="E208">
        <v>-6.35</v>
      </c>
      <c r="F208">
        <v>2385</v>
      </c>
      <c r="G208">
        <v>850</v>
      </c>
      <c r="H208">
        <v>1801</v>
      </c>
      <c r="I208">
        <v>495</v>
      </c>
      <c r="J208">
        <v>751</v>
      </c>
      <c r="K208">
        <v>370</v>
      </c>
      <c r="L208">
        <v>1224</v>
      </c>
      <c r="M208">
        <v>459</v>
      </c>
      <c r="N208">
        <v>173</v>
      </c>
      <c r="O208">
        <v>167</v>
      </c>
      <c r="P208">
        <v>460</v>
      </c>
      <c r="Q208">
        <v>668</v>
      </c>
      <c r="R208">
        <v>207</v>
      </c>
    </row>
    <row r="209" spans="1:18">
      <c r="A209" s="1" t="s">
        <v>171</v>
      </c>
      <c r="B209">
        <v>31</v>
      </c>
      <c r="C209">
        <v>15</v>
      </c>
      <c r="D209">
        <v>16</v>
      </c>
      <c r="E209">
        <v>-5.65</v>
      </c>
      <c r="F209">
        <v>2242</v>
      </c>
      <c r="G209">
        <v>780</v>
      </c>
      <c r="H209">
        <v>1774</v>
      </c>
      <c r="I209">
        <v>449</v>
      </c>
      <c r="J209">
        <v>619</v>
      </c>
      <c r="K209">
        <v>352</v>
      </c>
      <c r="L209">
        <v>1120</v>
      </c>
      <c r="M209">
        <v>423</v>
      </c>
      <c r="N209">
        <v>228</v>
      </c>
      <c r="O209">
        <v>144</v>
      </c>
      <c r="P209">
        <v>437</v>
      </c>
      <c r="Q209">
        <v>594</v>
      </c>
      <c r="R209">
        <v>208</v>
      </c>
    </row>
    <row r="210" spans="1:18">
      <c r="A210" s="1" t="s">
        <v>172</v>
      </c>
      <c r="B210">
        <v>32</v>
      </c>
      <c r="C210">
        <v>9</v>
      </c>
      <c r="D210">
        <v>23</v>
      </c>
      <c r="E210">
        <v>-8.02</v>
      </c>
      <c r="F210">
        <v>1884</v>
      </c>
      <c r="G210">
        <v>648</v>
      </c>
      <c r="H210">
        <v>1622</v>
      </c>
      <c r="I210">
        <v>431</v>
      </c>
      <c r="J210">
        <v>633</v>
      </c>
      <c r="K210">
        <v>366</v>
      </c>
      <c r="L210">
        <v>1066</v>
      </c>
      <c r="M210">
        <v>297</v>
      </c>
      <c r="N210">
        <v>170</v>
      </c>
      <c r="O210">
        <v>127</v>
      </c>
      <c r="P210">
        <v>483</v>
      </c>
      <c r="Q210">
        <v>594</v>
      </c>
      <c r="R210">
        <v>209</v>
      </c>
    </row>
    <row r="211" spans="1:18">
      <c r="A211" s="1" t="s">
        <v>349</v>
      </c>
      <c r="B211">
        <v>33</v>
      </c>
      <c r="C211">
        <v>25</v>
      </c>
      <c r="D211">
        <v>8</v>
      </c>
      <c r="E211">
        <v>-8.67</v>
      </c>
      <c r="F211">
        <v>2278</v>
      </c>
      <c r="G211">
        <v>813</v>
      </c>
      <c r="H211">
        <v>1668</v>
      </c>
      <c r="I211">
        <v>433</v>
      </c>
      <c r="J211">
        <v>632</v>
      </c>
      <c r="K211">
        <v>312</v>
      </c>
      <c r="L211">
        <v>1121</v>
      </c>
      <c r="M211">
        <v>461</v>
      </c>
      <c r="N211">
        <v>219</v>
      </c>
      <c r="O211">
        <v>134</v>
      </c>
      <c r="P211">
        <v>414</v>
      </c>
      <c r="Q211">
        <v>636</v>
      </c>
      <c r="R211">
        <v>210</v>
      </c>
    </row>
    <row r="212" spans="1:18">
      <c r="A212" s="1" t="s">
        <v>173</v>
      </c>
      <c r="B212">
        <v>33</v>
      </c>
      <c r="C212">
        <v>11</v>
      </c>
      <c r="D212">
        <v>22</v>
      </c>
      <c r="E212">
        <v>-4.3600000000000003</v>
      </c>
      <c r="F212">
        <v>2290</v>
      </c>
      <c r="G212">
        <v>838</v>
      </c>
      <c r="H212">
        <v>1895</v>
      </c>
      <c r="I212">
        <v>398</v>
      </c>
      <c r="J212">
        <v>613</v>
      </c>
      <c r="K212">
        <v>364</v>
      </c>
      <c r="L212">
        <v>1138</v>
      </c>
      <c r="M212">
        <v>400</v>
      </c>
      <c r="N212">
        <v>206</v>
      </c>
      <c r="O212">
        <v>109</v>
      </c>
      <c r="P212">
        <v>414</v>
      </c>
      <c r="Q212">
        <v>711</v>
      </c>
      <c r="R212">
        <v>211</v>
      </c>
    </row>
    <row r="213" spans="1:18">
      <c r="A213" s="1" t="s">
        <v>174</v>
      </c>
      <c r="B213">
        <v>36</v>
      </c>
      <c r="C213">
        <v>22</v>
      </c>
      <c r="D213">
        <v>14</v>
      </c>
      <c r="E213">
        <v>9.7200000000000006</v>
      </c>
      <c r="F213">
        <v>2525</v>
      </c>
      <c r="G213">
        <v>895</v>
      </c>
      <c r="H213">
        <v>2054</v>
      </c>
      <c r="I213">
        <v>499</v>
      </c>
      <c r="J213">
        <v>727</v>
      </c>
      <c r="K213">
        <v>435</v>
      </c>
      <c r="L213">
        <v>1369</v>
      </c>
      <c r="M213">
        <v>415</v>
      </c>
      <c r="N213">
        <v>138</v>
      </c>
      <c r="O213">
        <v>184</v>
      </c>
      <c r="P213">
        <v>375</v>
      </c>
      <c r="Q213">
        <v>637</v>
      </c>
      <c r="R213">
        <v>212</v>
      </c>
    </row>
    <row r="214" spans="1:18">
      <c r="A214" s="1" t="s">
        <v>286</v>
      </c>
      <c r="B214">
        <v>32</v>
      </c>
      <c r="C214">
        <v>18</v>
      </c>
      <c r="D214">
        <v>14</v>
      </c>
      <c r="E214">
        <v>-1.92</v>
      </c>
      <c r="F214">
        <v>2239</v>
      </c>
      <c r="G214">
        <v>810</v>
      </c>
      <c r="H214">
        <v>1834</v>
      </c>
      <c r="I214">
        <v>457</v>
      </c>
      <c r="J214">
        <v>677</v>
      </c>
      <c r="K214">
        <v>359</v>
      </c>
      <c r="L214">
        <v>1131</v>
      </c>
      <c r="M214">
        <v>368</v>
      </c>
      <c r="N214">
        <v>244</v>
      </c>
      <c r="O214">
        <v>140</v>
      </c>
      <c r="P214">
        <v>395</v>
      </c>
      <c r="Q214">
        <v>661</v>
      </c>
      <c r="R214">
        <v>213</v>
      </c>
    </row>
    <row r="215" spans="1:18">
      <c r="A215" s="1" t="s">
        <v>312</v>
      </c>
      <c r="B215">
        <v>38</v>
      </c>
      <c r="C215">
        <v>26</v>
      </c>
      <c r="D215">
        <v>12</v>
      </c>
      <c r="E215">
        <v>11.76</v>
      </c>
      <c r="F215">
        <v>2953</v>
      </c>
      <c r="G215">
        <v>1099</v>
      </c>
      <c r="H215">
        <v>2309</v>
      </c>
      <c r="I215">
        <v>571</v>
      </c>
      <c r="J215">
        <v>814</v>
      </c>
      <c r="K215">
        <v>526</v>
      </c>
      <c r="L215">
        <v>1541</v>
      </c>
      <c r="M215">
        <v>661</v>
      </c>
      <c r="N215">
        <v>251</v>
      </c>
      <c r="O215">
        <v>160</v>
      </c>
      <c r="P215">
        <v>481</v>
      </c>
      <c r="Q215">
        <v>738</v>
      </c>
      <c r="R215">
        <v>214</v>
      </c>
    </row>
    <row r="216" spans="1:18">
      <c r="A216" s="1" t="s">
        <v>338</v>
      </c>
      <c r="B216">
        <v>33</v>
      </c>
      <c r="C216">
        <v>23</v>
      </c>
      <c r="D216">
        <v>10</v>
      </c>
      <c r="E216">
        <v>-3.63</v>
      </c>
      <c r="F216">
        <v>2141</v>
      </c>
      <c r="G216">
        <v>743</v>
      </c>
      <c r="H216">
        <v>1713</v>
      </c>
      <c r="I216">
        <v>425</v>
      </c>
      <c r="J216">
        <v>614</v>
      </c>
      <c r="K216">
        <v>274</v>
      </c>
      <c r="L216">
        <v>1098</v>
      </c>
      <c r="M216">
        <v>315</v>
      </c>
      <c r="N216">
        <v>156</v>
      </c>
      <c r="O216">
        <v>123</v>
      </c>
      <c r="P216">
        <v>325</v>
      </c>
      <c r="Q216">
        <v>504</v>
      </c>
      <c r="R216">
        <v>215</v>
      </c>
    </row>
    <row r="217" spans="1:18">
      <c r="A217" s="1" t="s">
        <v>357</v>
      </c>
      <c r="B217">
        <v>30</v>
      </c>
      <c r="C217">
        <v>8</v>
      </c>
      <c r="D217">
        <v>22</v>
      </c>
      <c r="E217">
        <v>-3.73</v>
      </c>
      <c r="F217">
        <v>2032</v>
      </c>
      <c r="G217">
        <v>713</v>
      </c>
      <c r="H217">
        <v>1637</v>
      </c>
      <c r="I217">
        <v>426</v>
      </c>
      <c r="J217">
        <v>628</v>
      </c>
      <c r="K217">
        <v>260</v>
      </c>
      <c r="L217">
        <v>961</v>
      </c>
      <c r="M217">
        <v>353</v>
      </c>
      <c r="N217">
        <v>189</v>
      </c>
      <c r="O217">
        <v>94</v>
      </c>
      <c r="P217">
        <v>373</v>
      </c>
      <c r="Q217">
        <v>640</v>
      </c>
      <c r="R217">
        <v>216</v>
      </c>
    </row>
    <row r="218" spans="1:18">
      <c r="A218" s="1" t="s">
        <v>339</v>
      </c>
      <c r="B218">
        <v>35</v>
      </c>
      <c r="C218">
        <v>23</v>
      </c>
      <c r="D218">
        <v>12</v>
      </c>
      <c r="E218">
        <v>-5.94</v>
      </c>
      <c r="F218">
        <v>2651</v>
      </c>
      <c r="G218">
        <v>897</v>
      </c>
      <c r="H218">
        <v>1910</v>
      </c>
      <c r="I218">
        <v>540</v>
      </c>
      <c r="J218">
        <v>747</v>
      </c>
      <c r="K218">
        <v>339</v>
      </c>
      <c r="L218">
        <v>1219</v>
      </c>
      <c r="M218">
        <v>506</v>
      </c>
      <c r="N218">
        <v>214</v>
      </c>
      <c r="O218">
        <v>146</v>
      </c>
      <c r="P218">
        <v>436</v>
      </c>
      <c r="Q218">
        <v>568</v>
      </c>
      <c r="R218">
        <v>217</v>
      </c>
    </row>
    <row r="219" spans="1:18">
      <c r="A219" s="1" t="s">
        <v>175</v>
      </c>
      <c r="B219">
        <v>31</v>
      </c>
      <c r="C219">
        <v>14</v>
      </c>
      <c r="D219">
        <v>17</v>
      </c>
      <c r="E219">
        <v>-0.71</v>
      </c>
      <c r="F219">
        <v>2025</v>
      </c>
      <c r="G219">
        <v>726</v>
      </c>
      <c r="H219">
        <v>1678</v>
      </c>
      <c r="I219">
        <v>426</v>
      </c>
      <c r="J219">
        <v>677</v>
      </c>
      <c r="K219">
        <v>338</v>
      </c>
      <c r="L219">
        <v>1094</v>
      </c>
      <c r="M219">
        <v>310</v>
      </c>
      <c r="N219">
        <v>209</v>
      </c>
      <c r="O219">
        <v>103</v>
      </c>
      <c r="P219">
        <v>420</v>
      </c>
      <c r="Q219">
        <v>548</v>
      </c>
      <c r="R219">
        <v>218</v>
      </c>
    </row>
    <row r="220" spans="1:18">
      <c r="A220" s="1" t="s">
        <v>176</v>
      </c>
      <c r="B220">
        <v>35</v>
      </c>
      <c r="C220">
        <v>23</v>
      </c>
      <c r="D220">
        <v>12</v>
      </c>
      <c r="E220">
        <v>-1.34</v>
      </c>
      <c r="F220">
        <v>2397</v>
      </c>
      <c r="G220">
        <v>838</v>
      </c>
      <c r="H220">
        <v>1725</v>
      </c>
      <c r="I220">
        <v>518</v>
      </c>
      <c r="J220">
        <v>713</v>
      </c>
      <c r="K220">
        <v>297</v>
      </c>
      <c r="L220">
        <v>1160</v>
      </c>
      <c r="M220">
        <v>500</v>
      </c>
      <c r="N220">
        <v>183</v>
      </c>
      <c r="O220">
        <v>129</v>
      </c>
      <c r="P220">
        <v>483</v>
      </c>
      <c r="Q220">
        <v>496</v>
      </c>
      <c r="R220">
        <v>219</v>
      </c>
    </row>
    <row r="221" spans="1:18">
      <c r="A221" s="1" t="s">
        <v>287</v>
      </c>
      <c r="B221">
        <v>38</v>
      </c>
      <c r="C221">
        <v>23</v>
      </c>
      <c r="D221">
        <v>15</v>
      </c>
      <c r="E221">
        <v>-4.13</v>
      </c>
      <c r="F221">
        <v>2606</v>
      </c>
      <c r="G221">
        <v>878</v>
      </c>
      <c r="H221">
        <v>2175</v>
      </c>
      <c r="I221">
        <v>595</v>
      </c>
      <c r="J221">
        <v>793</v>
      </c>
      <c r="K221">
        <v>501</v>
      </c>
      <c r="L221">
        <v>1463</v>
      </c>
      <c r="M221">
        <v>463</v>
      </c>
      <c r="N221">
        <v>182</v>
      </c>
      <c r="O221">
        <v>153</v>
      </c>
      <c r="P221">
        <v>447</v>
      </c>
      <c r="Q221">
        <v>709</v>
      </c>
      <c r="R221">
        <v>220</v>
      </c>
    </row>
    <row r="222" spans="1:18">
      <c r="A222" s="1" t="s">
        <v>333</v>
      </c>
      <c r="B222">
        <v>30</v>
      </c>
      <c r="C222">
        <v>15</v>
      </c>
      <c r="D222">
        <v>15</v>
      </c>
      <c r="E222">
        <v>-6.21</v>
      </c>
      <c r="F222">
        <v>2242</v>
      </c>
      <c r="G222">
        <v>804</v>
      </c>
      <c r="H222">
        <v>1691</v>
      </c>
      <c r="I222">
        <v>430</v>
      </c>
      <c r="J222">
        <v>602</v>
      </c>
      <c r="K222">
        <v>339</v>
      </c>
      <c r="L222">
        <v>978</v>
      </c>
      <c r="M222">
        <v>370</v>
      </c>
      <c r="N222">
        <v>196</v>
      </c>
      <c r="O222">
        <v>59</v>
      </c>
      <c r="P222">
        <v>313</v>
      </c>
      <c r="Q222">
        <v>594</v>
      </c>
      <c r="R222">
        <v>221</v>
      </c>
    </row>
    <row r="223" spans="1:18">
      <c r="A223" s="1" t="s">
        <v>177</v>
      </c>
      <c r="B223">
        <v>30</v>
      </c>
      <c r="C223">
        <v>14</v>
      </c>
      <c r="D223">
        <v>16</v>
      </c>
      <c r="E223">
        <v>-0.14000000000000001</v>
      </c>
      <c r="F223">
        <v>1971</v>
      </c>
      <c r="G223">
        <v>661</v>
      </c>
      <c r="H223">
        <v>1543</v>
      </c>
      <c r="I223">
        <v>500</v>
      </c>
      <c r="J223">
        <v>735</v>
      </c>
      <c r="K223">
        <v>373</v>
      </c>
      <c r="L223">
        <v>1039</v>
      </c>
      <c r="M223">
        <v>294</v>
      </c>
      <c r="N223">
        <v>226</v>
      </c>
      <c r="O223">
        <v>73</v>
      </c>
      <c r="P223">
        <v>426</v>
      </c>
      <c r="Q223">
        <v>573</v>
      </c>
      <c r="R223">
        <v>222</v>
      </c>
    </row>
    <row r="224" spans="1:18">
      <c r="A224" s="1" t="s">
        <v>178</v>
      </c>
      <c r="B224">
        <v>35</v>
      </c>
      <c r="C224">
        <v>31</v>
      </c>
      <c r="D224">
        <v>4</v>
      </c>
      <c r="E224">
        <v>2</v>
      </c>
      <c r="F224">
        <v>2281</v>
      </c>
      <c r="G224">
        <v>776</v>
      </c>
      <c r="H224">
        <v>1618</v>
      </c>
      <c r="I224">
        <v>472</v>
      </c>
      <c r="J224">
        <v>644</v>
      </c>
      <c r="K224">
        <v>255</v>
      </c>
      <c r="L224">
        <v>1071</v>
      </c>
      <c r="M224">
        <v>413</v>
      </c>
      <c r="N224">
        <v>207</v>
      </c>
      <c r="O224">
        <v>84</v>
      </c>
      <c r="P224">
        <v>363</v>
      </c>
      <c r="Q224">
        <v>508</v>
      </c>
      <c r="R224">
        <v>223</v>
      </c>
    </row>
    <row r="225" spans="1:18">
      <c r="A225" s="1" t="s">
        <v>361</v>
      </c>
      <c r="B225">
        <v>30</v>
      </c>
      <c r="C225">
        <v>13</v>
      </c>
      <c r="D225">
        <v>17</v>
      </c>
      <c r="E225">
        <v>-4.49</v>
      </c>
      <c r="F225">
        <v>2117</v>
      </c>
      <c r="G225">
        <v>779</v>
      </c>
      <c r="H225">
        <v>1693</v>
      </c>
      <c r="I225">
        <v>333</v>
      </c>
      <c r="J225">
        <v>507</v>
      </c>
      <c r="K225">
        <v>299</v>
      </c>
      <c r="L225">
        <v>1014</v>
      </c>
      <c r="M225">
        <v>379</v>
      </c>
      <c r="N225">
        <v>173</v>
      </c>
      <c r="O225">
        <v>85</v>
      </c>
      <c r="P225">
        <v>348</v>
      </c>
      <c r="Q225">
        <v>612</v>
      </c>
      <c r="R225">
        <v>224</v>
      </c>
    </row>
    <row r="226" spans="1:18">
      <c r="A226" s="1" t="s">
        <v>179</v>
      </c>
      <c r="B226">
        <v>32</v>
      </c>
      <c r="C226">
        <v>19</v>
      </c>
      <c r="D226">
        <v>13</v>
      </c>
      <c r="E226">
        <v>-4.5199999999999996</v>
      </c>
      <c r="F226">
        <v>2687</v>
      </c>
      <c r="G226">
        <v>946</v>
      </c>
      <c r="H226">
        <v>2052</v>
      </c>
      <c r="I226">
        <v>531</v>
      </c>
      <c r="J226">
        <v>709</v>
      </c>
      <c r="K226">
        <v>372</v>
      </c>
      <c r="L226">
        <v>1106</v>
      </c>
      <c r="M226">
        <v>509</v>
      </c>
      <c r="N226">
        <v>242</v>
      </c>
      <c r="O226">
        <v>144</v>
      </c>
      <c r="P226">
        <v>392</v>
      </c>
      <c r="Q226">
        <v>596</v>
      </c>
      <c r="R226">
        <v>225</v>
      </c>
    </row>
    <row r="227" spans="1:18">
      <c r="A227" s="1" t="s">
        <v>180</v>
      </c>
      <c r="B227">
        <v>32</v>
      </c>
      <c r="C227">
        <v>15</v>
      </c>
      <c r="D227">
        <v>17</v>
      </c>
      <c r="E227">
        <v>7.2</v>
      </c>
      <c r="F227">
        <v>2031</v>
      </c>
      <c r="G227">
        <v>727</v>
      </c>
      <c r="H227">
        <v>1669</v>
      </c>
      <c r="I227">
        <v>349</v>
      </c>
      <c r="J227">
        <v>477</v>
      </c>
      <c r="K227">
        <v>277</v>
      </c>
      <c r="L227">
        <v>1052</v>
      </c>
      <c r="M227">
        <v>460</v>
      </c>
      <c r="N227">
        <v>118</v>
      </c>
      <c r="O227">
        <v>126</v>
      </c>
      <c r="P227">
        <v>357</v>
      </c>
      <c r="Q227">
        <v>573</v>
      </c>
      <c r="R227">
        <v>226</v>
      </c>
    </row>
    <row r="228" spans="1:18">
      <c r="A228" s="1" t="s">
        <v>181</v>
      </c>
      <c r="B228">
        <v>38</v>
      </c>
      <c r="C228">
        <v>32</v>
      </c>
      <c r="D228">
        <v>6</v>
      </c>
      <c r="E228">
        <v>7.02</v>
      </c>
      <c r="F228">
        <v>2963</v>
      </c>
      <c r="G228">
        <v>1050</v>
      </c>
      <c r="H228">
        <v>2061</v>
      </c>
      <c r="I228">
        <v>561</v>
      </c>
      <c r="J228">
        <v>756</v>
      </c>
      <c r="K228">
        <v>313</v>
      </c>
      <c r="L228">
        <v>1231</v>
      </c>
      <c r="M228">
        <v>576</v>
      </c>
      <c r="N228">
        <v>256</v>
      </c>
      <c r="O228">
        <v>138</v>
      </c>
      <c r="P228">
        <v>357</v>
      </c>
      <c r="Q228">
        <v>540</v>
      </c>
      <c r="R228">
        <v>227</v>
      </c>
    </row>
    <row r="229" spans="1:18">
      <c r="A229" s="1" t="s">
        <v>182</v>
      </c>
      <c r="B229">
        <v>33</v>
      </c>
      <c r="C229">
        <v>16</v>
      </c>
      <c r="D229">
        <v>17</v>
      </c>
      <c r="E229">
        <v>1.27</v>
      </c>
      <c r="F229">
        <v>2450</v>
      </c>
      <c r="G229">
        <v>857</v>
      </c>
      <c r="H229">
        <v>1854</v>
      </c>
      <c r="I229">
        <v>477</v>
      </c>
      <c r="J229">
        <v>695</v>
      </c>
      <c r="K229">
        <v>340</v>
      </c>
      <c r="L229">
        <v>1109</v>
      </c>
      <c r="M229">
        <v>517</v>
      </c>
      <c r="N229">
        <v>196</v>
      </c>
      <c r="O229">
        <v>55</v>
      </c>
      <c r="P229">
        <v>416</v>
      </c>
      <c r="Q229">
        <v>572</v>
      </c>
      <c r="R229">
        <v>228</v>
      </c>
    </row>
    <row r="230" spans="1:18">
      <c r="A230" s="1" t="s">
        <v>321</v>
      </c>
      <c r="B230">
        <v>35</v>
      </c>
      <c r="C230">
        <v>24</v>
      </c>
      <c r="D230">
        <v>11</v>
      </c>
      <c r="E230">
        <v>7.37</v>
      </c>
      <c r="F230">
        <v>2635</v>
      </c>
      <c r="G230">
        <v>964</v>
      </c>
      <c r="H230">
        <v>1995</v>
      </c>
      <c r="I230">
        <v>471</v>
      </c>
      <c r="J230">
        <v>693</v>
      </c>
      <c r="K230">
        <v>387</v>
      </c>
      <c r="L230">
        <v>1241</v>
      </c>
      <c r="M230">
        <v>534</v>
      </c>
      <c r="N230">
        <v>266</v>
      </c>
      <c r="O230">
        <v>178</v>
      </c>
      <c r="P230">
        <v>396</v>
      </c>
      <c r="Q230">
        <v>563</v>
      </c>
      <c r="R230">
        <v>229</v>
      </c>
    </row>
    <row r="231" spans="1:18">
      <c r="A231" s="1" t="s">
        <v>183</v>
      </c>
      <c r="B231">
        <v>30</v>
      </c>
      <c r="C231">
        <v>10</v>
      </c>
      <c r="D231">
        <v>20</v>
      </c>
      <c r="E231">
        <v>0.45</v>
      </c>
      <c r="F231">
        <v>2028</v>
      </c>
      <c r="G231">
        <v>727</v>
      </c>
      <c r="H231">
        <v>1678</v>
      </c>
      <c r="I231">
        <v>357</v>
      </c>
      <c r="J231">
        <v>486</v>
      </c>
      <c r="K231">
        <v>268</v>
      </c>
      <c r="L231">
        <v>1023</v>
      </c>
      <c r="M231">
        <v>341</v>
      </c>
      <c r="N231">
        <v>154</v>
      </c>
      <c r="O231">
        <v>128</v>
      </c>
      <c r="P231">
        <v>382</v>
      </c>
      <c r="Q231">
        <v>512</v>
      </c>
      <c r="R231">
        <v>230</v>
      </c>
    </row>
    <row r="232" spans="1:18">
      <c r="A232" s="1" t="s">
        <v>340</v>
      </c>
      <c r="B232">
        <v>32</v>
      </c>
      <c r="C232">
        <v>18</v>
      </c>
      <c r="D232">
        <v>14</v>
      </c>
      <c r="E232">
        <v>9.6300000000000008</v>
      </c>
      <c r="F232">
        <v>2160</v>
      </c>
      <c r="G232">
        <v>733</v>
      </c>
      <c r="H232">
        <v>1667</v>
      </c>
      <c r="I232">
        <v>468</v>
      </c>
      <c r="J232">
        <v>645</v>
      </c>
      <c r="K232">
        <v>287</v>
      </c>
      <c r="L232">
        <v>1039</v>
      </c>
      <c r="M232">
        <v>366</v>
      </c>
      <c r="N232">
        <v>253</v>
      </c>
      <c r="O232">
        <v>156</v>
      </c>
      <c r="P232">
        <v>392</v>
      </c>
      <c r="Q232">
        <v>614</v>
      </c>
      <c r="R232">
        <v>231</v>
      </c>
    </row>
    <row r="233" spans="1:18">
      <c r="A233" s="1" t="s">
        <v>329</v>
      </c>
      <c r="B233">
        <v>35</v>
      </c>
      <c r="C233">
        <v>24</v>
      </c>
      <c r="D233">
        <v>11</v>
      </c>
      <c r="E233">
        <v>9.94</v>
      </c>
      <c r="F233">
        <v>2501</v>
      </c>
      <c r="G233">
        <v>885</v>
      </c>
      <c r="H233">
        <v>2035</v>
      </c>
      <c r="I233">
        <v>495</v>
      </c>
      <c r="J233">
        <v>668</v>
      </c>
      <c r="K233">
        <v>389</v>
      </c>
      <c r="L233">
        <v>1332</v>
      </c>
      <c r="M233">
        <v>430</v>
      </c>
      <c r="N233">
        <v>237</v>
      </c>
      <c r="O233">
        <v>174</v>
      </c>
      <c r="P233">
        <v>419</v>
      </c>
      <c r="Q233">
        <v>570</v>
      </c>
      <c r="R233">
        <v>232</v>
      </c>
    </row>
    <row r="234" spans="1:18">
      <c r="A234" s="1" t="s">
        <v>184</v>
      </c>
      <c r="B234">
        <v>35</v>
      </c>
      <c r="C234">
        <v>27</v>
      </c>
      <c r="D234">
        <v>8</v>
      </c>
      <c r="E234">
        <v>-0.15</v>
      </c>
      <c r="F234">
        <v>2273</v>
      </c>
      <c r="G234">
        <v>836</v>
      </c>
      <c r="H234">
        <v>1935</v>
      </c>
      <c r="I234">
        <v>394</v>
      </c>
      <c r="J234">
        <v>592</v>
      </c>
      <c r="K234">
        <v>438</v>
      </c>
      <c r="L234">
        <v>1267</v>
      </c>
      <c r="M234">
        <v>472</v>
      </c>
      <c r="N234">
        <v>221</v>
      </c>
      <c r="O234">
        <v>115</v>
      </c>
      <c r="P234">
        <v>377</v>
      </c>
      <c r="Q234">
        <v>618</v>
      </c>
      <c r="R234">
        <v>233</v>
      </c>
    </row>
    <row r="235" spans="1:18">
      <c r="A235" s="1" t="s">
        <v>185</v>
      </c>
      <c r="B235">
        <v>34</v>
      </c>
      <c r="C235">
        <v>19</v>
      </c>
      <c r="D235">
        <v>15</v>
      </c>
      <c r="E235">
        <v>-1.99</v>
      </c>
      <c r="F235">
        <v>2377</v>
      </c>
      <c r="G235">
        <v>798</v>
      </c>
      <c r="H235">
        <v>1859</v>
      </c>
      <c r="I235">
        <v>576</v>
      </c>
      <c r="J235">
        <v>801</v>
      </c>
      <c r="K235">
        <v>363</v>
      </c>
      <c r="L235">
        <v>1157</v>
      </c>
      <c r="M235">
        <v>376</v>
      </c>
      <c r="N235">
        <v>197</v>
      </c>
      <c r="O235">
        <v>131</v>
      </c>
      <c r="P235">
        <v>396</v>
      </c>
      <c r="Q235">
        <v>632</v>
      </c>
      <c r="R235">
        <v>234</v>
      </c>
    </row>
    <row r="236" spans="1:18">
      <c r="A236" s="1" t="s">
        <v>186</v>
      </c>
      <c r="B236">
        <v>31</v>
      </c>
      <c r="C236">
        <v>17</v>
      </c>
      <c r="D236">
        <v>14</v>
      </c>
      <c r="E236">
        <v>4.97</v>
      </c>
      <c r="F236">
        <v>1887</v>
      </c>
      <c r="G236">
        <v>665</v>
      </c>
      <c r="H236">
        <v>1577</v>
      </c>
      <c r="I236">
        <v>397</v>
      </c>
      <c r="J236">
        <v>573</v>
      </c>
      <c r="K236">
        <v>293</v>
      </c>
      <c r="L236">
        <v>973</v>
      </c>
      <c r="M236">
        <v>373</v>
      </c>
      <c r="N236">
        <v>241</v>
      </c>
      <c r="O236">
        <v>123</v>
      </c>
      <c r="P236">
        <v>365</v>
      </c>
      <c r="Q236">
        <v>590</v>
      </c>
      <c r="R236">
        <v>235</v>
      </c>
    </row>
    <row r="237" spans="1:18">
      <c r="A237" s="1" t="s">
        <v>288</v>
      </c>
      <c r="B237">
        <v>36</v>
      </c>
      <c r="C237">
        <v>26</v>
      </c>
      <c r="D237">
        <v>10</v>
      </c>
      <c r="E237">
        <v>7.65</v>
      </c>
      <c r="F237">
        <v>2713</v>
      </c>
      <c r="G237">
        <v>992</v>
      </c>
      <c r="H237">
        <v>2143</v>
      </c>
      <c r="I237">
        <v>466</v>
      </c>
      <c r="J237">
        <v>613</v>
      </c>
      <c r="K237">
        <v>372</v>
      </c>
      <c r="L237">
        <v>1298</v>
      </c>
      <c r="M237">
        <v>508</v>
      </c>
      <c r="N237">
        <v>207</v>
      </c>
      <c r="O237">
        <v>157</v>
      </c>
      <c r="P237">
        <v>421</v>
      </c>
      <c r="Q237">
        <v>655</v>
      </c>
      <c r="R237">
        <v>236</v>
      </c>
    </row>
    <row r="238" spans="1:18">
      <c r="A238" s="1" t="s">
        <v>187</v>
      </c>
      <c r="B238">
        <v>31</v>
      </c>
      <c r="C238">
        <v>12</v>
      </c>
      <c r="D238">
        <v>19</v>
      </c>
      <c r="E238">
        <v>3.31</v>
      </c>
      <c r="F238">
        <v>1996</v>
      </c>
      <c r="G238">
        <v>681</v>
      </c>
      <c r="H238">
        <v>1633</v>
      </c>
      <c r="I238">
        <v>432</v>
      </c>
      <c r="J238">
        <v>667</v>
      </c>
      <c r="K238">
        <v>385</v>
      </c>
      <c r="L238">
        <v>1076</v>
      </c>
      <c r="M238">
        <v>363</v>
      </c>
      <c r="N238">
        <v>125</v>
      </c>
      <c r="O238">
        <v>74</v>
      </c>
      <c r="P238">
        <v>391</v>
      </c>
      <c r="Q238">
        <v>667</v>
      </c>
      <c r="R238">
        <v>237</v>
      </c>
    </row>
    <row r="239" spans="1:18">
      <c r="A239" s="1" t="s">
        <v>188</v>
      </c>
      <c r="B239">
        <v>34</v>
      </c>
      <c r="C239">
        <v>18</v>
      </c>
      <c r="D239">
        <v>16</v>
      </c>
      <c r="E239">
        <v>7.1</v>
      </c>
      <c r="F239">
        <v>2273</v>
      </c>
      <c r="G239">
        <v>795</v>
      </c>
      <c r="H239">
        <v>1893</v>
      </c>
      <c r="I239">
        <v>456</v>
      </c>
      <c r="J239">
        <v>656</v>
      </c>
      <c r="K239">
        <v>354</v>
      </c>
      <c r="L239">
        <v>1201</v>
      </c>
      <c r="M239">
        <v>336</v>
      </c>
      <c r="N239">
        <v>206</v>
      </c>
      <c r="O239">
        <v>138</v>
      </c>
      <c r="P239">
        <v>414</v>
      </c>
      <c r="Q239">
        <v>692</v>
      </c>
      <c r="R239">
        <v>238</v>
      </c>
    </row>
    <row r="240" spans="1:18">
      <c r="A240" s="1" t="s">
        <v>289</v>
      </c>
      <c r="B240">
        <v>28</v>
      </c>
      <c r="C240">
        <v>9</v>
      </c>
      <c r="D240">
        <v>19</v>
      </c>
      <c r="E240">
        <v>-1.36</v>
      </c>
      <c r="F240">
        <v>1687</v>
      </c>
      <c r="G240">
        <v>599</v>
      </c>
      <c r="H240">
        <v>1379</v>
      </c>
      <c r="I240">
        <v>334</v>
      </c>
      <c r="J240">
        <v>495</v>
      </c>
      <c r="K240">
        <v>258</v>
      </c>
      <c r="L240">
        <v>886</v>
      </c>
      <c r="M240">
        <v>329</v>
      </c>
      <c r="N240">
        <v>153</v>
      </c>
      <c r="O240">
        <v>67</v>
      </c>
      <c r="P240">
        <v>419</v>
      </c>
      <c r="Q240">
        <v>557</v>
      </c>
      <c r="R240">
        <v>239</v>
      </c>
    </row>
    <row r="241" spans="1:18">
      <c r="A241" s="1" t="s">
        <v>290</v>
      </c>
      <c r="B241">
        <v>32</v>
      </c>
      <c r="C241">
        <v>18</v>
      </c>
      <c r="D241">
        <v>14</v>
      </c>
      <c r="E241">
        <v>2.8</v>
      </c>
      <c r="F241">
        <v>2020</v>
      </c>
      <c r="G241">
        <v>704</v>
      </c>
      <c r="H241">
        <v>1666</v>
      </c>
      <c r="I241">
        <v>467</v>
      </c>
      <c r="J241">
        <v>630</v>
      </c>
      <c r="K241">
        <v>300</v>
      </c>
      <c r="L241">
        <v>1062</v>
      </c>
      <c r="M241">
        <v>425</v>
      </c>
      <c r="N241">
        <v>200</v>
      </c>
      <c r="O241">
        <v>108</v>
      </c>
      <c r="P241">
        <v>395</v>
      </c>
      <c r="Q241">
        <v>562</v>
      </c>
      <c r="R241">
        <v>240</v>
      </c>
    </row>
    <row r="242" spans="1:18">
      <c r="A242" s="1" t="s">
        <v>189</v>
      </c>
      <c r="B242">
        <v>34</v>
      </c>
      <c r="C242">
        <v>19</v>
      </c>
      <c r="D242">
        <v>15</v>
      </c>
      <c r="E242">
        <v>7.36</v>
      </c>
      <c r="F242">
        <v>2279</v>
      </c>
      <c r="G242">
        <v>835</v>
      </c>
      <c r="H242">
        <v>1866</v>
      </c>
      <c r="I242">
        <v>445</v>
      </c>
      <c r="J242">
        <v>650</v>
      </c>
      <c r="K242">
        <v>407</v>
      </c>
      <c r="L242">
        <v>1136</v>
      </c>
      <c r="M242">
        <v>561</v>
      </c>
      <c r="N242">
        <v>168</v>
      </c>
      <c r="O242">
        <v>95</v>
      </c>
      <c r="P242">
        <v>336</v>
      </c>
      <c r="Q242">
        <v>606</v>
      </c>
      <c r="R242">
        <v>241</v>
      </c>
    </row>
    <row r="243" spans="1:18">
      <c r="A243" s="1" t="s">
        <v>190</v>
      </c>
      <c r="B243">
        <v>29</v>
      </c>
      <c r="C243">
        <v>15</v>
      </c>
      <c r="D243">
        <v>14</v>
      </c>
      <c r="E243">
        <v>-4.8600000000000003</v>
      </c>
      <c r="F243">
        <v>2083</v>
      </c>
      <c r="G243">
        <v>723</v>
      </c>
      <c r="H243">
        <v>1645</v>
      </c>
      <c r="I243">
        <v>444</v>
      </c>
      <c r="J243">
        <v>598</v>
      </c>
      <c r="K243">
        <v>283</v>
      </c>
      <c r="L243">
        <v>942</v>
      </c>
      <c r="M243">
        <v>381</v>
      </c>
      <c r="N243">
        <v>183</v>
      </c>
      <c r="O243">
        <v>117</v>
      </c>
      <c r="P243">
        <v>324</v>
      </c>
      <c r="Q243">
        <v>511</v>
      </c>
      <c r="R243">
        <v>242</v>
      </c>
    </row>
    <row r="244" spans="1:18">
      <c r="A244" s="1" t="s">
        <v>191</v>
      </c>
      <c r="B244">
        <v>33</v>
      </c>
      <c r="C244">
        <v>17</v>
      </c>
      <c r="D244">
        <v>16</v>
      </c>
      <c r="E244">
        <v>2.67</v>
      </c>
      <c r="F244">
        <v>2315</v>
      </c>
      <c r="G244">
        <v>810</v>
      </c>
      <c r="H244">
        <v>1825</v>
      </c>
      <c r="I244">
        <v>479</v>
      </c>
      <c r="J244">
        <v>668</v>
      </c>
      <c r="K244">
        <v>389</v>
      </c>
      <c r="L244">
        <v>1173</v>
      </c>
      <c r="M244">
        <v>486</v>
      </c>
      <c r="N244">
        <v>192</v>
      </c>
      <c r="O244">
        <v>148</v>
      </c>
      <c r="P244">
        <v>402</v>
      </c>
      <c r="Q244">
        <v>610</v>
      </c>
      <c r="R244">
        <v>243</v>
      </c>
    </row>
    <row r="245" spans="1:18">
      <c r="A245" s="1" t="s">
        <v>192</v>
      </c>
      <c r="B245">
        <v>33</v>
      </c>
      <c r="C245">
        <v>15</v>
      </c>
      <c r="D245">
        <v>18</v>
      </c>
      <c r="E245">
        <v>-8.1999999999999993</v>
      </c>
      <c r="F245">
        <v>2211</v>
      </c>
      <c r="G245">
        <v>822</v>
      </c>
      <c r="H245">
        <v>1923</v>
      </c>
      <c r="I245">
        <v>390</v>
      </c>
      <c r="J245">
        <v>604</v>
      </c>
      <c r="K245">
        <v>388</v>
      </c>
      <c r="L245">
        <v>1072</v>
      </c>
      <c r="M245">
        <v>354</v>
      </c>
      <c r="N245">
        <v>287</v>
      </c>
      <c r="O245">
        <v>105</v>
      </c>
      <c r="P245">
        <v>471</v>
      </c>
      <c r="Q245">
        <v>716</v>
      </c>
      <c r="R245">
        <v>244</v>
      </c>
    </row>
    <row r="246" spans="1:18">
      <c r="A246" s="1" t="s">
        <v>350</v>
      </c>
      <c r="B246">
        <v>32</v>
      </c>
      <c r="C246">
        <v>10</v>
      </c>
      <c r="D246">
        <v>22</v>
      </c>
      <c r="E246">
        <v>-4.51</v>
      </c>
      <c r="F246">
        <v>1978</v>
      </c>
      <c r="G246">
        <v>741</v>
      </c>
      <c r="H246">
        <v>1656</v>
      </c>
      <c r="I246">
        <v>360</v>
      </c>
      <c r="J246">
        <v>546</v>
      </c>
      <c r="K246">
        <v>296</v>
      </c>
      <c r="L246">
        <v>1029</v>
      </c>
      <c r="M246">
        <v>341</v>
      </c>
      <c r="N246">
        <v>166</v>
      </c>
      <c r="O246">
        <v>90</v>
      </c>
      <c r="P246">
        <v>415</v>
      </c>
      <c r="Q246">
        <v>507</v>
      </c>
      <c r="R246">
        <v>245</v>
      </c>
    </row>
    <row r="247" spans="1:18">
      <c r="A247" s="1" t="s">
        <v>193</v>
      </c>
      <c r="B247">
        <v>31</v>
      </c>
      <c r="C247">
        <v>16</v>
      </c>
      <c r="D247">
        <v>14</v>
      </c>
      <c r="E247">
        <v>-2.92</v>
      </c>
      <c r="F247">
        <v>2066</v>
      </c>
      <c r="G247">
        <v>673</v>
      </c>
      <c r="H247">
        <v>1455</v>
      </c>
      <c r="I247">
        <v>468</v>
      </c>
      <c r="J247">
        <v>658</v>
      </c>
      <c r="K247">
        <v>189</v>
      </c>
      <c r="L247">
        <v>913</v>
      </c>
      <c r="M247">
        <v>391</v>
      </c>
      <c r="N247">
        <v>165</v>
      </c>
      <c r="O247">
        <v>90</v>
      </c>
      <c r="P247">
        <v>366</v>
      </c>
      <c r="Q247">
        <v>562</v>
      </c>
      <c r="R247">
        <v>246</v>
      </c>
    </row>
    <row r="248" spans="1:18">
      <c r="A248" s="1" t="s">
        <v>194</v>
      </c>
      <c r="B248">
        <v>34</v>
      </c>
      <c r="C248">
        <v>22</v>
      </c>
      <c r="D248">
        <v>12</v>
      </c>
      <c r="E248">
        <v>9.5</v>
      </c>
      <c r="F248">
        <v>2370</v>
      </c>
      <c r="G248">
        <v>828</v>
      </c>
      <c r="H248">
        <v>1889</v>
      </c>
      <c r="I248">
        <v>543</v>
      </c>
      <c r="J248">
        <v>768</v>
      </c>
      <c r="K248">
        <v>411</v>
      </c>
      <c r="L248">
        <v>1228</v>
      </c>
      <c r="M248">
        <v>474</v>
      </c>
      <c r="N248">
        <v>242</v>
      </c>
      <c r="O248">
        <v>155</v>
      </c>
      <c r="P248">
        <v>407</v>
      </c>
      <c r="Q248">
        <v>628</v>
      </c>
      <c r="R248">
        <v>247</v>
      </c>
    </row>
    <row r="249" spans="1:18">
      <c r="A249" s="1" t="s">
        <v>291</v>
      </c>
      <c r="B249">
        <v>34</v>
      </c>
      <c r="C249">
        <v>21</v>
      </c>
      <c r="D249">
        <v>13</v>
      </c>
      <c r="E249">
        <v>7.64</v>
      </c>
      <c r="F249">
        <v>2375</v>
      </c>
      <c r="G249">
        <v>827</v>
      </c>
      <c r="H249">
        <v>1840</v>
      </c>
      <c r="I249">
        <v>524</v>
      </c>
      <c r="J249">
        <v>767</v>
      </c>
      <c r="K249">
        <v>409</v>
      </c>
      <c r="L249">
        <v>1249</v>
      </c>
      <c r="M249">
        <v>505</v>
      </c>
      <c r="N249">
        <v>185</v>
      </c>
      <c r="O249">
        <v>177</v>
      </c>
      <c r="P249">
        <v>444</v>
      </c>
      <c r="Q249">
        <v>642</v>
      </c>
      <c r="R249">
        <v>248</v>
      </c>
    </row>
    <row r="250" spans="1:18">
      <c r="A250" s="1" t="s">
        <v>195</v>
      </c>
      <c r="B250">
        <v>30</v>
      </c>
      <c r="C250">
        <v>15</v>
      </c>
      <c r="D250">
        <v>15</v>
      </c>
      <c r="E250">
        <v>-3.66</v>
      </c>
      <c r="F250">
        <v>2092</v>
      </c>
      <c r="G250">
        <v>715</v>
      </c>
      <c r="H250">
        <v>1813</v>
      </c>
      <c r="I250">
        <v>497</v>
      </c>
      <c r="J250">
        <v>643</v>
      </c>
      <c r="K250">
        <v>491</v>
      </c>
      <c r="L250">
        <v>1361</v>
      </c>
      <c r="M250">
        <v>416</v>
      </c>
      <c r="N250">
        <v>107</v>
      </c>
      <c r="O250">
        <v>173</v>
      </c>
      <c r="P250">
        <v>416</v>
      </c>
      <c r="Q250">
        <v>570</v>
      </c>
      <c r="R250">
        <v>249</v>
      </c>
    </row>
    <row r="251" spans="1:18">
      <c r="A251" s="1" t="s">
        <v>196</v>
      </c>
      <c r="B251">
        <v>34</v>
      </c>
      <c r="C251">
        <v>22</v>
      </c>
      <c r="D251">
        <v>12</v>
      </c>
      <c r="E251">
        <v>-5.53</v>
      </c>
      <c r="F251">
        <v>2476</v>
      </c>
      <c r="G251">
        <v>892</v>
      </c>
      <c r="H251">
        <v>1946</v>
      </c>
      <c r="I251">
        <v>480</v>
      </c>
      <c r="J251">
        <v>695</v>
      </c>
      <c r="K251">
        <v>411</v>
      </c>
      <c r="L251">
        <v>1240</v>
      </c>
      <c r="M251">
        <v>450</v>
      </c>
      <c r="N251">
        <v>242</v>
      </c>
      <c r="O251">
        <v>150</v>
      </c>
      <c r="P251">
        <v>408</v>
      </c>
      <c r="Q251">
        <v>611</v>
      </c>
      <c r="R251">
        <v>250</v>
      </c>
    </row>
    <row r="252" spans="1:18">
      <c r="A252" s="1" t="s">
        <v>197</v>
      </c>
      <c r="B252">
        <v>33</v>
      </c>
      <c r="C252">
        <v>23</v>
      </c>
      <c r="D252">
        <v>10</v>
      </c>
      <c r="E252">
        <v>2.87</v>
      </c>
      <c r="F252">
        <v>2232</v>
      </c>
      <c r="G252">
        <v>777</v>
      </c>
      <c r="H252">
        <v>1732</v>
      </c>
      <c r="I252">
        <v>532</v>
      </c>
      <c r="J252">
        <v>812</v>
      </c>
      <c r="K252">
        <v>362</v>
      </c>
      <c r="L252">
        <v>1183</v>
      </c>
      <c r="M252">
        <v>430</v>
      </c>
      <c r="N252">
        <v>215</v>
      </c>
      <c r="O252">
        <v>184</v>
      </c>
      <c r="P252">
        <v>453</v>
      </c>
      <c r="Q252">
        <v>694</v>
      </c>
      <c r="R252">
        <v>251</v>
      </c>
    </row>
    <row r="253" spans="1:18">
      <c r="A253" s="1" t="s">
        <v>198</v>
      </c>
      <c r="B253">
        <v>32</v>
      </c>
      <c r="C253">
        <v>12</v>
      </c>
      <c r="D253">
        <v>20</v>
      </c>
      <c r="E253">
        <v>-0.79</v>
      </c>
      <c r="F253">
        <v>2052</v>
      </c>
      <c r="G253">
        <v>679</v>
      </c>
      <c r="H253">
        <v>1615</v>
      </c>
      <c r="I253">
        <v>405</v>
      </c>
      <c r="J253">
        <v>548</v>
      </c>
      <c r="K253">
        <v>276</v>
      </c>
      <c r="L253">
        <v>1019</v>
      </c>
      <c r="M253">
        <v>405</v>
      </c>
      <c r="N253">
        <v>190</v>
      </c>
      <c r="O253">
        <v>70</v>
      </c>
      <c r="P253">
        <v>459</v>
      </c>
      <c r="Q253">
        <v>606</v>
      </c>
      <c r="R253">
        <v>252</v>
      </c>
    </row>
    <row r="254" spans="1:18">
      <c r="A254" s="1" t="s">
        <v>199</v>
      </c>
      <c r="B254">
        <v>35</v>
      </c>
      <c r="C254">
        <v>21</v>
      </c>
      <c r="D254">
        <v>14</v>
      </c>
      <c r="E254">
        <v>3.77</v>
      </c>
      <c r="F254">
        <v>2313</v>
      </c>
      <c r="G254">
        <v>834</v>
      </c>
      <c r="H254">
        <v>1821</v>
      </c>
      <c r="I254">
        <v>414</v>
      </c>
      <c r="J254">
        <v>600</v>
      </c>
      <c r="K254">
        <v>240</v>
      </c>
      <c r="L254">
        <v>1025</v>
      </c>
      <c r="M254">
        <v>469</v>
      </c>
      <c r="N254">
        <v>242</v>
      </c>
      <c r="O254">
        <v>116</v>
      </c>
      <c r="P254">
        <v>346</v>
      </c>
      <c r="Q254">
        <v>595</v>
      </c>
      <c r="R254">
        <v>253</v>
      </c>
    </row>
    <row r="255" spans="1:18">
      <c r="A255" s="1" t="s">
        <v>200</v>
      </c>
      <c r="B255">
        <v>33</v>
      </c>
      <c r="C255">
        <v>21</v>
      </c>
      <c r="D255">
        <v>12</v>
      </c>
      <c r="E255">
        <v>-3.11</v>
      </c>
      <c r="F255">
        <v>2153</v>
      </c>
      <c r="G255">
        <v>784</v>
      </c>
      <c r="H255">
        <v>1790</v>
      </c>
      <c r="I255">
        <v>385</v>
      </c>
      <c r="J255">
        <v>638</v>
      </c>
      <c r="K255">
        <v>357</v>
      </c>
      <c r="L255">
        <v>1131</v>
      </c>
      <c r="M255">
        <v>400</v>
      </c>
      <c r="N255">
        <v>234</v>
      </c>
      <c r="O255">
        <v>87</v>
      </c>
      <c r="P255">
        <v>413</v>
      </c>
      <c r="Q255">
        <v>591</v>
      </c>
      <c r="R255">
        <v>254</v>
      </c>
    </row>
    <row r="256" spans="1:18">
      <c r="A256" s="1" t="s">
        <v>201</v>
      </c>
      <c r="B256">
        <v>35</v>
      </c>
      <c r="C256">
        <v>20</v>
      </c>
      <c r="D256">
        <v>15</v>
      </c>
      <c r="E256">
        <v>-3.5</v>
      </c>
      <c r="F256">
        <v>2414</v>
      </c>
      <c r="G256">
        <v>854</v>
      </c>
      <c r="H256">
        <v>1926</v>
      </c>
      <c r="I256">
        <v>485</v>
      </c>
      <c r="J256">
        <v>684</v>
      </c>
      <c r="K256">
        <v>367</v>
      </c>
      <c r="L256">
        <v>1162</v>
      </c>
      <c r="M256">
        <v>428</v>
      </c>
      <c r="N256">
        <v>300</v>
      </c>
      <c r="O256">
        <v>100</v>
      </c>
      <c r="P256">
        <v>467</v>
      </c>
      <c r="Q256">
        <v>650</v>
      </c>
      <c r="R256">
        <v>255</v>
      </c>
    </row>
    <row r="257" spans="1:18">
      <c r="A257" s="1" t="s">
        <v>202</v>
      </c>
      <c r="B257">
        <v>32</v>
      </c>
      <c r="C257">
        <v>10</v>
      </c>
      <c r="D257">
        <v>22</v>
      </c>
      <c r="E257">
        <v>8.11</v>
      </c>
      <c r="F257">
        <v>1898</v>
      </c>
      <c r="G257">
        <v>687</v>
      </c>
      <c r="H257">
        <v>1751</v>
      </c>
      <c r="I257">
        <v>372</v>
      </c>
      <c r="J257">
        <v>570</v>
      </c>
      <c r="K257">
        <v>359</v>
      </c>
      <c r="L257">
        <v>1118</v>
      </c>
      <c r="M257">
        <v>343</v>
      </c>
      <c r="N257">
        <v>178</v>
      </c>
      <c r="O257">
        <v>118</v>
      </c>
      <c r="P257">
        <v>417</v>
      </c>
      <c r="Q257">
        <v>530</v>
      </c>
      <c r="R257">
        <v>256</v>
      </c>
    </row>
    <row r="258" spans="1:18">
      <c r="A258" s="1" t="s">
        <v>203</v>
      </c>
      <c r="B258">
        <v>33</v>
      </c>
      <c r="C258">
        <v>21</v>
      </c>
      <c r="D258">
        <v>12</v>
      </c>
      <c r="E258">
        <v>-5.45</v>
      </c>
      <c r="F258">
        <v>2342</v>
      </c>
      <c r="G258">
        <v>841</v>
      </c>
      <c r="H258">
        <v>1729</v>
      </c>
      <c r="I258">
        <v>452</v>
      </c>
      <c r="J258">
        <v>614</v>
      </c>
      <c r="K258">
        <v>276</v>
      </c>
      <c r="L258">
        <v>974</v>
      </c>
      <c r="M258">
        <v>466</v>
      </c>
      <c r="N258">
        <v>231</v>
      </c>
      <c r="O258">
        <v>78</v>
      </c>
      <c r="P258">
        <v>355</v>
      </c>
      <c r="Q258">
        <v>563</v>
      </c>
      <c r="R258">
        <v>257</v>
      </c>
    </row>
    <row r="259" spans="1:18">
      <c r="A259" s="1" t="s">
        <v>204</v>
      </c>
      <c r="B259">
        <v>32</v>
      </c>
      <c r="C259">
        <v>15</v>
      </c>
      <c r="D259">
        <v>17</v>
      </c>
      <c r="E259">
        <v>-5.97</v>
      </c>
      <c r="F259">
        <v>2360</v>
      </c>
      <c r="G259">
        <v>874</v>
      </c>
      <c r="H259">
        <v>1911</v>
      </c>
      <c r="I259">
        <v>443</v>
      </c>
      <c r="J259">
        <v>685</v>
      </c>
      <c r="K259">
        <v>401</v>
      </c>
      <c r="L259">
        <v>1225</v>
      </c>
      <c r="M259">
        <v>469</v>
      </c>
      <c r="N259">
        <v>210</v>
      </c>
      <c r="O259">
        <v>110</v>
      </c>
      <c r="P259">
        <v>439</v>
      </c>
      <c r="Q259">
        <v>588</v>
      </c>
      <c r="R259">
        <v>258</v>
      </c>
    </row>
    <row r="260" spans="1:18">
      <c r="A260" s="1" t="s">
        <v>205</v>
      </c>
      <c r="B260">
        <v>32</v>
      </c>
      <c r="C260">
        <v>16</v>
      </c>
      <c r="D260">
        <v>16</v>
      </c>
      <c r="E260">
        <v>-4.97</v>
      </c>
      <c r="F260">
        <v>2061</v>
      </c>
      <c r="G260">
        <v>724</v>
      </c>
      <c r="H260">
        <v>1653</v>
      </c>
      <c r="I260">
        <v>387</v>
      </c>
      <c r="J260">
        <v>576</v>
      </c>
      <c r="K260">
        <v>267</v>
      </c>
      <c r="L260">
        <v>998</v>
      </c>
      <c r="M260">
        <v>376</v>
      </c>
      <c r="N260">
        <v>209</v>
      </c>
      <c r="O260">
        <v>83</v>
      </c>
      <c r="P260">
        <v>398</v>
      </c>
      <c r="Q260">
        <v>507</v>
      </c>
      <c r="R260">
        <v>259</v>
      </c>
    </row>
    <row r="261" spans="1:18">
      <c r="A261" s="1" t="s">
        <v>206</v>
      </c>
      <c r="B261">
        <v>31</v>
      </c>
      <c r="C261">
        <v>13</v>
      </c>
      <c r="D261">
        <v>18</v>
      </c>
      <c r="E261">
        <v>2.58</v>
      </c>
      <c r="F261">
        <v>1912</v>
      </c>
      <c r="G261">
        <v>688</v>
      </c>
      <c r="H261">
        <v>1704</v>
      </c>
      <c r="I261">
        <v>369</v>
      </c>
      <c r="J261">
        <v>600</v>
      </c>
      <c r="K261">
        <v>352</v>
      </c>
      <c r="L261">
        <v>1099</v>
      </c>
      <c r="M261">
        <v>394</v>
      </c>
      <c r="N261">
        <v>205</v>
      </c>
      <c r="O261">
        <v>135</v>
      </c>
      <c r="P261">
        <v>387</v>
      </c>
      <c r="Q261">
        <v>523</v>
      </c>
      <c r="R261">
        <v>260</v>
      </c>
    </row>
    <row r="262" spans="1:18">
      <c r="A262" s="1" t="s">
        <v>292</v>
      </c>
      <c r="B262">
        <v>32</v>
      </c>
      <c r="C262">
        <v>11</v>
      </c>
      <c r="D262">
        <v>21</v>
      </c>
      <c r="E262">
        <v>2.4300000000000002</v>
      </c>
      <c r="F262">
        <v>1912</v>
      </c>
      <c r="G262">
        <v>652</v>
      </c>
      <c r="H262">
        <v>1587</v>
      </c>
      <c r="I262">
        <v>436</v>
      </c>
      <c r="J262">
        <v>666</v>
      </c>
      <c r="K262">
        <v>290</v>
      </c>
      <c r="L262">
        <v>979</v>
      </c>
      <c r="M262">
        <v>391</v>
      </c>
      <c r="N262">
        <v>170</v>
      </c>
      <c r="O262">
        <v>72</v>
      </c>
      <c r="P262">
        <v>443</v>
      </c>
      <c r="Q262">
        <v>630</v>
      </c>
      <c r="R262">
        <v>261</v>
      </c>
    </row>
    <row r="263" spans="1:18">
      <c r="A263" s="1" t="s">
        <v>207</v>
      </c>
      <c r="B263">
        <v>31</v>
      </c>
      <c r="C263">
        <v>21</v>
      </c>
      <c r="D263">
        <v>10</v>
      </c>
      <c r="E263">
        <v>3.78</v>
      </c>
      <c r="F263">
        <v>2141</v>
      </c>
      <c r="G263">
        <v>752</v>
      </c>
      <c r="H263">
        <v>1645</v>
      </c>
      <c r="I263">
        <v>412</v>
      </c>
      <c r="J263">
        <v>576</v>
      </c>
      <c r="K263">
        <v>328</v>
      </c>
      <c r="L263">
        <v>1115</v>
      </c>
      <c r="M263">
        <v>466</v>
      </c>
      <c r="N263">
        <v>157</v>
      </c>
      <c r="O263">
        <v>70</v>
      </c>
      <c r="P263">
        <v>375</v>
      </c>
      <c r="Q263">
        <v>541</v>
      </c>
      <c r="R263">
        <v>262</v>
      </c>
    </row>
    <row r="264" spans="1:18">
      <c r="A264" s="1" t="s">
        <v>208</v>
      </c>
      <c r="B264">
        <v>34</v>
      </c>
      <c r="C264">
        <v>16</v>
      </c>
      <c r="D264">
        <v>18</v>
      </c>
      <c r="E264">
        <v>-3.92</v>
      </c>
      <c r="F264">
        <v>2081</v>
      </c>
      <c r="G264">
        <v>698</v>
      </c>
      <c r="H264">
        <v>1695</v>
      </c>
      <c r="I264">
        <v>492</v>
      </c>
      <c r="J264">
        <v>745</v>
      </c>
      <c r="K264">
        <v>353</v>
      </c>
      <c r="L264">
        <v>1109</v>
      </c>
      <c r="M264">
        <v>344</v>
      </c>
      <c r="N264">
        <v>213</v>
      </c>
      <c r="O264">
        <v>101</v>
      </c>
      <c r="P264">
        <v>413</v>
      </c>
      <c r="Q264">
        <v>654</v>
      </c>
      <c r="R264">
        <v>263</v>
      </c>
    </row>
    <row r="265" spans="1:18">
      <c r="A265" s="1" t="s">
        <v>209</v>
      </c>
      <c r="B265">
        <v>35</v>
      </c>
      <c r="C265">
        <v>26</v>
      </c>
      <c r="D265">
        <v>9</v>
      </c>
      <c r="E265">
        <v>-6.03</v>
      </c>
      <c r="F265">
        <v>2592</v>
      </c>
      <c r="G265">
        <v>846</v>
      </c>
      <c r="H265">
        <v>1973</v>
      </c>
      <c r="I265">
        <v>634</v>
      </c>
      <c r="J265">
        <v>898</v>
      </c>
      <c r="K265">
        <v>463</v>
      </c>
      <c r="L265">
        <v>1409</v>
      </c>
      <c r="M265">
        <v>516</v>
      </c>
      <c r="N265">
        <v>229</v>
      </c>
      <c r="O265">
        <v>154</v>
      </c>
      <c r="P265">
        <v>455</v>
      </c>
      <c r="Q265">
        <v>712</v>
      </c>
      <c r="R265">
        <v>264</v>
      </c>
    </row>
    <row r="266" spans="1:18">
      <c r="A266" s="1" t="s">
        <v>293</v>
      </c>
      <c r="B266">
        <v>32</v>
      </c>
      <c r="C266">
        <v>13</v>
      </c>
      <c r="D266">
        <v>19</v>
      </c>
      <c r="E266">
        <v>-5.57</v>
      </c>
      <c r="F266">
        <v>2216</v>
      </c>
      <c r="G266">
        <v>780</v>
      </c>
      <c r="H266">
        <v>1756</v>
      </c>
      <c r="I266">
        <v>452</v>
      </c>
      <c r="J266">
        <v>661</v>
      </c>
      <c r="K266">
        <v>326</v>
      </c>
      <c r="L266">
        <v>1015</v>
      </c>
      <c r="M266">
        <v>423</v>
      </c>
      <c r="N266">
        <v>235</v>
      </c>
      <c r="O266">
        <v>96</v>
      </c>
      <c r="P266">
        <v>414</v>
      </c>
      <c r="Q266">
        <v>657</v>
      </c>
      <c r="R266">
        <v>265</v>
      </c>
    </row>
    <row r="267" spans="1:18">
      <c r="A267" s="1" t="s">
        <v>210</v>
      </c>
      <c r="B267">
        <v>36</v>
      </c>
      <c r="C267">
        <v>27</v>
      </c>
      <c r="D267">
        <v>9</v>
      </c>
      <c r="E267">
        <v>4.24</v>
      </c>
      <c r="F267">
        <v>2226</v>
      </c>
      <c r="G267">
        <v>800</v>
      </c>
      <c r="H267">
        <v>1916</v>
      </c>
      <c r="I267">
        <v>437</v>
      </c>
      <c r="J267">
        <v>694</v>
      </c>
      <c r="K267">
        <v>439</v>
      </c>
      <c r="L267">
        <v>1270</v>
      </c>
      <c r="M267">
        <v>377</v>
      </c>
      <c r="N267">
        <v>247</v>
      </c>
      <c r="O267">
        <v>179</v>
      </c>
      <c r="P267">
        <v>410</v>
      </c>
      <c r="Q267">
        <v>506</v>
      </c>
      <c r="R267">
        <v>266</v>
      </c>
    </row>
    <row r="268" spans="1:18">
      <c r="A268" s="1" t="s">
        <v>211</v>
      </c>
      <c r="B268">
        <v>31</v>
      </c>
      <c r="C268">
        <v>15</v>
      </c>
      <c r="D268">
        <v>16</v>
      </c>
      <c r="E268">
        <v>3.47</v>
      </c>
      <c r="F268">
        <v>2006</v>
      </c>
      <c r="G268">
        <v>690</v>
      </c>
      <c r="H268">
        <v>1636</v>
      </c>
      <c r="I268">
        <v>434</v>
      </c>
      <c r="J268">
        <v>632</v>
      </c>
      <c r="K268">
        <v>321</v>
      </c>
      <c r="L268">
        <v>1016</v>
      </c>
      <c r="M268">
        <v>388</v>
      </c>
      <c r="N268">
        <v>199</v>
      </c>
      <c r="O268">
        <v>119</v>
      </c>
      <c r="P268">
        <v>365</v>
      </c>
      <c r="Q268">
        <v>618</v>
      </c>
      <c r="R268">
        <v>267</v>
      </c>
    </row>
    <row r="269" spans="1:18">
      <c r="A269" s="1" t="s">
        <v>212</v>
      </c>
      <c r="B269">
        <v>32</v>
      </c>
      <c r="C269">
        <v>14</v>
      </c>
      <c r="D269">
        <v>18</v>
      </c>
      <c r="E269">
        <v>2.83</v>
      </c>
      <c r="F269">
        <v>2215</v>
      </c>
      <c r="G269">
        <v>783</v>
      </c>
      <c r="H269">
        <v>1735</v>
      </c>
      <c r="I269">
        <v>446</v>
      </c>
      <c r="J269">
        <v>709</v>
      </c>
      <c r="K269">
        <v>340</v>
      </c>
      <c r="L269">
        <v>1113</v>
      </c>
      <c r="M269">
        <v>443</v>
      </c>
      <c r="N269">
        <v>186</v>
      </c>
      <c r="O269">
        <v>79</v>
      </c>
      <c r="P269">
        <v>376</v>
      </c>
      <c r="Q269">
        <v>647</v>
      </c>
      <c r="R269">
        <v>268</v>
      </c>
    </row>
    <row r="270" spans="1:18">
      <c r="A270" s="1" t="s">
        <v>213</v>
      </c>
      <c r="B270">
        <v>30</v>
      </c>
      <c r="C270">
        <v>2</v>
      </c>
      <c r="D270">
        <v>28</v>
      </c>
      <c r="E270">
        <v>1.92</v>
      </c>
      <c r="F270">
        <v>1612</v>
      </c>
      <c r="G270">
        <v>553</v>
      </c>
      <c r="H270">
        <v>1559</v>
      </c>
      <c r="I270">
        <v>310</v>
      </c>
      <c r="J270">
        <v>475</v>
      </c>
      <c r="K270">
        <v>272</v>
      </c>
      <c r="L270">
        <v>939</v>
      </c>
      <c r="M270">
        <v>294</v>
      </c>
      <c r="N270">
        <v>145</v>
      </c>
      <c r="O270">
        <v>78</v>
      </c>
      <c r="P270">
        <v>426</v>
      </c>
      <c r="Q270">
        <v>548</v>
      </c>
      <c r="R270">
        <v>269</v>
      </c>
    </row>
    <row r="271" spans="1:18">
      <c r="A271" s="1" t="s">
        <v>214</v>
      </c>
      <c r="B271">
        <v>32</v>
      </c>
      <c r="C271">
        <v>14</v>
      </c>
      <c r="D271">
        <v>18</v>
      </c>
      <c r="E271">
        <v>4.12</v>
      </c>
      <c r="F271">
        <v>2027</v>
      </c>
      <c r="G271">
        <v>711</v>
      </c>
      <c r="H271">
        <v>1675</v>
      </c>
      <c r="I271">
        <v>383</v>
      </c>
      <c r="J271">
        <v>520</v>
      </c>
      <c r="K271">
        <v>296</v>
      </c>
      <c r="L271">
        <v>956</v>
      </c>
      <c r="M271">
        <v>379</v>
      </c>
      <c r="N271">
        <v>180</v>
      </c>
      <c r="O271">
        <v>59</v>
      </c>
      <c r="P271">
        <v>339</v>
      </c>
      <c r="Q271">
        <v>599</v>
      </c>
      <c r="R271">
        <v>270</v>
      </c>
    </row>
    <row r="272" spans="1:18">
      <c r="A272" s="1" t="s">
        <v>322</v>
      </c>
      <c r="B272">
        <v>31</v>
      </c>
      <c r="C272">
        <v>9</v>
      </c>
      <c r="D272">
        <v>22</v>
      </c>
      <c r="E272">
        <v>-6.27</v>
      </c>
      <c r="F272">
        <v>1758</v>
      </c>
      <c r="G272">
        <v>661</v>
      </c>
      <c r="H272">
        <v>1612</v>
      </c>
      <c r="I272">
        <v>332</v>
      </c>
      <c r="J272">
        <v>576</v>
      </c>
      <c r="K272">
        <v>328</v>
      </c>
      <c r="L272">
        <v>907</v>
      </c>
      <c r="M272">
        <v>287</v>
      </c>
      <c r="N272">
        <v>276</v>
      </c>
      <c r="O272">
        <v>75</v>
      </c>
      <c r="P272">
        <v>513</v>
      </c>
      <c r="Q272">
        <v>612</v>
      </c>
      <c r="R272">
        <v>271</v>
      </c>
    </row>
    <row r="273" spans="1:18">
      <c r="A273" s="1" t="s">
        <v>358</v>
      </c>
      <c r="B273">
        <v>34</v>
      </c>
      <c r="C273">
        <v>18</v>
      </c>
      <c r="D273">
        <v>16</v>
      </c>
      <c r="E273">
        <v>-4.6900000000000004</v>
      </c>
      <c r="F273">
        <v>2123</v>
      </c>
      <c r="G273">
        <v>740</v>
      </c>
      <c r="H273">
        <v>1674</v>
      </c>
      <c r="I273">
        <v>407</v>
      </c>
      <c r="J273">
        <v>612</v>
      </c>
      <c r="K273">
        <v>324</v>
      </c>
      <c r="L273">
        <v>1149</v>
      </c>
      <c r="M273">
        <v>471</v>
      </c>
      <c r="N273">
        <v>185</v>
      </c>
      <c r="O273">
        <v>50</v>
      </c>
      <c r="P273">
        <v>466</v>
      </c>
      <c r="Q273">
        <v>572</v>
      </c>
      <c r="R273">
        <v>272</v>
      </c>
    </row>
    <row r="274" spans="1:18">
      <c r="A274" s="1" t="s">
        <v>294</v>
      </c>
      <c r="B274">
        <v>31</v>
      </c>
      <c r="C274">
        <v>16</v>
      </c>
      <c r="D274">
        <v>15</v>
      </c>
      <c r="E274">
        <v>7.56</v>
      </c>
      <c r="F274">
        <v>2119</v>
      </c>
      <c r="G274">
        <v>735</v>
      </c>
      <c r="H274">
        <v>1745</v>
      </c>
      <c r="I274">
        <v>436</v>
      </c>
      <c r="J274">
        <v>664</v>
      </c>
      <c r="K274">
        <v>391</v>
      </c>
      <c r="L274">
        <v>1123</v>
      </c>
      <c r="M274">
        <v>384</v>
      </c>
      <c r="N274">
        <v>185</v>
      </c>
      <c r="O274">
        <v>127</v>
      </c>
      <c r="P274">
        <v>385</v>
      </c>
      <c r="Q274">
        <v>595</v>
      </c>
      <c r="R274">
        <v>273</v>
      </c>
    </row>
    <row r="275" spans="1:18">
      <c r="A275" s="1" t="s">
        <v>215</v>
      </c>
      <c r="B275">
        <v>31</v>
      </c>
      <c r="C275">
        <v>11</v>
      </c>
      <c r="D275">
        <v>20</v>
      </c>
      <c r="E275">
        <v>-2.9</v>
      </c>
      <c r="F275">
        <v>2164</v>
      </c>
      <c r="G275">
        <v>748</v>
      </c>
      <c r="H275">
        <v>1736</v>
      </c>
      <c r="I275">
        <v>516</v>
      </c>
      <c r="J275">
        <v>727</v>
      </c>
      <c r="K275">
        <v>395</v>
      </c>
      <c r="L275">
        <v>1023</v>
      </c>
      <c r="M275">
        <v>411</v>
      </c>
      <c r="N275">
        <v>233</v>
      </c>
      <c r="O275">
        <v>111</v>
      </c>
      <c r="P275">
        <v>389</v>
      </c>
      <c r="Q275">
        <v>649</v>
      </c>
      <c r="R275">
        <v>274</v>
      </c>
    </row>
    <row r="276" spans="1:18">
      <c r="A276" s="1" t="s">
        <v>216</v>
      </c>
      <c r="B276">
        <v>33</v>
      </c>
      <c r="C276">
        <v>12</v>
      </c>
      <c r="D276">
        <v>21</v>
      </c>
      <c r="E276">
        <v>-3.04</v>
      </c>
      <c r="F276">
        <v>2275</v>
      </c>
      <c r="G276">
        <v>762</v>
      </c>
      <c r="H276">
        <v>1813</v>
      </c>
      <c r="I276">
        <v>537</v>
      </c>
      <c r="J276">
        <v>764</v>
      </c>
      <c r="K276">
        <v>360</v>
      </c>
      <c r="L276">
        <v>1175</v>
      </c>
      <c r="M276">
        <v>353</v>
      </c>
      <c r="N276">
        <v>157</v>
      </c>
      <c r="O276">
        <v>121</v>
      </c>
      <c r="P276">
        <v>474</v>
      </c>
      <c r="Q276">
        <v>586</v>
      </c>
      <c r="R276">
        <v>275</v>
      </c>
    </row>
    <row r="277" spans="1:18">
      <c r="A277" s="1" t="s">
        <v>295</v>
      </c>
      <c r="B277">
        <v>33</v>
      </c>
      <c r="C277">
        <v>11</v>
      </c>
      <c r="D277">
        <v>22</v>
      </c>
      <c r="E277">
        <v>-7.46</v>
      </c>
      <c r="F277">
        <v>1965</v>
      </c>
      <c r="G277">
        <v>706</v>
      </c>
      <c r="H277">
        <v>1846</v>
      </c>
      <c r="I277">
        <v>369</v>
      </c>
      <c r="J277">
        <v>612</v>
      </c>
      <c r="K277">
        <v>394</v>
      </c>
      <c r="L277">
        <v>1142</v>
      </c>
      <c r="M277">
        <v>360</v>
      </c>
      <c r="N277">
        <v>200</v>
      </c>
      <c r="O277">
        <v>101</v>
      </c>
      <c r="P277">
        <v>412</v>
      </c>
      <c r="Q277">
        <v>579</v>
      </c>
      <c r="R277">
        <v>276</v>
      </c>
    </row>
    <row r="278" spans="1:18">
      <c r="A278" s="1" t="s">
        <v>351</v>
      </c>
      <c r="B278">
        <v>36</v>
      </c>
      <c r="C278">
        <v>24</v>
      </c>
      <c r="D278">
        <v>12</v>
      </c>
      <c r="E278">
        <v>-7.5</v>
      </c>
      <c r="F278">
        <v>2579</v>
      </c>
      <c r="G278">
        <v>938</v>
      </c>
      <c r="H278">
        <v>2124</v>
      </c>
      <c r="I278">
        <v>413</v>
      </c>
      <c r="J278">
        <v>631</v>
      </c>
      <c r="K278">
        <v>482</v>
      </c>
      <c r="L278">
        <v>1372</v>
      </c>
      <c r="M278">
        <v>534</v>
      </c>
      <c r="N278">
        <v>283</v>
      </c>
      <c r="O278">
        <v>114</v>
      </c>
      <c r="P278">
        <v>390</v>
      </c>
      <c r="Q278">
        <v>588</v>
      </c>
      <c r="R278">
        <v>277</v>
      </c>
    </row>
    <row r="279" spans="1:18">
      <c r="A279" s="1" t="s">
        <v>217</v>
      </c>
      <c r="B279">
        <v>33</v>
      </c>
      <c r="C279">
        <v>17</v>
      </c>
      <c r="D279">
        <v>16</v>
      </c>
      <c r="E279">
        <v>8.24</v>
      </c>
      <c r="F279">
        <v>2146</v>
      </c>
      <c r="G279">
        <v>735</v>
      </c>
      <c r="H279">
        <v>1819</v>
      </c>
      <c r="I279">
        <v>496</v>
      </c>
      <c r="J279">
        <v>673</v>
      </c>
      <c r="K279">
        <v>406</v>
      </c>
      <c r="L279">
        <v>1178</v>
      </c>
      <c r="M279">
        <v>437</v>
      </c>
      <c r="N279">
        <v>208</v>
      </c>
      <c r="O279">
        <v>133</v>
      </c>
      <c r="P279">
        <v>424</v>
      </c>
      <c r="Q279">
        <v>634</v>
      </c>
      <c r="R279">
        <v>278</v>
      </c>
    </row>
    <row r="280" spans="1:18">
      <c r="A280" s="1" t="s">
        <v>341</v>
      </c>
      <c r="B280">
        <v>35</v>
      </c>
      <c r="C280">
        <v>24</v>
      </c>
      <c r="D280">
        <v>11</v>
      </c>
      <c r="E280">
        <v>-3.23</v>
      </c>
      <c r="F280">
        <v>2572</v>
      </c>
      <c r="G280">
        <v>867</v>
      </c>
      <c r="H280">
        <v>1918</v>
      </c>
      <c r="I280">
        <v>556</v>
      </c>
      <c r="J280">
        <v>780</v>
      </c>
      <c r="K280">
        <v>337</v>
      </c>
      <c r="L280">
        <v>1254</v>
      </c>
      <c r="M280">
        <v>428</v>
      </c>
      <c r="N280">
        <v>191</v>
      </c>
      <c r="O280">
        <v>129</v>
      </c>
      <c r="P280">
        <v>399</v>
      </c>
      <c r="Q280">
        <v>691</v>
      </c>
      <c r="R280">
        <v>279</v>
      </c>
    </row>
    <row r="281" spans="1:18">
      <c r="A281" s="1" t="s">
        <v>359</v>
      </c>
      <c r="B281">
        <v>33</v>
      </c>
      <c r="C281">
        <v>17</v>
      </c>
      <c r="D281">
        <v>16</v>
      </c>
      <c r="E281">
        <v>-3.48</v>
      </c>
      <c r="F281">
        <v>2309</v>
      </c>
      <c r="G281">
        <v>811</v>
      </c>
      <c r="H281">
        <v>1924</v>
      </c>
      <c r="I281">
        <v>475</v>
      </c>
      <c r="J281">
        <v>650</v>
      </c>
      <c r="K281">
        <v>384</v>
      </c>
      <c r="L281">
        <v>1169</v>
      </c>
      <c r="M281">
        <v>388</v>
      </c>
      <c r="N281">
        <v>184</v>
      </c>
      <c r="O281">
        <v>80</v>
      </c>
      <c r="P281">
        <v>372</v>
      </c>
      <c r="Q281">
        <v>603</v>
      </c>
      <c r="R281">
        <v>280</v>
      </c>
    </row>
    <row r="282" spans="1:18">
      <c r="A282" s="1" t="s">
        <v>218</v>
      </c>
      <c r="B282">
        <v>32</v>
      </c>
      <c r="C282">
        <v>9</v>
      </c>
      <c r="D282">
        <v>23</v>
      </c>
      <c r="E282">
        <v>2.56</v>
      </c>
      <c r="F282">
        <v>1970</v>
      </c>
      <c r="G282">
        <v>745</v>
      </c>
      <c r="H282">
        <v>1720</v>
      </c>
      <c r="I282">
        <v>344</v>
      </c>
      <c r="J282">
        <v>556</v>
      </c>
      <c r="K282">
        <v>343</v>
      </c>
      <c r="L282">
        <v>1084</v>
      </c>
      <c r="M282">
        <v>362</v>
      </c>
      <c r="N282">
        <v>184</v>
      </c>
      <c r="O282">
        <v>156</v>
      </c>
      <c r="P282">
        <v>436</v>
      </c>
      <c r="Q282">
        <v>609</v>
      </c>
      <c r="R282">
        <v>281</v>
      </c>
    </row>
    <row r="283" spans="1:18">
      <c r="A283" s="1" t="s">
        <v>296</v>
      </c>
      <c r="B283">
        <v>30</v>
      </c>
      <c r="C283">
        <v>13</v>
      </c>
      <c r="D283">
        <v>17</v>
      </c>
      <c r="E283">
        <v>-3.73</v>
      </c>
      <c r="F283">
        <v>2087</v>
      </c>
      <c r="G283">
        <v>742</v>
      </c>
      <c r="H283">
        <v>1686</v>
      </c>
      <c r="I283">
        <v>414</v>
      </c>
      <c r="J283">
        <v>621</v>
      </c>
      <c r="K283">
        <v>346</v>
      </c>
      <c r="L283">
        <v>1050</v>
      </c>
      <c r="M283">
        <v>378</v>
      </c>
      <c r="N283">
        <v>218</v>
      </c>
      <c r="O283">
        <v>132</v>
      </c>
      <c r="P283">
        <v>394</v>
      </c>
      <c r="Q283">
        <v>598</v>
      </c>
      <c r="R283">
        <v>282</v>
      </c>
    </row>
    <row r="284" spans="1:18">
      <c r="A284" s="1" t="s">
        <v>219</v>
      </c>
      <c r="B284">
        <v>32</v>
      </c>
      <c r="C284">
        <v>9</v>
      </c>
      <c r="D284">
        <v>23</v>
      </c>
      <c r="E284">
        <v>-6.14</v>
      </c>
      <c r="F284">
        <v>2186</v>
      </c>
      <c r="G284">
        <v>807</v>
      </c>
      <c r="H284">
        <v>1760</v>
      </c>
      <c r="I284">
        <v>387</v>
      </c>
      <c r="J284">
        <v>582</v>
      </c>
      <c r="K284">
        <v>311</v>
      </c>
      <c r="L284">
        <v>1068</v>
      </c>
      <c r="M284">
        <v>389</v>
      </c>
      <c r="N284">
        <v>194</v>
      </c>
      <c r="O284">
        <v>112</v>
      </c>
      <c r="P284">
        <v>492</v>
      </c>
      <c r="Q284">
        <v>590</v>
      </c>
      <c r="R284">
        <v>283</v>
      </c>
    </row>
    <row r="285" spans="1:18">
      <c r="A285" s="1" t="s">
        <v>220</v>
      </c>
      <c r="B285">
        <v>32</v>
      </c>
      <c r="C285">
        <v>12</v>
      </c>
      <c r="D285">
        <v>20</v>
      </c>
      <c r="E285">
        <v>6.15</v>
      </c>
      <c r="F285">
        <v>2143</v>
      </c>
      <c r="G285">
        <v>787</v>
      </c>
      <c r="H285">
        <v>1863</v>
      </c>
      <c r="I285">
        <v>399</v>
      </c>
      <c r="J285">
        <v>629</v>
      </c>
      <c r="K285">
        <v>366</v>
      </c>
      <c r="L285">
        <v>1149</v>
      </c>
      <c r="M285">
        <v>397</v>
      </c>
      <c r="N285">
        <v>208</v>
      </c>
      <c r="O285">
        <v>133</v>
      </c>
      <c r="P285">
        <v>446</v>
      </c>
      <c r="Q285">
        <v>565</v>
      </c>
      <c r="R285">
        <v>284</v>
      </c>
    </row>
    <row r="286" spans="1:18">
      <c r="A286" s="1" t="s">
        <v>355</v>
      </c>
      <c r="B286">
        <v>28</v>
      </c>
      <c r="C286">
        <v>12</v>
      </c>
      <c r="D286">
        <v>16</v>
      </c>
      <c r="E286">
        <v>-4.54</v>
      </c>
      <c r="F286">
        <v>1909</v>
      </c>
      <c r="G286">
        <v>660</v>
      </c>
      <c r="H286">
        <v>1532</v>
      </c>
      <c r="I286">
        <v>391</v>
      </c>
      <c r="J286">
        <v>579</v>
      </c>
      <c r="K286">
        <v>292</v>
      </c>
      <c r="L286">
        <v>969</v>
      </c>
      <c r="M286">
        <v>345</v>
      </c>
      <c r="N286">
        <v>178</v>
      </c>
      <c r="O286">
        <v>120</v>
      </c>
      <c r="P286">
        <v>375</v>
      </c>
      <c r="Q286">
        <v>518</v>
      </c>
      <c r="R286">
        <v>285</v>
      </c>
    </row>
    <row r="287" spans="1:18">
      <c r="A287" s="1" t="s">
        <v>221</v>
      </c>
      <c r="B287">
        <v>33</v>
      </c>
      <c r="C287">
        <v>12</v>
      </c>
      <c r="D287">
        <v>21</v>
      </c>
      <c r="E287">
        <v>-0.6</v>
      </c>
      <c r="F287">
        <v>1968</v>
      </c>
      <c r="G287">
        <v>681</v>
      </c>
      <c r="H287">
        <v>1626</v>
      </c>
      <c r="I287">
        <v>468</v>
      </c>
      <c r="J287">
        <v>667</v>
      </c>
      <c r="K287">
        <v>327</v>
      </c>
      <c r="L287">
        <v>1027</v>
      </c>
      <c r="M287">
        <v>274</v>
      </c>
      <c r="N287">
        <v>221</v>
      </c>
      <c r="O287">
        <v>72</v>
      </c>
      <c r="P287">
        <v>423</v>
      </c>
      <c r="Q287">
        <v>605</v>
      </c>
      <c r="R287">
        <v>286</v>
      </c>
    </row>
    <row r="288" spans="1:18">
      <c r="A288" s="1" t="s">
        <v>222</v>
      </c>
      <c r="B288">
        <v>34</v>
      </c>
      <c r="C288">
        <v>27</v>
      </c>
      <c r="D288">
        <v>7</v>
      </c>
      <c r="E288">
        <v>3.57</v>
      </c>
      <c r="F288">
        <v>2350</v>
      </c>
      <c r="G288">
        <v>832</v>
      </c>
      <c r="H288">
        <v>1750</v>
      </c>
      <c r="I288">
        <v>541</v>
      </c>
      <c r="J288">
        <v>770</v>
      </c>
      <c r="K288">
        <v>388</v>
      </c>
      <c r="L288">
        <v>1244</v>
      </c>
      <c r="M288">
        <v>524</v>
      </c>
      <c r="N288">
        <v>237</v>
      </c>
      <c r="O288">
        <v>146</v>
      </c>
      <c r="P288">
        <v>426</v>
      </c>
      <c r="Q288">
        <v>551</v>
      </c>
      <c r="R288">
        <v>287</v>
      </c>
    </row>
    <row r="289" spans="1:18">
      <c r="A289" s="1" t="s">
        <v>223</v>
      </c>
      <c r="B289">
        <v>29</v>
      </c>
      <c r="C289">
        <v>9</v>
      </c>
      <c r="D289">
        <v>20</v>
      </c>
      <c r="E289">
        <v>-0.06</v>
      </c>
      <c r="F289">
        <v>1742</v>
      </c>
      <c r="G289">
        <v>618</v>
      </c>
      <c r="H289">
        <v>1438</v>
      </c>
      <c r="I289">
        <v>323</v>
      </c>
      <c r="J289">
        <v>515</v>
      </c>
      <c r="K289">
        <v>248</v>
      </c>
      <c r="L289">
        <v>863</v>
      </c>
      <c r="M289">
        <v>352</v>
      </c>
      <c r="N289">
        <v>178</v>
      </c>
      <c r="O289">
        <v>63</v>
      </c>
      <c r="P289">
        <v>408</v>
      </c>
      <c r="Q289">
        <v>449</v>
      </c>
      <c r="R289">
        <v>288</v>
      </c>
    </row>
    <row r="290" spans="1:18">
      <c r="A290" s="1" t="s">
        <v>224</v>
      </c>
      <c r="B290">
        <v>29</v>
      </c>
      <c r="C290">
        <v>10</v>
      </c>
      <c r="D290">
        <v>19</v>
      </c>
      <c r="E290">
        <v>-5.48</v>
      </c>
      <c r="F290">
        <v>2011</v>
      </c>
      <c r="G290">
        <v>700</v>
      </c>
      <c r="H290">
        <v>1537</v>
      </c>
      <c r="I290">
        <v>401</v>
      </c>
      <c r="J290">
        <v>599</v>
      </c>
      <c r="K290">
        <v>218</v>
      </c>
      <c r="L290">
        <v>920</v>
      </c>
      <c r="M290">
        <v>344</v>
      </c>
      <c r="N290">
        <v>144</v>
      </c>
      <c r="O290">
        <v>108</v>
      </c>
      <c r="P290">
        <v>393</v>
      </c>
      <c r="Q290">
        <v>651</v>
      </c>
      <c r="R290">
        <v>289</v>
      </c>
    </row>
    <row r="291" spans="1:18">
      <c r="A291" s="1" t="s">
        <v>225</v>
      </c>
      <c r="B291">
        <v>35</v>
      </c>
      <c r="C291">
        <v>18</v>
      </c>
      <c r="D291">
        <v>17</v>
      </c>
      <c r="E291">
        <v>-8.23</v>
      </c>
      <c r="F291">
        <v>2259</v>
      </c>
      <c r="G291">
        <v>801</v>
      </c>
      <c r="H291">
        <v>1895</v>
      </c>
      <c r="I291">
        <v>507</v>
      </c>
      <c r="J291">
        <v>775</v>
      </c>
      <c r="K291">
        <v>403</v>
      </c>
      <c r="L291">
        <v>1262</v>
      </c>
      <c r="M291">
        <v>359</v>
      </c>
      <c r="N291">
        <v>240</v>
      </c>
      <c r="O291">
        <v>145</v>
      </c>
      <c r="P291">
        <v>462</v>
      </c>
      <c r="Q291">
        <v>702</v>
      </c>
      <c r="R291">
        <v>290</v>
      </c>
    </row>
    <row r="292" spans="1:18">
      <c r="A292" s="1" t="s">
        <v>297</v>
      </c>
      <c r="B292">
        <v>31</v>
      </c>
      <c r="C292">
        <v>18</v>
      </c>
      <c r="D292">
        <v>13</v>
      </c>
      <c r="E292">
        <v>1.34</v>
      </c>
      <c r="F292">
        <v>2085</v>
      </c>
      <c r="G292">
        <v>733</v>
      </c>
      <c r="H292">
        <v>1723</v>
      </c>
      <c r="I292">
        <v>461</v>
      </c>
      <c r="J292">
        <v>653</v>
      </c>
      <c r="K292">
        <v>384</v>
      </c>
      <c r="L292">
        <v>1153</v>
      </c>
      <c r="M292">
        <v>383</v>
      </c>
      <c r="N292">
        <v>206</v>
      </c>
      <c r="O292">
        <v>149</v>
      </c>
      <c r="P292">
        <v>384</v>
      </c>
      <c r="Q292">
        <v>535</v>
      </c>
      <c r="R292">
        <v>291</v>
      </c>
    </row>
    <row r="293" spans="1:18">
      <c r="A293" s="1" t="s">
        <v>226</v>
      </c>
      <c r="B293">
        <v>35</v>
      </c>
      <c r="C293">
        <v>23</v>
      </c>
      <c r="D293">
        <v>12</v>
      </c>
      <c r="E293">
        <v>-6.2</v>
      </c>
      <c r="F293">
        <v>2418</v>
      </c>
      <c r="G293">
        <v>837</v>
      </c>
      <c r="H293">
        <v>2005</v>
      </c>
      <c r="I293">
        <v>549</v>
      </c>
      <c r="J293">
        <v>809</v>
      </c>
      <c r="K293">
        <v>521</v>
      </c>
      <c r="L293">
        <v>1361</v>
      </c>
      <c r="M293">
        <v>431</v>
      </c>
      <c r="N293">
        <v>232</v>
      </c>
      <c r="O293">
        <v>172</v>
      </c>
      <c r="P293">
        <v>459</v>
      </c>
      <c r="Q293">
        <v>643</v>
      </c>
      <c r="R293">
        <v>292</v>
      </c>
    </row>
    <row r="294" spans="1:18">
      <c r="A294" s="1" t="s">
        <v>298</v>
      </c>
      <c r="B294">
        <v>33</v>
      </c>
      <c r="C294">
        <v>21</v>
      </c>
      <c r="D294">
        <v>12</v>
      </c>
      <c r="E294">
        <v>9.0399999999999991</v>
      </c>
      <c r="F294">
        <v>2343</v>
      </c>
      <c r="G294">
        <v>835</v>
      </c>
      <c r="H294">
        <v>1890</v>
      </c>
      <c r="I294">
        <v>475</v>
      </c>
      <c r="J294">
        <v>687</v>
      </c>
      <c r="K294">
        <v>336</v>
      </c>
      <c r="L294">
        <v>1164</v>
      </c>
      <c r="M294">
        <v>408</v>
      </c>
      <c r="N294">
        <v>246</v>
      </c>
      <c r="O294">
        <v>210</v>
      </c>
      <c r="P294">
        <v>352</v>
      </c>
      <c r="Q294">
        <v>587</v>
      </c>
      <c r="R294">
        <v>293</v>
      </c>
    </row>
    <row r="295" spans="1:18">
      <c r="A295" s="1" t="s">
        <v>342</v>
      </c>
      <c r="B295">
        <v>37</v>
      </c>
      <c r="C295">
        <v>24</v>
      </c>
      <c r="D295">
        <v>13</v>
      </c>
      <c r="E295">
        <v>7.33</v>
      </c>
      <c r="F295">
        <v>2676</v>
      </c>
      <c r="G295">
        <v>908</v>
      </c>
      <c r="H295">
        <v>2089</v>
      </c>
      <c r="I295">
        <v>614</v>
      </c>
      <c r="J295">
        <v>846</v>
      </c>
      <c r="K295">
        <v>428</v>
      </c>
      <c r="L295">
        <v>1363</v>
      </c>
      <c r="M295">
        <v>435</v>
      </c>
      <c r="N295">
        <v>204</v>
      </c>
      <c r="O295">
        <v>102</v>
      </c>
      <c r="P295">
        <v>399</v>
      </c>
      <c r="Q295">
        <v>708</v>
      </c>
      <c r="R295">
        <v>294</v>
      </c>
    </row>
    <row r="296" spans="1:18">
      <c r="A296" s="1" t="s">
        <v>227</v>
      </c>
      <c r="B296">
        <v>34</v>
      </c>
      <c r="C296">
        <v>29</v>
      </c>
      <c r="D296">
        <v>5</v>
      </c>
      <c r="E296">
        <v>-4.2</v>
      </c>
      <c r="F296">
        <v>2672</v>
      </c>
      <c r="G296">
        <v>911</v>
      </c>
      <c r="H296">
        <v>1870</v>
      </c>
      <c r="I296">
        <v>588</v>
      </c>
      <c r="J296">
        <v>799</v>
      </c>
      <c r="K296">
        <v>413</v>
      </c>
      <c r="L296">
        <v>1176</v>
      </c>
      <c r="M296">
        <v>596</v>
      </c>
      <c r="N296">
        <v>259</v>
      </c>
      <c r="O296">
        <v>120</v>
      </c>
      <c r="P296">
        <v>476</v>
      </c>
      <c r="Q296">
        <v>734</v>
      </c>
      <c r="R296">
        <v>295</v>
      </c>
    </row>
    <row r="297" spans="1:18">
      <c r="A297" s="1" t="s">
        <v>228</v>
      </c>
      <c r="B297">
        <v>31</v>
      </c>
      <c r="C297">
        <v>9</v>
      </c>
      <c r="D297">
        <v>22</v>
      </c>
      <c r="E297">
        <v>-6.68</v>
      </c>
      <c r="F297">
        <v>2064</v>
      </c>
      <c r="G297">
        <v>744</v>
      </c>
      <c r="H297">
        <v>1717</v>
      </c>
      <c r="I297">
        <v>383</v>
      </c>
      <c r="J297">
        <v>583</v>
      </c>
      <c r="K297">
        <v>297</v>
      </c>
      <c r="L297">
        <v>1041</v>
      </c>
      <c r="M297">
        <v>388</v>
      </c>
      <c r="N297">
        <v>139</v>
      </c>
      <c r="O297">
        <v>103</v>
      </c>
      <c r="P297">
        <v>384</v>
      </c>
      <c r="Q297">
        <v>543</v>
      </c>
      <c r="R297">
        <v>296</v>
      </c>
    </row>
    <row r="298" spans="1:18">
      <c r="A298" s="1" t="s">
        <v>229</v>
      </c>
      <c r="B298">
        <v>35</v>
      </c>
      <c r="C298">
        <v>23</v>
      </c>
      <c r="D298">
        <v>12</v>
      </c>
      <c r="E298">
        <v>-4.03</v>
      </c>
      <c r="F298">
        <v>2290</v>
      </c>
      <c r="G298">
        <v>835</v>
      </c>
      <c r="H298">
        <v>1999</v>
      </c>
      <c r="I298">
        <v>429</v>
      </c>
      <c r="J298">
        <v>647</v>
      </c>
      <c r="K298">
        <v>488</v>
      </c>
      <c r="L298">
        <v>1395</v>
      </c>
      <c r="M298">
        <v>420</v>
      </c>
      <c r="N298">
        <v>180</v>
      </c>
      <c r="O298">
        <v>147</v>
      </c>
      <c r="P298">
        <v>416</v>
      </c>
      <c r="Q298">
        <v>578</v>
      </c>
      <c r="R298">
        <v>297</v>
      </c>
    </row>
    <row r="299" spans="1:18">
      <c r="A299" s="1" t="s">
        <v>313</v>
      </c>
      <c r="B299">
        <v>31</v>
      </c>
      <c r="C299">
        <v>18</v>
      </c>
      <c r="D299">
        <v>13</v>
      </c>
      <c r="E299">
        <v>7.68</v>
      </c>
      <c r="F299">
        <v>2096</v>
      </c>
      <c r="G299">
        <v>763</v>
      </c>
      <c r="H299">
        <v>1775</v>
      </c>
      <c r="I299">
        <v>415</v>
      </c>
      <c r="J299">
        <v>629</v>
      </c>
      <c r="K299">
        <v>373</v>
      </c>
      <c r="L299">
        <v>1135</v>
      </c>
      <c r="M299">
        <v>468</v>
      </c>
      <c r="N299">
        <v>258</v>
      </c>
      <c r="O299">
        <v>157</v>
      </c>
      <c r="P299">
        <v>370</v>
      </c>
      <c r="Q299">
        <v>471</v>
      </c>
      <c r="R299">
        <v>298</v>
      </c>
    </row>
    <row r="300" spans="1:18">
      <c r="A300" s="1" t="s">
        <v>314</v>
      </c>
      <c r="B300">
        <v>37</v>
      </c>
      <c r="C300">
        <v>26</v>
      </c>
      <c r="D300">
        <v>11</v>
      </c>
      <c r="E300">
        <v>3.52</v>
      </c>
      <c r="F300">
        <v>2436</v>
      </c>
      <c r="G300">
        <v>833</v>
      </c>
      <c r="H300">
        <v>2149</v>
      </c>
      <c r="I300">
        <v>535</v>
      </c>
      <c r="J300">
        <v>765</v>
      </c>
      <c r="K300">
        <v>453</v>
      </c>
      <c r="L300">
        <v>1410</v>
      </c>
      <c r="M300">
        <v>457</v>
      </c>
      <c r="N300">
        <v>254</v>
      </c>
      <c r="O300">
        <v>165</v>
      </c>
      <c r="P300">
        <v>352</v>
      </c>
      <c r="Q300">
        <v>632</v>
      </c>
      <c r="R300">
        <v>299</v>
      </c>
    </row>
    <row r="301" spans="1:18">
      <c r="A301" s="1" t="s">
        <v>230</v>
      </c>
      <c r="B301">
        <v>34</v>
      </c>
      <c r="C301">
        <v>21</v>
      </c>
      <c r="D301">
        <v>13</v>
      </c>
      <c r="E301">
        <v>-3.9</v>
      </c>
      <c r="F301">
        <v>2390</v>
      </c>
      <c r="G301">
        <v>855</v>
      </c>
      <c r="H301">
        <v>1838</v>
      </c>
      <c r="I301">
        <v>412</v>
      </c>
      <c r="J301">
        <v>582</v>
      </c>
      <c r="K301">
        <v>332</v>
      </c>
      <c r="L301">
        <v>1175</v>
      </c>
      <c r="M301">
        <v>441</v>
      </c>
      <c r="N301">
        <v>178</v>
      </c>
      <c r="O301">
        <v>63</v>
      </c>
      <c r="P301">
        <v>394</v>
      </c>
      <c r="Q301">
        <v>507</v>
      </c>
      <c r="R301">
        <v>300</v>
      </c>
    </row>
    <row r="302" spans="1:18">
      <c r="A302" s="1" t="s">
        <v>231</v>
      </c>
      <c r="B302">
        <v>31</v>
      </c>
      <c r="C302">
        <v>5</v>
      </c>
      <c r="D302">
        <v>26</v>
      </c>
      <c r="E302">
        <v>-2.38</v>
      </c>
      <c r="F302">
        <v>1793</v>
      </c>
      <c r="G302">
        <v>611</v>
      </c>
      <c r="H302">
        <v>1548</v>
      </c>
      <c r="I302">
        <v>401</v>
      </c>
      <c r="J302">
        <v>648</v>
      </c>
      <c r="K302">
        <v>297</v>
      </c>
      <c r="L302">
        <v>1022</v>
      </c>
      <c r="M302">
        <v>294</v>
      </c>
      <c r="N302">
        <v>167</v>
      </c>
      <c r="O302">
        <v>108</v>
      </c>
      <c r="P302">
        <v>446</v>
      </c>
      <c r="Q302">
        <v>628</v>
      </c>
      <c r="R302">
        <v>301</v>
      </c>
    </row>
    <row r="303" spans="1:18">
      <c r="A303" s="1" t="s">
        <v>232</v>
      </c>
      <c r="B303">
        <v>30</v>
      </c>
      <c r="C303">
        <v>12</v>
      </c>
      <c r="D303">
        <v>18</v>
      </c>
      <c r="E303">
        <v>-3.99</v>
      </c>
      <c r="F303">
        <v>2118</v>
      </c>
      <c r="G303">
        <v>768</v>
      </c>
      <c r="H303">
        <v>1741</v>
      </c>
      <c r="I303">
        <v>413</v>
      </c>
      <c r="J303">
        <v>609</v>
      </c>
      <c r="K303">
        <v>396</v>
      </c>
      <c r="L303">
        <v>1110</v>
      </c>
      <c r="M303">
        <v>395</v>
      </c>
      <c r="N303">
        <v>186</v>
      </c>
      <c r="O303">
        <v>103</v>
      </c>
      <c r="P303">
        <v>412</v>
      </c>
      <c r="Q303">
        <v>567</v>
      </c>
      <c r="R303">
        <v>302</v>
      </c>
    </row>
    <row r="304" spans="1:18">
      <c r="A304" s="1" t="s">
        <v>315</v>
      </c>
      <c r="B304">
        <v>32</v>
      </c>
      <c r="C304">
        <v>16</v>
      </c>
      <c r="D304">
        <v>16</v>
      </c>
      <c r="E304">
        <v>8.16</v>
      </c>
      <c r="F304">
        <v>2025</v>
      </c>
      <c r="G304">
        <v>725</v>
      </c>
      <c r="H304">
        <v>1706</v>
      </c>
      <c r="I304">
        <v>381</v>
      </c>
      <c r="J304">
        <v>551</v>
      </c>
      <c r="K304">
        <v>396</v>
      </c>
      <c r="L304">
        <v>1040</v>
      </c>
      <c r="M304">
        <v>350</v>
      </c>
      <c r="N304">
        <v>247</v>
      </c>
      <c r="O304">
        <v>108</v>
      </c>
      <c r="P304">
        <v>387</v>
      </c>
      <c r="Q304">
        <v>625</v>
      </c>
      <c r="R304">
        <v>303</v>
      </c>
    </row>
    <row r="305" spans="1:18">
      <c r="A305" s="1" t="s">
        <v>323</v>
      </c>
      <c r="B305">
        <v>34</v>
      </c>
      <c r="C305">
        <v>20</v>
      </c>
      <c r="D305">
        <v>14</v>
      </c>
      <c r="E305">
        <v>-6.43</v>
      </c>
      <c r="F305">
        <v>2266</v>
      </c>
      <c r="G305">
        <v>748</v>
      </c>
      <c r="H305">
        <v>1678</v>
      </c>
      <c r="I305">
        <v>605</v>
      </c>
      <c r="J305">
        <v>881</v>
      </c>
      <c r="K305">
        <v>333</v>
      </c>
      <c r="L305">
        <v>1101</v>
      </c>
      <c r="M305">
        <v>354</v>
      </c>
      <c r="N305">
        <v>230</v>
      </c>
      <c r="O305">
        <v>91</v>
      </c>
      <c r="P305">
        <v>430</v>
      </c>
      <c r="Q305">
        <v>693</v>
      </c>
      <c r="R305">
        <v>304</v>
      </c>
    </row>
    <row r="306" spans="1:18">
      <c r="A306" s="1" t="s">
        <v>233</v>
      </c>
      <c r="B306">
        <v>33</v>
      </c>
      <c r="C306">
        <v>21</v>
      </c>
      <c r="D306">
        <v>12</v>
      </c>
      <c r="E306">
        <v>5.91</v>
      </c>
      <c r="F306">
        <v>2236</v>
      </c>
      <c r="G306">
        <v>805</v>
      </c>
      <c r="H306">
        <v>1778</v>
      </c>
      <c r="I306">
        <v>445</v>
      </c>
      <c r="J306">
        <v>676</v>
      </c>
      <c r="K306">
        <v>374</v>
      </c>
      <c r="L306">
        <v>1197</v>
      </c>
      <c r="M306">
        <v>485</v>
      </c>
      <c r="N306">
        <v>186</v>
      </c>
      <c r="O306">
        <v>97</v>
      </c>
      <c r="P306">
        <v>410</v>
      </c>
      <c r="Q306">
        <v>595</v>
      </c>
      <c r="R306">
        <v>305</v>
      </c>
    </row>
    <row r="307" spans="1:18">
      <c r="A307" s="1" t="s">
        <v>234</v>
      </c>
      <c r="B307">
        <v>31</v>
      </c>
      <c r="C307">
        <v>16</v>
      </c>
      <c r="D307">
        <v>15</v>
      </c>
      <c r="E307">
        <v>-2.76</v>
      </c>
      <c r="F307">
        <v>2220</v>
      </c>
      <c r="G307">
        <v>779</v>
      </c>
      <c r="H307">
        <v>1773</v>
      </c>
      <c r="I307">
        <v>457</v>
      </c>
      <c r="J307">
        <v>679</v>
      </c>
      <c r="K307">
        <v>352</v>
      </c>
      <c r="L307">
        <v>1144</v>
      </c>
      <c r="M307">
        <v>399</v>
      </c>
      <c r="N307">
        <v>206</v>
      </c>
      <c r="O307">
        <v>107</v>
      </c>
      <c r="P307">
        <v>453</v>
      </c>
      <c r="Q307">
        <v>654</v>
      </c>
      <c r="R307">
        <v>306</v>
      </c>
    </row>
    <row r="308" spans="1:18">
      <c r="A308" s="1" t="s">
        <v>235</v>
      </c>
      <c r="B308">
        <v>33</v>
      </c>
      <c r="C308">
        <v>18</v>
      </c>
      <c r="D308">
        <v>15</v>
      </c>
      <c r="E308">
        <v>5.32</v>
      </c>
      <c r="F308">
        <v>2249</v>
      </c>
      <c r="G308">
        <v>791</v>
      </c>
      <c r="H308">
        <v>1809</v>
      </c>
      <c r="I308">
        <v>517</v>
      </c>
      <c r="J308">
        <v>841</v>
      </c>
      <c r="K308">
        <v>445</v>
      </c>
      <c r="L308">
        <v>1214</v>
      </c>
      <c r="M308">
        <v>435</v>
      </c>
      <c r="N308">
        <v>207</v>
      </c>
      <c r="O308">
        <v>176</v>
      </c>
      <c r="P308">
        <v>395</v>
      </c>
      <c r="Q308">
        <v>681</v>
      </c>
      <c r="R308">
        <v>307</v>
      </c>
    </row>
    <row r="309" spans="1:18">
      <c r="A309" s="1" t="s">
        <v>236</v>
      </c>
      <c r="B309">
        <v>33</v>
      </c>
      <c r="C309">
        <v>22</v>
      </c>
      <c r="D309">
        <v>11</v>
      </c>
      <c r="E309">
        <v>-0.51</v>
      </c>
      <c r="F309">
        <v>2282</v>
      </c>
      <c r="G309">
        <v>800</v>
      </c>
      <c r="H309">
        <v>1717</v>
      </c>
      <c r="I309">
        <v>497</v>
      </c>
      <c r="J309">
        <v>752</v>
      </c>
      <c r="K309">
        <v>312</v>
      </c>
      <c r="L309">
        <v>1140</v>
      </c>
      <c r="M309">
        <v>452</v>
      </c>
      <c r="N309">
        <v>178</v>
      </c>
      <c r="O309">
        <v>133</v>
      </c>
      <c r="P309">
        <v>406</v>
      </c>
      <c r="Q309">
        <v>566</v>
      </c>
      <c r="R309">
        <v>308</v>
      </c>
    </row>
    <row r="310" spans="1:18">
      <c r="A310" s="1" t="s">
        <v>237</v>
      </c>
      <c r="B310">
        <v>31</v>
      </c>
      <c r="C310">
        <v>10</v>
      </c>
      <c r="D310">
        <v>21</v>
      </c>
      <c r="E310">
        <v>-4.68</v>
      </c>
      <c r="F310">
        <v>1927</v>
      </c>
      <c r="G310">
        <v>678</v>
      </c>
      <c r="H310">
        <v>1610</v>
      </c>
      <c r="I310">
        <v>441</v>
      </c>
      <c r="J310">
        <v>652</v>
      </c>
      <c r="K310">
        <v>322</v>
      </c>
      <c r="L310">
        <v>1000</v>
      </c>
      <c r="M310">
        <v>411</v>
      </c>
      <c r="N310">
        <v>171</v>
      </c>
      <c r="O310">
        <v>102</v>
      </c>
      <c r="P310">
        <v>417</v>
      </c>
      <c r="Q310">
        <v>544</v>
      </c>
      <c r="R310">
        <v>309</v>
      </c>
    </row>
    <row r="311" spans="1:18">
      <c r="A311" s="1" t="s">
        <v>238</v>
      </c>
      <c r="B311">
        <v>30</v>
      </c>
      <c r="C311">
        <v>14</v>
      </c>
      <c r="D311">
        <v>16</v>
      </c>
      <c r="E311">
        <v>-2.61</v>
      </c>
      <c r="F311">
        <v>2120</v>
      </c>
      <c r="G311">
        <v>717</v>
      </c>
      <c r="H311">
        <v>1701</v>
      </c>
      <c r="I311">
        <v>495</v>
      </c>
      <c r="J311">
        <v>708</v>
      </c>
      <c r="K311">
        <v>387</v>
      </c>
      <c r="L311">
        <v>1071</v>
      </c>
      <c r="M311">
        <v>370</v>
      </c>
      <c r="N311">
        <v>213</v>
      </c>
      <c r="O311">
        <v>69</v>
      </c>
      <c r="P311">
        <v>370</v>
      </c>
      <c r="Q311">
        <v>501</v>
      </c>
      <c r="R311">
        <v>310</v>
      </c>
    </row>
    <row r="312" spans="1:18">
      <c r="A312" s="1" t="s">
        <v>239</v>
      </c>
      <c r="B312">
        <v>35</v>
      </c>
      <c r="C312">
        <v>22</v>
      </c>
      <c r="D312">
        <v>13</v>
      </c>
      <c r="E312">
        <v>-6.09</v>
      </c>
      <c r="F312">
        <v>2390</v>
      </c>
      <c r="G312">
        <v>818</v>
      </c>
      <c r="H312">
        <v>1840</v>
      </c>
      <c r="I312">
        <v>569</v>
      </c>
      <c r="J312">
        <v>861</v>
      </c>
      <c r="K312">
        <v>394</v>
      </c>
      <c r="L312">
        <v>1193</v>
      </c>
      <c r="M312">
        <v>375</v>
      </c>
      <c r="N312">
        <v>214</v>
      </c>
      <c r="O312">
        <v>109</v>
      </c>
      <c r="P312">
        <v>454</v>
      </c>
      <c r="Q312">
        <v>609</v>
      </c>
      <c r="R312">
        <v>311</v>
      </c>
    </row>
    <row r="313" spans="1:18">
      <c r="A313" s="1" t="s">
        <v>240</v>
      </c>
      <c r="B313">
        <v>31</v>
      </c>
      <c r="C313">
        <v>14</v>
      </c>
      <c r="D313">
        <v>17</v>
      </c>
      <c r="E313">
        <v>-3.36</v>
      </c>
      <c r="F313">
        <v>1905</v>
      </c>
      <c r="G313">
        <v>664</v>
      </c>
      <c r="H313">
        <v>1645</v>
      </c>
      <c r="I313">
        <v>418</v>
      </c>
      <c r="J313">
        <v>606</v>
      </c>
      <c r="K313">
        <v>315</v>
      </c>
      <c r="L313">
        <v>1003</v>
      </c>
      <c r="M313">
        <v>345</v>
      </c>
      <c r="N313">
        <v>224</v>
      </c>
      <c r="O313">
        <v>77</v>
      </c>
      <c r="P313">
        <v>395</v>
      </c>
      <c r="Q313">
        <v>546</v>
      </c>
      <c r="R313">
        <v>312</v>
      </c>
    </row>
    <row r="314" spans="1:18">
      <c r="A314" s="1" t="s">
        <v>241</v>
      </c>
      <c r="B314">
        <v>32</v>
      </c>
      <c r="C314">
        <v>13</v>
      </c>
      <c r="D314">
        <v>19</v>
      </c>
      <c r="E314">
        <v>7.2</v>
      </c>
      <c r="F314">
        <v>1949</v>
      </c>
      <c r="G314">
        <v>652</v>
      </c>
      <c r="H314">
        <v>1610</v>
      </c>
      <c r="I314">
        <v>476</v>
      </c>
      <c r="J314">
        <v>742</v>
      </c>
      <c r="K314">
        <v>374</v>
      </c>
      <c r="L314">
        <v>1072</v>
      </c>
      <c r="M314">
        <v>356</v>
      </c>
      <c r="N314">
        <v>187</v>
      </c>
      <c r="O314">
        <v>131</v>
      </c>
      <c r="P314">
        <v>442</v>
      </c>
      <c r="Q314">
        <v>558</v>
      </c>
      <c r="R314">
        <v>313</v>
      </c>
    </row>
    <row r="315" spans="1:18">
      <c r="A315" s="1" t="s">
        <v>362</v>
      </c>
      <c r="B315">
        <v>34</v>
      </c>
      <c r="C315">
        <v>20</v>
      </c>
      <c r="D315">
        <v>14</v>
      </c>
      <c r="E315">
        <v>9.07</v>
      </c>
      <c r="F315">
        <v>2290</v>
      </c>
      <c r="G315">
        <v>796</v>
      </c>
      <c r="H315">
        <v>1837</v>
      </c>
      <c r="I315">
        <v>486</v>
      </c>
      <c r="J315">
        <v>671</v>
      </c>
      <c r="K315">
        <v>422</v>
      </c>
      <c r="L315">
        <v>1351</v>
      </c>
      <c r="M315">
        <v>442</v>
      </c>
      <c r="N315">
        <v>128</v>
      </c>
      <c r="O315">
        <v>265</v>
      </c>
      <c r="P315">
        <v>435</v>
      </c>
      <c r="Q315">
        <v>555</v>
      </c>
      <c r="R315">
        <v>314</v>
      </c>
    </row>
    <row r="316" spans="1:18">
      <c r="A316" s="1" t="s">
        <v>242</v>
      </c>
      <c r="B316">
        <v>33</v>
      </c>
      <c r="C316">
        <v>20</v>
      </c>
      <c r="D316">
        <v>13</v>
      </c>
      <c r="E316">
        <v>0.62</v>
      </c>
      <c r="F316">
        <v>2483</v>
      </c>
      <c r="G316">
        <v>863</v>
      </c>
      <c r="H316">
        <v>1837</v>
      </c>
      <c r="I316">
        <v>562</v>
      </c>
      <c r="J316">
        <v>757</v>
      </c>
      <c r="K316">
        <v>360</v>
      </c>
      <c r="L316">
        <v>1204</v>
      </c>
      <c r="M316">
        <v>432</v>
      </c>
      <c r="N316">
        <v>170</v>
      </c>
      <c r="O316">
        <v>108</v>
      </c>
      <c r="P316">
        <v>405</v>
      </c>
      <c r="Q316">
        <v>563</v>
      </c>
      <c r="R316">
        <v>315</v>
      </c>
    </row>
    <row r="317" spans="1:18">
      <c r="A317" s="1" t="s">
        <v>243</v>
      </c>
      <c r="B317">
        <v>32</v>
      </c>
      <c r="C317">
        <v>12</v>
      </c>
      <c r="D317">
        <v>20</v>
      </c>
      <c r="E317">
        <v>-3.8</v>
      </c>
      <c r="F317">
        <v>2034</v>
      </c>
      <c r="G317">
        <v>689</v>
      </c>
      <c r="H317">
        <v>1678</v>
      </c>
      <c r="I317">
        <v>522</v>
      </c>
      <c r="J317">
        <v>787</v>
      </c>
      <c r="K317">
        <v>468</v>
      </c>
      <c r="L317">
        <v>1256</v>
      </c>
      <c r="M317">
        <v>290</v>
      </c>
      <c r="N317">
        <v>113</v>
      </c>
      <c r="O317">
        <v>127</v>
      </c>
      <c r="P317">
        <v>423</v>
      </c>
      <c r="Q317">
        <v>672</v>
      </c>
      <c r="R317">
        <v>316</v>
      </c>
    </row>
    <row r="318" spans="1:18">
      <c r="A318" s="1" t="s">
        <v>244</v>
      </c>
      <c r="B318">
        <v>29</v>
      </c>
      <c r="C318">
        <v>10</v>
      </c>
      <c r="D318">
        <v>19</v>
      </c>
      <c r="E318">
        <v>-5.09</v>
      </c>
      <c r="F318">
        <v>1946</v>
      </c>
      <c r="G318">
        <v>674</v>
      </c>
      <c r="H318">
        <v>1566</v>
      </c>
      <c r="I318">
        <v>406</v>
      </c>
      <c r="J318">
        <v>612</v>
      </c>
      <c r="K318">
        <v>316</v>
      </c>
      <c r="L318">
        <v>986</v>
      </c>
      <c r="M318">
        <v>271</v>
      </c>
      <c r="N318">
        <v>193</v>
      </c>
      <c r="O318">
        <v>61</v>
      </c>
      <c r="P318">
        <v>410</v>
      </c>
      <c r="Q318">
        <v>456</v>
      </c>
      <c r="R318">
        <v>317</v>
      </c>
    </row>
    <row r="319" spans="1:18">
      <c r="A319" s="1" t="s">
        <v>245</v>
      </c>
      <c r="B319">
        <v>31</v>
      </c>
      <c r="C319">
        <v>15</v>
      </c>
      <c r="D319">
        <v>16</v>
      </c>
      <c r="E319">
        <v>0.32</v>
      </c>
      <c r="F319">
        <v>1973</v>
      </c>
      <c r="G319">
        <v>699</v>
      </c>
      <c r="H319">
        <v>1700</v>
      </c>
      <c r="I319">
        <v>376</v>
      </c>
      <c r="J319">
        <v>579</v>
      </c>
      <c r="K319">
        <v>365</v>
      </c>
      <c r="L319">
        <v>1076</v>
      </c>
      <c r="M319">
        <v>349</v>
      </c>
      <c r="N319">
        <v>193</v>
      </c>
      <c r="O319">
        <v>62</v>
      </c>
      <c r="P319">
        <v>397</v>
      </c>
      <c r="Q319">
        <v>550</v>
      </c>
      <c r="R319">
        <v>318</v>
      </c>
    </row>
    <row r="320" spans="1:18">
      <c r="A320" s="1" t="s">
        <v>299</v>
      </c>
      <c r="B320">
        <v>34</v>
      </c>
      <c r="C320">
        <v>23</v>
      </c>
      <c r="D320">
        <v>11</v>
      </c>
      <c r="E320">
        <v>2.81</v>
      </c>
      <c r="F320">
        <v>2188</v>
      </c>
      <c r="G320">
        <v>758</v>
      </c>
      <c r="H320">
        <v>1820</v>
      </c>
      <c r="I320">
        <v>484</v>
      </c>
      <c r="J320">
        <v>746</v>
      </c>
      <c r="K320">
        <v>375</v>
      </c>
      <c r="L320">
        <v>1246</v>
      </c>
      <c r="M320">
        <v>375</v>
      </c>
      <c r="N320">
        <v>198</v>
      </c>
      <c r="O320">
        <v>116</v>
      </c>
      <c r="P320">
        <v>389</v>
      </c>
      <c r="Q320">
        <v>573</v>
      </c>
      <c r="R320">
        <v>319</v>
      </c>
    </row>
    <row r="321" spans="1:18">
      <c r="A321" s="1" t="s">
        <v>324</v>
      </c>
      <c r="B321">
        <v>36</v>
      </c>
      <c r="C321">
        <v>22</v>
      </c>
      <c r="D321">
        <v>14</v>
      </c>
      <c r="E321">
        <v>8.27</v>
      </c>
      <c r="F321">
        <v>2590</v>
      </c>
      <c r="G321">
        <v>930</v>
      </c>
      <c r="H321">
        <v>2099</v>
      </c>
      <c r="I321">
        <v>507</v>
      </c>
      <c r="J321">
        <v>750</v>
      </c>
      <c r="K321">
        <v>440</v>
      </c>
      <c r="L321">
        <v>1367</v>
      </c>
      <c r="M321">
        <v>498</v>
      </c>
      <c r="N321">
        <v>238</v>
      </c>
      <c r="O321">
        <v>139</v>
      </c>
      <c r="P321">
        <v>430</v>
      </c>
      <c r="Q321">
        <v>645</v>
      </c>
      <c r="R321">
        <v>320</v>
      </c>
    </row>
    <row r="322" spans="1:18">
      <c r="A322" s="1" t="s">
        <v>316</v>
      </c>
      <c r="B322">
        <v>31</v>
      </c>
      <c r="C322">
        <v>18</v>
      </c>
      <c r="D322">
        <v>13</v>
      </c>
      <c r="E322">
        <v>0.28000000000000003</v>
      </c>
      <c r="F322">
        <v>2064</v>
      </c>
      <c r="G322">
        <v>721</v>
      </c>
      <c r="H322">
        <v>1596</v>
      </c>
      <c r="I322">
        <v>389</v>
      </c>
      <c r="J322">
        <v>579</v>
      </c>
      <c r="K322">
        <v>215</v>
      </c>
      <c r="L322">
        <v>978</v>
      </c>
      <c r="M322">
        <v>445</v>
      </c>
      <c r="N322">
        <v>149</v>
      </c>
      <c r="O322">
        <v>142</v>
      </c>
      <c r="P322">
        <v>323</v>
      </c>
      <c r="Q322">
        <v>505</v>
      </c>
      <c r="R322">
        <v>321</v>
      </c>
    </row>
    <row r="323" spans="1:18">
      <c r="A323" s="1" t="s">
        <v>334</v>
      </c>
      <c r="B323">
        <v>30</v>
      </c>
      <c r="C323">
        <v>11</v>
      </c>
      <c r="D323">
        <v>19</v>
      </c>
      <c r="E323">
        <v>-4.87</v>
      </c>
      <c r="F323">
        <v>1758</v>
      </c>
      <c r="G323">
        <v>616</v>
      </c>
      <c r="H323">
        <v>1540</v>
      </c>
      <c r="I323">
        <v>357</v>
      </c>
      <c r="J323">
        <v>514</v>
      </c>
      <c r="K323">
        <v>297</v>
      </c>
      <c r="L323">
        <v>989</v>
      </c>
      <c r="M323">
        <v>387</v>
      </c>
      <c r="N323">
        <v>134</v>
      </c>
      <c r="O323">
        <v>69</v>
      </c>
      <c r="P323">
        <v>385</v>
      </c>
      <c r="Q323">
        <v>519</v>
      </c>
      <c r="R323">
        <v>322</v>
      </c>
    </row>
    <row r="324" spans="1:18">
      <c r="A324" s="1" t="s">
        <v>300</v>
      </c>
      <c r="B324">
        <v>35</v>
      </c>
      <c r="C324">
        <v>26</v>
      </c>
      <c r="D324">
        <v>9</v>
      </c>
      <c r="E324">
        <v>7.42</v>
      </c>
      <c r="F324">
        <v>2496</v>
      </c>
      <c r="G324">
        <v>849</v>
      </c>
      <c r="H324">
        <v>1760</v>
      </c>
      <c r="I324">
        <v>534</v>
      </c>
      <c r="J324">
        <v>760</v>
      </c>
      <c r="K324">
        <v>322</v>
      </c>
      <c r="L324">
        <v>1204</v>
      </c>
      <c r="M324">
        <v>489</v>
      </c>
      <c r="N324">
        <v>208</v>
      </c>
      <c r="O324">
        <v>175</v>
      </c>
      <c r="P324">
        <v>407</v>
      </c>
      <c r="Q324">
        <v>581</v>
      </c>
      <c r="R324">
        <v>323</v>
      </c>
    </row>
    <row r="325" spans="1:18">
      <c r="A325" s="1" t="s">
        <v>301</v>
      </c>
      <c r="B325">
        <v>34</v>
      </c>
      <c r="C325">
        <v>28</v>
      </c>
      <c r="D325">
        <v>6</v>
      </c>
      <c r="E325">
        <v>-2</v>
      </c>
      <c r="F325">
        <v>2366</v>
      </c>
      <c r="G325">
        <v>837</v>
      </c>
      <c r="H325">
        <v>1836</v>
      </c>
      <c r="I325">
        <v>456</v>
      </c>
      <c r="J325">
        <v>676</v>
      </c>
      <c r="K325">
        <v>397</v>
      </c>
      <c r="L325">
        <v>1276</v>
      </c>
      <c r="M325">
        <v>443</v>
      </c>
      <c r="N325">
        <v>203</v>
      </c>
      <c r="O325">
        <v>157</v>
      </c>
      <c r="P325">
        <v>422</v>
      </c>
      <c r="Q325">
        <v>563</v>
      </c>
      <c r="R325">
        <v>324</v>
      </c>
    </row>
    <row r="326" spans="1:18">
      <c r="A326" s="1" t="s">
        <v>246</v>
      </c>
      <c r="B326">
        <v>35</v>
      </c>
      <c r="C326">
        <v>21</v>
      </c>
      <c r="D326">
        <v>14</v>
      </c>
      <c r="E326">
        <v>6.22</v>
      </c>
      <c r="F326">
        <v>2472</v>
      </c>
      <c r="G326">
        <v>838</v>
      </c>
      <c r="H326">
        <v>1775</v>
      </c>
      <c r="I326">
        <v>541</v>
      </c>
      <c r="J326">
        <v>764</v>
      </c>
      <c r="K326">
        <v>339</v>
      </c>
      <c r="L326">
        <v>1184</v>
      </c>
      <c r="M326">
        <v>541</v>
      </c>
      <c r="N326">
        <v>168</v>
      </c>
      <c r="O326">
        <v>186</v>
      </c>
      <c r="P326">
        <v>452</v>
      </c>
      <c r="Q326">
        <v>603</v>
      </c>
      <c r="R326">
        <v>325</v>
      </c>
    </row>
    <row r="327" spans="1:18">
      <c r="A327" s="1" t="s">
        <v>247</v>
      </c>
      <c r="B327">
        <v>34</v>
      </c>
      <c r="C327">
        <v>20</v>
      </c>
      <c r="D327">
        <v>14</v>
      </c>
      <c r="E327">
        <v>-5.52</v>
      </c>
      <c r="F327">
        <v>2279</v>
      </c>
      <c r="G327">
        <v>801</v>
      </c>
      <c r="H327">
        <v>1701</v>
      </c>
      <c r="I327">
        <v>495</v>
      </c>
      <c r="J327">
        <v>715</v>
      </c>
      <c r="K327">
        <v>274</v>
      </c>
      <c r="L327">
        <v>1129</v>
      </c>
      <c r="M327">
        <v>446</v>
      </c>
      <c r="N327">
        <v>216</v>
      </c>
      <c r="O327">
        <v>173</v>
      </c>
      <c r="P327">
        <v>442</v>
      </c>
      <c r="Q327">
        <v>648</v>
      </c>
      <c r="R327">
        <v>326</v>
      </c>
    </row>
    <row r="328" spans="1:18">
      <c r="A328" s="1" t="s">
        <v>248</v>
      </c>
      <c r="B328">
        <v>36</v>
      </c>
      <c r="C328">
        <v>33</v>
      </c>
      <c r="D328">
        <v>3</v>
      </c>
      <c r="E328">
        <v>7.55</v>
      </c>
      <c r="F328">
        <v>2754</v>
      </c>
      <c r="G328">
        <v>916</v>
      </c>
      <c r="H328">
        <v>1951</v>
      </c>
      <c r="I328">
        <v>596</v>
      </c>
      <c r="J328">
        <v>815</v>
      </c>
      <c r="K328">
        <v>371</v>
      </c>
      <c r="L328">
        <v>1235</v>
      </c>
      <c r="M328">
        <v>570</v>
      </c>
      <c r="N328">
        <v>278</v>
      </c>
      <c r="O328">
        <v>146</v>
      </c>
      <c r="P328">
        <v>382</v>
      </c>
      <c r="Q328">
        <v>596</v>
      </c>
      <c r="R328">
        <v>327</v>
      </c>
    </row>
    <row r="329" spans="1:18">
      <c r="A329" s="1" t="s">
        <v>249</v>
      </c>
      <c r="B329">
        <v>36</v>
      </c>
      <c r="C329">
        <v>26</v>
      </c>
      <c r="D329">
        <v>10</v>
      </c>
      <c r="E329">
        <v>6.1</v>
      </c>
      <c r="F329">
        <v>2609</v>
      </c>
      <c r="G329">
        <v>896</v>
      </c>
      <c r="H329">
        <v>2139</v>
      </c>
      <c r="I329">
        <v>524</v>
      </c>
      <c r="J329">
        <v>797</v>
      </c>
      <c r="K329">
        <v>444</v>
      </c>
      <c r="L329">
        <v>1277</v>
      </c>
      <c r="M329">
        <v>456</v>
      </c>
      <c r="N329">
        <v>342</v>
      </c>
      <c r="O329">
        <v>153</v>
      </c>
      <c r="P329">
        <v>383</v>
      </c>
      <c r="Q329">
        <v>690</v>
      </c>
      <c r="R329">
        <v>328</v>
      </c>
    </row>
    <row r="330" spans="1:18">
      <c r="A330" s="1" t="s">
        <v>250</v>
      </c>
      <c r="B330">
        <v>30</v>
      </c>
      <c r="C330">
        <v>11</v>
      </c>
      <c r="D330">
        <v>19</v>
      </c>
      <c r="E330">
        <v>-3.92</v>
      </c>
      <c r="F330">
        <v>2415</v>
      </c>
      <c r="G330">
        <v>829</v>
      </c>
      <c r="H330">
        <v>2074</v>
      </c>
      <c r="I330">
        <v>415</v>
      </c>
      <c r="J330">
        <v>607</v>
      </c>
      <c r="K330">
        <v>434</v>
      </c>
      <c r="L330">
        <v>1178</v>
      </c>
      <c r="M330">
        <v>408</v>
      </c>
      <c r="N330">
        <v>255</v>
      </c>
      <c r="O330">
        <v>177</v>
      </c>
      <c r="P330">
        <v>449</v>
      </c>
      <c r="Q330">
        <v>646</v>
      </c>
      <c r="R330">
        <v>329</v>
      </c>
    </row>
    <row r="331" spans="1:18">
      <c r="A331" s="1" t="s">
        <v>251</v>
      </c>
      <c r="B331">
        <v>33</v>
      </c>
      <c r="C331">
        <v>11</v>
      </c>
      <c r="D331">
        <v>22</v>
      </c>
      <c r="E331">
        <v>5.32</v>
      </c>
      <c r="F331">
        <v>2156</v>
      </c>
      <c r="G331">
        <v>779</v>
      </c>
      <c r="H331">
        <v>1747</v>
      </c>
      <c r="I331">
        <v>357</v>
      </c>
      <c r="J331">
        <v>558</v>
      </c>
      <c r="K331">
        <v>274</v>
      </c>
      <c r="L331">
        <v>978</v>
      </c>
      <c r="M331">
        <v>395</v>
      </c>
      <c r="N331">
        <v>144</v>
      </c>
      <c r="O331">
        <v>97</v>
      </c>
      <c r="P331">
        <v>386</v>
      </c>
      <c r="Q331">
        <v>598</v>
      </c>
      <c r="R331">
        <v>330</v>
      </c>
    </row>
    <row r="332" spans="1:18">
      <c r="A332" s="1" t="s">
        <v>252</v>
      </c>
      <c r="B332">
        <v>34</v>
      </c>
      <c r="C332">
        <v>30</v>
      </c>
      <c r="D332">
        <v>4</v>
      </c>
      <c r="E332">
        <v>7.81</v>
      </c>
      <c r="F332">
        <v>2224</v>
      </c>
      <c r="G332">
        <v>804</v>
      </c>
      <c r="H332">
        <v>1758</v>
      </c>
      <c r="I332">
        <v>446</v>
      </c>
      <c r="J332">
        <v>614</v>
      </c>
      <c r="K332">
        <v>358</v>
      </c>
      <c r="L332">
        <v>1232</v>
      </c>
      <c r="M332">
        <v>430</v>
      </c>
      <c r="N332">
        <v>186</v>
      </c>
      <c r="O332">
        <v>143</v>
      </c>
      <c r="P332">
        <v>316</v>
      </c>
      <c r="Q332">
        <v>484</v>
      </c>
      <c r="R332">
        <v>331</v>
      </c>
    </row>
    <row r="333" spans="1:18">
      <c r="A333" s="1" t="s">
        <v>253</v>
      </c>
      <c r="B333">
        <v>30</v>
      </c>
      <c r="C333">
        <v>10</v>
      </c>
      <c r="D333">
        <v>20</v>
      </c>
      <c r="E333">
        <v>-4.99</v>
      </c>
      <c r="F333">
        <v>2052</v>
      </c>
      <c r="G333">
        <v>722</v>
      </c>
      <c r="H333">
        <v>1804</v>
      </c>
      <c r="I333">
        <v>429</v>
      </c>
      <c r="J333">
        <v>616</v>
      </c>
      <c r="K333">
        <v>445</v>
      </c>
      <c r="L333">
        <v>1112</v>
      </c>
      <c r="M333">
        <v>324</v>
      </c>
      <c r="N333">
        <v>195</v>
      </c>
      <c r="O333">
        <v>79</v>
      </c>
      <c r="P333">
        <v>420</v>
      </c>
      <c r="Q333">
        <v>681</v>
      </c>
      <c r="R333">
        <v>332</v>
      </c>
    </row>
    <row r="334" spans="1:18">
      <c r="A334" s="1" t="s">
        <v>254</v>
      </c>
      <c r="B334">
        <v>32</v>
      </c>
      <c r="C334">
        <v>13</v>
      </c>
      <c r="D334">
        <v>19</v>
      </c>
      <c r="E334">
        <v>7.68</v>
      </c>
      <c r="F334">
        <v>2209</v>
      </c>
      <c r="G334">
        <v>762</v>
      </c>
      <c r="H334">
        <v>1809</v>
      </c>
      <c r="I334">
        <v>479</v>
      </c>
      <c r="J334">
        <v>751</v>
      </c>
      <c r="K334">
        <v>375</v>
      </c>
      <c r="L334">
        <v>1200</v>
      </c>
      <c r="M334">
        <v>451</v>
      </c>
      <c r="N334">
        <v>208</v>
      </c>
      <c r="O334">
        <v>123</v>
      </c>
      <c r="P334">
        <v>428</v>
      </c>
      <c r="Q334">
        <v>579</v>
      </c>
      <c r="R334">
        <v>333</v>
      </c>
    </row>
    <row r="335" spans="1:18">
      <c r="A335" s="1" t="s">
        <v>255</v>
      </c>
      <c r="B335">
        <v>31</v>
      </c>
      <c r="C335">
        <v>13</v>
      </c>
      <c r="D335">
        <v>18</v>
      </c>
      <c r="E335">
        <v>6.08</v>
      </c>
      <c r="F335">
        <v>2189</v>
      </c>
      <c r="G335">
        <v>743</v>
      </c>
      <c r="H335">
        <v>1712</v>
      </c>
      <c r="I335">
        <v>489</v>
      </c>
      <c r="J335">
        <v>679</v>
      </c>
      <c r="K335">
        <v>282</v>
      </c>
      <c r="L335">
        <v>1026</v>
      </c>
      <c r="M335">
        <v>453</v>
      </c>
      <c r="N335">
        <v>120</v>
      </c>
      <c r="O335">
        <v>102</v>
      </c>
      <c r="P335">
        <v>367</v>
      </c>
      <c r="Q335">
        <v>570</v>
      </c>
      <c r="R335">
        <v>334</v>
      </c>
    </row>
    <row r="336" spans="1:18">
      <c r="A336" s="1" t="s">
        <v>256</v>
      </c>
      <c r="B336">
        <v>31</v>
      </c>
      <c r="C336">
        <v>16</v>
      </c>
      <c r="D336">
        <v>15</v>
      </c>
      <c r="E336">
        <v>4.83</v>
      </c>
      <c r="F336">
        <v>2128</v>
      </c>
      <c r="G336">
        <v>765</v>
      </c>
      <c r="H336">
        <v>1747</v>
      </c>
      <c r="I336">
        <v>405</v>
      </c>
      <c r="J336">
        <v>593</v>
      </c>
      <c r="K336">
        <v>329</v>
      </c>
      <c r="L336">
        <v>1082</v>
      </c>
      <c r="M336">
        <v>412</v>
      </c>
      <c r="N336">
        <v>152</v>
      </c>
      <c r="O336">
        <v>153</v>
      </c>
      <c r="P336">
        <v>361</v>
      </c>
      <c r="Q336">
        <v>535</v>
      </c>
      <c r="R336">
        <v>335</v>
      </c>
    </row>
    <row r="337" spans="1:18">
      <c r="A337" s="1" t="s">
        <v>257</v>
      </c>
      <c r="B337">
        <v>30</v>
      </c>
      <c r="C337">
        <v>13</v>
      </c>
      <c r="D337">
        <v>17</v>
      </c>
      <c r="E337">
        <v>-3.5</v>
      </c>
      <c r="F337">
        <v>2010</v>
      </c>
      <c r="G337">
        <v>641</v>
      </c>
      <c r="H337">
        <v>1518</v>
      </c>
      <c r="I337">
        <v>511</v>
      </c>
      <c r="J337">
        <v>683</v>
      </c>
      <c r="K337">
        <v>283</v>
      </c>
      <c r="L337">
        <v>997</v>
      </c>
      <c r="M337">
        <v>358</v>
      </c>
      <c r="N337">
        <v>158</v>
      </c>
      <c r="O337">
        <v>120</v>
      </c>
      <c r="P337">
        <v>402</v>
      </c>
      <c r="Q337">
        <v>539</v>
      </c>
      <c r="R337">
        <v>336</v>
      </c>
    </row>
    <row r="338" spans="1:18">
      <c r="A338" s="1" t="s">
        <v>258</v>
      </c>
      <c r="B338">
        <v>35</v>
      </c>
      <c r="C338">
        <v>25</v>
      </c>
      <c r="D338">
        <v>10</v>
      </c>
      <c r="E338">
        <v>9.2899999999999991</v>
      </c>
      <c r="F338">
        <v>2542</v>
      </c>
      <c r="G338">
        <v>872</v>
      </c>
      <c r="H338">
        <v>2138</v>
      </c>
      <c r="I338">
        <v>571</v>
      </c>
      <c r="J338">
        <v>863</v>
      </c>
      <c r="K338">
        <v>575</v>
      </c>
      <c r="L338">
        <v>1272</v>
      </c>
      <c r="M338">
        <v>494</v>
      </c>
      <c r="N338">
        <v>376</v>
      </c>
      <c r="O338">
        <v>96</v>
      </c>
      <c r="P338">
        <v>453</v>
      </c>
      <c r="Q338">
        <v>821</v>
      </c>
      <c r="R338">
        <v>337</v>
      </c>
    </row>
    <row r="339" spans="1:18">
      <c r="A339" s="1" t="s">
        <v>259</v>
      </c>
      <c r="B339">
        <v>32</v>
      </c>
      <c r="C339">
        <v>15</v>
      </c>
      <c r="D339">
        <v>17</v>
      </c>
      <c r="E339">
        <v>-3.56</v>
      </c>
      <c r="F339">
        <v>2251</v>
      </c>
      <c r="G339">
        <v>799</v>
      </c>
      <c r="H339">
        <v>1839</v>
      </c>
      <c r="I339">
        <v>456</v>
      </c>
      <c r="J339">
        <v>651</v>
      </c>
      <c r="K339">
        <v>401</v>
      </c>
      <c r="L339">
        <v>1130</v>
      </c>
      <c r="M339">
        <v>375</v>
      </c>
      <c r="N339">
        <v>260</v>
      </c>
      <c r="O339">
        <v>141</v>
      </c>
      <c r="P339">
        <v>435</v>
      </c>
      <c r="Q339">
        <v>671</v>
      </c>
      <c r="R339">
        <v>338</v>
      </c>
    </row>
    <row r="340" spans="1:18">
      <c r="A340" s="1" t="s">
        <v>260</v>
      </c>
      <c r="B340">
        <v>28</v>
      </c>
      <c r="C340">
        <v>8</v>
      </c>
      <c r="D340">
        <v>20</v>
      </c>
      <c r="E340">
        <v>-2.93</v>
      </c>
      <c r="F340">
        <v>1747</v>
      </c>
      <c r="G340">
        <v>618</v>
      </c>
      <c r="H340">
        <v>1543</v>
      </c>
      <c r="I340">
        <v>323</v>
      </c>
      <c r="J340">
        <v>463</v>
      </c>
      <c r="K340">
        <v>207</v>
      </c>
      <c r="L340">
        <v>907</v>
      </c>
      <c r="M340">
        <v>335</v>
      </c>
      <c r="N340">
        <v>148</v>
      </c>
      <c r="O340">
        <v>67</v>
      </c>
      <c r="P340">
        <v>352</v>
      </c>
      <c r="Q340">
        <v>483</v>
      </c>
      <c r="R340">
        <v>339</v>
      </c>
    </row>
    <row r="341" spans="1:18">
      <c r="A341" s="1" t="s">
        <v>261</v>
      </c>
      <c r="B341">
        <v>32</v>
      </c>
      <c r="C341">
        <v>20</v>
      </c>
      <c r="D341">
        <v>12</v>
      </c>
      <c r="E341">
        <v>-0.44</v>
      </c>
      <c r="F341">
        <v>2285</v>
      </c>
      <c r="G341">
        <v>793</v>
      </c>
      <c r="H341">
        <v>1824</v>
      </c>
      <c r="I341">
        <v>451</v>
      </c>
      <c r="J341">
        <v>690</v>
      </c>
      <c r="K341">
        <v>363</v>
      </c>
      <c r="L341">
        <v>1190</v>
      </c>
      <c r="M341">
        <v>456</v>
      </c>
      <c r="N341">
        <v>175</v>
      </c>
      <c r="O341">
        <v>106</v>
      </c>
      <c r="P341">
        <v>413</v>
      </c>
      <c r="Q341">
        <v>580</v>
      </c>
      <c r="R341">
        <v>340</v>
      </c>
    </row>
    <row r="342" spans="1:18">
      <c r="A342" s="1" t="s">
        <v>262</v>
      </c>
      <c r="B342">
        <v>34</v>
      </c>
      <c r="C342">
        <v>20</v>
      </c>
      <c r="D342">
        <v>14</v>
      </c>
      <c r="E342">
        <v>0.19</v>
      </c>
      <c r="F342">
        <v>2401</v>
      </c>
      <c r="G342">
        <v>819</v>
      </c>
      <c r="H342">
        <v>1802</v>
      </c>
      <c r="I342">
        <v>527</v>
      </c>
      <c r="J342">
        <v>750</v>
      </c>
      <c r="K342">
        <v>338</v>
      </c>
      <c r="L342">
        <v>1108</v>
      </c>
      <c r="M342">
        <v>424</v>
      </c>
      <c r="N342">
        <v>220</v>
      </c>
      <c r="O342">
        <v>77</v>
      </c>
      <c r="P342">
        <v>406</v>
      </c>
      <c r="Q342">
        <v>615</v>
      </c>
      <c r="R342">
        <v>341</v>
      </c>
    </row>
    <row r="343" spans="1:18">
      <c r="A343" s="1" t="s">
        <v>263</v>
      </c>
      <c r="B343">
        <v>35</v>
      </c>
      <c r="C343">
        <v>30</v>
      </c>
      <c r="D343">
        <v>5</v>
      </c>
      <c r="E343">
        <v>3.68</v>
      </c>
      <c r="F343">
        <v>2460</v>
      </c>
      <c r="G343">
        <v>860</v>
      </c>
      <c r="H343">
        <v>1933</v>
      </c>
      <c r="I343">
        <v>501</v>
      </c>
      <c r="J343">
        <v>715</v>
      </c>
      <c r="K343">
        <v>415</v>
      </c>
      <c r="L343">
        <v>1245</v>
      </c>
      <c r="M343">
        <v>476</v>
      </c>
      <c r="N343">
        <v>250</v>
      </c>
      <c r="O343">
        <v>134</v>
      </c>
      <c r="P343">
        <v>327</v>
      </c>
      <c r="Q343">
        <v>587</v>
      </c>
      <c r="R343">
        <v>342</v>
      </c>
    </row>
    <row r="344" spans="1:18">
      <c r="A344" s="1" t="s">
        <v>264</v>
      </c>
      <c r="B344">
        <v>33</v>
      </c>
      <c r="C344">
        <v>20</v>
      </c>
      <c r="D344">
        <v>13</v>
      </c>
      <c r="E344">
        <v>-1.1499999999999999</v>
      </c>
      <c r="F344">
        <v>2414</v>
      </c>
      <c r="G344">
        <v>834</v>
      </c>
      <c r="H344">
        <v>1726</v>
      </c>
      <c r="I344">
        <v>453</v>
      </c>
      <c r="J344">
        <v>617</v>
      </c>
      <c r="K344">
        <v>248</v>
      </c>
      <c r="L344">
        <v>1065</v>
      </c>
      <c r="M344">
        <v>487</v>
      </c>
      <c r="N344">
        <v>204</v>
      </c>
      <c r="O344">
        <v>137</v>
      </c>
      <c r="P344">
        <v>379</v>
      </c>
      <c r="Q344">
        <v>513</v>
      </c>
      <c r="R344">
        <v>343</v>
      </c>
    </row>
    <row r="345" spans="1:18">
      <c r="A345" s="1" t="s">
        <v>325</v>
      </c>
      <c r="B345">
        <v>32</v>
      </c>
      <c r="C345">
        <v>19</v>
      </c>
      <c r="D345">
        <v>13</v>
      </c>
      <c r="E345">
        <v>-7.38</v>
      </c>
      <c r="F345">
        <v>2356</v>
      </c>
      <c r="G345">
        <v>812</v>
      </c>
      <c r="H345">
        <v>1809</v>
      </c>
      <c r="I345">
        <v>481</v>
      </c>
      <c r="J345">
        <v>664</v>
      </c>
      <c r="K345">
        <v>332</v>
      </c>
      <c r="L345">
        <v>1127</v>
      </c>
      <c r="M345">
        <v>388</v>
      </c>
      <c r="N345">
        <v>224</v>
      </c>
      <c r="O345">
        <v>140</v>
      </c>
      <c r="P345">
        <v>387</v>
      </c>
      <c r="Q345">
        <v>574</v>
      </c>
      <c r="R345">
        <v>344</v>
      </c>
    </row>
    <row r="346" spans="1:18">
      <c r="A346" s="1" t="s">
        <v>367</v>
      </c>
      <c r="B346">
        <v>40</v>
      </c>
      <c r="C346">
        <v>36</v>
      </c>
      <c r="D346">
        <v>4</v>
      </c>
      <c r="E346">
        <v>10.29</v>
      </c>
      <c r="F346">
        <v>2900</v>
      </c>
      <c r="G346">
        <v>1014</v>
      </c>
      <c r="H346">
        <v>2115</v>
      </c>
      <c r="I346">
        <v>584</v>
      </c>
      <c r="J346">
        <v>765</v>
      </c>
      <c r="K346">
        <v>383</v>
      </c>
      <c r="L346">
        <v>1338</v>
      </c>
      <c r="M346">
        <v>504</v>
      </c>
      <c r="N346">
        <v>174</v>
      </c>
      <c r="O346">
        <v>127</v>
      </c>
      <c r="P346">
        <v>296</v>
      </c>
      <c r="Q346">
        <v>501</v>
      </c>
      <c r="R346">
        <v>345</v>
      </c>
    </row>
    <row r="347" spans="1:18">
      <c r="A347" s="1" t="s">
        <v>265</v>
      </c>
      <c r="B347">
        <v>35</v>
      </c>
      <c r="C347">
        <v>28</v>
      </c>
      <c r="D347">
        <v>7</v>
      </c>
      <c r="E347">
        <v>-2.98</v>
      </c>
      <c r="F347">
        <v>2331</v>
      </c>
      <c r="G347">
        <v>818</v>
      </c>
      <c r="H347">
        <v>1802</v>
      </c>
      <c r="I347">
        <v>473</v>
      </c>
      <c r="J347">
        <v>688</v>
      </c>
      <c r="K347">
        <v>324</v>
      </c>
      <c r="L347">
        <v>1139</v>
      </c>
      <c r="M347">
        <v>461</v>
      </c>
      <c r="N347">
        <v>228</v>
      </c>
      <c r="O347">
        <v>87</v>
      </c>
      <c r="P347">
        <v>379</v>
      </c>
      <c r="Q347">
        <v>589</v>
      </c>
      <c r="R347">
        <v>346</v>
      </c>
    </row>
    <row r="348" spans="1:18">
      <c r="A348" s="1" t="s">
        <v>266</v>
      </c>
      <c r="B348">
        <v>31</v>
      </c>
      <c r="C348">
        <v>11</v>
      </c>
      <c r="D348">
        <v>20</v>
      </c>
      <c r="E348">
        <v>-1.1399999999999999</v>
      </c>
      <c r="F348">
        <v>1989</v>
      </c>
      <c r="G348">
        <v>715</v>
      </c>
      <c r="H348">
        <v>1619</v>
      </c>
      <c r="I348">
        <v>365</v>
      </c>
      <c r="J348">
        <v>524</v>
      </c>
      <c r="K348">
        <v>232</v>
      </c>
      <c r="L348">
        <v>902</v>
      </c>
      <c r="M348">
        <v>407</v>
      </c>
      <c r="N348">
        <v>168</v>
      </c>
      <c r="O348">
        <v>75</v>
      </c>
      <c r="P348">
        <v>373</v>
      </c>
      <c r="Q348">
        <v>594</v>
      </c>
      <c r="R348">
        <v>347</v>
      </c>
    </row>
    <row r="349" spans="1:18">
      <c r="A349" s="1" t="s">
        <v>267</v>
      </c>
      <c r="B349">
        <v>35</v>
      </c>
      <c r="C349">
        <v>25</v>
      </c>
      <c r="D349">
        <v>10</v>
      </c>
      <c r="E349">
        <v>-0.04</v>
      </c>
      <c r="F349">
        <v>2151</v>
      </c>
      <c r="G349">
        <v>747</v>
      </c>
      <c r="H349">
        <v>1619</v>
      </c>
      <c r="I349">
        <v>448</v>
      </c>
      <c r="J349">
        <v>638</v>
      </c>
      <c r="K349">
        <v>216</v>
      </c>
      <c r="L349">
        <v>1047</v>
      </c>
      <c r="M349">
        <v>501</v>
      </c>
      <c r="N349">
        <v>191</v>
      </c>
      <c r="O349">
        <v>102</v>
      </c>
      <c r="P349">
        <v>392</v>
      </c>
      <c r="Q349">
        <v>481</v>
      </c>
      <c r="R349">
        <v>348</v>
      </c>
    </row>
    <row r="350" spans="1:18">
      <c r="A350" s="1" t="s">
        <v>268</v>
      </c>
      <c r="B350">
        <v>37</v>
      </c>
      <c r="C350">
        <v>23</v>
      </c>
      <c r="D350">
        <v>14</v>
      </c>
      <c r="E350">
        <v>9.48</v>
      </c>
      <c r="F350">
        <v>2712</v>
      </c>
      <c r="G350">
        <v>956</v>
      </c>
      <c r="H350">
        <v>2011</v>
      </c>
      <c r="I350">
        <v>566</v>
      </c>
      <c r="J350">
        <v>775</v>
      </c>
      <c r="K350">
        <v>364</v>
      </c>
      <c r="L350">
        <v>1282</v>
      </c>
      <c r="M350">
        <v>596</v>
      </c>
      <c r="N350">
        <v>223</v>
      </c>
      <c r="O350">
        <v>106</v>
      </c>
      <c r="P350">
        <v>447</v>
      </c>
      <c r="Q350">
        <v>661</v>
      </c>
      <c r="R350">
        <v>349</v>
      </c>
    </row>
    <row r="351" spans="1:18">
      <c r="A351" s="1" t="s">
        <v>269</v>
      </c>
      <c r="B351">
        <v>33</v>
      </c>
      <c r="C351">
        <v>22</v>
      </c>
      <c r="D351">
        <v>10</v>
      </c>
      <c r="E351">
        <v>-0.87</v>
      </c>
      <c r="F351">
        <v>2164</v>
      </c>
      <c r="G351">
        <v>740</v>
      </c>
      <c r="H351">
        <v>1667</v>
      </c>
      <c r="I351">
        <v>464</v>
      </c>
      <c r="J351">
        <v>653</v>
      </c>
      <c r="K351">
        <v>360</v>
      </c>
      <c r="L351">
        <v>1139</v>
      </c>
      <c r="M351">
        <v>437</v>
      </c>
      <c r="N351">
        <v>188</v>
      </c>
      <c r="O351">
        <v>127</v>
      </c>
      <c r="P351">
        <v>406</v>
      </c>
      <c r="Q351">
        <v>552</v>
      </c>
      <c r="R351">
        <v>350</v>
      </c>
    </row>
    <row r="352" spans="1:18">
      <c r="A352" s="1" t="s">
        <v>270</v>
      </c>
      <c r="B352">
        <v>32</v>
      </c>
      <c r="C352">
        <v>11</v>
      </c>
      <c r="D352">
        <v>21</v>
      </c>
      <c r="E352">
        <v>-1.73</v>
      </c>
      <c r="F352">
        <v>2287</v>
      </c>
      <c r="G352">
        <v>807</v>
      </c>
      <c r="H352">
        <v>1826</v>
      </c>
      <c r="I352">
        <v>465</v>
      </c>
      <c r="J352">
        <v>670</v>
      </c>
      <c r="K352">
        <v>315</v>
      </c>
      <c r="L352">
        <v>1055</v>
      </c>
      <c r="M352">
        <v>450</v>
      </c>
      <c r="N352">
        <v>192</v>
      </c>
      <c r="O352">
        <v>67</v>
      </c>
      <c r="P352">
        <v>374</v>
      </c>
      <c r="Q352">
        <v>586</v>
      </c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8566A-96D3-48CA-B369-942E4327B463}">
  <sheetPr codeName="Sheet17"/>
  <dimension ref="A1:R357"/>
  <sheetViews>
    <sheetView topLeftCell="A64" workbookViewId="0">
      <selection activeCell="R64" sqref="R1:R1048576"/>
    </sheetView>
  </sheetViews>
  <sheetFormatPr defaultColWidth="8.85546875" defaultRowHeight="15"/>
  <cols>
    <col min="1" max="1" width="31.28515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363</v>
      </c>
      <c r="B2">
        <v>31</v>
      </c>
      <c r="C2">
        <v>13</v>
      </c>
      <c r="D2">
        <v>18</v>
      </c>
      <c r="E2">
        <v>-7.53</v>
      </c>
      <c r="F2">
        <v>2209</v>
      </c>
      <c r="G2">
        <v>771</v>
      </c>
      <c r="H2">
        <v>1704</v>
      </c>
      <c r="I2">
        <v>458</v>
      </c>
      <c r="J2">
        <v>653</v>
      </c>
      <c r="K2">
        <v>269</v>
      </c>
      <c r="L2">
        <v>991</v>
      </c>
      <c r="M2">
        <v>422</v>
      </c>
      <c r="N2">
        <v>233</v>
      </c>
      <c r="O2">
        <v>78</v>
      </c>
      <c r="P2">
        <v>418</v>
      </c>
      <c r="Q2">
        <v>681</v>
      </c>
      <c r="R2">
        <v>1</v>
      </c>
    </row>
    <row r="3" spans="1:18">
      <c r="A3" s="1" t="s">
        <v>17</v>
      </c>
      <c r="B3">
        <v>32</v>
      </c>
      <c r="C3">
        <v>14</v>
      </c>
      <c r="D3">
        <v>18</v>
      </c>
      <c r="E3">
        <v>0.66</v>
      </c>
      <c r="F3">
        <v>2189</v>
      </c>
      <c r="G3">
        <v>752</v>
      </c>
      <c r="H3">
        <v>1758</v>
      </c>
      <c r="I3">
        <v>483</v>
      </c>
      <c r="J3">
        <v>707</v>
      </c>
      <c r="K3">
        <v>285</v>
      </c>
      <c r="L3">
        <v>1107</v>
      </c>
      <c r="M3">
        <v>420</v>
      </c>
      <c r="N3">
        <v>196</v>
      </c>
      <c r="O3">
        <v>58</v>
      </c>
      <c r="P3">
        <v>423</v>
      </c>
      <c r="Q3">
        <v>617</v>
      </c>
      <c r="R3">
        <v>2</v>
      </c>
    </row>
    <row r="4" spans="1:18">
      <c r="A4" s="1" t="s">
        <v>18</v>
      </c>
      <c r="B4">
        <v>35</v>
      </c>
      <c r="C4">
        <v>26</v>
      </c>
      <c r="D4">
        <v>9</v>
      </c>
      <c r="E4">
        <v>-1.24</v>
      </c>
      <c r="F4">
        <v>2682</v>
      </c>
      <c r="G4">
        <v>911</v>
      </c>
      <c r="H4">
        <v>2111</v>
      </c>
      <c r="I4">
        <v>451</v>
      </c>
      <c r="J4">
        <v>659</v>
      </c>
      <c r="K4">
        <v>373</v>
      </c>
      <c r="L4">
        <v>1310</v>
      </c>
      <c r="M4">
        <v>507</v>
      </c>
      <c r="N4">
        <v>190</v>
      </c>
      <c r="O4">
        <v>137</v>
      </c>
      <c r="P4">
        <v>381</v>
      </c>
      <c r="Q4">
        <v>618</v>
      </c>
      <c r="R4">
        <v>3</v>
      </c>
    </row>
    <row r="5" spans="1:18">
      <c r="A5" s="1" t="s">
        <v>19</v>
      </c>
      <c r="B5">
        <v>29</v>
      </c>
      <c r="C5">
        <v>11</v>
      </c>
      <c r="D5">
        <v>18</v>
      </c>
      <c r="E5">
        <v>-10.75</v>
      </c>
      <c r="F5">
        <v>1974</v>
      </c>
      <c r="G5">
        <v>681</v>
      </c>
      <c r="H5">
        <v>1632</v>
      </c>
      <c r="I5">
        <v>439</v>
      </c>
      <c r="J5">
        <v>642</v>
      </c>
      <c r="K5">
        <v>330</v>
      </c>
      <c r="L5">
        <v>1000</v>
      </c>
      <c r="M5">
        <v>366</v>
      </c>
      <c r="N5">
        <v>163</v>
      </c>
      <c r="O5">
        <v>61</v>
      </c>
      <c r="P5">
        <v>340</v>
      </c>
      <c r="Q5">
        <v>561</v>
      </c>
      <c r="R5">
        <v>4</v>
      </c>
    </row>
    <row r="6" spans="1:18">
      <c r="A6" s="1" t="s">
        <v>20</v>
      </c>
      <c r="B6">
        <v>33</v>
      </c>
      <c r="C6">
        <v>26</v>
      </c>
      <c r="D6">
        <v>7</v>
      </c>
      <c r="E6">
        <v>-3.07</v>
      </c>
      <c r="F6">
        <v>2606</v>
      </c>
      <c r="G6">
        <v>942</v>
      </c>
      <c r="H6">
        <v>1970</v>
      </c>
      <c r="I6">
        <v>472</v>
      </c>
      <c r="J6">
        <v>654</v>
      </c>
      <c r="K6">
        <v>366</v>
      </c>
      <c r="L6">
        <v>1259</v>
      </c>
      <c r="M6">
        <v>607</v>
      </c>
      <c r="N6">
        <v>213</v>
      </c>
      <c r="O6">
        <v>201</v>
      </c>
      <c r="P6">
        <v>414</v>
      </c>
      <c r="Q6">
        <v>579</v>
      </c>
      <c r="R6">
        <v>5</v>
      </c>
    </row>
    <row r="7" spans="1:18">
      <c r="A7" s="1" t="s">
        <v>21</v>
      </c>
      <c r="B7">
        <v>31</v>
      </c>
      <c r="C7">
        <v>14</v>
      </c>
      <c r="D7">
        <v>17</v>
      </c>
      <c r="E7">
        <v>-9.35</v>
      </c>
      <c r="F7">
        <v>2217</v>
      </c>
      <c r="G7">
        <v>788</v>
      </c>
      <c r="H7">
        <v>1918</v>
      </c>
      <c r="I7">
        <v>426</v>
      </c>
      <c r="J7">
        <v>623</v>
      </c>
      <c r="K7">
        <v>391</v>
      </c>
      <c r="L7">
        <v>1153</v>
      </c>
      <c r="M7">
        <v>372</v>
      </c>
      <c r="N7">
        <v>181</v>
      </c>
      <c r="O7">
        <v>107</v>
      </c>
      <c r="P7">
        <v>371</v>
      </c>
      <c r="Q7">
        <v>646</v>
      </c>
      <c r="R7">
        <v>6</v>
      </c>
    </row>
    <row r="8" spans="1:18">
      <c r="A8" s="1" t="s">
        <v>22</v>
      </c>
      <c r="B8">
        <v>33</v>
      </c>
      <c r="C8">
        <v>18</v>
      </c>
      <c r="D8">
        <v>15</v>
      </c>
      <c r="E8">
        <v>8.6199999999999992</v>
      </c>
      <c r="F8">
        <v>2193</v>
      </c>
      <c r="G8">
        <v>738</v>
      </c>
      <c r="H8">
        <v>1750</v>
      </c>
      <c r="I8">
        <v>458</v>
      </c>
      <c r="J8">
        <v>712</v>
      </c>
      <c r="K8">
        <v>327</v>
      </c>
      <c r="L8">
        <v>1141</v>
      </c>
      <c r="M8">
        <v>347</v>
      </c>
      <c r="N8">
        <v>192</v>
      </c>
      <c r="O8">
        <v>175</v>
      </c>
      <c r="P8">
        <v>438</v>
      </c>
      <c r="Q8">
        <v>631</v>
      </c>
      <c r="R8">
        <v>7</v>
      </c>
    </row>
    <row r="9" spans="1:18">
      <c r="A9" s="1" t="s">
        <v>23</v>
      </c>
      <c r="B9">
        <v>33</v>
      </c>
      <c r="C9">
        <v>24</v>
      </c>
      <c r="D9">
        <v>9</v>
      </c>
      <c r="E9">
        <v>-7.57</v>
      </c>
      <c r="F9">
        <v>2495</v>
      </c>
      <c r="G9">
        <v>848</v>
      </c>
      <c r="H9">
        <v>1850</v>
      </c>
      <c r="I9">
        <v>611</v>
      </c>
      <c r="J9">
        <v>814</v>
      </c>
      <c r="K9">
        <v>387</v>
      </c>
      <c r="L9">
        <v>1276</v>
      </c>
      <c r="M9">
        <v>410</v>
      </c>
      <c r="N9">
        <v>216</v>
      </c>
      <c r="O9">
        <v>52</v>
      </c>
      <c r="P9">
        <v>413</v>
      </c>
      <c r="Q9">
        <v>581</v>
      </c>
      <c r="R9">
        <v>8</v>
      </c>
    </row>
    <row r="10" spans="1:18">
      <c r="A10" s="1" t="s">
        <v>24</v>
      </c>
      <c r="B10">
        <v>30</v>
      </c>
      <c r="C10">
        <v>15</v>
      </c>
      <c r="D10">
        <v>15</v>
      </c>
      <c r="E10">
        <v>-9.94</v>
      </c>
      <c r="F10">
        <v>2014</v>
      </c>
      <c r="G10">
        <v>691</v>
      </c>
      <c r="H10">
        <v>1692</v>
      </c>
      <c r="I10">
        <v>458</v>
      </c>
      <c r="J10">
        <v>676</v>
      </c>
      <c r="K10">
        <v>384</v>
      </c>
      <c r="L10">
        <v>1072</v>
      </c>
      <c r="M10">
        <v>272</v>
      </c>
      <c r="N10">
        <v>134</v>
      </c>
      <c r="O10">
        <v>111</v>
      </c>
      <c r="P10">
        <v>429</v>
      </c>
      <c r="Q10">
        <v>548</v>
      </c>
      <c r="R10">
        <v>9</v>
      </c>
    </row>
    <row r="11" spans="1:18">
      <c r="A11" s="1" t="s">
        <v>25</v>
      </c>
      <c r="B11">
        <v>31</v>
      </c>
      <c r="C11">
        <v>12</v>
      </c>
      <c r="D11">
        <v>19</v>
      </c>
      <c r="E11">
        <v>-6.08</v>
      </c>
      <c r="F11">
        <v>1785</v>
      </c>
      <c r="G11">
        <v>631</v>
      </c>
      <c r="H11">
        <v>1487</v>
      </c>
      <c r="I11">
        <v>328</v>
      </c>
      <c r="J11">
        <v>471</v>
      </c>
      <c r="K11">
        <v>218</v>
      </c>
      <c r="L11">
        <v>874</v>
      </c>
      <c r="M11">
        <v>348</v>
      </c>
      <c r="N11">
        <v>176</v>
      </c>
      <c r="O11">
        <v>69</v>
      </c>
      <c r="P11">
        <v>428</v>
      </c>
      <c r="Q11">
        <v>566</v>
      </c>
      <c r="R11">
        <v>10</v>
      </c>
    </row>
    <row r="12" spans="1:18">
      <c r="A12" s="1" t="s">
        <v>271</v>
      </c>
      <c r="B12">
        <v>31</v>
      </c>
      <c r="C12">
        <v>9</v>
      </c>
      <c r="D12">
        <v>22</v>
      </c>
      <c r="E12">
        <v>-1.1000000000000001</v>
      </c>
      <c r="F12">
        <v>2187</v>
      </c>
      <c r="G12">
        <v>719</v>
      </c>
      <c r="H12">
        <v>1795</v>
      </c>
      <c r="I12">
        <v>493</v>
      </c>
      <c r="J12">
        <v>701</v>
      </c>
      <c r="K12">
        <v>393</v>
      </c>
      <c r="L12">
        <v>1142</v>
      </c>
      <c r="M12">
        <v>357</v>
      </c>
      <c r="N12">
        <v>127</v>
      </c>
      <c r="O12">
        <v>103</v>
      </c>
      <c r="P12">
        <v>462</v>
      </c>
      <c r="Q12">
        <v>666</v>
      </c>
      <c r="R12">
        <v>11</v>
      </c>
    </row>
    <row r="13" spans="1:18">
      <c r="A13" s="1" t="s">
        <v>26</v>
      </c>
      <c r="B13">
        <v>32</v>
      </c>
      <c r="C13">
        <v>15</v>
      </c>
      <c r="D13">
        <v>17</v>
      </c>
      <c r="E13">
        <v>8.9600000000000009</v>
      </c>
      <c r="F13">
        <v>2345</v>
      </c>
      <c r="G13">
        <v>796</v>
      </c>
      <c r="H13">
        <v>1919</v>
      </c>
      <c r="I13">
        <v>499</v>
      </c>
      <c r="J13">
        <v>726</v>
      </c>
      <c r="K13">
        <v>394</v>
      </c>
      <c r="L13">
        <v>1177</v>
      </c>
      <c r="M13">
        <v>405</v>
      </c>
      <c r="N13">
        <v>170</v>
      </c>
      <c r="O13">
        <v>86</v>
      </c>
      <c r="P13">
        <v>384</v>
      </c>
      <c r="Q13">
        <v>649</v>
      </c>
      <c r="R13">
        <v>12</v>
      </c>
    </row>
    <row r="14" spans="1:18">
      <c r="A14" s="1" t="s">
        <v>356</v>
      </c>
      <c r="B14">
        <v>34</v>
      </c>
      <c r="C14">
        <v>25</v>
      </c>
      <c r="D14">
        <v>9</v>
      </c>
      <c r="E14">
        <v>7.23</v>
      </c>
      <c r="F14">
        <v>2735</v>
      </c>
      <c r="G14">
        <v>946</v>
      </c>
      <c r="H14">
        <v>1970</v>
      </c>
      <c r="I14">
        <v>622</v>
      </c>
      <c r="J14">
        <v>863</v>
      </c>
      <c r="K14">
        <v>394</v>
      </c>
      <c r="L14">
        <v>1368</v>
      </c>
      <c r="M14">
        <v>485</v>
      </c>
      <c r="N14">
        <v>164</v>
      </c>
      <c r="O14">
        <v>161</v>
      </c>
      <c r="P14">
        <v>442</v>
      </c>
      <c r="Q14">
        <v>621</v>
      </c>
      <c r="R14">
        <v>13</v>
      </c>
    </row>
    <row r="15" spans="1:18">
      <c r="A15" s="1" t="s">
        <v>27</v>
      </c>
      <c r="B15">
        <v>35</v>
      </c>
      <c r="C15">
        <v>30</v>
      </c>
      <c r="D15">
        <v>5</v>
      </c>
      <c r="E15">
        <v>-1.76</v>
      </c>
      <c r="F15">
        <v>2487</v>
      </c>
      <c r="G15">
        <v>886</v>
      </c>
      <c r="H15">
        <v>1958</v>
      </c>
      <c r="I15">
        <v>449</v>
      </c>
      <c r="J15">
        <v>616</v>
      </c>
      <c r="K15">
        <v>324</v>
      </c>
      <c r="L15">
        <v>1195</v>
      </c>
      <c r="M15">
        <v>451</v>
      </c>
      <c r="N15">
        <v>230</v>
      </c>
      <c r="O15">
        <v>106</v>
      </c>
      <c r="P15">
        <v>355</v>
      </c>
      <c r="Q15">
        <v>640</v>
      </c>
      <c r="R15">
        <v>14</v>
      </c>
    </row>
    <row r="16" spans="1:18">
      <c r="A16" s="1" t="s">
        <v>28</v>
      </c>
      <c r="B16">
        <v>33</v>
      </c>
      <c r="C16">
        <v>8</v>
      </c>
      <c r="D16">
        <v>25</v>
      </c>
      <c r="E16">
        <v>-5.52</v>
      </c>
      <c r="F16">
        <v>1867</v>
      </c>
      <c r="G16">
        <v>674</v>
      </c>
      <c r="H16">
        <v>1722</v>
      </c>
      <c r="I16">
        <v>317</v>
      </c>
      <c r="J16">
        <v>519</v>
      </c>
      <c r="K16">
        <v>322</v>
      </c>
      <c r="L16">
        <v>1004</v>
      </c>
      <c r="M16">
        <v>317</v>
      </c>
      <c r="N16">
        <v>235</v>
      </c>
      <c r="O16">
        <v>123</v>
      </c>
      <c r="P16">
        <v>516</v>
      </c>
      <c r="Q16">
        <v>723</v>
      </c>
      <c r="R16">
        <v>15</v>
      </c>
    </row>
    <row r="17" spans="1:18">
      <c r="A17" s="1" t="s">
        <v>29</v>
      </c>
      <c r="B17">
        <v>31</v>
      </c>
      <c r="C17">
        <v>11</v>
      </c>
      <c r="D17">
        <v>20</v>
      </c>
      <c r="E17">
        <v>-2.37</v>
      </c>
      <c r="F17">
        <v>2282</v>
      </c>
      <c r="G17">
        <v>770</v>
      </c>
      <c r="H17">
        <v>1855</v>
      </c>
      <c r="I17">
        <v>562</v>
      </c>
      <c r="J17">
        <v>766</v>
      </c>
      <c r="K17">
        <v>334</v>
      </c>
      <c r="L17">
        <v>1243</v>
      </c>
      <c r="M17">
        <v>381</v>
      </c>
      <c r="N17">
        <v>157</v>
      </c>
      <c r="O17">
        <v>136</v>
      </c>
      <c r="P17">
        <v>398</v>
      </c>
      <c r="Q17">
        <v>613</v>
      </c>
      <c r="R17">
        <v>16</v>
      </c>
    </row>
    <row r="18" spans="1:18">
      <c r="A18" s="1" t="s">
        <v>302</v>
      </c>
      <c r="B18">
        <v>32</v>
      </c>
      <c r="C18">
        <v>16</v>
      </c>
      <c r="D18">
        <v>16</v>
      </c>
      <c r="E18">
        <v>6.76</v>
      </c>
      <c r="F18">
        <v>2501</v>
      </c>
      <c r="G18">
        <v>883</v>
      </c>
      <c r="H18">
        <v>1992</v>
      </c>
      <c r="I18">
        <v>519</v>
      </c>
      <c r="J18">
        <v>748</v>
      </c>
      <c r="K18">
        <v>374</v>
      </c>
      <c r="L18">
        <v>1187</v>
      </c>
      <c r="M18">
        <v>518</v>
      </c>
      <c r="N18">
        <v>233</v>
      </c>
      <c r="O18">
        <v>165</v>
      </c>
      <c r="P18">
        <v>357</v>
      </c>
      <c r="Q18">
        <v>687</v>
      </c>
      <c r="R18">
        <v>17</v>
      </c>
    </row>
    <row r="19" spans="1:18">
      <c r="A19" s="1" t="s">
        <v>30</v>
      </c>
      <c r="B19">
        <v>33</v>
      </c>
      <c r="C19">
        <v>19</v>
      </c>
      <c r="D19">
        <v>14</v>
      </c>
      <c r="E19">
        <v>-8.1300000000000008</v>
      </c>
      <c r="F19">
        <v>2539</v>
      </c>
      <c r="G19">
        <v>895</v>
      </c>
      <c r="H19">
        <v>2084</v>
      </c>
      <c r="I19">
        <v>455</v>
      </c>
      <c r="J19">
        <v>656</v>
      </c>
      <c r="K19">
        <v>408</v>
      </c>
      <c r="L19">
        <v>1338</v>
      </c>
      <c r="M19">
        <v>501</v>
      </c>
      <c r="N19">
        <v>163</v>
      </c>
      <c r="O19">
        <v>123</v>
      </c>
      <c r="P19">
        <v>448</v>
      </c>
      <c r="Q19">
        <v>628</v>
      </c>
      <c r="R19">
        <v>18</v>
      </c>
    </row>
    <row r="20" spans="1:18">
      <c r="A20" s="1" t="s">
        <v>272</v>
      </c>
      <c r="B20">
        <v>31</v>
      </c>
      <c r="C20">
        <v>11</v>
      </c>
      <c r="D20">
        <v>20</v>
      </c>
      <c r="E20">
        <v>7.54</v>
      </c>
      <c r="F20">
        <v>2192</v>
      </c>
      <c r="G20">
        <v>724</v>
      </c>
      <c r="H20">
        <v>1820</v>
      </c>
      <c r="I20">
        <v>472</v>
      </c>
      <c r="J20">
        <v>746</v>
      </c>
      <c r="K20">
        <v>346</v>
      </c>
      <c r="L20">
        <v>1134</v>
      </c>
      <c r="M20">
        <v>352</v>
      </c>
      <c r="N20">
        <v>166</v>
      </c>
      <c r="O20">
        <v>126</v>
      </c>
      <c r="P20">
        <v>428</v>
      </c>
      <c r="Q20">
        <v>658</v>
      </c>
      <c r="R20">
        <v>19</v>
      </c>
    </row>
    <row r="21" spans="1:18">
      <c r="A21" s="1" t="s">
        <v>31</v>
      </c>
      <c r="B21">
        <v>36</v>
      </c>
      <c r="C21">
        <v>18</v>
      </c>
      <c r="D21">
        <v>18</v>
      </c>
      <c r="E21">
        <v>-2.98</v>
      </c>
      <c r="F21">
        <v>2740</v>
      </c>
      <c r="G21">
        <v>945</v>
      </c>
      <c r="H21">
        <v>2049</v>
      </c>
      <c r="I21">
        <v>627</v>
      </c>
      <c r="J21">
        <v>936</v>
      </c>
      <c r="K21">
        <v>422</v>
      </c>
      <c r="L21">
        <v>1326</v>
      </c>
      <c r="M21">
        <v>479</v>
      </c>
      <c r="N21">
        <v>250</v>
      </c>
      <c r="O21">
        <v>101</v>
      </c>
      <c r="P21">
        <v>502</v>
      </c>
      <c r="Q21">
        <v>633</v>
      </c>
      <c r="R21">
        <v>20</v>
      </c>
    </row>
    <row r="22" spans="1:18">
      <c r="A22" s="1" t="s">
        <v>273</v>
      </c>
      <c r="B22">
        <v>35</v>
      </c>
      <c r="C22">
        <v>21</v>
      </c>
      <c r="D22">
        <v>14</v>
      </c>
      <c r="E22">
        <v>-2.98</v>
      </c>
      <c r="F22">
        <v>2479</v>
      </c>
      <c r="G22">
        <v>855</v>
      </c>
      <c r="H22">
        <v>1919</v>
      </c>
      <c r="I22">
        <v>464</v>
      </c>
      <c r="J22">
        <v>670</v>
      </c>
      <c r="K22">
        <v>330</v>
      </c>
      <c r="L22">
        <v>1275</v>
      </c>
      <c r="M22">
        <v>512</v>
      </c>
      <c r="N22">
        <v>191</v>
      </c>
      <c r="O22">
        <v>126</v>
      </c>
      <c r="P22">
        <v>465</v>
      </c>
      <c r="Q22">
        <v>665</v>
      </c>
      <c r="R22">
        <v>21</v>
      </c>
    </row>
    <row r="23" spans="1:18">
      <c r="A23" s="1" t="s">
        <v>32</v>
      </c>
      <c r="B23">
        <v>34</v>
      </c>
      <c r="C23">
        <v>22</v>
      </c>
      <c r="D23">
        <v>12</v>
      </c>
      <c r="E23">
        <v>9.76</v>
      </c>
      <c r="F23">
        <v>2621</v>
      </c>
      <c r="G23">
        <v>933</v>
      </c>
      <c r="H23">
        <v>2003</v>
      </c>
      <c r="I23">
        <v>545</v>
      </c>
      <c r="J23">
        <v>752</v>
      </c>
      <c r="K23">
        <v>467</v>
      </c>
      <c r="L23">
        <v>1267</v>
      </c>
      <c r="M23">
        <v>603</v>
      </c>
      <c r="N23">
        <v>269</v>
      </c>
      <c r="O23">
        <v>135</v>
      </c>
      <c r="P23">
        <v>432</v>
      </c>
      <c r="Q23">
        <v>660</v>
      </c>
      <c r="R23">
        <v>22</v>
      </c>
    </row>
    <row r="24" spans="1:18">
      <c r="A24" s="1" t="s">
        <v>33</v>
      </c>
      <c r="B24">
        <v>32</v>
      </c>
      <c r="C24">
        <v>20</v>
      </c>
      <c r="D24">
        <v>12</v>
      </c>
      <c r="E24">
        <v>-2.1</v>
      </c>
      <c r="F24">
        <v>2638</v>
      </c>
      <c r="G24">
        <v>914</v>
      </c>
      <c r="H24">
        <v>1849</v>
      </c>
      <c r="I24">
        <v>472</v>
      </c>
      <c r="J24">
        <v>650</v>
      </c>
      <c r="K24">
        <v>271</v>
      </c>
      <c r="L24">
        <v>1105</v>
      </c>
      <c r="M24">
        <v>544</v>
      </c>
      <c r="N24">
        <v>145</v>
      </c>
      <c r="O24">
        <v>81</v>
      </c>
      <c r="P24">
        <v>450</v>
      </c>
      <c r="Q24">
        <v>639</v>
      </c>
      <c r="R24">
        <v>23</v>
      </c>
    </row>
    <row r="25" spans="1:18">
      <c r="A25" s="1" t="s">
        <v>34</v>
      </c>
      <c r="B25">
        <v>32</v>
      </c>
      <c r="C25">
        <v>14</v>
      </c>
      <c r="D25">
        <v>18</v>
      </c>
      <c r="E25">
        <v>-9.18</v>
      </c>
      <c r="F25">
        <v>2258</v>
      </c>
      <c r="G25">
        <v>799</v>
      </c>
      <c r="H25">
        <v>1932</v>
      </c>
      <c r="I25">
        <v>411</v>
      </c>
      <c r="J25">
        <v>597</v>
      </c>
      <c r="K25">
        <v>407</v>
      </c>
      <c r="L25">
        <v>1186</v>
      </c>
      <c r="M25">
        <v>371</v>
      </c>
      <c r="N25">
        <v>197</v>
      </c>
      <c r="O25">
        <v>191</v>
      </c>
      <c r="P25">
        <v>415</v>
      </c>
      <c r="Q25">
        <v>601</v>
      </c>
      <c r="R25">
        <v>24</v>
      </c>
    </row>
    <row r="26" spans="1:18">
      <c r="A26" s="1" t="s">
        <v>303</v>
      </c>
      <c r="B26">
        <v>30</v>
      </c>
      <c r="C26">
        <v>8</v>
      </c>
      <c r="D26">
        <v>22</v>
      </c>
      <c r="E26">
        <v>-6.35</v>
      </c>
      <c r="F26">
        <v>1827</v>
      </c>
      <c r="G26">
        <v>629</v>
      </c>
      <c r="H26">
        <v>1614</v>
      </c>
      <c r="I26">
        <v>398</v>
      </c>
      <c r="J26">
        <v>584</v>
      </c>
      <c r="K26">
        <v>273</v>
      </c>
      <c r="L26">
        <v>1023</v>
      </c>
      <c r="M26">
        <v>333</v>
      </c>
      <c r="N26">
        <v>161</v>
      </c>
      <c r="O26">
        <v>68</v>
      </c>
      <c r="P26">
        <v>419</v>
      </c>
      <c r="Q26">
        <v>558</v>
      </c>
      <c r="R26">
        <v>25</v>
      </c>
    </row>
    <row r="27" spans="1:18">
      <c r="A27" s="1" t="s">
        <v>35</v>
      </c>
      <c r="B27">
        <v>32</v>
      </c>
      <c r="C27">
        <v>20</v>
      </c>
      <c r="D27">
        <v>12</v>
      </c>
      <c r="E27">
        <v>3.13</v>
      </c>
      <c r="F27">
        <v>2480</v>
      </c>
      <c r="G27">
        <v>842</v>
      </c>
      <c r="H27">
        <v>1859</v>
      </c>
      <c r="I27">
        <v>535</v>
      </c>
      <c r="J27">
        <v>755</v>
      </c>
      <c r="K27">
        <v>315</v>
      </c>
      <c r="L27">
        <v>1110</v>
      </c>
      <c r="M27">
        <v>430</v>
      </c>
      <c r="N27">
        <v>209</v>
      </c>
      <c r="O27">
        <v>64</v>
      </c>
      <c r="P27">
        <v>372</v>
      </c>
      <c r="Q27">
        <v>622</v>
      </c>
      <c r="R27">
        <v>26</v>
      </c>
    </row>
    <row r="28" spans="1:18">
      <c r="A28" s="1" t="s">
        <v>36</v>
      </c>
      <c r="B28">
        <v>32</v>
      </c>
      <c r="C28">
        <v>7</v>
      </c>
      <c r="D28">
        <v>25</v>
      </c>
      <c r="E28">
        <v>7.67</v>
      </c>
      <c r="F28">
        <v>1959</v>
      </c>
      <c r="G28">
        <v>717</v>
      </c>
      <c r="H28">
        <v>1751</v>
      </c>
      <c r="I28">
        <v>294</v>
      </c>
      <c r="J28">
        <v>452</v>
      </c>
      <c r="K28">
        <v>243</v>
      </c>
      <c r="L28">
        <v>993</v>
      </c>
      <c r="M28">
        <v>410</v>
      </c>
      <c r="N28">
        <v>181</v>
      </c>
      <c r="O28">
        <v>93</v>
      </c>
      <c r="P28">
        <v>431</v>
      </c>
      <c r="Q28">
        <v>579</v>
      </c>
      <c r="R28">
        <v>27</v>
      </c>
    </row>
    <row r="29" spans="1:18">
      <c r="A29" s="1" t="s">
        <v>37</v>
      </c>
      <c r="B29">
        <v>34</v>
      </c>
      <c r="C29">
        <v>19</v>
      </c>
      <c r="D29">
        <v>15</v>
      </c>
      <c r="E29">
        <v>-6.37</v>
      </c>
      <c r="F29">
        <v>2483</v>
      </c>
      <c r="G29">
        <v>859</v>
      </c>
      <c r="H29">
        <v>1893</v>
      </c>
      <c r="I29">
        <v>493</v>
      </c>
      <c r="J29">
        <v>688</v>
      </c>
      <c r="K29">
        <v>311</v>
      </c>
      <c r="L29">
        <v>1216</v>
      </c>
      <c r="M29">
        <v>456</v>
      </c>
      <c r="N29">
        <v>204</v>
      </c>
      <c r="O29">
        <v>129</v>
      </c>
      <c r="P29">
        <v>468</v>
      </c>
      <c r="Q29">
        <v>641</v>
      </c>
      <c r="R29">
        <v>28</v>
      </c>
    </row>
    <row r="30" spans="1:18">
      <c r="A30" s="1" t="s">
        <v>38</v>
      </c>
      <c r="B30">
        <v>34</v>
      </c>
      <c r="C30">
        <v>16</v>
      </c>
      <c r="D30">
        <v>18</v>
      </c>
      <c r="E30">
        <v>-1.85</v>
      </c>
      <c r="F30">
        <v>2400</v>
      </c>
      <c r="G30">
        <v>849</v>
      </c>
      <c r="H30">
        <v>1913</v>
      </c>
      <c r="I30">
        <v>499</v>
      </c>
      <c r="J30">
        <v>761</v>
      </c>
      <c r="K30">
        <v>345</v>
      </c>
      <c r="L30">
        <v>1238</v>
      </c>
      <c r="M30">
        <v>398</v>
      </c>
      <c r="N30">
        <v>209</v>
      </c>
      <c r="O30">
        <v>113</v>
      </c>
      <c r="P30">
        <v>430</v>
      </c>
      <c r="Q30">
        <v>655</v>
      </c>
      <c r="R30">
        <v>29</v>
      </c>
    </row>
    <row r="31" spans="1:18">
      <c r="A31" s="1" t="s">
        <v>39</v>
      </c>
      <c r="B31">
        <v>32</v>
      </c>
      <c r="C31">
        <v>5</v>
      </c>
      <c r="D31">
        <v>27</v>
      </c>
      <c r="E31">
        <v>3.7</v>
      </c>
      <c r="F31">
        <v>1793</v>
      </c>
      <c r="G31">
        <v>606</v>
      </c>
      <c r="H31">
        <v>1596</v>
      </c>
      <c r="I31">
        <v>416</v>
      </c>
      <c r="J31">
        <v>628</v>
      </c>
      <c r="K31">
        <v>276</v>
      </c>
      <c r="L31">
        <v>1083</v>
      </c>
      <c r="M31">
        <v>292</v>
      </c>
      <c r="N31">
        <v>142</v>
      </c>
      <c r="O31">
        <v>87</v>
      </c>
      <c r="P31">
        <v>548</v>
      </c>
      <c r="Q31">
        <v>744</v>
      </c>
      <c r="R31">
        <v>30</v>
      </c>
    </row>
    <row r="32" spans="1:18">
      <c r="A32" s="1" t="s">
        <v>40</v>
      </c>
      <c r="B32">
        <v>37</v>
      </c>
      <c r="C32">
        <v>26</v>
      </c>
      <c r="D32">
        <v>11</v>
      </c>
      <c r="E32">
        <v>2.36</v>
      </c>
      <c r="F32">
        <v>3093</v>
      </c>
      <c r="G32">
        <v>1096</v>
      </c>
      <c r="H32">
        <v>2369</v>
      </c>
      <c r="I32">
        <v>571</v>
      </c>
      <c r="J32">
        <v>827</v>
      </c>
      <c r="K32">
        <v>441</v>
      </c>
      <c r="L32">
        <v>1514</v>
      </c>
      <c r="M32">
        <v>611</v>
      </c>
      <c r="N32">
        <v>256</v>
      </c>
      <c r="O32">
        <v>161</v>
      </c>
      <c r="P32">
        <v>434</v>
      </c>
      <c r="Q32">
        <v>690</v>
      </c>
      <c r="R32">
        <v>31</v>
      </c>
    </row>
    <row r="33" spans="1:18">
      <c r="A33" s="1" t="s">
        <v>41</v>
      </c>
      <c r="B33">
        <v>28</v>
      </c>
      <c r="C33">
        <v>8</v>
      </c>
      <c r="D33">
        <v>20</v>
      </c>
      <c r="E33">
        <v>-2.82</v>
      </c>
      <c r="F33">
        <v>2040</v>
      </c>
      <c r="G33">
        <v>697</v>
      </c>
      <c r="H33">
        <v>1625</v>
      </c>
      <c r="I33">
        <v>421</v>
      </c>
      <c r="J33">
        <v>600</v>
      </c>
      <c r="K33">
        <v>272</v>
      </c>
      <c r="L33">
        <v>1019</v>
      </c>
      <c r="M33">
        <v>414</v>
      </c>
      <c r="N33">
        <v>150</v>
      </c>
      <c r="O33">
        <v>114</v>
      </c>
      <c r="P33">
        <v>376</v>
      </c>
      <c r="Q33">
        <v>543</v>
      </c>
      <c r="R33">
        <v>32</v>
      </c>
    </row>
    <row r="34" spans="1:18">
      <c r="A34" s="1" t="s">
        <v>352</v>
      </c>
      <c r="B34">
        <v>31</v>
      </c>
      <c r="C34">
        <v>8</v>
      </c>
      <c r="D34">
        <v>23</v>
      </c>
      <c r="E34">
        <v>-6.71</v>
      </c>
      <c r="F34">
        <v>2018</v>
      </c>
      <c r="G34">
        <v>755</v>
      </c>
      <c r="H34">
        <v>1798</v>
      </c>
      <c r="I34">
        <v>310</v>
      </c>
      <c r="J34">
        <v>482</v>
      </c>
      <c r="K34">
        <v>300</v>
      </c>
      <c r="L34">
        <v>1048</v>
      </c>
      <c r="M34">
        <v>415</v>
      </c>
      <c r="N34">
        <v>176</v>
      </c>
      <c r="O34">
        <v>83</v>
      </c>
      <c r="P34">
        <v>420</v>
      </c>
      <c r="Q34">
        <v>591</v>
      </c>
      <c r="R34">
        <v>33</v>
      </c>
    </row>
    <row r="35" spans="1:18">
      <c r="A35" s="1" t="s">
        <v>42</v>
      </c>
      <c r="B35">
        <v>31</v>
      </c>
      <c r="C35">
        <v>17</v>
      </c>
      <c r="D35">
        <v>14</v>
      </c>
      <c r="E35">
        <v>-5.89</v>
      </c>
      <c r="F35">
        <v>2448</v>
      </c>
      <c r="G35">
        <v>831</v>
      </c>
      <c r="H35">
        <v>1788</v>
      </c>
      <c r="I35">
        <v>553</v>
      </c>
      <c r="J35">
        <v>774</v>
      </c>
      <c r="K35">
        <v>317</v>
      </c>
      <c r="L35">
        <v>1137</v>
      </c>
      <c r="M35">
        <v>489</v>
      </c>
      <c r="N35">
        <v>204</v>
      </c>
      <c r="O35">
        <v>100</v>
      </c>
      <c r="P35">
        <v>423</v>
      </c>
      <c r="Q35">
        <v>657</v>
      </c>
      <c r="R35">
        <v>34</v>
      </c>
    </row>
    <row r="36" spans="1:18">
      <c r="A36" s="1" t="s">
        <v>43</v>
      </c>
      <c r="B36">
        <v>35</v>
      </c>
      <c r="C36">
        <v>20</v>
      </c>
      <c r="D36">
        <v>15</v>
      </c>
      <c r="E36">
        <v>0.9</v>
      </c>
      <c r="F36">
        <v>2709</v>
      </c>
      <c r="G36">
        <v>915</v>
      </c>
      <c r="H36">
        <v>2096</v>
      </c>
      <c r="I36">
        <v>616</v>
      </c>
      <c r="J36">
        <v>867</v>
      </c>
      <c r="K36">
        <v>425</v>
      </c>
      <c r="L36">
        <v>1363</v>
      </c>
      <c r="M36">
        <v>441</v>
      </c>
      <c r="N36">
        <v>240</v>
      </c>
      <c r="O36">
        <v>124</v>
      </c>
      <c r="P36">
        <v>475</v>
      </c>
      <c r="Q36">
        <v>748</v>
      </c>
      <c r="R36">
        <v>35</v>
      </c>
    </row>
    <row r="37" spans="1:18">
      <c r="A37" s="1" t="s">
        <v>304</v>
      </c>
      <c r="B37">
        <v>33</v>
      </c>
      <c r="C37">
        <v>22</v>
      </c>
      <c r="D37">
        <v>11</v>
      </c>
      <c r="E37">
        <v>7.55</v>
      </c>
      <c r="F37">
        <v>2638</v>
      </c>
      <c r="G37">
        <v>918</v>
      </c>
      <c r="H37">
        <v>1969</v>
      </c>
      <c r="I37">
        <v>566</v>
      </c>
      <c r="J37">
        <v>774</v>
      </c>
      <c r="K37">
        <v>366</v>
      </c>
      <c r="L37">
        <v>1188</v>
      </c>
      <c r="M37">
        <v>468</v>
      </c>
      <c r="N37">
        <v>227</v>
      </c>
      <c r="O37">
        <v>107</v>
      </c>
      <c r="P37">
        <v>335</v>
      </c>
      <c r="Q37">
        <v>646</v>
      </c>
      <c r="R37">
        <v>36</v>
      </c>
    </row>
    <row r="38" spans="1:18">
      <c r="A38" s="1" t="s">
        <v>44</v>
      </c>
      <c r="B38">
        <v>30</v>
      </c>
      <c r="C38">
        <v>10</v>
      </c>
      <c r="D38">
        <v>20</v>
      </c>
      <c r="E38">
        <v>0.9</v>
      </c>
      <c r="F38">
        <v>2171</v>
      </c>
      <c r="G38">
        <v>755</v>
      </c>
      <c r="H38">
        <v>1812</v>
      </c>
      <c r="I38">
        <v>423</v>
      </c>
      <c r="J38">
        <v>626</v>
      </c>
      <c r="K38">
        <v>351</v>
      </c>
      <c r="L38">
        <v>1095</v>
      </c>
      <c r="M38">
        <v>425</v>
      </c>
      <c r="N38">
        <v>163</v>
      </c>
      <c r="O38">
        <v>96</v>
      </c>
      <c r="P38">
        <v>308</v>
      </c>
      <c r="Q38">
        <v>602</v>
      </c>
      <c r="R38">
        <v>37</v>
      </c>
    </row>
    <row r="39" spans="1:18">
      <c r="A39" s="1" t="s">
        <v>343</v>
      </c>
      <c r="B39">
        <v>33</v>
      </c>
      <c r="C39">
        <v>24</v>
      </c>
      <c r="D39">
        <v>9</v>
      </c>
      <c r="E39">
        <v>-5.15</v>
      </c>
      <c r="F39">
        <v>2405</v>
      </c>
      <c r="G39">
        <v>875</v>
      </c>
      <c r="H39">
        <v>1939</v>
      </c>
      <c r="I39">
        <v>476</v>
      </c>
      <c r="J39">
        <v>726</v>
      </c>
      <c r="K39">
        <v>414</v>
      </c>
      <c r="L39">
        <v>1263</v>
      </c>
      <c r="M39">
        <v>516</v>
      </c>
      <c r="N39">
        <v>263</v>
      </c>
      <c r="O39">
        <v>165</v>
      </c>
      <c r="P39">
        <v>405</v>
      </c>
      <c r="Q39">
        <v>707</v>
      </c>
      <c r="R39">
        <v>38</v>
      </c>
    </row>
    <row r="40" spans="1:18">
      <c r="A40" s="1" t="s">
        <v>45</v>
      </c>
      <c r="B40">
        <v>30</v>
      </c>
      <c r="C40">
        <v>10</v>
      </c>
      <c r="D40">
        <v>20</v>
      </c>
      <c r="E40">
        <v>-0.76</v>
      </c>
      <c r="F40">
        <v>2104</v>
      </c>
      <c r="G40">
        <v>698</v>
      </c>
      <c r="H40">
        <v>1703</v>
      </c>
      <c r="I40">
        <v>515</v>
      </c>
      <c r="J40">
        <v>743</v>
      </c>
      <c r="K40">
        <v>335</v>
      </c>
      <c r="L40">
        <v>1116</v>
      </c>
      <c r="M40">
        <v>304</v>
      </c>
      <c r="N40">
        <v>147</v>
      </c>
      <c r="O40">
        <v>48</v>
      </c>
      <c r="P40">
        <v>393</v>
      </c>
      <c r="Q40">
        <v>610</v>
      </c>
      <c r="R40">
        <v>39</v>
      </c>
    </row>
    <row r="41" spans="1:18">
      <c r="A41" s="1" t="s">
        <v>46</v>
      </c>
      <c r="B41">
        <v>30</v>
      </c>
      <c r="C41">
        <v>10</v>
      </c>
      <c r="D41">
        <v>20</v>
      </c>
      <c r="E41">
        <v>-0.85</v>
      </c>
      <c r="F41">
        <v>2143</v>
      </c>
      <c r="G41">
        <v>745</v>
      </c>
      <c r="H41">
        <v>1723</v>
      </c>
      <c r="I41">
        <v>527</v>
      </c>
      <c r="J41">
        <v>735</v>
      </c>
      <c r="K41">
        <v>303</v>
      </c>
      <c r="L41">
        <v>1086</v>
      </c>
      <c r="M41">
        <v>423</v>
      </c>
      <c r="N41">
        <v>203</v>
      </c>
      <c r="O41">
        <v>96</v>
      </c>
      <c r="P41">
        <v>420</v>
      </c>
      <c r="Q41">
        <v>604</v>
      </c>
      <c r="R41">
        <v>40</v>
      </c>
    </row>
    <row r="42" spans="1:18">
      <c r="A42" s="1" t="s">
        <v>330</v>
      </c>
      <c r="B42">
        <v>30</v>
      </c>
      <c r="C42">
        <v>11</v>
      </c>
      <c r="D42">
        <v>19</v>
      </c>
      <c r="E42">
        <v>-1.26</v>
      </c>
      <c r="F42">
        <v>1914</v>
      </c>
      <c r="G42">
        <v>697</v>
      </c>
      <c r="H42">
        <v>1608</v>
      </c>
      <c r="I42">
        <v>356</v>
      </c>
      <c r="J42">
        <v>557</v>
      </c>
      <c r="K42">
        <v>256</v>
      </c>
      <c r="L42">
        <v>1033</v>
      </c>
      <c r="M42">
        <v>342</v>
      </c>
      <c r="N42">
        <v>186</v>
      </c>
      <c r="O42">
        <v>49</v>
      </c>
      <c r="P42">
        <v>427</v>
      </c>
      <c r="Q42">
        <v>531</v>
      </c>
      <c r="R42">
        <v>41</v>
      </c>
    </row>
    <row r="43" spans="1:18">
      <c r="A43" s="1" t="s">
        <v>47</v>
      </c>
      <c r="B43">
        <v>38</v>
      </c>
      <c r="C43">
        <v>28</v>
      </c>
      <c r="D43">
        <v>10</v>
      </c>
      <c r="E43">
        <v>0.77</v>
      </c>
      <c r="F43">
        <v>2706</v>
      </c>
      <c r="G43">
        <v>977</v>
      </c>
      <c r="H43">
        <v>2128</v>
      </c>
      <c r="I43">
        <v>511</v>
      </c>
      <c r="J43">
        <v>752</v>
      </c>
      <c r="K43">
        <v>370</v>
      </c>
      <c r="L43">
        <v>1416</v>
      </c>
      <c r="M43">
        <v>568</v>
      </c>
      <c r="N43">
        <v>217</v>
      </c>
      <c r="O43">
        <v>198</v>
      </c>
      <c r="P43">
        <v>471</v>
      </c>
      <c r="Q43">
        <v>706</v>
      </c>
      <c r="R43">
        <v>42</v>
      </c>
    </row>
    <row r="44" spans="1:18">
      <c r="A44" s="1" t="s">
        <v>305</v>
      </c>
      <c r="B44">
        <v>33</v>
      </c>
      <c r="C44">
        <v>14</v>
      </c>
      <c r="D44">
        <v>19</v>
      </c>
      <c r="E44">
        <v>-3.08</v>
      </c>
      <c r="F44">
        <v>2299</v>
      </c>
      <c r="G44">
        <v>788</v>
      </c>
      <c r="H44">
        <v>1839</v>
      </c>
      <c r="I44">
        <v>471</v>
      </c>
      <c r="J44">
        <v>670</v>
      </c>
      <c r="K44">
        <v>328</v>
      </c>
      <c r="L44">
        <v>1164</v>
      </c>
      <c r="M44">
        <v>410</v>
      </c>
      <c r="N44">
        <v>170</v>
      </c>
      <c r="O44">
        <v>101</v>
      </c>
      <c r="P44">
        <v>433</v>
      </c>
      <c r="Q44">
        <v>654</v>
      </c>
      <c r="R44">
        <v>43</v>
      </c>
    </row>
    <row r="45" spans="1:18">
      <c r="A45" s="1" t="s">
        <v>48</v>
      </c>
      <c r="B45">
        <v>33</v>
      </c>
      <c r="C45">
        <v>19</v>
      </c>
      <c r="D45">
        <v>14</v>
      </c>
      <c r="E45">
        <v>1.44</v>
      </c>
      <c r="F45">
        <v>2335</v>
      </c>
      <c r="G45">
        <v>859</v>
      </c>
      <c r="H45">
        <v>1944</v>
      </c>
      <c r="I45">
        <v>366</v>
      </c>
      <c r="J45">
        <v>522</v>
      </c>
      <c r="K45">
        <v>345</v>
      </c>
      <c r="L45">
        <v>1235</v>
      </c>
      <c r="M45">
        <v>496</v>
      </c>
      <c r="N45">
        <v>195</v>
      </c>
      <c r="O45">
        <v>98</v>
      </c>
      <c r="P45">
        <v>419</v>
      </c>
      <c r="Q45">
        <v>647</v>
      </c>
      <c r="R45">
        <v>44</v>
      </c>
    </row>
    <row r="46" spans="1:18">
      <c r="A46" s="1" t="s">
        <v>49</v>
      </c>
      <c r="B46">
        <v>34</v>
      </c>
      <c r="C46">
        <v>23</v>
      </c>
      <c r="D46">
        <v>11</v>
      </c>
      <c r="E46">
        <v>7.87</v>
      </c>
      <c r="F46">
        <v>2545</v>
      </c>
      <c r="G46">
        <v>890</v>
      </c>
      <c r="H46">
        <v>1931</v>
      </c>
      <c r="I46">
        <v>529</v>
      </c>
      <c r="J46">
        <v>806</v>
      </c>
      <c r="K46">
        <v>386</v>
      </c>
      <c r="L46">
        <v>1349</v>
      </c>
      <c r="M46">
        <v>430</v>
      </c>
      <c r="N46">
        <v>139</v>
      </c>
      <c r="O46">
        <v>159</v>
      </c>
      <c r="P46">
        <v>419</v>
      </c>
      <c r="Q46">
        <v>706</v>
      </c>
      <c r="R46">
        <v>45</v>
      </c>
    </row>
    <row r="47" spans="1:18">
      <c r="A47" s="1" t="s">
        <v>50</v>
      </c>
      <c r="B47">
        <v>30</v>
      </c>
      <c r="C47">
        <v>12</v>
      </c>
      <c r="D47">
        <v>18</v>
      </c>
      <c r="E47">
        <v>-6.67</v>
      </c>
      <c r="F47">
        <v>2207</v>
      </c>
      <c r="G47">
        <v>744</v>
      </c>
      <c r="H47">
        <v>1671</v>
      </c>
      <c r="I47">
        <v>495</v>
      </c>
      <c r="J47">
        <v>690</v>
      </c>
      <c r="K47">
        <v>242</v>
      </c>
      <c r="L47">
        <v>967</v>
      </c>
      <c r="M47">
        <v>345</v>
      </c>
      <c r="N47">
        <v>214</v>
      </c>
      <c r="O47">
        <v>72</v>
      </c>
      <c r="P47">
        <v>353</v>
      </c>
      <c r="Q47">
        <v>582</v>
      </c>
      <c r="R47">
        <v>46</v>
      </c>
    </row>
    <row r="48" spans="1:18">
      <c r="A48" s="1" t="s">
        <v>51</v>
      </c>
      <c r="B48">
        <v>33</v>
      </c>
      <c r="C48">
        <v>14</v>
      </c>
      <c r="D48">
        <v>19</v>
      </c>
      <c r="E48">
        <v>-3.77</v>
      </c>
      <c r="F48">
        <v>2526</v>
      </c>
      <c r="G48">
        <v>845</v>
      </c>
      <c r="H48">
        <v>2014</v>
      </c>
      <c r="I48">
        <v>551</v>
      </c>
      <c r="J48">
        <v>744</v>
      </c>
      <c r="K48">
        <v>393</v>
      </c>
      <c r="L48">
        <v>1116</v>
      </c>
      <c r="M48">
        <v>466</v>
      </c>
      <c r="N48">
        <v>199</v>
      </c>
      <c r="O48">
        <v>88</v>
      </c>
      <c r="P48">
        <v>370</v>
      </c>
      <c r="Q48">
        <v>640</v>
      </c>
      <c r="R48">
        <v>47</v>
      </c>
    </row>
    <row r="49" spans="1:18">
      <c r="A49" s="1" t="s">
        <v>344</v>
      </c>
      <c r="B49">
        <v>28</v>
      </c>
      <c r="C49">
        <v>7</v>
      </c>
      <c r="D49">
        <v>21</v>
      </c>
      <c r="E49">
        <v>-6.81</v>
      </c>
      <c r="F49">
        <v>2110</v>
      </c>
      <c r="G49">
        <v>734</v>
      </c>
      <c r="H49">
        <v>1656</v>
      </c>
      <c r="I49">
        <v>457</v>
      </c>
      <c r="J49">
        <v>694</v>
      </c>
      <c r="K49">
        <v>331</v>
      </c>
      <c r="L49">
        <v>1044</v>
      </c>
      <c r="M49">
        <v>370</v>
      </c>
      <c r="N49">
        <v>152</v>
      </c>
      <c r="O49">
        <v>104</v>
      </c>
      <c r="P49">
        <v>407</v>
      </c>
      <c r="Q49">
        <v>575</v>
      </c>
      <c r="R49">
        <v>48</v>
      </c>
    </row>
    <row r="50" spans="1:18">
      <c r="A50" s="1" t="s">
        <v>274</v>
      </c>
      <c r="B50">
        <v>29</v>
      </c>
      <c r="C50">
        <v>4</v>
      </c>
      <c r="D50">
        <v>25</v>
      </c>
      <c r="E50">
        <v>-9.24</v>
      </c>
      <c r="F50">
        <v>1888</v>
      </c>
      <c r="G50">
        <v>682</v>
      </c>
      <c r="H50">
        <v>1704</v>
      </c>
      <c r="I50">
        <v>360</v>
      </c>
      <c r="J50">
        <v>530</v>
      </c>
      <c r="K50">
        <v>335</v>
      </c>
      <c r="L50">
        <v>1046</v>
      </c>
      <c r="M50">
        <v>341</v>
      </c>
      <c r="N50">
        <v>127</v>
      </c>
      <c r="O50">
        <v>107</v>
      </c>
      <c r="P50">
        <v>402</v>
      </c>
      <c r="Q50">
        <v>505</v>
      </c>
      <c r="R50">
        <v>49</v>
      </c>
    </row>
    <row r="51" spans="1:18">
      <c r="A51" s="1" t="s">
        <v>53</v>
      </c>
      <c r="B51">
        <v>30</v>
      </c>
      <c r="C51">
        <v>12</v>
      </c>
      <c r="D51">
        <v>18</v>
      </c>
      <c r="E51">
        <v>3.01</v>
      </c>
      <c r="F51">
        <v>2062</v>
      </c>
      <c r="G51">
        <v>715</v>
      </c>
      <c r="H51">
        <v>1663</v>
      </c>
      <c r="I51">
        <v>425</v>
      </c>
      <c r="J51">
        <v>619</v>
      </c>
      <c r="K51">
        <v>329</v>
      </c>
      <c r="L51">
        <v>1166</v>
      </c>
      <c r="M51">
        <v>379</v>
      </c>
      <c r="N51">
        <v>137</v>
      </c>
      <c r="O51">
        <v>139</v>
      </c>
      <c r="P51">
        <v>440</v>
      </c>
      <c r="Q51">
        <v>467</v>
      </c>
      <c r="R51">
        <v>50</v>
      </c>
    </row>
    <row r="52" spans="1:18">
      <c r="A52" s="1" t="s">
        <v>54</v>
      </c>
      <c r="B52">
        <v>33</v>
      </c>
      <c r="C52">
        <v>17</v>
      </c>
      <c r="D52">
        <v>16</v>
      </c>
      <c r="E52">
        <v>-1.3</v>
      </c>
      <c r="F52">
        <v>2495</v>
      </c>
      <c r="G52">
        <v>867</v>
      </c>
      <c r="H52">
        <v>1964</v>
      </c>
      <c r="I52">
        <v>437</v>
      </c>
      <c r="J52">
        <v>608</v>
      </c>
      <c r="K52">
        <v>325</v>
      </c>
      <c r="L52">
        <v>1152</v>
      </c>
      <c r="M52">
        <v>441</v>
      </c>
      <c r="N52">
        <v>155</v>
      </c>
      <c r="O52">
        <v>90</v>
      </c>
      <c r="P52">
        <v>303</v>
      </c>
      <c r="Q52">
        <v>608</v>
      </c>
      <c r="R52">
        <v>51</v>
      </c>
    </row>
    <row r="53" spans="1:18">
      <c r="A53" s="1" t="s">
        <v>55</v>
      </c>
      <c r="B53">
        <v>30</v>
      </c>
      <c r="C53">
        <v>9</v>
      </c>
      <c r="D53">
        <v>21</v>
      </c>
      <c r="E53">
        <v>-2.59</v>
      </c>
      <c r="F53">
        <v>2146</v>
      </c>
      <c r="G53">
        <v>774</v>
      </c>
      <c r="H53">
        <v>1808</v>
      </c>
      <c r="I53">
        <v>318</v>
      </c>
      <c r="J53">
        <v>512</v>
      </c>
      <c r="K53">
        <v>308</v>
      </c>
      <c r="L53">
        <v>1053</v>
      </c>
      <c r="M53">
        <v>379</v>
      </c>
      <c r="N53">
        <v>153</v>
      </c>
      <c r="O53">
        <v>63</v>
      </c>
      <c r="P53">
        <v>378</v>
      </c>
      <c r="Q53">
        <v>576</v>
      </c>
      <c r="R53">
        <v>52</v>
      </c>
    </row>
    <row r="54" spans="1:18">
      <c r="A54" s="1" t="s">
        <v>56</v>
      </c>
      <c r="B54">
        <v>33</v>
      </c>
      <c r="C54">
        <v>14</v>
      </c>
      <c r="D54">
        <v>19</v>
      </c>
      <c r="E54">
        <v>-1.72</v>
      </c>
      <c r="F54">
        <v>2584</v>
      </c>
      <c r="G54">
        <v>920</v>
      </c>
      <c r="H54">
        <v>2066</v>
      </c>
      <c r="I54">
        <v>478</v>
      </c>
      <c r="J54">
        <v>685</v>
      </c>
      <c r="K54">
        <v>374</v>
      </c>
      <c r="L54">
        <v>1196</v>
      </c>
      <c r="M54">
        <v>481</v>
      </c>
      <c r="N54">
        <v>204</v>
      </c>
      <c r="O54">
        <v>73</v>
      </c>
      <c r="P54">
        <v>396</v>
      </c>
      <c r="Q54">
        <v>588</v>
      </c>
      <c r="R54">
        <v>53</v>
      </c>
    </row>
    <row r="55" spans="1:18">
      <c r="A55" s="1" t="s">
        <v>57</v>
      </c>
      <c r="B55">
        <v>35</v>
      </c>
      <c r="C55">
        <v>29</v>
      </c>
      <c r="D55">
        <v>6</v>
      </c>
      <c r="E55">
        <v>-3.46</v>
      </c>
      <c r="F55">
        <v>2652</v>
      </c>
      <c r="G55">
        <v>897</v>
      </c>
      <c r="H55">
        <v>1963</v>
      </c>
      <c r="I55">
        <v>596</v>
      </c>
      <c r="J55">
        <v>811</v>
      </c>
      <c r="K55">
        <v>381</v>
      </c>
      <c r="L55">
        <v>1241</v>
      </c>
      <c r="M55">
        <v>504</v>
      </c>
      <c r="N55">
        <v>272</v>
      </c>
      <c r="O55">
        <v>165</v>
      </c>
      <c r="P55">
        <v>437</v>
      </c>
      <c r="Q55">
        <v>596</v>
      </c>
      <c r="R55">
        <v>54</v>
      </c>
    </row>
    <row r="56" spans="1:18">
      <c r="A56" s="1" t="s">
        <v>58</v>
      </c>
      <c r="B56">
        <v>32</v>
      </c>
      <c r="C56">
        <v>4</v>
      </c>
      <c r="D56">
        <v>28</v>
      </c>
      <c r="E56">
        <v>-1.38</v>
      </c>
      <c r="F56">
        <v>2140</v>
      </c>
      <c r="G56">
        <v>764</v>
      </c>
      <c r="H56">
        <v>1995</v>
      </c>
      <c r="I56">
        <v>384</v>
      </c>
      <c r="J56">
        <v>573</v>
      </c>
      <c r="K56">
        <v>414</v>
      </c>
      <c r="L56">
        <v>1172</v>
      </c>
      <c r="M56">
        <v>375</v>
      </c>
      <c r="N56">
        <v>246</v>
      </c>
      <c r="O56">
        <v>98</v>
      </c>
      <c r="P56">
        <v>458</v>
      </c>
      <c r="Q56">
        <v>697</v>
      </c>
      <c r="R56">
        <v>55</v>
      </c>
    </row>
    <row r="57" spans="1:18">
      <c r="A57" s="1" t="s">
        <v>335</v>
      </c>
      <c r="B57">
        <v>33</v>
      </c>
      <c r="C57">
        <v>22</v>
      </c>
      <c r="D57">
        <v>11</v>
      </c>
      <c r="E57">
        <v>5.25</v>
      </c>
      <c r="F57">
        <v>2418</v>
      </c>
      <c r="G57">
        <v>851</v>
      </c>
      <c r="H57">
        <v>1980</v>
      </c>
      <c r="I57">
        <v>464</v>
      </c>
      <c r="J57">
        <v>658</v>
      </c>
      <c r="K57">
        <v>441</v>
      </c>
      <c r="L57">
        <v>1291</v>
      </c>
      <c r="M57">
        <v>508</v>
      </c>
      <c r="N57">
        <v>257</v>
      </c>
      <c r="O57">
        <v>192</v>
      </c>
      <c r="P57">
        <v>363</v>
      </c>
      <c r="Q57">
        <v>513</v>
      </c>
      <c r="R57">
        <v>56</v>
      </c>
    </row>
    <row r="58" spans="1:18">
      <c r="A58" s="1" t="s">
        <v>59</v>
      </c>
      <c r="B58">
        <v>32</v>
      </c>
      <c r="C58">
        <v>10</v>
      </c>
      <c r="D58">
        <v>22</v>
      </c>
      <c r="E58">
        <v>-4.75</v>
      </c>
      <c r="F58">
        <v>2753</v>
      </c>
      <c r="G58">
        <v>938</v>
      </c>
      <c r="H58">
        <v>2242</v>
      </c>
      <c r="I58">
        <v>514</v>
      </c>
      <c r="J58">
        <v>704</v>
      </c>
      <c r="K58">
        <v>404</v>
      </c>
      <c r="L58">
        <v>1148</v>
      </c>
      <c r="M58">
        <v>489</v>
      </c>
      <c r="N58">
        <v>281</v>
      </c>
      <c r="O58">
        <v>99</v>
      </c>
      <c r="P58">
        <v>441</v>
      </c>
      <c r="Q58">
        <v>770</v>
      </c>
      <c r="R58">
        <v>57</v>
      </c>
    </row>
    <row r="59" spans="1:18">
      <c r="A59" s="1" t="s">
        <v>60</v>
      </c>
      <c r="B59">
        <v>31</v>
      </c>
      <c r="C59">
        <v>17</v>
      </c>
      <c r="D59">
        <v>14</v>
      </c>
      <c r="E59">
        <v>6.87</v>
      </c>
      <c r="F59">
        <v>2159</v>
      </c>
      <c r="G59">
        <v>753</v>
      </c>
      <c r="H59">
        <v>1725</v>
      </c>
      <c r="I59">
        <v>415</v>
      </c>
      <c r="J59">
        <v>574</v>
      </c>
      <c r="K59">
        <v>320</v>
      </c>
      <c r="L59">
        <v>1076</v>
      </c>
      <c r="M59">
        <v>411</v>
      </c>
      <c r="N59">
        <v>179</v>
      </c>
      <c r="O59">
        <v>162</v>
      </c>
      <c r="P59">
        <v>315</v>
      </c>
      <c r="Q59">
        <v>511</v>
      </c>
      <c r="R59">
        <v>58</v>
      </c>
    </row>
    <row r="60" spans="1:18">
      <c r="A60" s="1" t="s">
        <v>61</v>
      </c>
      <c r="B60">
        <v>32</v>
      </c>
      <c r="C60">
        <v>9</v>
      </c>
      <c r="D60">
        <v>23</v>
      </c>
      <c r="E60">
        <v>0.09</v>
      </c>
      <c r="F60">
        <v>1947</v>
      </c>
      <c r="G60">
        <v>704</v>
      </c>
      <c r="H60">
        <v>1746</v>
      </c>
      <c r="I60">
        <v>365</v>
      </c>
      <c r="J60">
        <v>538</v>
      </c>
      <c r="K60">
        <v>338</v>
      </c>
      <c r="L60">
        <v>1061</v>
      </c>
      <c r="M60">
        <v>327</v>
      </c>
      <c r="N60">
        <v>196</v>
      </c>
      <c r="O60">
        <v>87</v>
      </c>
      <c r="P60">
        <v>459</v>
      </c>
      <c r="Q60">
        <v>670</v>
      </c>
      <c r="R60">
        <v>59</v>
      </c>
    </row>
    <row r="61" spans="1:18">
      <c r="A61" s="1" t="s">
        <v>62</v>
      </c>
      <c r="B61">
        <v>33</v>
      </c>
      <c r="C61">
        <v>21</v>
      </c>
      <c r="D61">
        <v>12</v>
      </c>
      <c r="E61">
        <v>-4.22</v>
      </c>
      <c r="F61">
        <v>2410</v>
      </c>
      <c r="G61">
        <v>854</v>
      </c>
      <c r="H61">
        <v>1909</v>
      </c>
      <c r="I61">
        <v>458</v>
      </c>
      <c r="J61">
        <v>689</v>
      </c>
      <c r="K61">
        <v>377</v>
      </c>
      <c r="L61">
        <v>1299</v>
      </c>
      <c r="M61">
        <v>396</v>
      </c>
      <c r="N61">
        <v>195</v>
      </c>
      <c r="O61">
        <v>113</v>
      </c>
      <c r="P61">
        <v>406</v>
      </c>
      <c r="Q61">
        <v>568</v>
      </c>
      <c r="R61">
        <v>60</v>
      </c>
    </row>
    <row r="62" spans="1:18">
      <c r="A62" s="1" t="s">
        <v>63</v>
      </c>
      <c r="B62">
        <v>30</v>
      </c>
      <c r="C62">
        <v>13</v>
      </c>
      <c r="D62">
        <v>17</v>
      </c>
      <c r="E62">
        <v>-6.06</v>
      </c>
      <c r="F62">
        <v>2093</v>
      </c>
      <c r="G62">
        <v>747</v>
      </c>
      <c r="H62">
        <v>1673</v>
      </c>
      <c r="I62">
        <v>332</v>
      </c>
      <c r="J62">
        <v>488</v>
      </c>
      <c r="K62">
        <v>280</v>
      </c>
      <c r="L62">
        <v>951</v>
      </c>
      <c r="M62">
        <v>398</v>
      </c>
      <c r="N62">
        <v>184</v>
      </c>
      <c r="O62">
        <v>72</v>
      </c>
      <c r="P62">
        <v>365</v>
      </c>
      <c r="Q62">
        <v>583</v>
      </c>
      <c r="R62">
        <v>61</v>
      </c>
    </row>
    <row r="63" spans="1:18">
      <c r="A63" s="1" t="s">
        <v>64</v>
      </c>
      <c r="B63">
        <v>31</v>
      </c>
      <c r="C63">
        <v>17</v>
      </c>
      <c r="D63">
        <v>14</v>
      </c>
      <c r="E63">
        <v>0.04</v>
      </c>
      <c r="F63">
        <v>2028</v>
      </c>
      <c r="G63">
        <v>722</v>
      </c>
      <c r="H63">
        <v>1718</v>
      </c>
      <c r="I63">
        <v>378</v>
      </c>
      <c r="J63">
        <v>567</v>
      </c>
      <c r="K63">
        <v>335</v>
      </c>
      <c r="L63">
        <v>1090</v>
      </c>
      <c r="M63">
        <v>361</v>
      </c>
      <c r="N63">
        <v>222</v>
      </c>
      <c r="O63">
        <v>75</v>
      </c>
      <c r="P63">
        <v>393</v>
      </c>
      <c r="Q63">
        <v>620</v>
      </c>
      <c r="R63">
        <v>62</v>
      </c>
    </row>
    <row r="64" spans="1:18">
      <c r="A64" s="1" t="s">
        <v>65</v>
      </c>
      <c r="B64">
        <v>34</v>
      </c>
      <c r="C64">
        <v>18</v>
      </c>
      <c r="D64">
        <v>16</v>
      </c>
      <c r="E64">
        <v>1.53</v>
      </c>
      <c r="F64">
        <v>2700</v>
      </c>
      <c r="G64">
        <v>878</v>
      </c>
      <c r="H64">
        <v>2067</v>
      </c>
      <c r="I64">
        <v>618</v>
      </c>
      <c r="J64">
        <v>861</v>
      </c>
      <c r="K64">
        <v>442</v>
      </c>
      <c r="L64">
        <v>1359</v>
      </c>
      <c r="M64">
        <v>455</v>
      </c>
      <c r="N64">
        <v>131</v>
      </c>
      <c r="O64">
        <v>77</v>
      </c>
      <c r="P64">
        <v>395</v>
      </c>
      <c r="Q64">
        <v>657</v>
      </c>
      <c r="R64">
        <v>63</v>
      </c>
    </row>
    <row r="65" spans="1:18">
      <c r="A65" s="1" t="s">
        <v>66</v>
      </c>
      <c r="B65">
        <v>34</v>
      </c>
      <c r="C65">
        <v>22</v>
      </c>
      <c r="D65">
        <v>12</v>
      </c>
      <c r="E65">
        <v>7.64</v>
      </c>
      <c r="F65">
        <v>2576</v>
      </c>
      <c r="G65">
        <v>865</v>
      </c>
      <c r="H65">
        <v>2029</v>
      </c>
      <c r="I65">
        <v>594</v>
      </c>
      <c r="J65">
        <v>808</v>
      </c>
      <c r="K65">
        <v>446</v>
      </c>
      <c r="L65">
        <v>1434</v>
      </c>
      <c r="M65">
        <v>461</v>
      </c>
      <c r="N65">
        <v>177</v>
      </c>
      <c r="O65">
        <v>167</v>
      </c>
      <c r="P65">
        <v>454</v>
      </c>
      <c r="Q65">
        <v>638</v>
      </c>
      <c r="R65">
        <v>64</v>
      </c>
    </row>
    <row r="66" spans="1:18">
      <c r="A66" s="1" t="s">
        <v>67</v>
      </c>
      <c r="B66">
        <v>35</v>
      </c>
      <c r="C66">
        <v>25</v>
      </c>
      <c r="D66">
        <v>10</v>
      </c>
      <c r="E66">
        <v>-2.5499999999999998</v>
      </c>
      <c r="F66">
        <v>2670</v>
      </c>
      <c r="G66">
        <v>899</v>
      </c>
      <c r="H66">
        <v>1986</v>
      </c>
      <c r="I66">
        <v>536</v>
      </c>
      <c r="J66">
        <v>745</v>
      </c>
      <c r="K66">
        <v>366</v>
      </c>
      <c r="L66">
        <v>1240</v>
      </c>
      <c r="M66">
        <v>518</v>
      </c>
      <c r="N66">
        <v>220</v>
      </c>
      <c r="O66">
        <v>121</v>
      </c>
      <c r="P66">
        <v>379</v>
      </c>
      <c r="Q66">
        <v>649</v>
      </c>
      <c r="R66">
        <v>65</v>
      </c>
    </row>
    <row r="67" spans="1:18">
      <c r="A67" s="1" t="s">
        <v>275</v>
      </c>
      <c r="B67">
        <v>36</v>
      </c>
      <c r="C67">
        <v>25</v>
      </c>
      <c r="D67">
        <v>11</v>
      </c>
      <c r="E67">
        <v>6.28</v>
      </c>
      <c r="F67">
        <v>2631</v>
      </c>
      <c r="G67">
        <v>944</v>
      </c>
      <c r="H67">
        <v>2078</v>
      </c>
      <c r="I67">
        <v>488</v>
      </c>
      <c r="J67">
        <v>615</v>
      </c>
      <c r="K67">
        <v>338</v>
      </c>
      <c r="L67">
        <v>1300</v>
      </c>
      <c r="M67">
        <v>489</v>
      </c>
      <c r="N67">
        <v>210</v>
      </c>
      <c r="O67">
        <v>182</v>
      </c>
      <c r="P67">
        <v>385</v>
      </c>
      <c r="Q67">
        <v>657</v>
      </c>
      <c r="R67">
        <v>66</v>
      </c>
    </row>
    <row r="68" spans="1:18">
      <c r="A68" s="1" t="s">
        <v>68</v>
      </c>
      <c r="B68">
        <v>31</v>
      </c>
      <c r="C68">
        <v>9</v>
      </c>
      <c r="D68">
        <v>22</v>
      </c>
      <c r="E68">
        <v>-6.06</v>
      </c>
      <c r="F68">
        <v>2240</v>
      </c>
      <c r="G68">
        <v>741</v>
      </c>
      <c r="H68">
        <v>1933</v>
      </c>
      <c r="I68">
        <v>520</v>
      </c>
      <c r="J68">
        <v>737</v>
      </c>
      <c r="K68">
        <v>406</v>
      </c>
      <c r="L68">
        <v>1144</v>
      </c>
      <c r="M68">
        <v>348</v>
      </c>
      <c r="N68">
        <v>174</v>
      </c>
      <c r="O68">
        <v>91</v>
      </c>
      <c r="P68">
        <v>408</v>
      </c>
      <c r="Q68">
        <v>666</v>
      </c>
      <c r="R68">
        <v>67</v>
      </c>
    </row>
    <row r="69" spans="1:18">
      <c r="A69" s="1" t="s">
        <v>69</v>
      </c>
      <c r="B69">
        <v>28</v>
      </c>
      <c r="C69">
        <v>10</v>
      </c>
      <c r="D69">
        <v>18</v>
      </c>
      <c r="E69">
        <v>-1.04</v>
      </c>
      <c r="F69">
        <v>1992</v>
      </c>
      <c r="G69">
        <v>703</v>
      </c>
      <c r="H69">
        <v>1674</v>
      </c>
      <c r="I69">
        <v>353</v>
      </c>
      <c r="J69">
        <v>542</v>
      </c>
      <c r="K69">
        <v>244</v>
      </c>
      <c r="L69">
        <v>910</v>
      </c>
      <c r="M69">
        <v>302</v>
      </c>
      <c r="N69">
        <v>217</v>
      </c>
      <c r="O69">
        <v>107</v>
      </c>
      <c r="P69">
        <v>372</v>
      </c>
      <c r="Q69">
        <v>563</v>
      </c>
      <c r="R69">
        <v>68</v>
      </c>
    </row>
    <row r="70" spans="1:18">
      <c r="A70" s="1" t="s">
        <v>326</v>
      </c>
      <c r="B70">
        <v>35</v>
      </c>
      <c r="C70">
        <v>20</v>
      </c>
      <c r="D70">
        <v>15</v>
      </c>
      <c r="E70">
        <v>6.44</v>
      </c>
      <c r="F70">
        <v>2787</v>
      </c>
      <c r="G70">
        <v>979</v>
      </c>
      <c r="H70">
        <v>2081</v>
      </c>
      <c r="I70">
        <v>546</v>
      </c>
      <c r="J70">
        <v>780</v>
      </c>
      <c r="K70">
        <v>334</v>
      </c>
      <c r="L70">
        <v>1299</v>
      </c>
      <c r="M70">
        <v>537</v>
      </c>
      <c r="N70">
        <v>211</v>
      </c>
      <c r="O70">
        <v>108</v>
      </c>
      <c r="P70">
        <v>406</v>
      </c>
      <c r="Q70">
        <v>661</v>
      </c>
      <c r="R70">
        <v>69</v>
      </c>
    </row>
    <row r="71" spans="1:18">
      <c r="A71" s="1" t="s">
        <v>70</v>
      </c>
      <c r="B71">
        <v>28</v>
      </c>
      <c r="C71">
        <v>10</v>
      </c>
      <c r="D71">
        <v>18</v>
      </c>
      <c r="E71">
        <v>-3.29</v>
      </c>
      <c r="F71">
        <v>1992</v>
      </c>
      <c r="G71">
        <v>700</v>
      </c>
      <c r="H71">
        <v>1606</v>
      </c>
      <c r="I71">
        <v>436</v>
      </c>
      <c r="J71">
        <v>603</v>
      </c>
      <c r="K71">
        <v>335</v>
      </c>
      <c r="L71">
        <v>1005</v>
      </c>
      <c r="M71">
        <v>367</v>
      </c>
      <c r="N71">
        <v>192</v>
      </c>
      <c r="O71">
        <v>48</v>
      </c>
      <c r="P71">
        <v>401</v>
      </c>
      <c r="Q71">
        <v>569</v>
      </c>
      <c r="R71">
        <v>70</v>
      </c>
    </row>
    <row r="72" spans="1:18">
      <c r="A72" s="1" t="s">
        <v>71</v>
      </c>
      <c r="B72">
        <v>33</v>
      </c>
      <c r="C72">
        <v>20</v>
      </c>
      <c r="D72">
        <v>13</v>
      </c>
      <c r="E72">
        <v>5.14</v>
      </c>
      <c r="F72">
        <v>2608</v>
      </c>
      <c r="G72">
        <v>894</v>
      </c>
      <c r="H72">
        <v>2022</v>
      </c>
      <c r="I72">
        <v>503</v>
      </c>
      <c r="J72">
        <v>661</v>
      </c>
      <c r="K72">
        <v>312</v>
      </c>
      <c r="L72">
        <v>1154</v>
      </c>
      <c r="M72">
        <v>497</v>
      </c>
      <c r="N72">
        <v>154</v>
      </c>
      <c r="O72">
        <v>102</v>
      </c>
      <c r="P72">
        <v>335</v>
      </c>
      <c r="Q72">
        <v>567</v>
      </c>
      <c r="R72">
        <v>71</v>
      </c>
    </row>
    <row r="73" spans="1:18">
      <c r="A73" s="1" t="s">
        <v>276</v>
      </c>
      <c r="B73">
        <v>33</v>
      </c>
      <c r="C73">
        <v>25</v>
      </c>
      <c r="D73">
        <v>8</v>
      </c>
      <c r="E73">
        <v>4.76</v>
      </c>
      <c r="F73">
        <v>2393</v>
      </c>
      <c r="G73">
        <v>836</v>
      </c>
      <c r="H73">
        <v>1836</v>
      </c>
      <c r="I73">
        <v>500</v>
      </c>
      <c r="J73">
        <v>749</v>
      </c>
      <c r="K73">
        <v>327</v>
      </c>
      <c r="L73">
        <v>1265</v>
      </c>
      <c r="M73">
        <v>480</v>
      </c>
      <c r="N73">
        <v>196</v>
      </c>
      <c r="O73">
        <v>145</v>
      </c>
      <c r="P73">
        <v>427</v>
      </c>
      <c r="Q73">
        <v>626</v>
      </c>
      <c r="R73">
        <v>72</v>
      </c>
    </row>
    <row r="74" spans="1:18">
      <c r="A74" s="1" t="s">
        <v>72</v>
      </c>
      <c r="B74">
        <v>32</v>
      </c>
      <c r="C74">
        <v>7</v>
      </c>
      <c r="D74">
        <v>25</v>
      </c>
      <c r="E74">
        <v>-6.85</v>
      </c>
      <c r="F74">
        <v>1980</v>
      </c>
      <c r="G74">
        <v>710</v>
      </c>
      <c r="H74">
        <v>1815</v>
      </c>
      <c r="I74">
        <v>330</v>
      </c>
      <c r="J74">
        <v>536</v>
      </c>
      <c r="K74">
        <v>340</v>
      </c>
      <c r="L74">
        <v>1064</v>
      </c>
      <c r="M74">
        <v>367</v>
      </c>
      <c r="N74">
        <v>173</v>
      </c>
      <c r="O74">
        <v>93</v>
      </c>
      <c r="P74">
        <v>446</v>
      </c>
      <c r="Q74">
        <v>635</v>
      </c>
      <c r="R74">
        <v>73</v>
      </c>
    </row>
    <row r="75" spans="1:18">
      <c r="A75" s="1" t="s">
        <v>73</v>
      </c>
      <c r="B75">
        <v>30</v>
      </c>
      <c r="C75">
        <v>7</v>
      </c>
      <c r="D75">
        <v>23</v>
      </c>
      <c r="E75">
        <v>0.85</v>
      </c>
      <c r="F75">
        <v>1986</v>
      </c>
      <c r="G75">
        <v>669</v>
      </c>
      <c r="H75">
        <v>1663</v>
      </c>
      <c r="I75">
        <v>480</v>
      </c>
      <c r="J75">
        <v>701</v>
      </c>
      <c r="K75">
        <v>330</v>
      </c>
      <c r="L75">
        <v>1132</v>
      </c>
      <c r="M75">
        <v>319</v>
      </c>
      <c r="N75">
        <v>108</v>
      </c>
      <c r="O75">
        <v>87</v>
      </c>
      <c r="P75">
        <v>360</v>
      </c>
      <c r="Q75">
        <v>535</v>
      </c>
      <c r="R75">
        <v>74</v>
      </c>
    </row>
    <row r="76" spans="1:18">
      <c r="A76" s="1" t="s">
        <v>74</v>
      </c>
      <c r="B76">
        <v>31</v>
      </c>
      <c r="C76">
        <v>16</v>
      </c>
      <c r="D76">
        <v>15</v>
      </c>
      <c r="E76">
        <v>-3.24</v>
      </c>
      <c r="F76">
        <v>2021</v>
      </c>
      <c r="G76">
        <v>689</v>
      </c>
      <c r="H76">
        <v>1449</v>
      </c>
      <c r="I76">
        <v>408</v>
      </c>
      <c r="J76">
        <v>530</v>
      </c>
      <c r="K76">
        <v>168</v>
      </c>
      <c r="L76">
        <v>781</v>
      </c>
      <c r="M76">
        <v>443</v>
      </c>
      <c r="N76">
        <v>198</v>
      </c>
      <c r="O76">
        <v>71</v>
      </c>
      <c r="P76">
        <v>404</v>
      </c>
      <c r="Q76">
        <v>593</v>
      </c>
      <c r="R76">
        <v>75</v>
      </c>
    </row>
    <row r="77" spans="1:18">
      <c r="A77" s="1" t="s">
        <v>277</v>
      </c>
      <c r="B77">
        <v>31</v>
      </c>
      <c r="C77">
        <v>9</v>
      </c>
      <c r="D77">
        <v>22</v>
      </c>
      <c r="E77">
        <v>8.34</v>
      </c>
      <c r="F77">
        <v>2092</v>
      </c>
      <c r="G77">
        <v>752</v>
      </c>
      <c r="H77">
        <v>1691</v>
      </c>
      <c r="I77">
        <v>420</v>
      </c>
      <c r="J77">
        <v>618</v>
      </c>
      <c r="K77">
        <v>317</v>
      </c>
      <c r="L77">
        <v>1059</v>
      </c>
      <c r="M77">
        <v>366</v>
      </c>
      <c r="N77">
        <v>150</v>
      </c>
      <c r="O77">
        <v>95</v>
      </c>
      <c r="P77">
        <v>458</v>
      </c>
      <c r="Q77">
        <v>687</v>
      </c>
      <c r="R77">
        <v>76</v>
      </c>
    </row>
    <row r="78" spans="1:18">
      <c r="A78" s="1" t="s">
        <v>75</v>
      </c>
      <c r="B78">
        <v>31</v>
      </c>
      <c r="C78">
        <v>16</v>
      </c>
      <c r="D78">
        <v>15</v>
      </c>
      <c r="E78">
        <v>-0.82</v>
      </c>
      <c r="F78">
        <v>2595</v>
      </c>
      <c r="G78">
        <v>898</v>
      </c>
      <c r="H78">
        <v>1929</v>
      </c>
      <c r="I78">
        <v>555</v>
      </c>
      <c r="J78">
        <v>795</v>
      </c>
      <c r="K78">
        <v>373</v>
      </c>
      <c r="L78">
        <v>1169</v>
      </c>
      <c r="M78">
        <v>409</v>
      </c>
      <c r="N78">
        <v>213</v>
      </c>
      <c r="O78">
        <v>133</v>
      </c>
      <c r="P78">
        <v>422</v>
      </c>
      <c r="Q78">
        <v>706</v>
      </c>
      <c r="R78">
        <v>77</v>
      </c>
    </row>
    <row r="79" spans="1:18">
      <c r="A79" s="1" t="s">
        <v>76</v>
      </c>
      <c r="B79">
        <v>31</v>
      </c>
      <c r="C79">
        <v>7</v>
      </c>
      <c r="D79">
        <v>24</v>
      </c>
      <c r="E79">
        <v>0.92</v>
      </c>
      <c r="F79">
        <v>2093</v>
      </c>
      <c r="G79">
        <v>736</v>
      </c>
      <c r="H79">
        <v>1639</v>
      </c>
      <c r="I79">
        <v>406</v>
      </c>
      <c r="J79">
        <v>562</v>
      </c>
      <c r="K79">
        <v>253</v>
      </c>
      <c r="L79">
        <v>1043</v>
      </c>
      <c r="M79">
        <v>378</v>
      </c>
      <c r="N79">
        <v>116</v>
      </c>
      <c r="O79">
        <v>65</v>
      </c>
      <c r="P79">
        <v>421</v>
      </c>
      <c r="Q79">
        <v>559</v>
      </c>
      <c r="R79">
        <v>78</v>
      </c>
    </row>
    <row r="80" spans="1:18">
      <c r="A80" s="1" t="s">
        <v>77</v>
      </c>
      <c r="B80">
        <v>31</v>
      </c>
      <c r="C80">
        <v>6</v>
      </c>
      <c r="D80">
        <v>25</v>
      </c>
      <c r="E80">
        <v>1.88</v>
      </c>
      <c r="F80">
        <v>1958</v>
      </c>
      <c r="G80">
        <v>677</v>
      </c>
      <c r="H80">
        <v>1721</v>
      </c>
      <c r="I80">
        <v>434</v>
      </c>
      <c r="J80">
        <v>634</v>
      </c>
      <c r="K80">
        <v>324</v>
      </c>
      <c r="L80">
        <v>1022</v>
      </c>
      <c r="M80">
        <v>384</v>
      </c>
      <c r="N80">
        <v>141</v>
      </c>
      <c r="O80">
        <v>108</v>
      </c>
      <c r="P80">
        <v>345</v>
      </c>
      <c r="Q80">
        <v>676</v>
      </c>
      <c r="R80">
        <v>79</v>
      </c>
    </row>
    <row r="81" spans="1:18">
      <c r="A81" s="1" t="s">
        <v>373</v>
      </c>
      <c r="B81">
        <v>36</v>
      </c>
      <c r="C81">
        <v>25</v>
      </c>
      <c r="D81">
        <v>11</v>
      </c>
      <c r="E81">
        <v>10.59</v>
      </c>
      <c r="F81">
        <v>2920</v>
      </c>
      <c r="G81">
        <v>983</v>
      </c>
      <c r="H81">
        <v>2136</v>
      </c>
      <c r="I81">
        <v>626</v>
      </c>
      <c r="J81">
        <v>866</v>
      </c>
      <c r="K81">
        <v>426</v>
      </c>
      <c r="L81">
        <v>1296</v>
      </c>
      <c r="M81">
        <v>478</v>
      </c>
      <c r="N81">
        <v>226</v>
      </c>
      <c r="O81">
        <v>154</v>
      </c>
      <c r="P81">
        <v>354</v>
      </c>
      <c r="Q81">
        <v>603</v>
      </c>
      <c r="R81">
        <v>80</v>
      </c>
    </row>
    <row r="82" spans="1:18">
      <c r="A82" s="1" t="s">
        <v>78</v>
      </c>
      <c r="B82">
        <v>34</v>
      </c>
      <c r="C82">
        <v>17</v>
      </c>
      <c r="D82">
        <v>17</v>
      </c>
      <c r="E82">
        <v>1.35</v>
      </c>
      <c r="F82">
        <v>2704</v>
      </c>
      <c r="G82">
        <v>950</v>
      </c>
      <c r="H82">
        <v>2056</v>
      </c>
      <c r="I82">
        <v>482</v>
      </c>
      <c r="J82">
        <v>698</v>
      </c>
      <c r="K82">
        <v>347</v>
      </c>
      <c r="L82">
        <v>1332</v>
      </c>
      <c r="M82">
        <v>531</v>
      </c>
      <c r="N82">
        <v>159</v>
      </c>
      <c r="O82">
        <v>128</v>
      </c>
      <c r="P82">
        <v>473</v>
      </c>
      <c r="Q82">
        <v>689</v>
      </c>
      <c r="R82">
        <v>81</v>
      </c>
    </row>
    <row r="83" spans="1:18">
      <c r="A83" s="1" t="s">
        <v>79</v>
      </c>
      <c r="B83">
        <v>32</v>
      </c>
      <c r="C83">
        <v>12</v>
      </c>
      <c r="D83">
        <v>20</v>
      </c>
      <c r="E83">
        <v>3.22</v>
      </c>
      <c r="F83">
        <v>2186</v>
      </c>
      <c r="G83">
        <v>761</v>
      </c>
      <c r="H83">
        <v>1790</v>
      </c>
      <c r="I83">
        <v>432</v>
      </c>
      <c r="J83">
        <v>620</v>
      </c>
      <c r="K83">
        <v>320</v>
      </c>
      <c r="L83">
        <v>1093</v>
      </c>
      <c r="M83">
        <v>486</v>
      </c>
      <c r="N83">
        <v>183</v>
      </c>
      <c r="O83">
        <v>64</v>
      </c>
      <c r="P83">
        <v>424</v>
      </c>
      <c r="Q83">
        <v>536</v>
      </c>
      <c r="R83">
        <v>82</v>
      </c>
    </row>
    <row r="84" spans="1:18">
      <c r="A84" s="1" t="s">
        <v>80</v>
      </c>
      <c r="B84">
        <v>36</v>
      </c>
      <c r="C84">
        <v>24</v>
      </c>
      <c r="D84">
        <v>12</v>
      </c>
      <c r="E84">
        <v>-2.29</v>
      </c>
      <c r="F84">
        <v>2813</v>
      </c>
      <c r="G84">
        <v>984</v>
      </c>
      <c r="H84">
        <v>2135</v>
      </c>
      <c r="I84">
        <v>550</v>
      </c>
      <c r="J84">
        <v>774</v>
      </c>
      <c r="K84">
        <v>376</v>
      </c>
      <c r="L84">
        <v>1300</v>
      </c>
      <c r="M84">
        <v>447</v>
      </c>
      <c r="N84">
        <v>240</v>
      </c>
      <c r="O84">
        <v>136</v>
      </c>
      <c r="P84">
        <v>462</v>
      </c>
      <c r="Q84">
        <v>724</v>
      </c>
      <c r="R84">
        <v>83</v>
      </c>
    </row>
    <row r="85" spans="1:18">
      <c r="A85" s="1" t="s">
        <v>81</v>
      </c>
      <c r="B85">
        <v>30</v>
      </c>
      <c r="C85">
        <v>13</v>
      </c>
      <c r="D85">
        <v>17</v>
      </c>
      <c r="E85">
        <v>-3.52</v>
      </c>
      <c r="F85">
        <v>2145</v>
      </c>
      <c r="G85">
        <v>764</v>
      </c>
      <c r="H85">
        <v>1737</v>
      </c>
      <c r="I85">
        <v>385</v>
      </c>
      <c r="J85">
        <v>587</v>
      </c>
      <c r="K85">
        <v>299</v>
      </c>
      <c r="L85">
        <v>1002</v>
      </c>
      <c r="M85">
        <v>417</v>
      </c>
      <c r="N85">
        <v>177</v>
      </c>
      <c r="O85">
        <v>68</v>
      </c>
      <c r="P85">
        <v>364</v>
      </c>
      <c r="Q85">
        <v>583</v>
      </c>
      <c r="R85">
        <v>84</v>
      </c>
    </row>
    <row r="86" spans="1:18">
      <c r="A86" s="1" t="s">
        <v>82</v>
      </c>
      <c r="B86">
        <v>31</v>
      </c>
      <c r="C86">
        <v>15</v>
      </c>
      <c r="D86">
        <v>16</v>
      </c>
      <c r="E86">
        <v>-3.86</v>
      </c>
      <c r="F86">
        <v>2497</v>
      </c>
      <c r="G86">
        <v>864</v>
      </c>
      <c r="H86">
        <v>1760</v>
      </c>
      <c r="I86">
        <v>511</v>
      </c>
      <c r="J86">
        <v>700</v>
      </c>
      <c r="K86">
        <v>274</v>
      </c>
      <c r="L86">
        <v>1004</v>
      </c>
      <c r="M86">
        <v>495</v>
      </c>
      <c r="N86">
        <v>218</v>
      </c>
      <c r="O86">
        <v>95</v>
      </c>
      <c r="P86">
        <v>457</v>
      </c>
      <c r="Q86">
        <v>665</v>
      </c>
      <c r="R86">
        <v>85</v>
      </c>
    </row>
    <row r="87" spans="1:18">
      <c r="A87" s="1" t="s">
        <v>83</v>
      </c>
      <c r="B87">
        <v>33</v>
      </c>
      <c r="C87">
        <v>18</v>
      </c>
      <c r="D87">
        <v>15</v>
      </c>
      <c r="E87">
        <v>1.24</v>
      </c>
      <c r="F87">
        <v>2553</v>
      </c>
      <c r="G87">
        <v>875</v>
      </c>
      <c r="H87">
        <v>1961</v>
      </c>
      <c r="I87">
        <v>616</v>
      </c>
      <c r="J87">
        <v>854</v>
      </c>
      <c r="K87">
        <v>387</v>
      </c>
      <c r="L87">
        <v>1194</v>
      </c>
      <c r="M87">
        <v>379</v>
      </c>
      <c r="N87">
        <v>312</v>
      </c>
      <c r="O87">
        <v>122</v>
      </c>
      <c r="P87">
        <v>425</v>
      </c>
      <c r="Q87">
        <v>674</v>
      </c>
      <c r="R87">
        <v>86</v>
      </c>
    </row>
    <row r="88" spans="1:18">
      <c r="A88" s="1" t="s">
        <v>84</v>
      </c>
      <c r="B88">
        <v>34</v>
      </c>
      <c r="C88">
        <v>18</v>
      </c>
      <c r="D88">
        <v>16</v>
      </c>
      <c r="E88">
        <v>-6.03</v>
      </c>
      <c r="F88">
        <v>2769</v>
      </c>
      <c r="G88">
        <v>961</v>
      </c>
      <c r="H88">
        <v>1989</v>
      </c>
      <c r="I88">
        <v>491</v>
      </c>
      <c r="J88">
        <v>719</v>
      </c>
      <c r="K88">
        <v>319</v>
      </c>
      <c r="L88">
        <v>1133</v>
      </c>
      <c r="M88">
        <v>449</v>
      </c>
      <c r="N88">
        <v>202</v>
      </c>
      <c r="O88">
        <v>129</v>
      </c>
      <c r="P88">
        <v>381</v>
      </c>
      <c r="Q88">
        <v>658</v>
      </c>
      <c r="R88">
        <v>87</v>
      </c>
    </row>
    <row r="89" spans="1:18">
      <c r="A89" s="1" t="s">
        <v>85</v>
      </c>
      <c r="B89">
        <v>32</v>
      </c>
      <c r="C89">
        <v>16</v>
      </c>
      <c r="D89">
        <v>16</v>
      </c>
      <c r="E89">
        <v>0.66</v>
      </c>
      <c r="F89">
        <v>2429</v>
      </c>
      <c r="G89">
        <v>865</v>
      </c>
      <c r="H89">
        <v>1942</v>
      </c>
      <c r="I89">
        <v>396</v>
      </c>
      <c r="J89">
        <v>599</v>
      </c>
      <c r="K89">
        <v>335</v>
      </c>
      <c r="L89">
        <v>1185</v>
      </c>
      <c r="M89">
        <v>488</v>
      </c>
      <c r="N89">
        <v>176</v>
      </c>
      <c r="O89">
        <v>72</v>
      </c>
      <c r="P89">
        <v>411</v>
      </c>
      <c r="Q89">
        <v>607</v>
      </c>
      <c r="R89">
        <v>88</v>
      </c>
    </row>
    <row r="90" spans="1:18">
      <c r="A90" s="1" t="s">
        <v>86</v>
      </c>
      <c r="B90">
        <v>34</v>
      </c>
      <c r="C90">
        <v>25</v>
      </c>
      <c r="D90">
        <v>9</v>
      </c>
      <c r="E90">
        <v>-0.39</v>
      </c>
      <c r="F90">
        <v>2526</v>
      </c>
      <c r="G90">
        <v>879</v>
      </c>
      <c r="H90">
        <v>1795</v>
      </c>
      <c r="I90">
        <v>610</v>
      </c>
      <c r="J90">
        <v>843</v>
      </c>
      <c r="K90">
        <v>260</v>
      </c>
      <c r="L90">
        <v>1202</v>
      </c>
      <c r="M90">
        <v>595</v>
      </c>
      <c r="N90">
        <v>178</v>
      </c>
      <c r="O90">
        <v>147</v>
      </c>
      <c r="P90">
        <v>426</v>
      </c>
      <c r="Q90">
        <v>601</v>
      </c>
      <c r="R90">
        <v>89</v>
      </c>
    </row>
    <row r="91" spans="1:18">
      <c r="A91" s="1" t="s">
        <v>87</v>
      </c>
      <c r="B91">
        <v>33</v>
      </c>
      <c r="C91">
        <v>19</v>
      </c>
      <c r="D91">
        <v>14</v>
      </c>
      <c r="E91">
        <v>-3.14</v>
      </c>
      <c r="F91">
        <v>2522</v>
      </c>
      <c r="G91">
        <v>875</v>
      </c>
      <c r="H91">
        <v>1991</v>
      </c>
      <c r="I91">
        <v>479</v>
      </c>
      <c r="J91">
        <v>650</v>
      </c>
      <c r="K91">
        <v>298</v>
      </c>
      <c r="L91">
        <v>1146</v>
      </c>
      <c r="M91">
        <v>503</v>
      </c>
      <c r="N91">
        <v>213</v>
      </c>
      <c r="O91">
        <v>135</v>
      </c>
      <c r="P91">
        <v>427</v>
      </c>
      <c r="Q91">
        <v>633</v>
      </c>
      <c r="R91">
        <v>90</v>
      </c>
    </row>
    <row r="92" spans="1:18">
      <c r="A92" s="1" t="s">
        <v>88</v>
      </c>
      <c r="B92">
        <v>33</v>
      </c>
      <c r="C92">
        <v>18</v>
      </c>
      <c r="D92">
        <v>15</v>
      </c>
      <c r="E92">
        <v>-8.31</v>
      </c>
      <c r="F92">
        <v>2558</v>
      </c>
      <c r="G92">
        <v>929</v>
      </c>
      <c r="H92">
        <v>2029</v>
      </c>
      <c r="I92">
        <v>462</v>
      </c>
      <c r="J92">
        <v>663</v>
      </c>
      <c r="K92">
        <v>348</v>
      </c>
      <c r="L92">
        <v>1108</v>
      </c>
      <c r="M92">
        <v>472</v>
      </c>
      <c r="N92">
        <v>250</v>
      </c>
      <c r="O92">
        <v>87</v>
      </c>
      <c r="P92">
        <v>423</v>
      </c>
      <c r="Q92">
        <v>720</v>
      </c>
      <c r="R92">
        <v>91</v>
      </c>
    </row>
    <row r="93" spans="1:18">
      <c r="A93" s="1" t="s">
        <v>89</v>
      </c>
      <c r="B93">
        <v>29</v>
      </c>
      <c r="C93">
        <v>8</v>
      </c>
      <c r="D93">
        <v>21</v>
      </c>
      <c r="E93">
        <v>-10.67</v>
      </c>
      <c r="F93">
        <v>1863</v>
      </c>
      <c r="G93">
        <v>644</v>
      </c>
      <c r="H93">
        <v>1606</v>
      </c>
      <c r="I93">
        <v>407</v>
      </c>
      <c r="J93">
        <v>691</v>
      </c>
      <c r="K93">
        <v>293</v>
      </c>
      <c r="L93">
        <v>1010</v>
      </c>
      <c r="M93">
        <v>319</v>
      </c>
      <c r="N93">
        <v>192</v>
      </c>
      <c r="O93">
        <v>65</v>
      </c>
      <c r="P93">
        <v>466</v>
      </c>
      <c r="Q93">
        <v>566</v>
      </c>
      <c r="R93">
        <v>92</v>
      </c>
    </row>
    <row r="94" spans="1:18">
      <c r="A94" s="1" t="s">
        <v>90</v>
      </c>
      <c r="B94">
        <v>33</v>
      </c>
      <c r="C94">
        <v>8</v>
      </c>
      <c r="D94">
        <v>25</v>
      </c>
      <c r="E94">
        <v>-1.72</v>
      </c>
      <c r="F94">
        <v>2189</v>
      </c>
      <c r="G94">
        <v>752</v>
      </c>
      <c r="H94">
        <v>1847</v>
      </c>
      <c r="I94">
        <v>456</v>
      </c>
      <c r="J94">
        <v>624</v>
      </c>
      <c r="K94">
        <v>282</v>
      </c>
      <c r="L94">
        <v>1071</v>
      </c>
      <c r="M94">
        <v>385</v>
      </c>
      <c r="N94">
        <v>175</v>
      </c>
      <c r="O94">
        <v>140</v>
      </c>
      <c r="P94">
        <v>402</v>
      </c>
      <c r="Q94">
        <v>631</v>
      </c>
      <c r="R94">
        <v>93</v>
      </c>
    </row>
    <row r="95" spans="1:18">
      <c r="A95" s="1" t="s">
        <v>346</v>
      </c>
      <c r="B95">
        <v>35</v>
      </c>
      <c r="C95">
        <v>21</v>
      </c>
      <c r="D95">
        <v>14</v>
      </c>
      <c r="E95">
        <v>-3.82</v>
      </c>
      <c r="F95">
        <v>2703</v>
      </c>
      <c r="G95">
        <v>1008</v>
      </c>
      <c r="H95">
        <v>2106</v>
      </c>
      <c r="I95">
        <v>501</v>
      </c>
      <c r="J95">
        <v>778</v>
      </c>
      <c r="K95">
        <v>417</v>
      </c>
      <c r="L95">
        <v>1422</v>
      </c>
      <c r="M95">
        <v>483</v>
      </c>
      <c r="N95">
        <v>230</v>
      </c>
      <c r="O95">
        <v>141</v>
      </c>
      <c r="P95">
        <v>438</v>
      </c>
      <c r="Q95">
        <v>674</v>
      </c>
      <c r="R95">
        <v>94</v>
      </c>
    </row>
    <row r="96" spans="1:18">
      <c r="A96" s="1" t="s">
        <v>91</v>
      </c>
      <c r="B96">
        <v>32</v>
      </c>
      <c r="C96">
        <v>13</v>
      </c>
      <c r="D96">
        <v>19</v>
      </c>
      <c r="E96">
        <v>-4.8099999999999996</v>
      </c>
      <c r="F96">
        <v>2277</v>
      </c>
      <c r="G96">
        <v>834</v>
      </c>
      <c r="H96">
        <v>1779</v>
      </c>
      <c r="I96">
        <v>428</v>
      </c>
      <c r="J96">
        <v>645</v>
      </c>
      <c r="K96">
        <v>328</v>
      </c>
      <c r="L96">
        <v>1196</v>
      </c>
      <c r="M96">
        <v>391</v>
      </c>
      <c r="N96">
        <v>162</v>
      </c>
      <c r="O96">
        <v>148</v>
      </c>
      <c r="P96">
        <v>414</v>
      </c>
      <c r="Q96">
        <v>598</v>
      </c>
      <c r="R96">
        <v>95</v>
      </c>
    </row>
    <row r="97" spans="1:18">
      <c r="A97" s="1" t="s">
        <v>92</v>
      </c>
      <c r="B97">
        <v>34</v>
      </c>
      <c r="C97">
        <v>20</v>
      </c>
      <c r="D97">
        <v>14</v>
      </c>
      <c r="E97">
        <v>8.16</v>
      </c>
      <c r="F97">
        <v>2652</v>
      </c>
      <c r="G97">
        <v>948</v>
      </c>
      <c r="H97">
        <v>2042</v>
      </c>
      <c r="I97">
        <v>536</v>
      </c>
      <c r="J97">
        <v>771</v>
      </c>
      <c r="K97">
        <v>389</v>
      </c>
      <c r="L97">
        <v>1257</v>
      </c>
      <c r="M97">
        <v>453</v>
      </c>
      <c r="N97">
        <v>243</v>
      </c>
      <c r="O97">
        <v>139</v>
      </c>
      <c r="P97">
        <v>441</v>
      </c>
      <c r="Q97">
        <v>656</v>
      </c>
      <c r="R97">
        <v>96</v>
      </c>
    </row>
    <row r="98" spans="1:18">
      <c r="A98" s="1" t="s">
        <v>347</v>
      </c>
      <c r="B98">
        <v>36</v>
      </c>
      <c r="C98">
        <v>21</v>
      </c>
      <c r="D98">
        <v>15</v>
      </c>
      <c r="E98">
        <v>9.19</v>
      </c>
      <c r="F98">
        <v>2677</v>
      </c>
      <c r="G98">
        <v>930</v>
      </c>
      <c r="H98">
        <v>2186</v>
      </c>
      <c r="I98">
        <v>559</v>
      </c>
      <c r="J98">
        <v>863</v>
      </c>
      <c r="K98">
        <v>470</v>
      </c>
      <c r="L98">
        <v>1436</v>
      </c>
      <c r="M98">
        <v>480</v>
      </c>
      <c r="N98">
        <v>235</v>
      </c>
      <c r="O98">
        <v>152</v>
      </c>
      <c r="P98">
        <v>405</v>
      </c>
      <c r="Q98">
        <v>700</v>
      </c>
      <c r="R98">
        <v>97</v>
      </c>
    </row>
    <row r="99" spans="1:18">
      <c r="A99" s="1" t="s">
        <v>93</v>
      </c>
      <c r="B99">
        <v>31</v>
      </c>
      <c r="C99">
        <v>17</v>
      </c>
      <c r="D99">
        <v>14</v>
      </c>
      <c r="E99">
        <v>-0.09</v>
      </c>
      <c r="F99">
        <v>2206</v>
      </c>
      <c r="G99">
        <v>782</v>
      </c>
      <c r="H99">
        <v>1744</v>
      </c>
      <c r="I99">
        <v>399</v>
      </c>
      <c r="J99">
        <v>586</v>
      </c>
      <c r="K99">
        <v>320</v>
      </c>
      <c r="L99">
        <v>1060</v>
      </c>
      <c r="M99">
        <v>488</v>
      </c>
      <c r="N99">
        <v>263</v>
      </c>
      <c r="O99">
        <v>121</v>
      </c>
      <c r="P99">
        <v>438</v>
      </c>
      <c r="Q99">
        <v>610</v>
      </c>
      <c r="R99">
        <v>98</v>
      </c>
    </row>
    <row r="100" spans="1:18">
      <c r="A100" s="1" t="s">
        <v>306</v>
      </c>
      <c r="B100">
        <v>35</v>
      </c>
      <c r="C100">
        <v>25</v>
      </c>
      <c r="D100">
        <v>10</v>
      </c>
      <c r="E100">
        <v>2.2400000000000002</v>
      </c>
      <c r="F100">
        <v>2630</v>
      </c>
      <c r="G100">
        <v>926</v>
      </c>
      <c r="H100">
        <v>2126</v>
      </c>
      <c r="I100">
        <v>559</v>
      </c>
      <c r="J100">
        <v>805</v>
      </c>
      <c r="K100">
        <v>409</v>
      </c>
      <c r="L100">
        <v>1293</v>
      </c>
      <c r="M100">
        <v>466</v>
      </c>
      <c r="N100">
        <v>295</v>
      </c>
      <c r="O100">
        <v>138</v>
      </c>
      <c r="P100">
        <v>378</v>
      </c>
      <c r="Q100">
        <v>764</v>
      </c>
      <c r="R100">
        <v>99</v>
      </c>
    </row>
    <row r="101" spans="1:18">
      <c r="A101" s="1" t="s">
        <v>94</v>
      </c>
      <c r="B101">
        <v>35</v>
      </c>
      <c r="C101">
        <v>19</v>
      </c>
      <c r="D101">
        <v>16</v>
      </c>
      <c r="E101">
        <v>-4.2</v>
      </c>
      <c r="F101">
        <v>2487</v>
      </c>
      <c r="G101">
        <v>847</v>
      </c>
      <c r="H101">
        <v>1865</v>
      </c>
      <c r="I101">
        <v>540</v>
      </c>
      <c r="J101">
        <v>777</v>
      </c>
      <c r="K101">
        <v>387</v>
      </c>
      <c r="L101">
        <v>1250</v>
      </c>
      <c r="M101">
        <v>424</v>
      </c>
      <c r="N101">
        <v>217</v>
      </c>
      <c r="O101">
        <v>115</v>
      </c>
      <c r="P101">
        <v>471</v>
      </c>
      <c r="Q101">
        <v>622</v>
      </c>
      <c r="R101">
        <v>100</v>
      </c>
    </row>
    <row r="102" spans="1:18">
      <c r="A102" s="1" t="s">
        <v>318</v>
      </c>
      <c r="B102">
        <v>33</v>
      </c>
      <c r="C102">
        <v>17</v>
      </c>
      <c r="D102">
        <v>16</v>
      </c>
      <c r="E102">
        <v>-3.96</v>
      </c>
      <c r="F102">
        <v>2476</v>
      </c>
      <c r="G102">
        <v>871</v>
      </c>
      <c r="H102">
        <v>2039</v>
      </c>
      <c r="I102">
        <v>458</v>
      </c>
      <c r="J102">
        <v>701</v>
      </c>
      <c r="K102">
        <v>435</v>
      </c>
      <c r="L102">
        <v>1257</v>
      </c>
      <c r="M102">
        <v>442</v>
      </c>
      <c r="N102">
        <v>265</v>
      </c>
      <c r="O102">
        <v>113</v>
      </c>
      <c r="P102">
        <v>439</v>
      </c>
      <c r="Q102">
        <v>666</v>
      </c>
      <c r="R102">
        <v>101</v>
      </c>
    </row>
    <row r="103" spans="1:18">
      <c r="A103" s="1" t="s">
        <v>95</v>
      </c>
      <c r="B103">
        <v>32</v>
      </c>
      <c r="C103">
        <v>11</v>
      </c>
      <c r="D103">
        <v>21</v>
      </c>
      <c r="E103">
        <v>3.62</v>
      </c>
      <c r="F103">
        <v>2140</v>
      </c>
      <c r="G103">
        <v>766</v>
      </c>
      <c r="H103">
        <v>1888</v>
      </c>
      <c r="I103">
        <v>436</v>
      </c>
      <c r="J103">
        <v>650</v>
      </c>
      <c r="K103">
        <v>419</v>
      </c>
      <c r="L103">
        <v>1359</v>
      </c>
      <c r="M103">
        <v>328</v>
      </c>
      <c r="N103">
        <v>92</v>
      </c>
      <c r="O103">
        <v>119</v>
      </c>
      <c r="P103">
        <v>407</v>
      </c>
      <c r="Q103">
        <v>570</v>
      </c>
      <c r="R103">
        <v>102</v>
      </c>
    </row>
    <row r="104" spans="1:18">
      <c r="A104" s="1" t="s">
        <v>96</v>
      </c>
      <c r="B104">
        <v>38</v>
      </c>
      <c r="C104">
        <v>28</v>
      </c>
      <c r="D104">
        <v>10</v>
      </c>
      <c r="E104">
        <v>4.24</v>
      </c>
      <c r="F104">
        <v>2875</v>
      </c>
      <c r="G104">
        <v>980</v>
      </c>
      <c r="H104">
        <v>2194</v>
      </c>
      <c r="I104">
        <v>646</v>
      </c>
      <c r="J104">
        <v>858</v>
      </c>
      <c r="K104">
        <v>453</v>
      </c>
      <c r="L104">
        <v>1442</v>
      </c>
      <c r="M104">
        <v>535</v>
      </c>
      <c r="N104">
        <v>230</v>
      </c>
      <c r="O104">
        <v>125</v>
      </c>
      <c r="P104">
        <v>426</v>
      </c>
      <c r="Q104">
        <v>621</v>
      </c>
      <c r="R104">
        <v>103</v>
      </c>
    </row>
    <row r="105" spans="1:18">
      <c r="A105" s="1" t="s">
        <v>97</v>
      </c>
      <c r="B105">
        <v>33</v>
      </c>
      <c r="C105">
        <v>15</v>
      </c>
      <c r="D105">
        <v>18</v>
      </c>
      <c r="E105">
        <v>8.49</v>
      </c>
      <c r="F105">
        <v>2430</v>
      </c>
      <c r="G105">
        <v>820</v>
      </c>
      <c r="H105">
        <v>1858</v>
      </c>
      <c r="I105">
        <v>529</v>
      </c>
      <c r="J105">
        <v>704</v>
      </c>
      <c r="K105">
        <v>316</v>
      </c>
      <c r="L105">
        <v>1181</v>
      </c>
      <c r="M105">
        <v>492</v>
      </c>
      <c r="N105">
        <v>180</v>
      </c>
      <c r="O105">
        <v>146</v>
      </c>
      <c r="P105">
        <v>442</v>
      </c>
      <c r="Q105">
        <v>755</v>
      </c>
      <c r="R105">
        <v>104</v>
      </c>
    </row>
    <row r="106" spans="1:18">
      <c r="A106" s="1" t="s">
        <v>98</v>
      </c>
      <c r="B106">
        <v>31</v>
      </c>
      <c r="C106">
        <v>14</v>
      </c>
      <c r="D106">
        <v>17</v>
      </c>
      <c r="E106">
        <v>-3.14</v>
      </c>
      <c r="F106">
        <v>2353</v>
      </c>
      <c r="G106">
        <v>781</v>
      </c>
      <c r="H106">
        <v>1903</v>
      </c>
      <c r="I106">
        <v>509</v>
      </c>
      <c r="J106">
        <v>728</v>
      </c>
      <c r="K106">
        <v>374</v>
      </c>
      <c r="L106">
        <v>1131</v>
      </c>
      <c r="M106">
        <v>344</v>
      </c>
      <c r="N106">
        <v>232</v>
      </c>
      <c r="O106">
        <v>73</v>
      </c>
      <c r="P106">
        <v>359</v>
      </c>
      <c r="Q106">
        <v>691</v>
      </c>
      <c r="R106">
        <v>105</v>
      </c>
    </row>
    <row r="107" spans="1:18">
      <c r="A107" s="1" t="s">
        <v>99</v>
      </c>
      <c r="B107">
        <v>30</v>
      </c>
      <c r="C107">
        <v>16</v>
      </c>
      <c r="D107">
        <v>14</v>
      </c>
      <c r="E107">
        <v>-2.19</v>
      </c>
      <c r="F107">
        <v>1971</v>
      </c>
      <c r="G107">
        <v>705</v>
      </c>
      <c r="H107">
        <v>1597</v>
      </c>
      <c r="I107">
        <v>412</v>
      </c>
      <c r="J107">
        <v>598</v>
      </c>
      <c r="K107">
        <v>243</v>
      </c>
      <c r="L107">
        <v>925</v>
      </c>
      <c r="M107">
        <v>352</v>
      </c>
      <c r="N107">
        <v>200</v>
      </c>
      <c r="O107">
        <v>91</v>
      </c>
      <c r="P107">
        <v>350</v>
      </c>
      <c r="Q107">
        <v>578</v>
      </c>
      <c r="R107">
        <v>106</v>
      </c>
    </row>
    <row r="108" spans="1:18">
      <c r="A108" s="1" t="s">
        <v>100</v>
      </c>
      <c r="B108">
        <v>36</v>
      </c>
      <c r="C108">
        <v>21</v>
      </c>
      <c r="D108">
        <v>15</v>
      </c>
      <c r="E108">
        <v>9.9499999999999993</v>
      </c>
      <c r="F108">
        <v>2637</v>
      </c>
      <c r="G108">
        <v>965</v>
      </c>
      <c r="H108">
        <v>2150</v>
      </c>
      <c r="I108">
        <v>492</v>
      </c>
      <c r="J108">
        <v>681</v>
      </c>
      <c r="K108">
        <v>469</v>
      </c>
      <c r="L108">
        <v>1398</v>
      </c>
      <c r="M108">
        <v>487</v>
      </c>
      <c r="N108">
        <v>158</v>
      </c>
      <c r="O108">
        <v>151</v>
      </c>
      <c r="P108">
        <v>403</v>
      </c>
      <c r="Q108">
        <v>643</v>
      </c>
      <c r="R108">
        <v>107</v>
      </c>
    </row>
    <row r="109" spans="1:18">
      <c r="A109" s="1" t="s">
        <v>101</v>
      </c>
      <c r="B109">
        <v>34</v>
      </c>
      <c r="C109">
        <v>20</v>
      </c>
      <c r="D109">
        <v>14</v>
      </c>
      <c r="E109">
        <v>8.4700000000000006</v>
      </c>
      <c r="F109">
        <v>2401</v>
      </c>
      <c r="G109">
        <v>799</v>
      </c>
      <c r="H109">
        <v>1892</v>
      </c>
      <c r="I109">
        <v>583</v>
      </c>
      <c r="J109">
        <v>823</v>
      </c>
      <c r="K109">
        <v>395</v>
      </c>
      <c r="L109">
        <v>1319</v>
      </c>
      <c r="M109">
        <v>424</v>
      </c>
      <c r="N109">
        <v>164</v>
      </c>
      <c r="O109">
        <v>174</v>
      </c>
      <c r="P109">
        <v>448</v>
      </c>
      <c r="Q109">
        <v>703</v>
      </c>
      <c r="R109">
        <v>108</v>
      </c>
    </row>
    <row r="110" spans="1:18">
      <c r="A110" s="1" t="s">
        <v>374</v>
      </c>
      <c r="B110">
        <v>36</v>
      </c>
      <c r="C110">
        <v>28</v>
      </c>
      <c r="D110">
        <v>8</v>
      </c>
      <c r="E110">
        <v>4.2300000000000004</v>
      </c>
      <c r="F110">
        <v>2840</v>
      </c>
      <c r="G110">
        <v>1011</v>
      </c>
      <c r="H110">
        <v>2081</v>
      </c>
      <c r="I110">
        <v>537</v>
      </c>
      <c r="J110">
        <v>708</v>
      </c>
      <c r="K110">
        <v>382</v>
      </c>
      <c r="L110">
        <v>1426</v>
      </c>
      <c r="M110">
        <v>501</v>
      </c>
      <c r="N110">
        <v>184</v>
      </c>
      <c r="O110">
        <v>111</v>
      </c>
      <c r="P110">
        <v>418</v>
      </c>
      <c r="Q110">
        <v>623</v>
      </c>
      <c r="R110">
        <v>109</v>
      </c>
    </row>
    <row r="111" spans="1:18">
      <c r="A111" s="1" t="s">
        <v>102</v>
      </c>
      <c r="B111">
        <v>31</v>
      </c>
      <c r="C111">
        <v>7</v>
      </c>
      <c r="D111">
        <v>24</v>
      </c>
      <c r="E111">
        <v>-8.48</v>
      </c>
      <c r="F111">
        <v>1924</v>
      </c>
      <c r="G111">
        <v>658</v>
      </c>
      <c r="H111">
        <v>1606</v>
      </c>
      <c r="I111">
        <v>456</v>
      </c>
      <c r="J111">
        <v>706</v>
      </c>
      <c r="K111">
        <v>283</v>
      </c>
      <c r="L111">
        <v>1013</v>
      </c>
      <c r="M111">
        <v>298</v>
      </c>
      <c r="N111">
        <v>210</v>
      </c>
      <c r="O111">
        <v>52</v>
      </c>
      <c r="P111">
        <v>442</v>
      </c>
      <c r="Q111">
        <v>615</v>
      </c>
      <c r="R111">
        <v>110</v>
      </c>
    </row>
    <row r="112" spans="1:18">
      <c r="A112" s="1" t="s">
        <v>364</v>
      </c>
      <c r="B112">
        <v>34</v>
      </c>
      <c r="C112">
        <v>27</v>
      </c>
      <c r="D112">
        <v>7</v>
      </c>
      <c r="E112">
        <v>-5.6</v>
      </c>
      <c r="F112">
        <v>2581</v>
      </c>
      <c r="G112">
        <v>896</v>
      </c>
      <c r="H112">
        <v>1978</v>
      </c>
      <c r="I112">
        <v>579</v>
      </c>
      <c r="J112">
        <v>835</v>
      </c>
      <c r="K112">
        <v>399</v>
      </c>
      <c r="L112">
        <v>1301</v>
      </c>
      <c r="M112">
        <v>504</v>
      </c>
      <c r="N112">
        <v>210</v>
      </c>
      <c r="O112">
        <v>90</v>
      </c>
      <c r="P112">
        <v>407</v>
      </c>
      <c r="Q112">
        <v>625</v>
      </c>
      <c r="R112">
        <v>111</v>
      </c>
    </row>
    <row r="113" spans="1:18">
      <c r="A113" s="1" t="s">
        <v>103</v>
      </c>
      <c r="B113">
        <v>36</v>
      </c>
      <c r="C113">
        <v>23</v>
      </c>
      <c r="D113">
        <v>13</v>
      </c>
      <c r="E113">
        <v>-0.67</v>
      </c>
      <c r="F113">
        <v>3013</v>
      </c>
      <c r="G113">
        <v>1048</v>
      </c>
      <c r="H113">
        <v>2350</v>
      </c>
      <c r="I113">
        <v>662</v>
      </c>
      <c r="J113">
        <v>1007</v>
      </c>
      <c r="K113">
        <v>458</v>
      </c>
      <c r="L113">
        <v>1385</v>
      </c>
      <c r="M113">
        <v>501</v>
      </c>
      <c r="N113">
        <v>358</v>
      </c>
      <c r="O113">
        <v>166</v>
      </c>
      <c r="P113">
        <v>441</v>
      </c>
      <c r="Q113">
        <v>724</v>
      </c>
      <c r="R113">
        <v>112</v>
      </c>
    </row>
    <row r="114" spans="1:18">
      <c r="A114" s="1" t="s">
        <v>104</v>
      </c>
      <c r="B114">
        <v>32</v>
      </c>
      <c r="C114">
        <v>21</v>
      </c>
      <c r="D114">
        <v>11</v>
      </c>
      <c r="E114">
        <v>-8.4499999999999993</v>
      </c>
      <c r="F114">
        <v>2363</v>
      </c>
      <c r="G114">
        <v>810</v>
      </c>
      <c r="H114">
        <v>1967</v>
      </c>
      <c r="I114">
        <v>537</v>
      </c>
      <c r="J114">
        <v>815</v>
      </c>
      <c r="K114">
        <v>447</v>
      </c>
      <c r="L114">
        <v>1322</v>
      </c>
      <c r="M114">
        <v>381</v>
      </c>
      <c r="N114">
        <v>169</v>
      </c>
      <c r="O114">
        <v>117</v>
      </c>
      <c r="P114">
        <v>440</v>
      </c>
      <c r="Q114">
        <v>649</v>
      </c>
      <c r="R114">
        <v>113</v>
      </c>
    </row>
    <row r="115" spans="1:18">
      <c r="A115" s="1" t="s">
        <v>105</v>
      </c>
      <c r="B115">
        <v>33</v>
      </c>
      <c r="C115">
        <v>10</v>
      </c>
      <c r="D115">
        <v>23</v>
      </c>
      <c r="E115">
        <v>-5.69</v>
      </c>
      <c r="F115">
        <v>2336</v>
      </c>
      <c r="G115">
        <v>777</v>
      </c>
      <c r="H115">
        <v>1906</v>
      </c>
      <c r="I115">
        <v>463</v>
      </c>
      <c r="J115">
        <v>619</v>
      </c>
      <c r="K115">
        <v>230</v>
      </c>
      <c r="L115">
        <v>992</v>
      </c>
      <c r="M115">
        <v>408</v>
      </c>
      <c r="N115">
        <v>221</v>
      </c>
      <c r="O115">
        <v>63</v>
      </c>
      <c r="P115">
        <v>385</v>
      </c>
      <c r="Q115">
        <v>702</v>
      </c>
      <c r="R115">
        <v>114</v>
      </c>
    </row>
    <row r="116" spans="1:18">
      <c r="A116" s="1" t="s">
        <v>106</v>
      </c>
      <c r="B116">
        <v>30</v>
      </c>
      <c r="C116">
        <v>14</v>
      </c>
      <c r="D116">
        <v>16</v>
      </c>
      <c r="E116">
        <v>-0.25</v>
      </c>
      <c r="F116">
        <v>2001</v>
      </c>
      <c r="G116">
        <v>734</v>
      </c>
      <c r="H116">
        <v>1648</v>
      </c>
      <c r="I116">
        <v>313</v>
      </c>
      <c r="J116">
        <v>526</v>
      </c>
      <c r="K116">
        <v>318</v>
      </c>
      <c r="L116">
        <v>1118</v>
      </c>
      <c r="M116">
        <v>452</v>
      </c>
      <c r="N116">
        <v>150</v>
      </c>
      <c r="O116">
        <v>150</v>
      </c>
      <c r="P116">
        <v>436</v>
      </c>
      <c r="Q116">
        <v>538</v>
      </c>
      <c r="R116">
        <v>115</v>
      </c>
    </row>
    <row r="117" spans="1:18">
      <c r="A117" s="1" t="s">
        <v>107</v>
      </c>
      <c r="B117">
        <v>34</v>
      </c>
      <c r="C117">
        <v>28</v>
      </c>
      <c r="D117">
        <v>6</v>
      </c>
      <c r="E117">
        <v>-1.04</v>
      </c>
      <c r="F117">
        <v>2620</v>
      </c>
      <c r="G117">
        <v>893</v>
      </c>
      <c r="H117">
        <v>1946</v>
      </c>
      <c r="I117">
        <v>597</v>
      </c>
      <c r="J117">
        <v>873</v>
      </c>
      <c r="K117">
        <v>362</v>
      </c>
      <c r="L117">
        <v>1270</v>
      </c>
      <c r="M117">
        <v>525</v>
      </c>
      <c r="N117">
        <v>257</v>
      </c>
      <c r="O117">
        <v>124</v>
      </c>
      <c r="P117">
        <v>443</v>
      </c>
      <c r="Q117">
        <v>695</v>
      </c>
      <c r="R117">
        <v>116</v>
      </c>
    </row>
    <row r="118" spans="1:18">
      <c r="A118" s="1" t="s">
        <v>108</v>
      </c>
      <c r="B118">
        <v>32</v>
      </c>
      <c r="C118">
        <v>21</v>
      </c>
      <c r="D118">
        <v>11</v>
      </c>
      <c r="E118">
        <v>-4.24</v>
      </c>
      <c r="F118">
        <v>2473</v>
      </c>
      <c r="G118">
        <v>884</v>
      </c>
      <c r="H118">
        <v>1852</v>
      </c>
      <c r="I118">
        <v>518</v>
      </c>
      <c r="J118">
        <v>680</v>
      </c>
      <c r="K118">
        <v>337</v>
      </c>
      <c r="L118">
        <v>1074</v>
      </c>
      <c r="M118">
        <v>493</v>
      </c>
      <c r="N118">
        <v>256</v>
      </c>
      <c r="O118">
        <v>94</v>
      </c>
      <c r="P118">
        <v>341</v>
      </c>
      <c r="Q118">
        <v>559</v>
      </c>
      <c r="R118">
        <v>117</v>
      </c>
    </row>
    <row r="119" spans="1:18">
      <c r="A119" s="1" t="s">
        <v>307</v>
      </c>
      <c r="B119">
        <v>34</v>
      </c>
      <c r="C119">
        <v>24</v>
      </c>
      <c r="D119">
        <v>10</v>
      </c>
      <c r="E119">
        <v>0.77</v>
      </c>
      <c r="F119">
        <v>2681</v>
      </c>
      <c r="G119">
        <v>914</v>
      </c>
      <c r="H119">
        <v>2050</v>
      </c>
      <c r="I119">
        <v>564</v>
      </c>
      <c r="J119">
        <v>818</v>
      </c>
      <c r="K119">
        <v>402</v>
      </c>
      <c r="L119">
        <v>1327</v>
      </c>
      <c r="M119">
        <v>510</v>
      </c>
      <c r="N119">
        <v>215</v>
      </c>
      <c r="O119">
        <v>108</v>
      </c>
      <c r="P119">
        <v>406</v>
      </c>
      <c r="Q119">
        <v>542</v>
      </c>
      <c r="R119">
        <v>118</v>
      </c>
    </row>
    <row r="120" spans="1:18">
      <c r="A120" s="1" t="s">
        <v>109</v>
      </c>
      <c r="B120">
        <v>35</v>
      </c>
      <c r="C120">
        <v>15</v>
      </c>
      <c r="D120">
        <v>20</v>
      </c>
      <c r="E120">
        <v>-6.11</v>
      </c>
      <c r="F120">
        <v>2267</v>
      </c>
      <c r="G120">
        <v>775</v>
      </c>
      <c r="H120">
        <v>1879</v>
      </c>
      <c r="I120">
        <v>466</v>
      </c>
      <c r="J120">
        <v>678</v>
      </c>
      <c r="K120">
        <v>279</v>
      </c>
      <c r="L120">
        <v>1052</v>
      </c>
      <c r="M120">
        <v>480</v>
      </c>
      <c r="N120">
        <v>219</v>
      </c>
      <c r="O120">
        <v>86</v>
      </c>
      <c r="P120">
        <v>386</v>
      </c>
      <c r="Q120">
        <v>585</v>
      </c>
      <c r="R120">
        <v>119</v>
      </c>
    </row>
    <row r="121" spans="1:18">
      <c r="A121" s="1" t="s">
        <v>353</v>
      </c>
      <c r="B121">
        <v>34</v>
      </c>
      <c r="C121">
        <v>17</v>
      </c>
      <c r="D121">
        <v>17</v>
      </c>
      <c r="E121">
        <v>-5.26</v>
      </c>
      <c r="F121">
        <v>2604</v>
      </c>
      <c r="G121">
        <v>899</v>
      </c>
      <c r="H121">
        <v>1903</v>
      </c>
      <c r="I121">
        <v>602</v>
      </c>
      <c r="J121">
        <v>839</v>
      </c>
      <c r="K121">
        <v>351</v>
      </c>
      <c r="L121">
        <v>1248</v>
      </c>
      <c r="M121">
        <v>471</v>
      </c>
      <c r="N121">
        <v>182</v>
      </c>
      <c r="O121">
        <v>134</v>
      </c>
      <c r="P121">
        <v>502</v>
      </c>
      <c r="Q121">
        <v>644</v>
      </c>
      <c r="R121">
        <v>120</v>
      </c>
    </row>
    <row r="122" spans="1:18">
      <c r="A122" s="1" t="s">
        <v>110</v>
      </c>
      <c r="B122">
        <v>32</v>
      </c>
      <c r="C122">
        <v>22</v>
      </c>
      <c r="D122">
        <v>10</v>
      </c>
      <c r="E122">
        <v>2.17</v>
      </c>
      <c r="F122">
        <v>2476</v>
      </c>
      <c r="G122">
        <v>897</v>
      </c>
      <c r="H122">
        <v>1926</v>
      </c>
      <c r="I122">
        <v>467</v>
      </c>
      <c r="J122">
        <v>662</v>
      </c>
      <c r="K122">
        <v>410</v>
      </c>
      <c r="L122">
        <v>1202</v>
      </c>
      <c r="M122">
        <v>412</v>
      </c>
      <c r="N122">
        <v>191</v>
      </c>
      <c r="O122">
        <v>122</v>
      </c>
      <c r="P122">
        <v>333</v>
      </c>
      <c r="Q122">
        <v>608</v>
      </c>
      <c r="R122">
        <v>121</v>
      </c>
    </row>
    <row r="123" spans="1:18">
      <c r="A123" s="1" t="s">
        <v>111</v>
      </c>
      <c r="B123">
        <v>32</v>
      </c>
      <c r="C123">
        <v>12</v>
      </c>
      <c r="D123">
        <v>20</v>
      </c>
      <c r="E123">
        <v>-8.33</v>
      </c>
      <c r="F123">
        <v>2311</v>
      </c>
      <c r="G123">
        <v>750</v>
      </c>
      <c r="H123">
        <v>1846</v>
      </c>
      <c r="I123">
        <v>667</v>
      </c>
      <c r="J123">
        <v>914</v>
      </c>
      <c r="K123">
        <v>403</v>
      </c>
      <c r="L123">
        <v>1218</v>
      </c>
      <c r="M123">
        <v>275</v>
      </c>
      <c r="N123">
        <v>197</v>
      </c>
      <c r="O123">
        <v>102</v>
      </c>
      <c r="P123">
        <v>477</v>
      </c>
      <c r="Q123">
        <v>632</v>
      </c>
      <c r="R123">
        <v>122</v>
      </c>
    </row>
    <row r="124" spans="1:18">
      <c r="A124" s="1" t="s">
        <v>112</v>
      </c>
      <c r="B124">
        <v>31</v>
      </c>
      <c r="C124">
        <v>16</v>
      </c>
      <c r="D124">
        <v>15</v>
      </c>
      <c r="E124">
        <v>-6.69</v>
      </c>
      <c r="F124">
        <v>2297</v>
      </c>
      <c r="G124">
        <v>769</v>
      </c>
      <c r="H124">
        <v>1767</v>
      </c>
      <c r="I124">
        <v>509</v>
      </c>
      <c r="J124">
        <v>700</v>
      </c>
      <c r="K124">
        <v>284</v>
      </c>
      <c r="L124">
        <v>1078</v>
      </c>
      <c r="M124">
        <v>380</v>
      </c>
      <c r="N124">
        <v>226</v>
      </c>
      <c r="O124">
        <v>90</v>
      </c>
      <c r="P124">
        <v>409</v>
      </c>
      <c r="Q124">
        <v>587</v>
      </c>
      <c r="R124">
        <v>123</v>
      </c>
    </row>
    <row r="125" spans="1:18">
      <c r="A125" s="1" t="s">
        <v>113</v>
      </c>
      <c r="B125">
        <v>34</v>
      </c>
      <c r="C125">
        <v>21</v>
      </c>
      <c r="D125">
        <v>13</v>
      </c>
      <c r="E125">
        <v>-5.88</v>
      </c>
      <c r="F125">
        <v>2372</v>
      </c>
      <c r="G125">
        <v>800</v>
      </c>
      <c r="H125">
        <v>1812</v>
      </c>
      <c r="I125">
        <v>549</v>
      </c>
      <c r="J125">
        <v>774</v>
      </c>
      <c r="K125">
        <v>387</v>
      </c>
      <c r="L125">
        <v>1257</v>
      </c>
      <c r="M125">
        <v>428</v>
      </c>
      <c r="N125">
        <v>178</v>
      </c>
      <c r="O125">
        <v>88</v>
      </c>
      <c r="P125">
        <v>506</v>
      </c>
      <c r="Q125">
        <v>735</v>
      </c>
      <c r="R125">
        <v>124</v>
      </c>
    </row>
    <row r="126" spans="1:18">
      <c r="A126" s="1" t="s">
        <v>114</v>
      </c>
      <c r="B126">
        <v>30</v>
      </c>
      <c r="C126">
        <v>5</v>
      </c>
      <c r="D126">
        <v>25</v>
      </c>
      <c r="E126">
        <v>-0.81</v>
      </c>
      <c r="F126">
        <v>2019</v>
      </c>
      <c r="G126">
        <v>697</v>
      </c>
      <c r="H126">
        <v>1796</v>
      </c>
      <c r="I126">
        <v>492</v>
      </c>
      <c r="J126">
        <v>795</v>
      </c>
      <c r="K126">
        <v>406</v>
      </c>
      <c r="L126">
        <v>1235</v>
      </c>
      <c r="M126">
        <v>347</v>
      </c>
      <c r="N126">
        <v>168</v>
      </c>
      <c r="O126">
        <v>162</v>
      </c>
      <c r="P126">
        <v>453</v>
      </c>
      <c r="Q126">
        <v>640</v>
      </c>
      <c r="R126">
        <v>125</v>
      </c>
    </row>
    <row r="127" spans="1:18">
      <c r="A127" s="1" t="s">
        <v>115</v>
      </c>
      <c r="B127">
        <v>32</v>
      </c>
      <c r="C127">
        <v>18</v>
      </c>
      <c r="D127">
        <v>14</v>
      </c>
      <c r="E127">
        <v>2.59</v>
      </c>
      <c r="F127">
        <v>2149</v>
      </c>
      <c r="G127">
        <v>759</v>
      </c>
      <c r="H127">
        <v>1835</v>
      </c>
      <c r="I127">
        <v>393</v>
      </c>
      <c r="J127">
        <v>588</v>
      </c>
      <c r="K127">
        <v>344</v>
      </c>
      <c r="L127">
        <v>1141</v>
      </c>
      <c r="M127">
        <v>402</v>
      </c>
      <c r="N127">
        <v>205</v>
      </c>
      <c r="O127">
        <v>115</v>
      </c>
      <c r="P127">
        <v>405</v>
      </c>
      <c r="Q127">
        <v>622</v>
      </c>
      <c r="R127">
        <v>126</v>
      </c>
    </row>
    <row r="128" spans="1:18">
      <c r="A128" s="1" t="s">
        <v>348</v>
      </c>
      <c r="B128">
        <v>34</v>
      </c>
      <c r="C128">
        <v>15</v>
      </c>
      <c r="D128">
        <v>19</v>
      </c>
      <c r="E128">
        <v>7.03</v>
      </c>
      <c r="F128">
        <v>2452</v>
      </c>
      <c r="G128">
        <v>861</v>
      </c>
      <c r="H128">
        <v>1993</v>
      </c>
      <c r="I128">
        <v>453</v>
      </c>
      <c r="J128">
        <v>607</v>
      </c>
      <c r="K128">
        <v>258</v>
      </c>
      <c r="L128">
        <v>1075</v>
      </c>
      <c r="M128">
        <v>462</v>
      </c>
      <c r="N128">
        <v>199</v>
      </c>
      <c r="O128">
        <v>65</v>
      </c>
      <c r="P128">
        <v>357</v>
      </c>
      <c r="Q128">
        <v>585</v>
      </c>
      <c r="R128">
        <v>127</v>
      </c>
    </row>
    <row r="129" spans="1:18">
      <c r="A129" s="1" t="s">
        <v>365</v>
      </c>
      <c r="B129">
        <v>29</v>
      </c>
      <c r="C129">
        <v>17</v>
      </c>
      <c r="D129">
        <v>12</v>
      </c>
      <c r="E129">
        <v>-6.2</v>
      </c>
      <c r="F129">
        <v>2145</v>
      </c>
      <c r="G129">
        <v>718</v>
      </c>
      <c r="H129">
        <v>1653</v>
      </c>
      <c r="I129">
        <v>475</v>
      </c>
      <c r="J129">
        <v>620</v>
      </c>
      <c r="K129">
        <v>232</v>
      </c>
      <c r="L129">
        <v>974</v>
      </c>
      <c r="M129">
        <v>428</v>
      </c>
      <c r="N129">
        <v>200</v>
      </c>
      <c r="O129">
        <v>75</v>
      </c>
      <c r="P129">
        <v>368</v>
      </c>
      <c r="Q129">
        <v>538</v>
      </c>
      <c r="R129">
        <v>128</v>
      </c>
    </row>
    <row r="130" spans="1:18">
      <c r="A130" s="1" t="s">
        <v>308</v>
      </c>
      <c r="B130">
        <v>32</v>
      </c>
      <c r="C130">
        <v>15</v>
      </c>
      <c r="D130">
        <v>17</v>
      </c>
      <c r="E130">
        <v>2.2000000000000002</v>
      </c>
      <c r="F130">
        <v>2170</v>
      </c>
      <c r="G130">
        <v>715</v>
      </c>
      <c r="H130">
        <v>1822</v>
      </c>
      <c r="I130">
        <v>530</v>
      </c>
      <c r="J130">
        <v>765</v>
      </c>
      <c r="K130">
        <v>343</v>
      </c>
      <c r="L130">
        <v>1213</v>
      </c>
      <c r="M130">
        <v>340</v>
      </c>
      <c r="N130">
        <v>184</v>
      </c>
      <c r="O130">
        <v>86</v>
      </c>
      <c r="P130">
        <v>423</v>
      </c>
      <c r="Q130">
        <v>688</v>
      </c>
      <c r="R130">
        <v>129</v>
      </c>
    </row>
    <row r="131" spans="1:18">
      <c r="A131" s="1" t="s">
        <v>327</v>
      </c>
      <c r="B131">
        <v>35</v>
      </c>
      <c r="C131">
        <v>27</v>
      </c>
      <c r="D131">
        <v>8</v>
      </c>
      <c r="E131">
        <v>6.9</v>
      </c>
      <c r="F131">
        <v>2891</v>
      </c>
      <c r="G131">
        <v>1021</v>
      </c>
      <c r="H131">
        <v>2034</v>
      </c>
      <c r="I131">
        <v>504</v>
      </c>
      <c r="J131">
        <v>688</v>
      </c>
      <c r="K131">
        <v>414</v>
      </c>
      <c r="L131">
        <v>1288</v>
      </c>
      <c r="M131">
        <v>560</v>
      </c>
      <c r="N131">
        <v>239</v>
      </c>
      <c r="O131">
        <v>137</v>
      </c>
      <c r="P131">
        <v>474</v>
      </c>
      <c r="Q131">
        <v>647</v>
      </c>
      <c r="R131">
        <v>130</v>
      </c>
    </row>
    <row r="132" spans="1:18">
      <c r="A132" s="1" t="s">
        <v>309</v>
      </c>
      <c r="B132">
        <v>33</v>
      </c>
      <c r="C132">
        <v>22</v>
      </c>
      <c r="D132">
        <v>11</v>
      </c>
      <c r="E132">
        <v>-1.78</v>
      </c>
      <c r="F132">
        <v>2628</v>
      </c>
      <c r="G132">
        <v>919</v>
      </c>
      <c r="H132">
        <v>2011</v>
      </c>
      <c r="I132">
        <v>463</v>
      </c>
      <c r="J132">
        <v>651</v>
      </c>
      <c r="K132">
        <v>348</v>
      </c>
      <c r="L132">
        <v>1218</v>
      </c>
      <c r="M132">
        <v>551</v>
      </c>
      <c r="N132">
        <v>248</v>
      </c>
      <c r="O132">
        <v>135</v>
      </c>
      <c r="P132">
        <v>422</v>
      </c>
      <c r="Q132">
        <v>642</v>
      </c>
      <c r="R132">
        <v>131</v>
      </c>
    </row>
    <row r="133" spans="1:18">
      <c r="A133" s="1" t="s">
        <v>310</v>
      </c>
      <c r="B133">
        <v>35</v>
      </c>
      <c r="C133">
        <v>23</v>
      </c>
      <c r="D133">
        <v>12</v>
      </c>
      <c r="E133">
        <v>10.16</v>
      </c>
      <c r="F133">
        <v>2862</v>
      </c>
      <c r="G133">
        <v>1087</v>
      </c>
      <c r="H133">
        <v>2159</v>
      </c>
      <c r="I133">
        <v>395</v>
      </c>
      <c r="J133">
        <v>563</v>
      </c>
      <c r="K133">
        <v>304</v>
      </c>
      <c r="L133">
        <v>1244</v>
      </c>
      <c r="M133">
        <v>577</v>
      </c>
      <c r="N133">
        <v>218</v>
      </c>
      <c r="O133">
        <v>142</v>
      </c>
      <c r="P133">
        <v>398</v>
      </c>
      <c r="Q133">
        <v>542</v>
      </c>
      <c r="R133">
        <v>132</v>
      </c>
    </row>
    <row r="134" spans="1:18">
      <c r="A134" s="1" t="s">
        <v>116</v>
      </c>
      <c r="B134">
        <v>33</v>
      </c>
      <c r="C134">
        <v>22</v>
      </c>
      <c r="D134">
        <v>11</v>
      </c>
      <c r="E134">
        <v>8.7100000000000009</v>
      </c>
      <c r="F134">
        <v>2561</v>
      </c>
      <c r="G134">
        <v>906</v>
      </c>
      <c r="H134">
        <v>2027</v>
      </c>
      <c r="I134">
        <v>480</v>
      </c>
      <c r="J134">
        <v>669</v>
      </c>
      <c r="K134">
        <v>392</v>
      </c>
      <c r="L134">
        <v>1257</v>
      </c>
      <c r="M134">
        <v>523</v>
      </c>
      <c r="N134">
        <v>223</v>
      </c>
      <c r="O134">
        <v>156</v>
      </c>
      <c r="P134">
        <v>339</v>
      </c>
      <c r="Q134">
        <v>538</v>
      </c>
      <c r="R134">
        <v>133</v>
      </c>
    </row>
    <row r="135" spans="1:18">
      <c r="A135" s="1" t="s">
        <v>319</v>
      </c>
      <c r="B135">
        <v>34</v>
      </c>
      <c r="C135">
        <v>24</v>
      </c>
      <c r="D135">
        <v>10</v>
      </c>
      <c r="E135">
        <v>-1.66</v>
      </c>
      <c r="F135">
        <v>2701</v>
      </c>
      <c r="G135">
        <v>932</v>
      </c>
      <c r="H135">
        <v>2017</v>
      </c>
      <c r="I135">
        <v>483</v>
      </c>
      <c r="J135">
        <v>671</v>
      </c>
      <c r="K135">
        <v>342</v>
      </c>
      <c r="L135">
        <v>1230</v>
      </c>
      <c r="M135">
        <v>512</v>
      </c>
      <c r="N135">
        <v>190</v>
      </c>
      <c r="O135">
        <v>112</v>
      </c>
      <c r="P135">
        <v>417</v>
      </c>
      <c r="Q135">
        <v>588</v>
      </c>
      <c r="R135">
        <v>134</v>
      </c>
    </row>
    <row r="136" spans="1:18">
      <c r="A136" s="1" t="s">
        <v>117</v>
      </c>
      <c r="B136">
        <v>32</v>
      </c>
      <c r="C136">
        <v>13</v>
      </c>
      <c r="D136">
        <v>19</v>
      </c>
      <c r="E136">
        <v>0.11</v>
      </c>
      <c r="F136">
        <v>2181</v>
      </c>
      <c r="G136">
        <v>785</v>
      </c>
      <c r="H136">
        <v>1858</v>
      </c>
      <c r="I136">
        <v>428</v>
      </c>
      <c r="J136">
        <v>607</v>
      </c>
      <c r="K136">
        <v>321</v>
      </c>
      <c r="L136">
        <v>1105</v>
      </c>
      <c r="M136">
        <v>355</v>
      </c>
      <c r="N136">
        <v>213</v>
      </c>
      <c r="O136">
        <v>81</v>
      </c>
      <c r="P136">
        <v>426</v>
      </c>
      <c r="Q136">
        <v>651</v>
      </c>
      <c r="R136">
        <v>135</v>
      </c>
    </row>
    <row r="137" spans="1:18">
      <c r="A137" s="1" t="s">
        <v>278</v>
      </c>
      <c r="B137">
        <v>36</v>
      </c>
      <c r="C137">
        <v>20</v>
      </c>
      <c r="D137">
        <v>16</v>
      </c>
      <c r="E137">
        <v>-9.5399999999999991</v>
      </c>
      <c r="F137">
        <v>2455</v>
      </c>
      <c r="G137">
        <v>898</v>
      </c>
      <c r="H137">
        <v>2208</v>
      </c>
      <c r="I137">
        <v>416</v>
      </c>
      <c r="J137">
        <v>659</v>
      </c>
      <c r="K137">
        <v>474</v>
      </c>
      <c r="L137">
        <v>1417</v>
      </c>
      <c r="M137">
        <v>445</v>
      </c>
      <c r="N137">
        <v>279</v>
      </c>
      <c r="O137">
        <v>131</v>
      </c>
      <c r="P137">
        <v>446</v>
      </c>
      <c r="Q137">
        <v>771</v>
      </c>
      <c r="R137">
        <v>136</v>
      </c>
    </row>
    <row r="138" spans="1:18">
      <c r="A138" s="1" t="s">
        <v>118</v>
      </c>
      <c r="B138">
        <v>31</v>
      </c>
      <c r="C138">
        <v>8</v>
      </c>
      <c r="D138">
        <v>23</v>
      </c>
      <c r="E138">
        <v>-3.95</v>
      </c>
      <c r="F138">
        <v>2100</v>
      </c>
      <c r="G138">
        <v>721</v>
      </c>
      <c r="H138">
        <v>1792</v>
      </c>
      <c r="I138">
        <v>415</v>
      </c>
      <c r="J138">
        <v>567</v>
      </c>
      <c r="K138">
        <v>315</v>
      </c>
      <c r="L138">
        <v>994</v>
      </c>
      <c r="M138">
        <v>377</v>
      </c>
      <c r="N138">
        <v>158</v>
      </c>
      <c r="O138">
        <v>96</v>
      </c>
      <c r="P138">
        <v>331</v>
      </c>
      <c r="Q138">
        <v>611</v>
      </c>
      <c r="R138">
        <v>137</v>
      </c>
    </row>
    <row r="139" spans="1:18">
      <c r="A139" s="1" t="s">
        <v>119</v>
      </c>
      <c r="B139">
        <v>32</v>
      </c>
      <c r="C139">
        <v>16</v>
      </c>
      <c r="D139">
        <v>16</v>
      </c>
      <c r="E139">
        <v>-6.09</v>
      </c>
      <c r="F139">
        <v>2444</v>
      </c>
      <c r="G139">
        <v>866</v>
      </c>
      <c r="H139">
        <v>1985</v>
      </c>
      <c r="I139">
        <v>434</v>
      </c>
      <c r="J139">
        <v>640</v>
      </c>
      <c r="K139">
        <v>339</v>
      </c>
      <c r="L139">
        <v>1218</v>
      </c>
      <c r="M139">
        <v>402</v>
      </c>
      <c r="N139">
        <v>207</v>
      </c>
      <c r="O139">
        <v>85</v>
      </c>
      <c r="P139">
        <v>366</v>
      </c>
      <c r="Q139">
        <v>592</v>
      </c>
      <c r="R139">
        <v>138</v>
      </c>
    </row>
    <row r="140" spans="1:18">
      <c r="A140" s="1" t="s">
        <v>120</v>
      </c>
      <c r="B140">
        <v>32</v>
      </c>
      <c r="C140">
        <v>21</v>
      </c>
      <c r="D140">
        <v>11</v>
      </c>
      <c r="E140">
        <v>0.5</v>
      </c>
      <c r="F140">
        <v>2405</v>
      </c>
      <c r="G140">
        <v>830</v>
      </c>
      <c r="H140">
        <v>1848</v>
      </c>
      <c r="I140">
        <v>467</v>
      </c>
      <c r="J140">
        <v>682</v>
      </c>
      <c r="K140">
        <v>335</v>
      </c>
      <c r="L140">
        <v>1247</v>
      </c>
      <c r="M140">
        <v>406</v>
      </c>
      <c r="N140">
        <v>139</v>
      </c>
      <c r="O140">
        <v>97</v>
      </c>
      <c r="P140">
        <v>380</v>
      </c>
      <c r="Q140">
        <v>612</v>
      </c>
      <c r="R140">
        <v>139</v>
      </c>
    </row>
    <row r="141" spans="1:18">
      <c r="A141" s="1" t="s">
        <v>121</v>
      </c>
      <c r="B141">
        <v>33</v>
      </c>
      <c r="C141">
        <v>17</v>
      </c>
      <c r="D141">
        <v>16</v>
      </c>
      <c r="E141">
        <v>9.7899999999999991</v>
      </c>
      <c r="F141">
        <v>2334</v>
      </c>
      <c r="G141">
        <v>805</v>
      </c>
      <c r="H141">
        <v>1876</v>
      </c>
      <c r="I141">
        <v>549</v>
      </c>
      <c r="J141">
        <v>798</v>
      </c>
      <c r="K141">
        <v>437</v>
      </c>
      <c r="L141">
        <v>1204</v>
      </c>
      <c r="M141">
        <v>458</v>
      </c>
      <c r="N141">
        <v>249</v>
      </c>
      <c r="O141">
        <v>91</v>
      </c>
      <c r="P141">
        <v>460</v>
      </c>
      <c r="Q141">
        <v>659</v>
      </c>
      <c r="R141">
        <v>140</v>
      </c>
    </row>
    <row r="142" spans="1:18">
      <c r="A142" s="1" t="s">
        <v>375</v>
      </c>
      <c r="B142">
        <v>38</v>
      </c>
      <c r="C142">
        <v>33</v>
      </c>
      <c r="D142">
        <v>5</v>
      </c>
      <c r="E142">
        <v>11.22</v>
      </c>
      <c r="F142">
        <v>3089</v>
      </c>
      <c r="G142">
        <v>1092</v>
      </c>
      <c r="H142">
        <v>2207</v>
      </c>
      <c r="I142">
        <v>601</v>
      </c>
      <c r="J142">
        <v>843</v>
      </c>
      <c r="K142">
        <v>402</v>
      </c>
      <c r="L142">
        <v>1443</v>
      </c>
      <c r="M142">
        <v>604</v>
      </c>
      <c r="N142">
        <v>253</v>
      </c>
      <c r="O142">
        <v>158</v>
      </c>
      <c r="P142">
        <v>478</v>
      </c>
      <c r="Q142">
        <v>719</v>
      </c>
      <c r="R142">
        <v>141</v>
      </c>
    </row>
    <row r="143" spans="1:18">
      <c r="A143" s="1" t="s">
        <v>336</v>
      </c>
      <c r="B143">
        <v>31</v>
      </c>
      <c r="C143">
        <v>11</v>
      </c>
      <c r="D143">
        <v>20</v>
      </c>
      <c r="E143">
        <v>-1.61</v>
      </c>
      <c r="F143">
        <v>2239</v>
      </c>
      <c r="G143">
        <v>811</v>
      </c>
      <c r="H143">
        <v>1826</v>
      </c>
      <c r="I143">
        <v>438</v>
      </c>
      <c r="J143">
        <v>625</v>
      </c>
      <c r="K143">
        <v>322</v>
      </c>
      <c r="L143">
        <v>1039</v>
      </c>
      <c r="M143">
        <v>378</v>
      </c>
      <c r="N143">
        <v>216</v>
      </c>
      <c r="O143">
        <v>99</v>
      </c>
      <c r="P143">
        <v>405</v>
      </c>
      <c r="Q143">
        <v>605</v>
      </c>
      <c r="R143">
        <v>142</v>
      </c>
    </row>
    <row r="144" spans="1:18">
      <c r="A144" s="1" t="s">
        <v>122</v>
      </c>
      <c r="B144">
        <v>32</v>
      </c>
      <c r="C144">
        <v>19</v>
      </c>
      <c r="D144">
        <v>13</v>
      </c>
      <c r="E144">
        <v>-1.47</v>
      </c>
      <c r="F144">
        <v>2361</v>
      </c>
      <c r="G144">
        <v>834</v>
      </c>
      <c r="H144">
        <v>1871</v>
      </c>
      <c r="I144">
        <v>508</v>
      </c>
      <c r="J144">
        <v>744</v>
      </c>
      <c r="K144">
        <v>405</v>
      </c>
      <c r="L144">
        <v>1204</v>
      </c>
      <c r="M144">
        <v>373</v>
      </c>
      <c r="N144">
        <v>170</v>
      </c>
      <c r="O144">
        <v>106</v>
      </c>
      <c r="P144">
        <v>379</v>
      </c>
      <c r="Q144">
        <v>578</v>
      </c>
      <c r="R144">
        <v>143</v>
      </c>
    </row>
    <row r="145" spans="1:18">
      <c r="A145" s="1" t="s">
        <v>354</v>
      </c>
      <c r="B145">
        <v>36</v>
      </c>
      <c r="C145">
        <v>27</v>
      </c>
      <c r="D145">
        <v>9</v>
      </c>
      <c r="E145">
        <v>8.84</v>
      </c>
      <c r="F145">
        <v>2861</v>
      </c>
      <c r="G145">
        <v>1028</v>
      </c>
      <c r="H145">
        <v>2149</v>
      </c>
      <c r="I145">
        <v>561</v>
      </c>
      <c r="J145">
        <v>813</v>
      </c>
      <c r="K145">
        <v>462</v>
      </c>
      <c r="L145">
        <v>1395</v>
      </c>
      <c r="M145">
        <v>512</v>
      </c>
      <c r="N145">
        <v>206</v>
      </c>
      <c r="O145">
        <v>207</v>
      </c>
      <c r="P145">
        <v>389</v>
      </c>
      <c r="Q145">
        <v>735</v>
      </c>
      <c r="R145">
        <v>144</v>
      </c>
    </row>
    <row r="146" spans="1:18">
      <c r="A146" s="1" t="s">
        <v>123</v>
      </c>
      <c r="B146">
        <v>31</v>
      </c>
      <c r="C146">
        <v>9</v>
      </c>
      <c r="D146">
        <v>22</v>
      </c>
      <c r="E146">
        <v>4.6500000000000004</v>
      </c>
      <c r="F146">
        <v>1987</v>
      </c>
      <c r="G146">
        <v>690</v>
      </c>
      <c r="H146">
        <v>1707</v>
      </c>
      <c r="I146">
        <v>348</v>
      </c>
      <c r="J146">
        <v>520</v>
      </c>
      <c r="K146">
        <v>274</v>
      </c>
      <c r="L146">
        <v>957</v>
      </c>
      <c r="M146">
        <v>388</v>
      </c>
      <c r="N146">
        <v>217</v>
      </c>
      <c r="O146">
        <v>92</v>
      </c>
      <c r="P146">
        <v>398</v>
      </c>
      <c r="Q146">
        <v>539</v>
      </c>
      <c r="R146">
        <v>145</v>
      </c>
    </row>
    <row r="147" spans="1:18">
      <c r="A147" s="1" t="s">
        <v>279</v>
      </c>
      <c r="B147">
        <v>30</v>
      </c>
      <c r="C147">
        <v>6</v>
      </c>
      <c r="D147">
        <v>24</v>
      </c>
      <c r="E147">
        <v>-6</v>
      </c>
      <c r="F147">
        <v>2142</v>
      </c>
      <c r="G147">
        <v>758</v>
      </c>
      <c r="H147">
        <v>1742</v>
      </c>
      <c r="I147">
        <v>381</v>
      </c>
      <c r="J147">
        <v>551</v>
      </c>
      <c r="K147">
        <v>242</v>
      </c>
      <c r="L147">
        <v>955</v>
      </c>
      <c r="M147">
        <v>416</v>
      </c>
      <c r="N147">
        <v>171</v>
      </c>
      <c r="O147">
        <v>68</v>
      </c>
      <c r="P147">
        <v>391</v>
      </c>
      <c r="Q147">
        <v>588</v>
      </c>
      <c r="R147">
        <v>146</v>
      </c>
    </row>
    <row r="148" spans="1:18">
      <c r="A148" s="1" t="s">
        <v>280</v>
      </c>
      <c r="B148">
        <v>30</v>
      </c>
      <c r="C148">
        <v>11</v>
      </c>
      <c r="D148">
        <v>19</v>
      </c>
      <c r="E148">
        <v>-8.77</v>
      </c>
      <c r="F148">
        <v>2263</v>
      </c>
      <c r="G148">
        <v>771</v>
      </c>
      <c r="H148">
        <v>1819</v>
      </c>
      <c r="I148">
        <v>524</v>
      </c>
      <c r="J148">
        <v>781</v>
      </c>
      <c r="K148">
        <v>415</v>
      </c>
      <c r="L148">
        <v>1171</v>
      </c>
      <c r="M148">
        <v>425</v>
      </c>
      <c r="N148">
        <v>225</v>
      </c>
      <c r="O148">
        <v>116</v>
      </c>
      <c r="P148">
        <v>439</v>
      </c>
      <c r="Q148">
        <v>699</v>
      </c>
      <c r="R148">
        <v>147</v>
      </c>
    </row>
    <row r="149" spans="1:18">
      <c r="A149" s="1" t="s">
        <v>124</v>
      </c>
      <c r="B149">
        <v>32</v>
      </c>
      <c r="C149">
        <v>17</v>
      </c>
      <c r="D149">
        <v>15</v>
      </c>
      <c r="E149">
        <v>-5.2</v>
      </c>
      <c r="F149">
        <v>2268</v>
      </c>
      <c r="G149">
        <v>810</v>
      </c>
      <c r="H149">
        <v>1777</v>
      </c>
      <c r="I149">
        <v>411</v>
      </c>
      <c r="J149">
        <v>565</v>
      </c>
      <c r="K149">
        <v>307</v>
      </c>
      <c r="L149">
        <v>1095</v>
      </c>
      <c r="M149">
        <v>477</v>
      </c>
      <c r="N149">
        <v>214</v>
      </c>
      <c r="O149">
        <v>103</v>
      </c>
      <c r="P149">
        <v>416</v>
      </c>
      <c r="Q149">
        <v>548</v>
      </c>
      <c r="R149">
        <v>148</v>
      </c>
    </row>
    <row r="150" spans="1:18">
      <c r="A150" s="1" t="s">
        <v>125</v>
      </c>
      <c r="B150">
        <v>32</v>
      </c>
      <c r="C150">
        <v>13</v>
      </c>
      <c r="D150">
        <v>19</v>
      </c>
      <c r="E150">
        <v>-3.73</v>
      </c>
      <c r="F150">
        <v>2070</v>
      </c>
      <c r="G150">
        <v>738</v>
      </c>
      <c r="H150">
        <v>1644</v>
      </c>
      <c r="I150">
        <v>311</v>
      </c>
      <c r="J150">
        <v>434</v>
      </c>
      <c r="K150">
        <v>214</v>
      </c>
      <c r="L150">
        <v>943</v>
      </c>
      <c r="M150">
        <v>419</v>
      </c>
      <c r="N150">
        <v>178</v>
      </c>
      <c r="O150">
        <v>44</v>
      </c>
      <c r="P150">
        <v>442</v>
      </c>
      <c r="Q150">
        <v>638</v>
      </c>
      <c r="R150">
        <v>149</v>
      </c>
    </row>
    <row r="151" spans="1:18">
      <c r="A151" s="1" t="s">
        <v>320</v>
      </c>
      <c r="B151">
        <v>33</v>
      </c>
      <c r="C151">
        <v>12</v>
      </c>
      <c r="D151">
        <v>21</v>
      </c>
      <c r="E151">
        <v>-3.81</v>
      </c>
      <c r="F151">
        <v>2590</v>
      </c>
      <c r="G151">
        <v>888</v>
      </c>
      <c r="H151">
        <v>2017</v>
      </c>
      <c r="I151">
        <v>483</v>
      </c>
      <c r="J151">
        <v>695</v>
      </c>
      <c r="K151">
        <v>335</v>
      </c>
      <c r="L151">
        <v>1202</v>
      </c>
      <c r="M151">
        <v>549</v>
      </c>
      <c r="N151">
        <v>208</v>
      </c>
      <c r="O151">
        <v>98</v>
      </c>
      <c r="P151">
        <v>458</v>
      </c>
      <c r="Q151">
        <v>628</v>
      </c>
      <c r="R151">
        <v>150</v>
      </c>
    </row>
    <row r="152" spans="1:18">
      <c r="A152" s="1" t="s">
        <v>126</v>
      </c>
      <c r="B152">
        <v>35</v>
      </c>
      <c r="C152">
        <v>20</v>
      </c>
      <c r="D152">
        <v>15</v>
      </c>
      <c r="E152">
        <v>4.57</v>
      </c>
      <c r="F152">
        <v>2613</v>
      </c>
      <c r="G152">
        <v>896</v>
      </c>
      <c r="H152">
        <v>2077</v>
      </c>
      <c r="I152">
        <v>534</v>
      </c>
      <c r="J152">
        <v>776</v>
      </c>
      <c r="K152">
        <v>371</v>
      </c>
      <c r="L152">
        <v>1251</v>
      </c>
      <c r="M152">
        <v>532</v>
      </c>
      <c r="N152">
        <v>226</v>
      </c>
      <c r="O152">
        <v>90</v>
      </c>
      <c r="P152">
        <v>430</v>
      </c>
      <c r="Q152">
        <v>722</v>
      </c>
      <c r="R152">
        <v>151</v>
      </c>
    </row>
    <row r="153" spans="1:18">
      <c r="A153" s="1" t="s">
        <v>127</v>
      </c>
      <c r="B153">
        <v>31</v>
      </c>
      <c r="C153">
        <v>16</v>
      </c>
      <c r="D153">
        <v>15</v>
      </c>
      <c r="E153">
        <v>-11.01</v>
      </c>
      <c r="F153">
        <v>2362</v>
      </c>
      <c r="G153">
        <v>813</v>
      </c>
      <c r="H153">
        <v>1884</v>
      </c>
      <c r="I153">
        <v>557</v>
      </c>
      <c r="J153">
        <v>779</v>
      </c>
      <c r="K153">
        <v>386</v>
      </c>
      <c r="L153">
        <v>1173</v>
      </c>
      <c r="M153">
        <v>432</v>
      </c>
      <c r="N153">
        <v>238</v>
      </c>
      <c r="O153">
        <v>87</v>
      </c>
      <c r="P153">
        <v>422</v>
      </c>
      <c r="Q153">
        <v>652</v>
      </c>
      <c r="R153">
        <v>152</v>
      </c>
    </row>
    <row r="154" spans="1:18">
      <c r="A154" s="1" t="s">
        <v>331</v>
      </c>
      <c r="B154">
        <v>33</v>
      </c>
      <c r="C154">
        <v>10</v>
      </c>
      <c r="D154">
        <v>23</v>
      </c>
      <c r="E154">
        <v>-5.15</v>
      </c>
      <c r="F154">
        <v>2397</v>
      </c>
      <c r="G154">
        <v>860</v>
      </c>
      <c r="H154">
        <v>1899</v>
      </c>
      <c r="I154">
        <v>450</v>
      </c>
      <c r="J154">
        <v>636</v>
      </c>
      <c r="K154">
        <v>350</v>
      </c>
      <c r="L154">
        <v>1197</v>
      </c>
      <c r="M154">
        <v>421</v>
      </c>
      <c r="N154">
        <v>205</v>
      </c>
      <c r="O154">
        <v>91</v>
      </c>
      <c r="P154">
        <v>474</v>
      </c>
      <c r="Q154">
        <v>624</v>
      </c>
      <c r="R154">
        <v>153</v>
      </c>
    </row>
    <row r="155" spans="1:18">
      <c r="A155" s="1" t="s">
        <v>281</v>
      </c>
      <c r="B155">
        <v>34</v>
      </c>
      <c r="C155">
        <v>19</v>
      </c>
      <c r="D155">
        <v>15</v>
      </c>
      <c r="E155">
        <v>-1.94</v>
      </c>
      <c r="F155">
        <v>2706</v>
      </c>
      <c r="G155">
        <v>931</v>
      </c>
      <c r="H155">
        <v>2099</v>
      </c>
      <c r="I155">
        <v>622</v>
      </c>
      <c r="J155">
        <v>891</v>
      </c>
      <c r="K155">
        <v>485</v>
      </c>
      <c r="L155">
        <v>1410</v>
      </c>
      <c r="M155">
        <v>433</v>
      </c>
      <c r="N155">
        <v>218</v>
      </c>
      <c r="O155">
        <v>123</v>
      </c>
      <c r="P155">
        <v>425</v>
      </c>
      <c r="Q155">
        <v>634</v>
      </c>
      <c r="R155">
        <v>154</v>
      </c>
    </row>
    <row r="156" spans="1:18">
      <c r="A156" s="1" t="s">
        <v>128</v>
      </c>
      <c r="B156">
        <v>34</v>
      </c>
      <c r="C156">
        <v>20</v>
      </c>
      <c r="D156">
        <v>14</v>
      </c>
      <c r="E156">
        <v>-1.46</v>
      </c>
      <c r="F156">
        <v>2471</v>
      </c>
      <c r="G156">
        <v>896</v>
      </c>
      <c r="H156">
        <v>1956</v>
      </c>
      <c r="I156">
        <v>454</v>
      </c>
      <c r="J156">
        <v>647</v>
      </c>
      <c r="K156">
        <v>376</v>
      </c>
      <c r="L156">
        <v>1233</v>
      </c>
      <c r="M156">
        <v>481</v>
      </c>
      <c r="N156">
        <v>198</v>
      </c>
      <c r="O156">
        <v>113</v>
      </c>
      <c r="P156">
        <v>411</v>
      </c>
      <c r="Q156">
        <v>596</v>
      </c>
      <c r="R156">
        <v>155</v>
      </c>
    </row>
    <row r="157" spans="1:18">
      <c r="A157" s="1" t="s">
        <v>282</v>
      </c>
      <c r="B157">
        <v>33</v>
      </c>
      <c r="C157">
        <v>19</v>
      </c>
      <c r="D157">
        <v>14</v>
      </c>
      <c r="E157">
        <v>7</v>
      </c>
      <c r="F157">
        <v>2602</v>
      </c>
      <c r="G157">
        <v>915</v>
      </c>
      <c r="H157">
        <v>1990</v>
      </c>
      <c r="I157">
        <v>569</v>
      </c>
      <c r="J157">
        <v>856</v>
      </c>
      <c r="K157">
        <v>368</v>
      </c>
      <c r="L157">
        <v>1231</v>
      </c>
      <c r="M157">
        <v>507</v>
      </c>
      <c r="N157">
        <v>263</v>
      </c>
      <c r="O157">
        <v>90</v>
      </c>
      <c r="P157">
        <v>394</v>
      </c>
      <c r="Q157">
        <v>609</v>
      </c>
      <c r="R157">
        <v>156</v>
      </c>
    </row>
    <row r="158" spans="1:18">
      <c r="A158" s="1" t="s">
        <v>129</v>
      </c>
      <c r="B158">
        <v>33</v>
      </c>
      <c r="C158">
        <v>23</v>
      </c>
      <c r="D158">
        <v>10</v>
      </c>
      <c r="E158">
        <v>-4.4000000000000004</v>
      </c>
      <c r="F158">
        <v>2624</v>
      </c>
      <c r="G158">
        <v>915</v>
      </c>
      <c r="H158">
        <v>1999</v>
      </c>
      <c r="I158">
        <v>560</v>
      </c>
      <c r="J158">
        <v>842</v>
      </c>
      <c r="K158">
        <v>358</v>
      </c>
      <c r="L158">
        <v>1257</v>
      </c>
      <c r="M158">
        <v>463</v>
      </c>
      <c r="N158">
        <v>247</v>
      </c>
      <c r="O158">
        <v>142</v>
      </c>
      <c r="P158">
        <v>412</v>
      </c>
      <c r="Q158">
        <v>597</v>
      </c>
      <c r="R158">
        <v>157</v>
      </c>
    </row>
    <row r="159" spans="1:18">
      <c r="A159" s="1" t="s">
        <v>283</v>
      </c>
      <c r="B159">
        <v>31</v>
      </c>
      <c r="C159">
        <v>23</v>
      </c>
      <c r="D159">
        <v>8</v>
      </c>
      <c r="E159">
        <v>7.74</v>
      </c>
      <c r="F159">
        <v>2324</v>
      </c>
      <c r="G159">
        <v>866</v>
      </c>
      <c r="H159">
        <v>1847</v>
      </c>
      <c r="I159">
        <v>406</v>
      </c>
      <c r="J159">
        <v>588</v>
      </c>
      <c r="K159">
        <v>415</v>
      </c>
      <c r="L159">
        <v>1183</v>
      </c>
      <c r="M159">
        <v>419</v>
      </c>
      <c r="N159">
        <v>222</v>
      </c>
      <c r="O159">
        <v>149</v>
      </c>
      <c r="P159">
        <v>353</v>
      </c>
      <c r="Q159">
        <v>597</v>
      </c>
      <c r="R159">
        <v>158</v>
      </c>
    </row>
    <row r="160" spans="1:18">
      <c r="A160" s="1" t="s">
        <v>130</v>
      </c>
      <c r="B160">
        <v>32</v>
      </c>
      <c r="C160">
        <v>15</v>
      </c>
      <c r="D160">
        <v>17</v>
      </c>
      <c r="E160">
        <v>1.1100000000000001</v>
      </c>
      <c r="F160">
        <v>2059</v>
      </c>
      <c r="G160">
        <v>722</v>
      </c>
      <c r="H160">
        <v>1700</v>
      </c>
      <c r="I160">
        <v>413</v>
      </c>
      <c r="J160">
        <v>565</v>
      </c>
      <c r="K160">
        <v>246</v>
      </c>
      <c r="L160">
        <v>977</v>
      </c>
      <c r="M160">
        <v>370</v>
      </c>
      <c r="N160">
        <v>189</v>
      </c>
      <c r="O160">
        <v>90</v>
      </c>
      <c r="P160">
        <v>405</v>
      </c>
      <c r="Q160">
        <v>584</v>
      </c>
      <c r="R160">
        <v>159</v>
      </c>
    </row>
    <row r="161" spans="1:18">
      <c r="A161" s="1" t="s">
        <v>131</v>
      </c>
      <c r="B161">
        <v>31</v>
      </c>
      <c r="C161">
        <v>14</v>
      </c>
      <c r="D161">
        <v>17</v>
      </c>
      <c r="E161">
        <v>0.87</v>
      </c>
      <c r="F161">
        <v>2208</v>
      </c>
      <c r="G161">
        <v>796</v>
      </c>
      <c r="H161">
        <v>1903</v>
      </c>
      <c r="I161">
        <v>389</v>
      </c>
      <c r="J161">
        <v>536</v>
      </c>
      <c r="K161">
        <v>349</v>
      </c>
      <c r="L161">
        <v>1047</v>
      </c>
      <c r="M161">
        <v>482</v>
      </c>
      <c r="N161">
        <v>211</v>
      </c>
      <c r="O161">
        <v>90</v>
      </c>
      <c r="P161">
        <v>352</v>
      </c>
      <c r="Q161">
        <v>631</v>
      </c>
      <c r="R161">
        <v>160</v>
      </c>
    </row>
    <row r="162" spans="1:18">
      <c r="A162" s="1" t="s">
        <v>132</v>
      </c>
      <c r="B162">
        <v>30</v>
      </c>
      <c r="C162">
        <v>9</v>
      </c>
      <c r="D162">
        <v>21</v>
      </c>
      <c r="E162">
        <v>-5.24</v>
      </c>
      <c r="F162">
        <v>2090</v>
      </c>
      <c r="G162">
        <v>732</v>
      </c>
      <c r="H162">
        <v>1702</v>
      </c>
      <c r="I162">
        <v>465</v>
      </c>
      <c r="J162">
        <v>653</v>
      </c>
      <c r="K162">
        <v>334</v>
      </c>
      <c r="L162">
        <v>1054</v>
      </c>
      <c r="M162">
        <v>338</v>
      </c>
      <c r="N162">
        <v>162</v>
      </c>
      <c r="O162">
        <v>102</v>
      </c>
      <c r="P162">
        <v>392</v>
      </c>
      <c r="Q162">
        <v>648</v>
      </c>
      <c r="R162">
        <v>161</v>
      </c>
    </row>
    <row r="163" spans="1:18">
      <c r="A163" s="1" t="s">
        <v>133</v>
      </c>
      <c r="B163">
        <v>30</v>
      </c>
      <c r="C163">
        <v>8</v>
      </c>
      <c r="D163">
        <v>22</v>
      </c>
      <c r="E163">
        <v>-6.49</v>
      </c>
      <c r="F163">
        <v>2279</v>
      </c>
      <c r="G163">
        <v>825</v>
      </c>
      <c r="H163">
        <v>1909</v>
      </c>
      <c r="I163">
        <v>401</v>
      </c>
      <c r="J163">
        <v>611</v>
      </c>
      <c r="K163">
        <v>337</v>
      </c>
      <c r="L163">
        <v>1055</v>
      </c>
      <c r="M163">
        <v>433</v>
      </c>
      <c r="N163">
        <v>249</v>
      </c>
      <c r="O163">
        <v>90</v>
      </c>
      <c r="P163">
        <v>491</v>
      </c>
      <c r="Q163">
        <v>638</v>
      </c>
      <c r="R163">
        <v>162</v>
      </c>
    </row>
    <row r="164" spans="1:18">
      <c r="A164" s="1" t="s">
        <v>134</v>
      </c>
      <c r="B164">
        <v>31</v>
      </c>
      <c r="C164">
        <v>13</v>
      </c>
      <c r="D164">
        <v>18</v>
      </c>
      <c r="E164">
        <v>-3.12</v>
      </c>
      <c r="F164">
        <v>2133</v>
      </c>
      <c r="G164">
        <v>708</v>
      </c>
      <c r="H164">
        <v>1644</v>
      </c>
      <c r="I164">
        <v>485</v>
      </c>
      <c r="J164">
        <v>655</v>
      </c>
      <c r="K164">
        <v>242</v>
      </c>
      <c r="L164">
        <v>916</v>
      </c>
      <c r="M164">
        <v>436</v>
      </c>
      <c r="N164">
        <v>238</v>
      </c>
      <c r="O164">
        <v>71</v>
      </c>
      <c r="P164">
        <v>442</v>
      </c>
      <c r="Q164">
        <v>672</v>
      </c>
      <c r="R164">
        <v>163</v>
      </c>
    </row>
    <row r="165" spans="1:18">
      <c r="A165" s="1" t="s">
        <v>135</v>
      </c>
      <c r="B165">
        <v>30</v>
      </c>
      <c r="C165">
        <v>7</v>
      </c>
      <c r="D165">
        <v>23</v>
      </c>
      <c r="E165">
        <v>-4.5199999999999996</v>
      </c>
      <c r="F165">
        <v>2145</v>
      </c>
      <c r="G165">
        <v>723</v>
      </c>
      <c r="H165">
        <v>1713</v>
      </c>
      <c r="I165">
        <v>451</v>
      </c>
      <c r="J165">
        <v>615</v>
      </c>
      <c r="K165">
        <v>261</v>
      </c>
      <c r="L165">
        <v>975</v>
      </c>
      <c r="M165">
        <v>350</v>
      </c>
      <c r="N165">
        <v>138</v>
      </c>
      <c r="O165">
        <v>81</v>
      </c>
      <c r="P165">
        <v>364</v>
      </c>
      <c r="Q165">
        <v>587</v>
      </c>
      <c r="R165">
        <v>164</v>
      </c>
    </row>
    <row r="166" spans="1:18">
      <c r="A166" s="1" t="s">
        <v>136</v>
      </c>
      <c r="B166">
        <v>33</v>
      </c>
      <c r="C166">
        <v>20</v>
      </c>
      <c r="D166">
        <v>13</v>
      </c>
      <c r="E166">
        <v>5.57</v>
      </c>
      <c r="F166">
        <v>2517</v>
      </c>
      <c r="G166">
        <v>884</v>
      </c>
      <c r="H166">
        <v>1888</v>
      </c>
      <c r="I166">
        <v>555</v>
      </c>
      <c r="J166">
        <v>764</v>
      </c>
      <c r="K166">
        <v>311</v>
      </c>
      <c r="L166">
        <v>1179</v>
      </c>
      <c r="M166">
        <v>533</v>
      </c>
      <c r="N166">
        <v>258</v>
      </c>
      <c r="O166">
        <v>137</v>
      </c>
      <c r="P166">
        <v>485</v>
      </c>
      <c r="Q166">
        <v>620</v>
      </c>
      <c r="R166">
        <v>165</v>
      </c>
    </row>
    <row r="167" spans="1:18">
      <c r="A167" s="1" t="s">
        <v>137</v>
      </c>
      <c r="B167">
        <v>33</v>
      </c>
      <c r="C167">
        <v>17</v>
      </c>
      <c r="D167">
        <v>16</v>
      </c>
      <c r="E167">
        <v>-0.3</v>
      </c>
      <c r="F167">
        <v>2838</v>
      </c>
      <c r="G167">
        <v>1017</v>
      </c>
      <c r="H167">
        <v>2183</v>
      </c>
      <c r="I167">
        <v>472</v>
      </c>
      <c r="J167">
        <v>681</v>
      </c>
      <c r="K167">
        <v>341</v>
      </c>
      <c r="L167">
        <v>1230</v>
      </c>
      <c r="M167">
        <v>554</v>
      </c>
      <c r="N167">
        <v>226</v>
      </c>
      <c r="O167">
        <v>103</v>
      </c>
      <c r="P167">
        <v>424</v>
      </c>
      <c r="Q167">
        <v>637</v>
      </c>
      <c r="R167">
        <v>166</v>
      </c>
    </row>
    <row r="168" spans="1:18">
      <c r="A168" s="1" t="s">
        <v>138</v>
      </c>
      <c r="B168">
        <v>32</v>
      </c>
      <c r="C168">
        <v>7</v>
      </c>
      <c r="D168">
        <v>25</v>
      </c>
      <c r="E168">
        <v>-6.87</v>
      </c>
      <c r="F168">
        <v>2307</v>
      </c>
      <c r="G168">
        <v>788</v>
      </c>
      <c r="H168">
        <v>1788</v>
      </c>
      <c r="I168">
        <v>515</v>
      </c>
      <c r="J168">
        <v>754</v>
      </c>
      <c r="K168">
        <v>279</v>
      </c>
      <c r="L168">
        <v>1017</v>
      </c>
      <c r="M168">
        <v>393</v>
      </c>
      <c r="N168">
        <v>223</v>
      </c>
      <c r="O168">
        <v>57</v>
      </c>
      <c r="P168">
        <v>398</v>
      </c>
      <c r="Q168">
        <v>636</v>
      </c>
      <c r="R168">
        <v>167</v>
      </c>
    </row>
    <row r="169" spans="1:18">
      <c r="A169" s="1" t="s">
        <v>139</v>
      </c>
      <c r="B169">
        <v>32</v>
      </c>
      <c r="C169">
        <v>10</v>
      </c>
      <c r="D169">
        <v>22</v>
      </c>
      <c r="E169">
        <v>-6.17</v>
      </c>
      <c r="F169">
        <v>2178</v>
      </c>
      <c r="G169">
        <v>759</v>
      </c>
      <c r="H169">
        <v>1715</v>
      </c>
      <c r="I169">
        <v>459</v>
      </c>
      <c r="J169">
        <v>648</v>
      </c>
      <c r="K169">
        <v>337</v>
      </c>
      <c r="L169">
        <v>1100</v>
      </c>
      <c r="M169">
        <v>403</v>
      </c>
      <c r="N169">
        <v>188</v>
      </c>
      <c r="O169">
        <v>72</v>
      </c>
      <c r="P169">
        <v>512</v>
      </c>
      <c r="Q169">
        <v>691</v>
      </c>
      <c r="R169">
        <v>168</v>
      </c>
    </row>
    <row r="170" spans="1:18">
      <c r="A170" s="1" t="s">
        <v>332</v>
      </c>
      <c r="B170">
        <v>36</v>
      </c>
      <c r="C170">
        <v>27</v>
      </c>
      <c r="D170">
        <v>9</v>
      </c>
      <c r="E170">
        <v>8.31</v>
      </c>
      <c r="F170">
        <v>2725</v>
      </c>
      <c r="G170">
        <v>943</v>
      </c>
      <c r="H170">
        <v>1941</v>
      </c>
      <c r="I170">
        <v>572</v>
      </c>
      <c r="J170">
        <v>745</v>
      </c>
      <c r="K170">
        <v>319</v>
      </c>
      <c r="L170">
        <v>1288</v>
      </c>
      <c r="M170">
        <v>488</v>
      </c>
      <c r="N170">
        <v>210</v>
      </c>
      <c r="O170">
        <v>194</v>
      </c>
      <c r="P170">
        <v>458</v>
      </c>
      <c r="Q170">
        <v>605</v>
      </c>
      <c r="R170">
        <v>169</v>
      </c>
    </row>
    <row r="171" spans="1:18">
      <c r="A171" s="1" t="s">
        <v>366</v>
      </c>
      <c r="B171">
        <v>29</v>
      </c>
      <c r="C171">
        <v>11</v>
      </c>
      <c r="D171">
        <v>18</v>
      </c>
      <c r="E171">
        <v>-6.17</v>
      </c>
      <c r="F171">
        <v>2221</v>
      </c>
      <c r="G171">
        <v>800</v>
      </c>
      <c r="H171">
        <v>1705</v>
      </c>
      <c r="I171">
        <v>381</v>
      </c>
      <c r="J171">
        <v>556</v>
      </c>
      <c r="K171">
        <v>249</v>
      </c>
      <c r="L171">
        <v>947</v>
      </c>
      <c r="M171">
        <v>426</v>
      </c>
      <c r="N171">
        <v>205</v>
      </c>
      <c r="O171">
        <v>71</v>
      </c>
      <c r="P171">
        <v>455</v>
      </c>
      <c r="Q171">
        <v>596</v>
      </c>
      <c r="R171">
        <v>170</v>
      </c>
    </row>
    <row r="172" spans="1:18">
      <c r="A172" s="1" t="s">
        <v>140</v>
      </c>
      <c r="B172">
        <v>32</v>
      </c>
      <c r="C172">
        <v>14</v>
      </c>
      <c r="D172">
        <v>18</v>
      </c>
      <c r="E172">
        <v>2.96</v>
      </c>
      <c r="F172">
        <v>2353</v>
      </c>
      <c r="G172">
        <v>817</v>
      </c>
      <c r="H172">
        <v>1903</v>
      </c>
      <c r="I172">
        <v>485</v>
      </c>
      <c r="J172">
        <v>694</v>
      </c>
      <c r="K172">
        <v>307</v>
      </c>
      <c r="L172">
        <v>1141</v>
      </c>
      <c r="M172">
        <v>443</v>
      </c>
      <c r="N172">
        <v>207</v>
      </c>
      <c r="O172">
        <v>113</v>
      </c>
      <c r="P172">
        <v>409</v>
      </c>
      <c r="Q172">
        <v>668</v>
      </c>
      <c r="R172">
        <v>171</v>
      </c>
    </row>
    <row r="173" spans="1:18">
      <c r="A173" s="1" t="s">
        <v>141</v>
      </c>
      <c r="B173">
        <v>29</v>
      </c>
      <c r="C173">
        <v>9</v>
      </c>
      <c r="D173">
        <v>20</v>
      </c>
      <c r="E173">
        <v>-6.74</v>
      </c>
      <c r="F173">
        <v>2083</v>
      </c>
      <c r="G173">
        <v>719</v>
      </c>
      <c r="H173">
        <v>1751</v>
      </c>
      <c r="I173">
        <v>440</v>
      </c>
      <c r="J173">
        <v>629</v>
      </c>
      <c r="K173">
        <v>321</v>
      </c>
      <c r="L173">
        <v>1045</v>
      </c>
      <c r="M173">
        <v>331</v>
      </c>
      <c r="N173">
        <v>171</v>
      </c>
      <c r="O173">
        <v>126</v>
      </c>
      <c r="P173">
        <v>370</v>
      </c>
      <c r="Q173">
        <v>583</v>
      </c>
      <c r="R173">
        <v>172</v>
      </c>
    </row>
    <row r="174" spans="1:18">
      <c r="A174" s="1" t="s">
        <v>142</v>
      </c>
      <c r="B174">
        <v>34</v>
      </c>
      <c r="C174">
        <v>19</v>
      </c>
      <c r="D174">
        <v>15</v>
      </c>
      <c r="E174">
        <v>3.58</v>
      </c>
      <c r="F174">
        <v>2603</v>
      </c>
      <c r="G174">
        <v>877</v>
      </c>
      <c r="H174">
        <v>2124</v>
      </c>
      <c r="I174">
        <v>643</v>
      </c>
      <c r="J174">
        <v>890</v>
      </c>
      <c r="K174">
        <v>436</v>
      </c>
      <c r="L174">
        <v>1379</v>
      </c>
      <c r="M174">
        <v>510</v>
      </c>
      <c r="N174">
        <v>261</v>
      </c>
      <c r="O174">
        <v>185</v>
      </c>
      <c r="P174">
        <v>407</v>
      </c>
      <c r="Q174">
        <v>680</v>
      </c>
      <c r="R174">
        <v>173</v>
      </c>
    </row>
    <row r="175" spans="1:18">
      <c r="A175" s="1" t="s">
        <v>143</v>
      </c>
      <c r="B175">
        <v>34</v>
      </c>
      <c r="C175">
        <v>19</v>
      </c>
      <c r="D175">
        <v>15</v>
      </c>
      <c r="E175">
        <v>-4.55</v>
      </c>
      <c r="F175">
        <v>2446</v>
      </c>
      <c r="G175">
        <v>871</v>
      </c>
      <c r="H175">
        <v>1958</v>
      </c>
      <c r="I175">
        <v>494</v>
      </c>
      <c r="J175">
        <v>676</v>
      </c>
      <c r="K175">
        <v>436</v>
      </c>
      <c r="L175">
        <v>1363</v>
      </c>
      <c r="M175">
        <v>509</v>
      </c>
      <c r="N175">
        <v>174</v>
      </c>
      <c r="O175">
        <v>85</v>
      </c>
      <c r="P175">
        <v>431</v>
      </c>
      <c r="Q175">
        <v>588</v>
      </c>
      <c r="R175">
        <v>174</v>
      </c>
    </row>
    <row r="176" spans="1:18">
      <c r="A176" s="1" t="s">
        <v>284</v>
      </c>
      <c r="B176">
        <v>35</v>
      </c>
      <c r="C176">
        <v>27</v>
      </c>
      <c r="D176">
        <v>8</v>
      </c>
      <c r="E176">
        <v>10.69</v>
      </c>
      <c r="F176">
        <v>2633</v>
      </c>
      <c r="G176">
        <v>907</v>
      </c>
      <c r="H176">
        <v>1895</v>
      </c>
      <c r="I176">
        <v>578</v>
      </c>
      <c r="J176">
        <v>772</v>
      </c>
      <c r="K176">
        <v>330</v>
      </c>
      <c r="L176">
        <v>1207</v>
      </c>
      <c r="M176">
        <v>438</v>
      </c>
      <c r="N176">
        <v>215</v>
      </c>
      <c r="O176">
        <v>127</v>
      </c>
      <c r="P176">
        <v>383</v>
      </c>
      <c r="Q176">
        <v>581</v>
      </c>
      <c r="R176">
        <v>175</v>
      </c>
    </row>
    <row r="177" spans="1:18">
      <c r="A177" s="1" t="s">
        <v>144</v>
      </c>
      <c r="B177">
        <v>33</v>
      </c>
      <c r="C177">
        <v>13</v>
      </c>
      <c r="D177">
        <v>20</v>
      </c>
      <c r="E177">
        <v>-0.25</v>
      </c>
      <c r="F177">
        <v>2089</v>
      </c>
      <c r="G177">
        <v>719</v>
      </c>
      <c r="H177">
        <v>1781</v>
      </c>
      <c r="I177">
        <v>471</v>
      </c>
      <c r="J177">
        <v>646</v>
      </c>
      <c r="K177">
        <v>326</v>
      </c>
      <c r="L177">
        <v>1068</v>
      </c>
      <c r="M177">
        <v>336</v>
      </c>
      <c r="N177">
        <v>218</v>
      </c>
      <c r="O177">
        <v>72</v>
      </c>
      <c r="P177">
        <v>402</v>
      </c>
      <c r="Q177">
        <v>617</v>
      </c>
      <c r="R177">
        <v>176</v>
      </c>
    </row>
    <row r="178" spans="1:18">
      <c r="A178" s="1" t="s">
        <v>377</v>
      </c>
      <c r="B178">
        <v>35</v>
      </c>
      <c r="C178">
        <v>29</v>
      </c>
      <c r="D178">
        <v>6</v>
      </c>
      <c r="E178">
        <v>6.94</v>
      </c>
      <c r="F178">
        <v>2793</v>
      </c>
      <c r="G178">
        <v>1009</v>
      </c>
      <c r="H178">
        <v>2078</v>
      </c>
      <c r="I178">
        <v>454</v>
      </c>
      <c r="J178">
        <v>623</v>
      </c>
      <c r="K178">
        <v>427</v>
      </c>
      <c r="L178">
        <v>1454</v>
      </c>
      <c r="M178">
        <v>719</v>
      </c>
      <c r="N178">
        <v>156</v>
      </c>
      <c r="O178">
        <v>177</v>
      </c>
      <c r="P178">
        <v>406</v>
      </c>
      <c r="Q178">
        <v>671</v>
      </c>
      <c r="R178">
        <v>177</v>
      </c>
    </row>
    <row r="179" spans="1:18">
      <c r="A179" s="1" t="s">
        <v>145</v>
      </c>
      <c r="B179">
        <v>36</v>
      </c>
      <c r="C179">
        <v>23</v>
      </c>
      <c r="D179">
        <v>13</v>
      </c>
      <c r="E179">
        <v>7.92</v>
      </c>
      <c r="F179">
        <v>2656</v>
      </c>
      <c r="G179">
        <v>947</v>
      </c>
      <c r="H179">
        <v>2048</v>
      </c>
      <c r="I179">
        <v>420</v>
      </c>
      <c r="J179">
        <v>569</v>
      </c>
      <c r="K179">
        <v>290</v>
      </c>
      <c r="L179">
        <v>1152</v>
      </c>
      <c r="M179">
        <v>537</v>
      </c>
      <c r="N179">
        <v>203</v>
      </c>
      <c r="O179">
        <v>81</v>
      </c>
      <c r="P179">
        <v>348</v>
      </c>
      <c r="Q179">
        <v>558</v>
      </c>
      <c r="R179">
        <v>178</v>
      </c>
    </row>
    <row r="180" spans="1:18">
      <c r="A180" s="1" t="s">
        <v>146</v>
      </c>
      <c r="B180">
        <v>35</v>
      </c>
      <c r="C180">
        <v>25</v>
      </c>
      <c r="D180">
        <v>10</v>
      </c>
      <c r="E180">
        <v>-0.7</v>
      </c>
      <c r="F180">
        <v>2539</v>
      </c>
      <c r="G180">
        <v>909</v>
      </c>
      <c r="H180">
        <v>2025</v>
      </c>
      <c r="I180">
        <v>442</v>
      </c>
      <c r="J180">
        <v>718</v>
      </c>
      <c r="K180">
        <v>369</v>
      </c>
      <c r="L180">
        <v>1283</v>
      </c>
      <c r="M180">
        <v>455</v>
      </c>
      <c r="N180">
        <v>215</v>
      </c>
      <c r="O180">
        <v>123</v>
      </c>
      <c r="P180">
        <v>419</v>
      </c>
      <c r="Q180">
        <v>700</v>
      </c>
      <c r="R180">
        <v>179</v>
      </c>
    </row>
    <row r="181" spans="1:18">
      <c r="A181" s="1" t="s">
        <v>147</v>
      </c>
      <c r="B181">
        <v>33</v>
      </c>
      <c r="C181">
        <v>20</v>
      </c>
      <c r="D181">
        <v>13</v>
      </c>
      <c r="E181">
        <v>-2.02</v>
      </c>
      <c r="F181">
        <v>2618</v>
      </c>
      <c r="G181">
        <v>879</v>
      </c>
      <c r="H181">
        <v>1927</v>
      </c>
      <c r="I181">
        <v>554</v>
      </c>
      <c r="J181">
        <v>718</v>
      </c>
      <c r="K181">
        <v>321</v>
      </c>
      <c r="L181">
        <v>1195</v>
      </c>
      <c r="M181">
        <v>566</v>
      </c>
      <c r="N181">
        <v>149</v>
      </c>
      <c r="O181">
        <v>86</v>
      </c>
      <c r="P181">
        <v>362</v>
      </c>
      <c r="Q181">
        <v>562</v>
      </c>
      <c r="R181">
        <v>180</v>
      </c>
    </row>
    <row r="182" spans="1:18">
      <c r="A182" s="1" t="s">
        <v>148</v>
      </c>
      <c r="B182">
        <v>31</v>
      </c>
      <c r="C182">
        <v>8</v>
      </c>
      <c r="D182">
        <v>23</v>
      </c>
      <c r="E182">
        <v>6.86</v>
      </c>
      <c r="F182">
        <v>2108</v>
      </c>
      <c r="G182">
        <v>724</v>
      </c>
      <c r="H182">
        <v>1785</v>
      </c>
      <c r="I182">
        <v>469</v>
      </c>
      <c r="J182">
        <v>662</v>
      </c>
      <c r="K182">
        <v>310</v>
      </c>
      <c r="L182">
        <v>1067</v>
      </c>
      <c r="M182">
        <v>379</v>
      </c>
      <c r="N182">
        <v>170</v>
      </c>
      <c r="O182">
        <v>112</v>
      </c>
      <c r="P182">
        <v>354</v>
      </c>
      <c r="Q182">
        <v>565</v>
      </c>
      <c r="R182">
        <v>181</v>
      </c>
    </row>
    <row r="183" spans="1:18">
      <c r="A183" s="1" t="s">
        <v>149</v>
      </c>
      <c r="B183">
        <v>31</v>
      </c>
      <c r="C183">
        <v>14</v>
      </c>
      <c r="D183">
        <v>17</v>
      </c>
      <c r="E183">
        <v>6.02</v>
      </c>
      <c r="F183">
        <v>2323</v>
      </c>
      <c r="G183">
        <v>850</v>
      </c>
      <c r="H183">
        <v>1862</v>
      </c>
      <c r="I183">
        <v>398</v>
      </c>
      <c r="J183">
        <v>549</v>
      </c>
      <c r="K183">
        <v>325</v>
      </c>
      <c r="L183">
        <v>1096</v>
      </c>
      <c r="M183">
        <v>431</v>
      </c>
      <c r="N183">
        <v>202</v>
      </c>
      <c r="O183">
        <v>132</v>
      </c>
      <c r="P183">
        <v>393</v>
      </c>
      <c r="Q183">
        <v>596</v>
      </c>
      <c r="R183">
        <v>182</v>
      </c>
    </row>
    <row r="184" spans="1:18">
      <c r="A184" s="1" t="s">
        <v>150</v>
      </c>
      <c r="B184">
        <v>35</v>
      </c>
      <c r="C184">
        <v>8</v>
      </c>
      <c r="D184">
        <v>27</v>
      </c>
      <c r="E184">
        <v>-8.11</v>
      </c>
      <c r="F184">
        <v>2293</v>
      </c>
      <c r="G184">
        <v>826</v>
      </c>
      <c r="H184">
        <v>2129</v>
      </c>
      <c r="I184">
        <v>462</v>
      </c>
      <c r="J184">
        <v>667</v>
      </c>
      <c r="K184">
        <v>380</v>
      </c>
      <c r="L184">
        <v>1245</v>
      </c>
      <c r="M184">
        <v>373</v>
      </c>
      <c r="N184">
        <v>241</v>
      </c>
      <c r="O184">
        <v>82</v>
      </c>
      <c r="P184">
        <v>470</v>
      </c>
      <c r="Q184">
        <v>671</v>
      </c>
      <c r="R184">
        <v>183</v>
      </c>
    </row>
    <row r="185" spans="1:18">
      <c r="A185" s="1" t="s">
        <v>151</v>
      </c>
      <c r="B185">
        <v>32</v>
      </c>
      <c r="C185">
        <v>20</v>
      </c>
      <c r="D185">
        <v>12</v>
      </c>
      <c r="E185">
        <v>4.8099999999999996</v>
      </c>
      <c r="F185">
        <v>2405</v>
      </c>
      <c r="G185">
        <v>796</v>
      </c>
      <c r="H185">
        <v>1916</v>
      </c>
      <c r="I185">
        <v>561</v>
      </c>
      <c r="J185">
        <v>791</v>
      </c>
      <c r="K185">
        <v>424</v>
      </c>
      <c r="L185">
        <v>1230</v>
      </c>
      <c r="M185">
        <v>412</v>
      </c>
      <c r="N185">
        <v>242</v>
      </c>
      <c r="O185">
        <v>100</v>
      </c>
      <c r="P185">
        <v>386</v>
      </c>
      <c r="Q185">
        <v>635</v>
      </c>
      <c r="R185">
        <v>184</v>
      </c>
    </row>
    <row r="186" spans="1:18">
      <c r="A186" s="1" t="s">
        <v>152</v>
      </c>
      <c r="B186">
        <v>31</v>
      </c>
      <c r="C186">
        <v>12</v>
      </c>
      <c r="D186">
        <v>19</v>
      </c>
      <c r="E186">
        <v>-2.2400000000000002</v>
      </c>
      <c r="F186">
        <v>2152</v>
      </c>
      <c r="G186">
        <v>746</v>
      </c>
      <c r="H186">
        <v>1738</v>
      </c>
      <c r="I186">
        <v>447</v>
      </c>
      <c r="J186">
        <v>663</v>
      </c>
      <c r="K186">
        <v>356</v>
      </c>
      <c r="L186">
        <v>1084</v>
      </c>
      <c r="M186">
        <v>350</v>
      </c>
      <c r="N186">
        <v>181</v>
      </c>
      <c r="O186">
        <v>98</v>
      </c>
      <c r="P186">
        <v>415</v>
      </c>
      <c r="Q186">
        <v>651</v>
      </c>
      <c r="R186">
        <v>185</v>
      </c>
    </row>
    <row r="187" spans="1:18">
      <c r="A187" s="1" t="s">
        <v>153</v>
      </c>
      <c r="B187">
        <v>32</v>
      </c>
      <c r="C187">
        <v>13</v>
      </c>
      <c r="D187">
        <v>19</v>
      </c>
      <c r="E187">
        <v>2.58</v>
      </c>
      <c r="F187">
        <v>2153</v>
      </c>
      <c r="G187">
        <v>752</v>
      </c>
      <c r="H187">
        <v>1817</v>
      </c>
      <c r="I187">
        <v>481</v>
      </c>
      <c r="J187">
        <v>713</v>
      </c>
      <c r="K187">
        <v>333</v>
      </c>
      <c r="L187">
        <v>1135</v>
      </c>
      <c r="M187">
        <v>390</v>
      </c>
      <c r="N187">
        <v>199</v>
      </c>
      <c r="O187">
        <v>130</v>
      </c>
      <c r="P187">
        <v>409</v>
      </c>
      <c r="Q187">
        <v>622</v>
      </c>
      <c r="R187">
        <v>186</v>
      </c>
    </row>
    <row r="188" spans="1:18">
      <c r="A188" s="1" t="s">
        <v>328</v>
      </c>
      <c r="B188">
        <v>31</v>
      </c>
      <c r="C188">
        <v>10</v>
      </c>
      <c r="D188">
        <v>21</v>
      </c>
      <c r="E188">
        <v>6.88</v>
      </c>
      <c r="F188">
        <v>2126</v>
      </c>
      <c r="G188">
        <v>732</v>
      </c>
      <c r="H188">
        <v>1736</v>
      </c>
      <c r="I188">
        <v>487</v>
      </c>
      <c r="J188">
        <v>688</v>
      </c>
      <c r="K188">
        <v>295</v>
      </c>
      <c r="L188">
        <v>1109</v>
      </c>
      <c r="M188">
        <v>362</v>
      </c>
      <c r="N188">
        <v>169</v>
      </c>
      <c r="O188">
        <v>81</v>
      </c>
      <c r="P188">
        <v>386</v>
      </c>
      <c r="Q188">
        <v>636</v>
      </c>
      <c r="R188">
        <v>187</v>
      </c>
    </row>
    <row r="189" spans="1:18">
      <c r="A189" s="1" t="s">
        <v>154</v>
      </c>
      <c r="B189">
        <v>36</v>
      </c>
      <c r="C189">
        <v>28</v>
      </c>
      <c r="D189">
        <v>8</v>
      </c>
      <c r="E189">
        <v>-1.85</v>
      </c>
      <c r="F189">
        <v>2861</v>
      </c>
      <c r="G189">
        <v>963</v>
      </c>
      <c r="H189">
        <v>2214</v>
      </c>
      <c r="I189">
        <v>653</v>
      </c>
      <c r="J189">
        <v>850</v>
      </c>
      <c r="K189">
        <v>388</v>
      </c>
      <c r="L189">
        <v>1397</v>
      </c>
      <c r="M189">
        <v>443</v>
      </c>
      <c r="N189">
        <v>296</v>
      </c>
      <c r="O189">
        <v>128</v>
      </c>
      <c r="P189">
        <v>443</v>
      </c>
      <c r="Q189">
        <v>767</v>
      </c>
      <c r="R189">
        <v>188</v>
      </c>
    </row>
    <row r="190" spans="1:18">
      <c r="A190" s="1" t="s">
        <v>155</v>
      </c>
      <c r="B190">
        <v>31</v>
      </c>
      <c r="C190">
        <v>14</v>
      </c>
      <c r="D190">
        <v>17</v>
      </c>
      <c r="E190">
        <v>-5.35</v>
      </c>
      <c r="F190">
        <v>2369</v>
      </c>
      <c r="G190">
        <v>831</v>
      </c>
      <c r="H190">
        <v>1916</v>
      </c>
      <c r="I190">
        <v>410</v>
      </c>
      <c r="J190">
        <v>598</v>
      </c>
      <c r="K190">
        <v>394</v>
      </c>
      <c r="L190">
        <v>1159</v>
      </c>
      <c r="M190">
        <v>392</v>
      </c>
      <c r="N190">
        <v>149</v>
      </c>
      <c r="O190">
        <v>62</v>
      </c>
      <c r="P190">
        <v>375</v>
      </c>
      <c r="Q190">
        <v>683</v>
      </c>
      <c r="R190">
        <v>189</v>
      </c>
    </row>
    <row r="191" spans="1:18">
      <c r="A191" s="1" t="s">
        <v>156</v>
      </c>
      <c r="B191">
        <v>33</v>
      </c>
      <c r="C191">
        <v>21</v>
      </c>
      <c r="D191">
        <v>12</v>
      </c>
      <c r="E191">
        <v>-4.29</v>
      </c>
      <c r="F191">
        <v>2393</v>
      </c>
      <c r="G191">
        <v>841</v>
      </c>
      <c r="H191">
        <v>1807</v>
      </c>
      <c r="I191">
        <v>457</v>
      </c>
      <c r="J191">
        <v>657</v>
      </c>
      <c r="K191">
        <v>304</v>
      </c>
      <c r="L191">
        <v>1138</v>
      </c>
      <c r="M191">
        <v>451</v>
      </c>
      <c r="N191">
        <v>173</v>
      </c>
      <c r="O191">
        <v>83</v>
      </c>
      <c r="P191">
        <v>409</v>
      </c>
      <c r="Q191">
        <v>712</v>
      </c>
      <c r="R191">
        <v>190</v>
      </c>
    </row>
    <row r="192" spans="1:18">
      <c r="A192" s="1" t="s">
        <v>157</v>
      </c>
      <c r="B192">
        <v>37</v>
      </c>
      <c r="C192">
        <v>23</v>
      </c>
      <c r="D192">
        <v>14</v>
      </c>
      <c r="E192">
        <v>-1.65</v>
      </c>
      <c r="F192">
        <v>2722</v>
      </c>
      <c r="G192">
        <v>974</v>
      </c>
      <c r="H192">
        <v>2219</v>
      </c>
      <c r="I192">
        <v>557</v>
      </c>
      <c r="J192">
        <v>801</v>
      </c>
      <c r="K192">
        <v>541</v>
      </c>
      <c r="L192">
        <v>1380</v>
      </c>
      <c r="M192">
        <v>533</v>
      </c>
      <c r="N192">
        <v>304</v>
      </c>
      <c r="O192">
        <v>83</v>
      </c>
      <c r="P192">
        <v>464</v>
      </c>
      <c r="Q192">
        <v>859</v>
      </c>
      <c r="R192">
        <v>191</v>
      </c>
    </row>
    <row r="193" spans="1:18">
      <c r="A193" s="1" t="s">
        <v>158</v>
      </c>
      <c r="B193">
        <v>31</v>
      </c>
      <c r="C193">
        <v>9</v>
      </c>
      <c r="D193">
        <v>22</v>
      </c>
      <c r="E193">
        <v>-7.97</v>
      </c>
      <c r="F193">
        <v>2089</v>
      </c>
      <c r="G193">
        <v>734</v>
      </c>
      <c r="H193">
        <v>1854</v>
      </c>
      <c r="I193">
        <v>460</v>
      </c>
      <c r="J193">
        <v>672</v>
      </c>
      <c r="K193">
        <v>377</v>
      </c>
      <c r="L193">
        <v>1089</v>
      </c>
      <c r="M193">
        <v>349</v>
      </c>
      <c r="N193">
        <v>188</v>
      </c>
      <c r="O193">
        <v>68</v>
      </c>
      <c r="P193">
        <v>368</v>
      </c>
      <c r="Q193">
        <v>572</v>
      </c>
      <c r="R193">
        <v>192</v>
      </c>
    </row>
    <row r="194" spans="1:18">
      <c r="A194" s="1" t="s">
        <v>159</v>
      </c>
      <c r="B194">
        <v>33</v>
      </c>
      <c r="C194">
        <v>14</v>
      </c>
      <c r="D194">
        <v>19</v>
      </c>
      <c r="E194">
        <v>-7.99</v>
      </c>
      <c r="F194">
        <v>2218</v>
      </c>
      <c r="G194">
        <v>788</v>
      </c>
      <c r="H194">
        <v>1967</v>
      </c>
      <c r="I194">
        <v>416</v>
      </c>
      <c r="J194">
        <v>601</v>
      </c>
      <c r="K194">
        <v>318</v>
      </c>
      <c r="L194">
        <v>1022</v>
      </c>
      <c r="M194">
        <v>361</v>
      </c>
      <c r="N194">
        <v>248</v>
      </c>
      <c r="O194">
        <v>119</v>
      </c>
      <c r="P194">
        <v>401</v>
      </c>
      <c r="Q194">
        <v>655</v>
      </c>
      <c r="R194">
        <v>193</v>
      </c>
    </row>
    <row r="195" spans="1:18">
      <c r="A195" s="1" t="s">
        <v>160</v>
      </c>
      <c r="B195">
        <v>31</v>
      </c>
      <c r="C195">
        <v>17</v>
      </c>
      <c r="D195">
        <v>14</v>
      </c>
      <c r="E195">
        <v>-3.06</v>
      </c>
      <c r="F195">
        <v>2212</v>
      </c>
      <c r="G195">
        <v>770</v>
      </c>
      <c r="H195">
        <v>1694</v>
      </c>
      <c r="I195">
        <v>444</v>
      </c>
      <c r="J195">
        <v>613</v>
      </c>
      <c r="K195">
        <v>308</v>
      </c>
      <c r="L195">
        <v>1018</v>
      </c>
      <c r="M195">
        <v>445</v>
      </c>
      <c r="N195">
        <v>186</v>
      </c>
      <c r="O195">
        <v>66</v>
      </c>
      <c r="P195">
        <v>367</v>
      </c>
      <c r="Q195">
        <v>617</v>
      </c>
      <c r="R195">
        <v>194</v>
      </c>
    </row>
    <row r="196" spans="1:18">
      <c r="A196" s="1" t="s">
        <v>161</v>
      </c>
      <c r="B196">
        <v>33</v>
      </c>
      <c r="C196">
        <v>19</v>
      </c>
      <c r="D196">
        <v>14</v>
      </c>
      <c r="E196">
        <v>-7.05</v>
      </c>
      <c r="F196">
        <v>2230</v>
      </c>
      <c r="G196">
        <v>805</v>
      </c>
      <c r="H196">
        <v>1768</v>
      </c>
      <c r="I196">
        <v>479</v>
      </c>
      <c r="J196">
        <v>748</v>
      </c>
      <c r="K196">
        <v>370</v>
      </c>
      <c r="L196">
        <v>1187</v>
      </c>
      <c r="M196">
        <v>448</v>
      </c>
      <c r="N196">
        <v>188</v>
      </c>
      <c r="O196">
        <v>125</v>
      </c>
      <c r="P196">
        <v>430</v>
      </c>
      <c r="Q196">
        <v>648</v>
      </c>
      <c r="R196">
        <v>195</v>
      </c>
    </row>
    <row r="197" spans="1:18">
      <c r="A197" s="1" t="s">
        <v>360</v>
      </c>
      <c r="B197">
        <v>32</v>
      </c>
      <c r="C197">
        <v>18</v>
      </c>
      <c r="D197">
        <v>14</v>
      </c>
      <c r="E197">
        <v>-2.04</v>
      </c>
      <c r="F197">
        <v>2729</v>
      </c>
      <c r="G197">
        <v>953</v>
      </c>
      <c r="H197">
        <v>2023</v>
      </c>
      <c r="I197">
        <v>621</v>
      </c>
      <c r="J197">
        <v>833</v>
      </c>
      <c r="K197">
        <v>340</v>
      </c>
      <c r="L197">
        <v>1129</v>
      </c>
      <c r="M197">
        <v>460</v>
      </c>
      <c r="N197">
        <v>297</v>
      </c>
      <c r="O197">
        <v>94</v>
      </c>
      <c r="P197">
        <v>413</v>
      </c>
      <c r="Q197">
        <v>657</v>
      </c>
      <c r="R197">
        <v>196</v>
      </c>
    </row>
    <row r="198" spans="1:18">
      <c r="A198" s="1" t="s">
        <v>162</v>
      </c>
      <c r="B198">
        <v>34</v>
      </c>
      <c r="C198">
        <v>16</v>
      </c>
      <c r="D198">
        <v>18</v>
      </c>
      <c r="E198">
        <v>5.57</v>
      </c>
      <c r="F198">
        <v>2456</v>
      </c>
      <c r="G198">
        <v>883</v>
      </c>
      <c r="H198">
        <v>1976</v>
      </c>
      <c r="I198">
        <v>470</v>
      </c>
      <c r="J198">
        <v>644</v>
      </c>
      <c r="K198">
        <v>377</v>
      </c>
      <c r="L198">
        <v>1197</v>
      </c>
      <c r="M198">
        <v>397</v>
      </c>
      <c r="N198">
        <v>250</v>
      </c>
      <c r="O198">
        <v>112</v>
      </c>
      <c r="P198">
        <v>401</v>
      </c>
      <c r="Q198">
        <v>656</v>
      </c>
      <c r="R198">
        <v>197</v>
      </c>
    </row>
    <row r="199" spans="1:18">
      <c r="A199" s="1" t="s">
        <v>285</v>
      </c>
      <c r="B199">
        <v>33</v>
      </c>
      <c r="C199">
        <v>18</v>
      </c>
      <c r="D199">
        <v>15</v>
      </c>
      <c r="E199">
        <v>3.17</v>
      </c>
      <c r="F199">
        <v>2581</v>
      </c>
      <c r="G199">
        <v>887</v>
      </c>
      <c r="H199">
        <v>2015</v>
      </c>
      <c r="I199">
        <v>555</v>
      </c>
      <c r="J199">
        <v>815</v>
      </c>
      <c r="K199">
        <v>371</v>
      </c>
      <c r="L199">
        <v>1270</v>
      </c>
      <c r="M199">
        <v>499</v>
      </c>
      <c r="N199">
        <v>266</v>
      </c>
      <c r="O199">
        <v>168</v>
      </c>
      <c r="P199">
        <v>466</v>
      </c>
      <c r="Q199">
        <v>700</v>
      </c>
      <c r="R199">
        <v>198</v>
      </c>
    </row>
    <row r="200" spans="1:18">
      <c r="A200" s="1" t="s">
        <v>163</v>
      </c>
      <c r="B200">
        <v>38</v>
      </c>
      <c r="C200">
        <v>24</v>
      </c>
      <c r="D200">
        <v>14</v>
      </c>
      <c r="E200">
        <v>1.79</v>
      </c>
      <c r="F200">
        <v>2878</v>
      </c>
      <c r="G200">
        <v>973</v>
      </c>
      <c r="H200">
        <v>2293</v>
      </c>
      <c r="I200">
        <v>730</v>
      </c>
      <c r="J200">
        <v>992</v>
      </c>
      <c r="K200">
        <v>459</v>
      </c>
      <c r="L200">
        <v>1535</v>
      </c>
      <c r="M200">
        <v>478</v>
      </c>
      <c r="N200">
        <v>254</v>
      </c>
      <c r="O200">
        <v>216</v>
      </c>
      <c r="P200">
        <v>495</v>
      </c>
      <c r="Q200">
        <v>788</v>
      </c>
      <c r="R200">
        <v>199</v>
      </c>
    </row>
    <row r="201" spans="1:18">
      <c r="A201" s="1" t="s">
        <v>164</v>
      </c>
      <c r="B201">
        <v>33</v>
      </c>
      <c r="C201">
        <v>20</v>
      </c>
      <c r="D201">
        <v>13</v>
      </c>
      <c r="E201">
        <v>-7.05</v>
      </c>
      <c r="F201">
        <v>2342</v>
      </c>
      <c r="G201">
        <v>809</v>
      </c>
      <c r="H201">
        <v>1944</v>
      </c>
      <c r="I201">
        <v>502</v>
      </c>
      <c r="J201">
        <v>693</v>
      </c>
      <c r="K201">
        <v>376</v>
      </c>
      <c r="L201">
        <v>1296</v>
      </c>
      <c r="M201">
        <v>389</v>
      </c>
      <c r="N201">
        <v>126</v>
      </c>
      <c r="O201">
        <v>59</v>
      </c>
      <c r="P201">
        <v>385</v>
      </c>
      <c r="Q201">
        <v>585</v>
      </c>
      <c r="R201">
        <v>200</v>
      </c>
    </row>
    <row r="202" spans="1:18">
      <c r="A202" s="1" t="s">
        <v>165</v>
      </c>
      <c r="B202">
        <v>34</v>
      </c>
      <c r="C202">
        <v>23</v>
      </c>
      <c r="D202">
        <v>11</v>
      </c>
      <c r="E202">
        <v>-3.54</v>
      </c>
      <c r="F202">
        <v>2424</v>
      </c>
      <c r="G202">
        <v>887</v>
      </c>
      <c r="H202">
        <v>1919</v>
      </c>
      <c r="I202">
        <v>471</v>
      </c>
      <c r="J202">
        <v>696</v>
      </c>
      <c r="K202">
        <v>415</v>
      </c>
      <c r="L202">
        <v>1395</v>
      </c>
      <c r="M202">
        <v>475</v>
      </c>
      <c r="N202">
        <v>141</v>
      </c>
      <c r="O202">
        <v>160</v>
      </c>
      <c r="P202">
        <v>462</v>
      </c>
      <c r="Q202">
        <v>535</v>
      </c>
      <c r="R202">
        <v>201</v>
      </c>
    </row>
    <row r="203" spans="1:18">
      <c r="A203" s="1" t="s">
        <v>166</v>
      </c>
      <c r="B203">
        <v>32</v>
      </c>
      <c r="C203">
        <v>17</v>
      </c>
      <c r="D203">
        <v>15</v>
      </c>
      <c r="E203">
        <v>2.58</v>
      </c>
      <c r="F203">
        <v>2432</v>
      </c>
      <c r="G203">
        <v>829</v>
      </c>
      <c r="H203">
        <v>1782</v>
      </c>
      <c r="I203">
        <v>578</v>
      </c>
      <c r="J203">
        <v>783</v>
      </c>
      <c r="K203">
        <v>310</v>
      </c>
      <c r="L203">
        <v>1173</v>
      </c>
      <c r="M203">
        <v>462</v>
      </c>
      <c r="N203">
        <v>180</v>
      </c>
      <c r="O203">
        <v>130</v>
      </c>
      <c r="P203">
        <v>489</v>
      </c>
      <c r="Q203">
        <v>657</v>
      </c>
      <c r="R203">
        <v>202</v>
      </c>
    </row>
    <row r="204" spans="1:18">
      <c r="A204" s="1" t="s">
        <v>167</v>
      </c>
      <c r="B204">
        <v>30</v>
      </c>
      <c r="C204">
        <v>10</v>
      </c>
      <c r="D204">
        <v>20</v>
      </c>
      <c r="E204">
        <v>-8.17</v>
      </c>
      <c r="F204">
        <v>2249</v>
      </c>
      <c r="G204">
        <v>763</v>
      </c>
      <c r="H204">
        <v>1820</v>
      </c>
      <c r="I204">
        <v>561</v>
      </c>
      <c r="J204">
        <v>816</v>
      </c>
      <c r="K204">
        <v>422</v>
      </c>
      <c r="L204">
        <v>1138</v>
      </c>
      <c r="M204">
        <v>408</v>
      </c>
      <c r="N204">
        <v>252</v>
      </c>
      <c r="O204">
        <v>77</v>
      </c>
      <c r="P204">
        <v>452</v>
      </c>
      <c r="Q204">
        <v>640</v>
      </c>
      <c r="R204">
        <v>203</v>
      </c>
    </row>
    <row r="205" spans="1:18">
      <c r="A205" s="1" t="s">
        <v>168</v>
      </c>
      <c r="B205">
        <v>32</v>
      </c>
      <c r="C205">
        <v>7</v>
      </c>
      <c r="D205">
        <v>25</v>
      </c>
      <c r="E205">
        <v>-3.86</v>
      </c>
      <c r="F205">
        <v>2067</v>
      </c>
      <c r="G205">
        <v>735</v>
      </c>
      <c r="H205">
        <v>1821</v>
      </c>
      <c r="I205">
        <v>431</v>
      </c>
      <c r="J205">
        <v>620</v>
      </c>
      <c r="K205">
        <v>384</v>
      </c>
      <c r="L205">
        <v>1168</v>
      </c>
      <c r="M205">
        <v>347</v>
      </c>
      <c r="N205">
        <v>165</v>
      </c>
      <c r="O205">
        <v>103</v>
      </c>
      <c r="P205">
        <v>461</v>
      </c>
      <c r="Q205">
        <v>626</v>
      </c>
      <c r="R205">
        <v>204</v>
      </c>
    </row>
    <row r="206" spans="1:18">
      <c r="A206" s="1" t="s">
        <v>169</v>
      </c>
      <c r="B206">
        <v>34</v>
      </c>
      <c r="C206">
        <v>11</v>
      </c>
      <c r="D206">
        <v>23</v>
      </c>
      <c r="E206">
        <v>-5.23</v>
      </c>
      <c r="F206">
        <v>2298</v>
      </c>
      <c r="G206">
        <v>787</v>
      </c>
      <c r="H206">
        <v>1875</v>
      </c>
      <c r="I206">
        <v>512</v>
      </c>
      <c r="J206">
        <v>782</v>
      </c>
      <c r="K206">
        <v>315</v>
      </c>
      <c r="L206">
        <v>1144</v>
      </c>
      <c r="M206">
        <v>433</v>
      </c>
      <c r="N206">
        <v>229</v>
      </c>
      <c r="O206">
        <v>164</v>
      </c>
      <c r="P206">
        <v>534</v>
      </c>
      <c r="Q206">
        <v>686</v>
      </c>
      <c r="R206">
        <v>205</v>
      </c>
    </row>
    <row r="207" spans="1:18">
      <c r="A207" s="1" t="s">
        <v>337</v>
      </c>
      <c r="B207">
        <v>35</v>
      </c>
      <c r="C207">
        <v>20</v>
      </c>
      <c r="D207">
        <v>15</v>
      </c>
      <c r="E207">
        <v>-4.5599999999999996</v>
      </c>
      <c r="F207">
        <v>2629</v>
      </c>
      <c r="G207">
        <v>911</v>
      </c>
      <c r="H207">
        <v>2045</v>
      </c>
      <c r="I207">
        <v>501</v>
      </c>
      <c r="J207">
        <v>679</v>
      </c>
      <c r="K207">
        <v>330</v>
      </c>
      <c r="L207">
        <v>1214</v>
      </c>
      <c r="M207">
        <v>562</v>
      </c>
      <c r="N207">
        <v>226</v>
      </c>
      <c r="O207">
        <v>93</v>
      </c>
      <c r="P207">
        <v>452</v>
      </c>
      <c r="Q207">
        <v>672</v>
      </c>
      <c r="R207">
        <v>206</v>
      </c>
    </row>
    <row r="208" spans="1:18">
      <c r="A208" s="1" t="s">
        <v>170</v>
      </c>
      <c r="B208">
        <v>34</v>
      </c>
      <c r="C208">
        <v>17</v>
      </c>
      <c r="D208">
        <v>17</v>
      </c>
      <c r="E208">
        <v>-6.73</v>
      </c>
      <c r="F208">
        <v>2494</v>
      </c>
      <c r="G208">
        <v>813</v>
      </c>
      <c r="H208">
        <v>1919</v>
      </c>
      <c r="I208">
        <v>626</v>
      </c>
      <c r="J208">
        <v>808</v>
      </c>
      <c r="K208">
        <v>376</v>
      </c>
      <c r="L208">
        <v>1182</v>
      </c>
      <c r="M208">
        <v>411</v>
      </c>
      <c r="N208">
        <v>191</v>
      </c>
      <c r="O208">
        <v>174</v>
      </c>
      <c r="P208">
        <v>423</v>
      </c>
      <c r="Q208">
        <v>712</v>
      </c>
      <c r="R208">
        <v>207</v>
      </c>
    </row>
    <row r="209" spans="1:18">
      <c r="A209" s="1" t="s">
        <v>171</v>
      </c>
      <c r="B209">
        <v>34</v>
      </c>
      <c r="C209">
        <v>22</v>
      </c>
      <c r="D209">
        <v>12</v>
      </c>
      <c r="E209">
        <v>-3.25</v>
      </c>
      <c r="F209">
        <v>2552</v>
      </c>
      <c r="G209">
        <v>898</v>
      </c>
      <c r="H209">
        <v>1973</v>
      </c>
      <c r="I209">
        <v>561</v>
      </c>
      <c r="J209">
        <v>808</v>
      </c>
      <c r="K209">
        <v>396</v>
      </c>
      <c r="L209">
        <v>1278</v>
      </c>
      <c r="M209">
        <v>422</v>
      </c>
      <c r="N209">
        <v>312</v>
      </c>
      <c r="O209">
        <v>112</v>
      </c>
      <c r="P209">
        <v>444</v>
      </c>
      <c r="Q209">
        <v>587</v>
      </c>
      <c r="R209">
        <v>208</v>
      </c>
    </row>
    <row r="210" spans="1:18">
      <c r="A210" s="1" t="s">
        <v>172</v>
      </c>
      <c r="B210">
        <v>32</v>
      </c>
      <c r="C210">
        <v>10</v>
      </c>
      <c r="D210">
        <v>22</v>
      </c>
      <c r="E210">
        <v>-8.49</v>
      </c>
      <c r="F210">
        <v>2169</v>
      </c>
      <c r="G210">
        <v>745</v>
      </c>
      <c r="H210">
        <v>1836</v>
      </c>
      <c r="I210">
        <v>480</v>
      </c>
      <c r="J210">
        <v>675</v>
      </c>
      <c r="K210">
        <v>357</v>
      </c>
      <c r="L210">
        <v>1148</v>
      </c>
      <c r="M210">
        <v>339</v>
      </c>
      <c r="N210">
        <v>162</v>
      </c>
      <c r="O210">
        <v>77</v>
      </c>
      <c r="P210">
        <v>439</v>
      </c>
      <c r="Q210">
        <v>718</v>
      </c>
      <c r="R210">
        <v>209</v>
      </c>
    </row>
    <row r="211" spans="1:18">
      <c r="A211" s="1" t="s">
        <v>349</v>
      </c>
      <c r="B211">
        <v>32</v>
      </c>
      <c r="C211">
        <v>13</v>
      </c>
      <c r="D211">
        <v>19</v>
      </c>
      <c r="E211">
        <v>-10.029999999999999</v>
      </c>
      <c r="F211">
        <v>2220</v>
      </c>
      <c r="G211">
        <v>779</v>
      </c>
      <c r="H211">
        <v>1805</v>
      </c>
      <c r="I211">
        <v>462</v>
      </c>
      <c r="J211">
        <v>697</v>
      </c>
      <c r="K211">
        <v>395</v>
      </c>
      <c r="L211">
        <v>1178</v>
      </c>
      <c r="M211">
        <v>406</v>
      </c>
      <c r="N211">
        <v>186</v>
      </c>
      <c r="O211">
        <v>54</v>
      </c>
      <c r="P211">
        <v>444</v>
      </c>
      <c r="Q211">
        <v>635</v>
      </c>
      <c r="R211">
        <v>210</v>
      </c>
    </row>
    <row r="212" spans="1:18">
      <c r="A212" s="1" t="s">
        <v>173</v>
      </c>
      <c r="B212">
        <v>34</v>
      </c>
      <c r="C212">
        <v>15</v>
      </c>
      <c r="D212">
        <v>19</v>
      </c>
      <c r="E212">
        <v>-3.23</v>
      </c>
      <c r="F212">
        <v>2469</v>
      </c>
      <c r="G212">
        <v>890</v>
      </c>
      <c r="H212">
        <v>1997</v>
      </c>
      <c r="I212">
        <v>393</v>
      </c>
      <c r="J212">
        <v>579</v>
      </c>
      <c r="K212">
        <v>322</v>
      </c>
      <c r="L212">
        <v>1167</v>
      </c>
      <c r="M212">
        <v>440</v>
      </c>
      <c r="N212">
        <v>208</v>
      </c>
      <c r="O212">
        <v>86</v>
      </c>
      <c r="P212">
        <v>407</v>
      </c>
      <c r="Q212">
        <v>675</v>
      </c>
      <c r="R212">
        <v>211</v>
      </c>
    </row>
    <row r="213" spans="1:18">
      <c r="A213" s="1" t="s">
        <v>174</v>
      </c>
      <c r="B213">
        <v>33</v>
      </c>
      <c r="C213">
        <v>16</v>
      </c>
      <c r="D213">
        <v>17</v>
      </c>
      <c r="E213">
        <v>9.0399999999999991</v>
      </c>
      <c r="F213">
        <v>2482</v>
      </c>
      <c r="G213">
        <v>866</v>
      </c>
      <c r="H213">
        <v>1999</v>
      </c>
      <c r="I213">
        <v>543</v>
      </c>
      <c r="J213">
        <v>777</v>
      </c>
      <c r="K213">
        <v>457</v>
      </c>
      <c r="L213">
        <v>1306</v>
      </c>
      <c r="M213">
        <v>383</v>
      </c>
      <c r="N213">
        <v>149</v>
      </c>
      <c r="O213">
        <v>141</v>
      </c>
      <c r="P213">
        <v>366</v>
      </c>
      <c r="Q213">
        <v>558</v>
      </c>
      <c r="R213">
        <v>212</v>
      </c>
    </row>
    <row r="214" spans="1:18">
      <c r="A214" s="1" t="s">
        <v>286</v>
      </c>
      <c r="B214">
        <v>33</v>
      </c>
      <c r="C214">
        <v>25</v>
      </c>
      <c r="D214">
        <v>8</v>
      </c>
      <c r="E214">
        <v>0.35</v>
      </c>
      <c r="F214">
        <v>2620</v>
      </c>
      <c r="G214">
        <v>928</v>
      </c>
      <c r="H214">
        <v>2039</v>
      </c>
      <c r="I214">
        <v>534</v>
      </c>
      <c r="J214">
        <v>760</v>
      </c>
      <c r="K214">
        <v>397</v>
      </c>
      <c r="L214">
        <v>1237</v>
      </c>
      <c r="M214">
        <v>438</v>
      </c>
      <c r="N214">
        <v>246</v>
      </c>
      <c r="O214">
        <v>143</v>
      </c>
      <c r="P214">
        <v>374</v>
      </c>
      <c r="Q214">
        <v>793</v>
      </c>
      <c r="R214">
        <v>213</v>
      </c>
    </row>
    <row r="215" spans="1:18">
      <c r="A215" s="1" t="s">
        <v>312</v>
      </c>
      <c r="B215">
        <v>40</v>
      </c>
      <c r="C215">
        <v>33</v>
      </c>
      <c r="D215">
        <v>7</v>
      </c>
      <c r="E215">
        <v>10.69</v>
      </c>
      <c r="F215">
        <v>3311</v>
      </c>
      <c r="G215">
        <v>1235</v>
      </c>
      <c r="H215">
        <v>2560</v>
      </c>
      <c r="I215">
        <v>617</v>
      </c>
      <c r="J215">
        <v>826</v>
      </c>
      <c r="K215">
        <v>568</v>
      </c>
      <c r="L215">
        <v>1624</v>
      </c>
      <c r="M215">
        <v>708</v>
      </c>
      <c r="N215">
        <v>269</v>
      </c>
      <c r="O215">
        <v>177</v>
      </c>
      <c r="P215">
        <v>431</v>
      </c>
      <c r="Q215">
        <v>718</v>
      </c>
      <c r="R215">
        <v>214</v>
      </c>
    </row>
    <row r="216" spans="1:18">
      <c r="A216" s="1" t="s">
        <v>338</v>
      </c>
      <c r="B216">
        <v>33</v>
      </c>
      <c r="C216">
        <v>20</v>
      </c>
      <c r="D216">
        <v>13</v>
      </c>
      <c r="E216">
        <v>-2.99</v>
      </c>
      <c r="F216">
        <v>2271</v>
      </c>
      <c r="G216">
        <v>817</v>
      </c>
      <c r="H216">
        <v>1837</v>
      </c>
      <c r="I216">
        <v>423</v>
      </c>
      <c r="J216">
        <v>619</v>
      </c>
      <c r="K216">
        <v>302</v>
      </c>
      <c r="L216">
        <v>1149</v>
      </c>
      <c r="M216">
        <v>347</v>
      </c>
      <c r="N216">
        <v>198</v>
      </c>
      <c r="O216">
        <v>117</v>
      </c>
      <c r="P216">
        <v>348</v>
      </c>
      <c r="Q216">
        <v>523</v>
      </c>
      <c r="R216">
        <v>215</v>
      </c>
    </row>
    <row r="217" spans="1:18">
      <c r="A217" s="1" t="s">
        <v>357</v>
      </c>
      <c r="B217">
        <v>33</v>
      </c>
      <c r="C217">
        <v>17</v>
      </c>
      <c r="D217">
        <v>16</v>
      </c>
      <c r="E217">
        <v>-4.91</v>
      </c>
      <c r="F217">
        <v>2474</v>
      </c>
      <c r="G217">
        <v>876</v>
      </c>
      <c r="H217">
        <v>1926</v>
      </c>
      <c r="I217">
        <v>519</v>
      </c>
      <c r="J217">
        <v>761</v>
      </c>
      <c r="K217">
        <v>293</v>
      </c>
      <c r="L217">
        <v>1209</v>
      </c>
      <c r="M217">
        <v>439</v>
      </c>
      <c r="N217">
        <v>257</v>
      </c>
      <c r="O217">
        <v>90</v>
      </c>
      <c r="P217">
        <v>435</v>
      </c>
      <c r="Q217">
        <v>694</v>
      </c>
      <c r="R217">
        <v>216</v>
      </c>
    </row>
    <row r="218" spans="1:18">
      <c r="A218" s="1" t="s">
        <v>339</v>
      </c>
      <c r="B218">
        <v>34</v>
      </c>
      <c r="C218">
        <v>22</v>
      </c>
      <c r="D218">
        <v>12</v>
      </c>
      <c r="E218">
        <v>-3.92</v>
      </c>
      <c r="F218">
        <v>2865</v>
      </c>
      <c r="G218">
        <v>1000</v>
      </c>
      <c r="H218">
        <v>2065</v>
      </c>
      <c r="I218">
        <v>454</v>
      </c>
      <c r="J218">
        <v>624</v>
      </c>
      <c r="K218">
        <v>293</v>
      </c>
      <c r="L218">
        <v>1168</v>
      </c>
      <c r="M218">
        <v>559</v>
      </c>
      <c r="N218">
        <v>177</v>
      </c>
      <c r="O218">
        <v>172</v>
      </c>
      <c r="P218">
        <v>383</v>
      </c>
      <c r="Q218">
        <v>551</v>
      </c>
      <c r="R218">
        <v>217</v>
      </c>
    </row>
    <row r="219" spans="1:18">
      <c r="A219" s="1" t="s">
        <v>175</v>
      </c>
      <c r="B219">
        <v>32</v>
      </c>
      <c r="C219">
        <v>12</v>
      </c>
      <c r="D219">
        <v>20</v>
      </c>
      <c r="E219">
        <v>-3.23</v>
      </c>
      <c r="F219">
        <v>2386</v>
      </c>
      <c r="G219">
        <v>830</v>
      </c>
      <c r="H219">
        <v>1838</v>
      </c>
      <c r="I219">
        <v>539</v>
      </c>
      <c r="J219">
        <v>838</v>
      </c>
      <c r="K219">
        <v>362</v>
      </c>
      <c r="L219">
        <v>1158</v>
      </c>
      <c r="M219">
        <v>362</v>
      </c>
      <c r="N219">
        <v>210</v>
      </c>
      <c r="O219">
        <v>98</v>
      </c>
      <c r="P219">
        <v>443</v>
      </c>
      <c r="Q219">
        <v>685</v>
      </c>
      <c r="R219">
        <v>218</v>
      </c>
    </row>
    <row r="220" spans="1:18">
      <c r="A220" s="1" t="s">
        <v>176</v>
      </c>
      <c r="B220">
        <v>33</v>
      </c>
      <c r="C220">
        <v>18</v>
      </c>
      <c r="D220">
        <v>15</v>
      </c>
      <c r="E220">
        <v>1.35</v>
      </c>
      <c r="F220">
        <v>2376</v>
      </c>
      <c r="G220">
        <v>793</v>
      </c>
      <c r="H220">
        <v>1808</v>
      </c>
      <c r="I220">
        <v>504</v>
      </c>
      <c r="J220">
        <v>704</v>
      </c>
      <c r="K220">
        <v>295</v>
      </c>
      <c r="L220">
        <v>1111</v>
      </c>
      <c r="M220">
        <v>485</v>
      </c>
      <c r="N220">
        <v>202</v>
      </c>
      <c r="O220">
        <v>109</v>
      </c>
      <c r="P220">
        <v>409</v>
      </c>
      <c r="Q220">
        <v>546</v>
      </c>
      <c r="R220">
        <v>219</v>
      </c>
    </row>
    <row r="221" spans="1:18">
      <c r="A221" s="1" t="s">
        <v>287</v>
      </c>
      <c r="B221">
        <v>30</v>
      </c>
      <c r="C221">
        <v>5</v>
      </c>
      <c r="D221">
        <v>25</v>
      </c>
      <c r="E221">
        <v>-2.83</v>
      </c>
      <c r="F221">
        <v>2054</v>
      </c>
      <c r="G221">
        <v>699</v>
      </c>
      <c r="H221">
        <v>1749</v>
      </c>
      <c r="I221">
        <v>436</v>
      </c>
      <c r="J221">
        <v>619</v>
      </c>
      <c r="K221">
        <v>260</v>
      </c>
      <c r="L221">
        <v>1002</v>
      </c>
      <c r="M221">
        <v>372</v>
      </c>
      <c r="N221">
        <v>185</v>
      </c>
      <c r="O221">
        <v>60</v>
      </c>
      <c r="P221">
        <v>389</v>
      </c>
      <c r="Q221">
        <v>563</v>
      </c>
      <c r="R221">
        <v>220</v>
      </c>
    </row>
    <row r="222" spans="1:18">
      <c r="A222" s="1" t="s">
        <v>333</v>
      </c>
      <c r="B222">
        <v>31</v>
      </c>
      <c r="C222">
        <v>10</v>
      </c>
      <c r="D222">
        <v>21</v>
      </c>
      <c r="E222">
        <v>-4.01</v>
      </c>
      <c r="F222">
        <v>2292</v>
      </c>
      <c r="G222">
        <v>780</v>
      </c>
      <c r="H222">
        <v>1726</v>
      </c>
      <c r="I222">
        <v>529</v>
      </c>
      <c r="J222">
        <v>727</v>
      </c>
      <c r="K222">
        <v>328</v>
      </c>
      <c r="L222">
        <v>1077</v>
      </c>
      <c r="M222">
        <v>320</v>
      </c>
      <c r="N222">
        <v>178</v>
      </c>
      <c r="O222">
        <v>78</v>
      </c>
      <c r="P222">
        <v>427</v>
      </c>
      <c r="Q222">
        <v>703</v>
      </c>
      <c r="R222">
        <v>221</v>
      </c>
    </row>
    <row r="223" spans="1:18">
      <c r="A223" s="1" t="s">
        <v>177</v>
      </c>
      <c r="B223">
        <v>34</v>
      </c>
      <c r="C223">
        <v>21</v>
      </c>
      <c r="D223">
        <v>13</v>
      </c>
      <c r="E223">
        <v>-1.2</v>
      </c>
      <c r="F223">
        <v>2463</v>
      </c>
      <c r="G223">
        <v>842</v>
      </c>
      <c r="H223">
        <v>1970</v>
      </c>
      <c r="I223">
        <v>541</v>
      </c>
      <c r="J223">
        <v>791</v>
      </c>
      <c r="K223">
        <v>416</v>
      </c>
      <c r="L223">
        <v>1331</v>
      </c>
      <c r="M223">
        <v>472</v>
      </c>
      <c r="N223">
        <v>250</v>
      </c>
      <c r="O223">
        <v>118</v>
      </c>
      <c r="P223">
        <v>430</v>
      </c>
      <c r="Q223">
        <v>687</v>
      </c>
      <c r="R223">
        <v>222</v>
      </c>
    </row>
    <row r="224" spans="1:18">
      <c r="A224" s="1" t="s">
        <v>178</v>
      </c>
      <c r="B224">
        <v>36</v>
      </c>
      <c r="C224">
        <v>23</v>
      </c>
      <c r="D224">
        <v>13</v>
      </c>
      <c r="E224">
        <v>4.4400000000000004</v>
      </c>
      <c r="F224">
        <v>2475</v>
      </c>
      <c r="G224">
        <v>849</v>
      </c>
      <c r="H224">
        <v>1864</v>
      </c>
      <c r="I224">
        <v>479</v>
      </c>
      <c r="J224">
        <v>633</v>
      </c>
      <c r="K224">
        <v>195</v>
      </c>
      <c r="L224">
        <v>1091</v>
      </c>
      <c r="M224">
        <v>429</v>
      </c>
      <c r="N224">
        <v>204</v>
      </c>
      <c r="O224">
        <v>94</v>
      </c>
      <c r="P224">
        <v>357</v>
      </c>
      <c r="Q224">
        <v>560</v>
      </c>
      <c r="R224">
        <v>223</v>
      </c>
    </row>
    <row r="225" spans="1:18">
      <c r="A225" s="1" t="s">
        <v>361</v>
      </c>
      <c r="B225">
        <v>30</v>
      </c>
      <c r="C225">
        <v>9</v>
      </c>
      <c r="D225">
        <v>21</v>
      </c>
      <c r="E225">
        <v>-0.69</v>
      </c>
      <c r="F225">
        <v>2116</v>
      </c>
      <c r="G225">
        <v>755</v>
      </c>
      <c r="H225">
        <v>1719</v>
      </c>
      <c r="I225">
        <v>372</v>
      </c>
      <c r="J225">
        <v>545</v>
      </c>
      <c r="K225">
        <v>281</v>
      </c>
      <c r="L225">
        <v>1033</v>
      </c>
      <c r="M225">
        <v>439</v>
      </c>
      <c r="N225">
        <v>142</v>
      </c>
      <c r="O225">
        <v>88</v>
      </c>
      <c r="P225">
        <v>406</v>
      </c>
      <c r="Q225">
        <v>615</v>
      </c>
      <c r="R225">
        <v>224</v>
      </c>
    </row>
    <row r="226" spans="1:18">
      <c r="A226" s="1" t="s">
        <v>179</v>
      </c>
      <c r="B226">
        <v>28</v>
      </c>
      <c r="C226">
        <v>8</v>
      </c>
      <c r="D226">
        <v>20</v>
      </c>
      <c r="E226">
        <v>-5.66</v>
      </c>
      <c r="F226">
        <v>2224</v>
      </c>
      <c r="G226">
        <v>770</v>
      </c>
      <c r="H226">
        <v>1688</v>
      </c>
      <c r="I226">
        <v>477</v>
      </c>
      <c r="J226">
        <v>623</v>
      </c>
      <c r="K226">
        <v>286</v>
      </c>
      <c r="L226">
        <v>919</v>
      </c>
      <c r="M226">
        <v>433</v>
      </c>
      <c r="N226">
        <v>174</v>
      </c>
      <c r="O226">
        <v>90</v>
      </c>
      <c r="P226">
        <v>407</v>
      </c>
      <c r="Q226">
        <v>560</v>
      </c>
      <c r="R226">
        <v>225</v>
      </c>
    </row>
    <row r="227" spans="1:18">
      <c r="A227" s="1" t="s">
        <v>180</v>
      </c>
      <c r="B227">
        <v>32</v>
      </c>
      <c r="C227">
        <v>20</v>
      </c>
      <c r="D227">
        <v>12</v>
      </c>
      <c r="E227">
        <v>4.12</v>
      </c>
      <c r="F227">
        <v>2304</v>
      </c>
      <c r="G227">
        <v>837</v>
      </c>
      <c r="H227">
        <v>1859</v>
      </c>
      <c r="I227">
        <v>352</v>
      </c>
      <c r="J227">
        <v>528</v>
      </c>
      <c r="K227">
        <v>342</v>
      </c>
      <c r="L227">
        <v>1167</v>
      </c>
      <c r="M227">
        <v>527</v>
      </c>
      <c r="N227">
        <v>124</v>
      </c>
      <c r="O227">
        <v>121</v>
      </c>
      <c r="P227">
        <v>331</v>
      </c>
      <c r="Q227">
        <v>605</v>
      </c>
      <c r="R227">
        <v>226</v>
      </c>
    </row>
    <row r="228" spans="1:18">
      <c r="A228" s="1" t="s">
        <v>181</v>
      </c>
      <c r="B228">
        <v>36</v>
      </c>
      <c r="C228">
        <v>24</v>
      </c>
      <c r="D228">
        <v>12</v>
      </c>
      <c r="E228">
        <v>9.57</v>
      </c>
      <c r="F228">
        <v>2704</v>
      </c>
      <c r="G228">
        <v>972</v>
      </c>
      <c r="H228">
        <v>2042</v>
      </c>
      <c r="I228">
        <v>498</v>
      </c>
      <c r="J228">
        <v>671</v>
      </c>
      <c r="K228">
        <v>381</v>
      </c>
      <c r="L228">
        <v>1265</v>
      </c>
      <c r="M228">
        <v>480</v>
      </c>
      <c r="N228">
        <v>197</v>
      </c>
      <c r="O228">
        <v>143</v>
      </c>
      <c r="P228">
        <v>359</v>
      </c>
      <c r="Q228">
        <v>544</v>
      </c>
      <c r="R228">
        <v>227</v>
      </c>
    </row>
    <row r="229" spans="1:18">
      <c r="A229" s="1" t="s">
        <v>182</v>
      </c>
      <c r="B229">
        <v>35</v>
      </c>
      <c r="C229">
        <v>23</v>
      </c>
      <c r="D229">
        <v>12</v>
      </c>
      <c r="E229">
        <v>-1.61</v>
      </c>
      <c r="F229">
        <v>3023</v>
      </c>
      <c r="G229">
        <v>1002</v>
      </c>
      <c r="H229">
        <v>2186</v>
      </c>
      <c r="I229">
        <v>703</v>
      </c>
      <c r="J229">
        <v>913</v>
      </c>
      <c r="K229">
        <v>399</v>
      </c>
      <c r="L229">
        <v>1373</v>
      </c>
      <c r="M229">
        <v>545</v>
      </c>
      <c r="N229">
        <v>215</v>
      </c>
      <c r="O229">
        <v>116</v>
      </c>
      <c r="P229">
        <v>399</v>
      </c>
      <c r="Q229">
        <v>667</v>
      </c>
      <c r="R229">
        <v>228</v>
      </c>
    </row>
    <row r="230" spans="1:18">
      <c r="A230" s="1" t="s">
        <v>321</v>
      </c>
      <c r="B230">
        <v>35</v>
      </c>
      <c r="C230">
        <v>21</v>
      </c>
      <c r="D230">
        <v>14</v>
      </c>
      <c r="E230">
        <v>7.08</v>
      </c>
      <c r="F230">
        <v>2462</v>
      </c>
      <c r="G230">
        <v>876</v>
      </c>
      <c r="H230">
        <v>1995</v>
      </c>
      <c r="I230">
        <v>491</v>
      </c>
      <c r="J230">
        <v>718</v>
      </c>
      <c r="K230">
        <v>379</v>
      </c>
      <c r="L230">
        <v>1333</v>
      </c>
      <c r="M230">
        <v>397</v>
      </c>
      <c r="N230">
        <v>191</v>
      </c>
      <c r="O230">
        <v>183</v>
      </c>
      <c r="P230">
        <v>451</v>
      </c>
      <c r="Q230">
        <v>620</v>
      </c>
      <c r="R230">
        <v>229</v>
      </c>
    </row>
    <row r="231" spans="1:18">
      <c r="A231" s="1" t="s">
        <v>183</v>
      </c>
      <c r="B231">
        <v>35</v>
      </c>
      <c r="C231">
        <v>23</v>
      </c>
      <c r="D231">
        <v>12</v>
      </c>
      <c r="E231">
        <v>-1.18</v>
      </c>
      <c r="F231">
        <v>2746</v>
      </c>
      <c r="G231">
        <v>937</v>
      </c>
      <c r="H231">
        <v>1993</v>
      </c>
      <c r="I231">
        <v>576</v>
      </c>
      <c r="J231">
        <v>759</v>
      </c>
      <c r="K231">
        <v>289</v>
      </c>
      <c r="L231">
        <v>1251</v>
      </c>
      <c r="M231">
        <v>487</v>
      </c>
      <c r="N231">
        <v>157</v>
      </c>
      <c r="O231">
        <v>128</v>
      </c>
      <c r="P231">
        <v>414</v>
      </c>
      <c r="Q231">
        <v>632</v>
      </c>
      <c r="R231">
        <v>230</v>
      </c>
    </row>
    <row r="232" spans="1:18">
      <c r="A232" s="1" t="s">
        <v>340</v>
      </c>
      <c r="B232">
        <v>32</v>
      </c>
      <c r="C232">
        <v>12</v>
      </c>
      <c r="D232">
        <v>20</v>
      </c>
      <c r="E232">
        <v>8.81</v>
      </c>
      <c r="F232">
        <v>2128</v>
      </c>
      <c r="G232">
        <v>723</v>
      </c>
      <c r="H232">
        <v>1709</v>
      </c>
      <c r="I232">
        <v>477</v>
      </c>
      <c r="J232">
        <v>654</v>
      </c>
      <c r="K232">
        <v>310</v>
      </c>
      <c r="L232">
        <v>1111</v>
      </c>
      <c r="M232">
        <v>389</v>
      </c>
      <c r="N232">
        <v>179</v>
      </c>
      <c r="O232">
        <v>132</v>
      </c>
      <c r="P232">
        <v>402</v>
      </c>
      <c r="Q232">
        <v>636</v>
      </c>
      <c r="R232">
        <v>231</v>
      </c>
    </row>
    <row r="233" spans="1:18">
      <c r="A233" s="1" t="s">
        <v>329</v>
      </c>
      <c r="B233">
        <v>37</v>
      </c>
      <c r="C233">
        <v>29</v>
      </c>
      <c r="D233">
        <v>8</v>
      </c>
      <c r="E233">
        <v>11.14</v>
      </c>
      <c r="F233">
        <v>2948</v>
      </c>
      <c r="G233">
        <v>1018</v>
      </c>
      <c r="H233">
        <v>2225</v>
      </c>
      <c r="I233">
        <v>530</v>
      </c>
      <c r="J233">
        <v>734</v>
      </c>
      <c r="K233">
        <v>407</v>
      </c>
      <c r="L233">
        <v>1418</v>
      </c>
      <c r="M233">
        <v>537</v>
      </c>
      <c r="N233">
        <v>247</v>
      </c>
      <c r="O233">
        <v>188</v>
      </c>
      <c r="P233">
        <v>484</v>
      </c>
      <c r="Q233">
        <v>630</v>
      </c>
      <c r="R233">
        <v>232</v>
      </c>
    </row>
    <row r="234" spans="1:18">
      <c r="A234" s="1" t="s">
        <v>184</v>
      </c>
      <c r="B234">
        <v>38</v>
      </c>
      <c r="C234">
        <v>25</v>
      </c>
      <c r="D234">
        <v>13</v>
      </c>
      <c r="E234">
        <v>-2.31</v>
      </c>
      <c r="F234">
        <v>2604</v>
      </c>
      <c r="G234">
        <v>987</v>
      </c>
      <c r="H234">
        <v>2227</v>
      </c>
      <c r="I234">
        <v>471</v>
      </c>
      <c r="J234">
        <v>691</v>
      </c>
      <c r="K234">
        <v>501</v>
      </c>
      <c r="L234">
        <v>1474</v>
      </c>
      <c r="M234">
        <v>505</v>
      </c>
      <c r="N234">
        <v>221</v>
      </c>
      <c r="O234">
        <v>150</v>
      </c>
      <c r="P234">
        <v>346</v>
      </c>
      <c r="Q234">
        <v>687</v>
      </c>
      <c r="R234">
        <v>233</v>
      </c>
    </row>
    <row r="235" spans="1:18">
      <c r="A235" s="1" t="s">
        <v>185</v>
      </c>
      <c r="B235">
        <v>31</v>
      </c>
      <c r="C235">
        <v>14</v>
      </c>
      <c r="D235">
        <v>17</v>
      </c>
      <c r="E235">
        <v>0.59</v>
      </c>
      <c r="F235">
        <v>2356</v>
      </c>
      <c r="G235">
        <v>832</v>
      </c>
      <c r="H235">
        <v>1821</v>
      </c>
      <c r="I235">
        <v>498</v>
      </c>
      <c r="J235">
        <v>665</v>
      </c>
      <c r="K235">
        <v>299</v>
      </c>
      <c r="L235">
        <v>1101</v>
      </c>
      <c r="M235">
        <v>384</v>
      </c>
      <c r="N235">
        <v>162</v>
      </c>
      <c r="O235">
        <v>133</v>
      </c>
      <c r="P235">
        <v>373</v>
      </c>
      <c r="Q235">
        <v>563</v>
      </c>
      <c r="R235">
        <v>234</v>
      </c>
    </row>
    <row r="236" spans="1:18">
      <c r="A236" s="1" t="s">
        <v>186</v>
      </c>
      <c r="B236">
        <v>32</v>
      </c>
      <c r="C236">
        <v>19</v>
      </c>
      <c r="D236">
        <v>13</v>
      </c>
      <c r="E236">
        <v>9.26</v>
      </c>
      <c r="F236">
        <v>2301</v>
      </c>
      <c r="G236">
        <v>811</v>
      </c>
      <c r="H236">
        <v>1843</v>
      </c>
      <c r="I236">
        <v>461</v>
      </c>
      <c r="J236">
        <v>687</v>
      </c>
      <c r="K236">
        <v>337</v>
      </c>
      <c r="L236">
        <v>1102</v>
      </c>
      <c r="M236">
        <v>432</v>
      </c>
      <c r="N236">
        <v>236</v>
      </c>
      <c r="O236">
        <v>106</v>
      </c>
      <c r="P236">
        <v>361</v>
      </c>
      <c r="Q236">
        <v>642</v>
      </c>
      <c r="R236">
        <v>235</v>
      </c>
    </row>
    <row r="237" spans="1:18">
      <c r="A237" s="1" t="s">
        <v>288</v>
      </c>
      <c r="B237">
        <v>38</v>
      </c>
      <c r="C237">
        <v>31</v>
      </c>
      <c r="D237">
        <v>7</v>
      </c>
      <c r="E237">
        <v>8.64</v>
      </c>
      <c r="F237">
        <v>2990</v>
      </c>
      <c r="G237">
        <v>1041</v>
      </c>
      <c r="H237">
        <v>2230</v>
      </c>
      <c r="I237">
        <v>648</v>
      </c>
      <c r="J237">
        <v>906</v>
      </c>
      <c r="K237">
        <v>442</v>
      </c>
      <c r="L237">
        <v>1382</v>
      </c>
      <c r="M237">
        <v>517</v>
      </c>
      <c r="N237">
        <v>275</v>
      </c>
      <c r="O237">
        <v>221</v>
      </c>
      <c r="P237">
        <v>431</v>
      </c>
      <c r="Q237">
        <v>675</v>
      </c>
      <c r="R237">
        <v>236</v>
      </c>
    </row>
    <row r="238" spans="1:18">
      <c r="A238" s="1" t="s">
        <v>187</v>
      </c>
      <c r="B238">
        <v>28</v>
      </c>
      <c r="C238">
        <v>8</v>
      </c>
      <c r="D238">
        <v>20</v>
      </c>
      <c r="E238">
        <v>2.35</v>
      </c>
      <c r="F238">
        <v>1948</v>
      </c>
      <c r="G238">
        <v>685</v>
      </c>
      <c r="H238">
        <v>1559</v>
      </c>
      <c r="I238">
        <v>388</v>
      </c>
      <c r="J238">
        <v>575</v>
      </c>
      <c r="K238">
        <v>282</v>
      </c>
      <c r="L238">
        <v>993</v>
      </c>
      <c r="M238">
        <v>362</v>
      </c>
      <c r="N238">
        <v>125</v>
      </c>
      <c r="O238">
        <v>71</v>
      </c>
      <c r="P238">
        <v>383</v>
      </c>
      <c r="Q238">
        <v>637</v>
      </c>
      <c r="R238">
        <v>237</v>
      </c>
    </row>
    <row r="239" spans="1:18">
      <c r="A239" s="1" t="s">
        <v>188</v>
      </c>
      <c r="B239">
        <v>32</v>
      </c>
      <c r="C239">
        <v>16</v>
      </c>
      <c r="D239">
        <v>16</v>
      </c>
      <c r="E239">
        <v>6.95</v>
      </c>
      <c r="F239">
        <v>2107</v>
      </c>
      <c r="G239">
        <v>732</v>
      </c>
      <c r="H239">
        <v>1799</v>
      </c>
      <c r="I239">
        <v>432</v>
      </c>
      <c r="J239">
        <v>621</v>
      </c>
      <c r="K239">
        <v>333</v>
      </c>
      <c r="L239">
        <v>1109</v>
      </c>
      <c r="M239">
        <v>322</v>
      </c>
      <c r="N239">
        <v>166</v>
      </c>
      <c r="O239">
        <v>141</v>
      </c>
      <c r="P239">
        <v>361</v>
      </c>
      <c r="Q239">
        <v>644</v>
      </c>
      <c r="R239">
        <v>238</v>
      </c>
    </row>
    <row r="240" spans="1:18">
      <c r="A240" s="1" t="s">
        <v>289</v>
      </c>
      <c r="B240">
        <v>28</v>
      </c>
      <c r="C240">
        <v>11</v>
      </c>
      <c r="D240">
        <v>17</v>
      </c>
      <c r="E240">
        <v>-2.15</v>
      </c>
      <c r="F240">
        <v>1911</v>
      </c>
      <c r="G240">
        <v>685</v>
      </c>
      <c r="H240">
        <v>1606</v>
      </c>
      <c r="I240">
        <v>341</v>
      </c>
      <c r="J240">
        <v>508</v>
      </c>
      <c r="K240">
        <v>287</v>
      </c>
      <c r="L240">
        <v>1001</v>
      </c>
      <c r="M240">
        <v>381</v>
      </c>
      <c r="N240">
        <v>146</v>
      </c>
      <c r="O240">
        <v>75</v>
      </c>
      <c r="P240">
        <v>373</v>
      </c>
      <c r="Q240">
        <v>513</v>
      </c>
      <c r="R240">
        <v>239</v>
      </c>
    </row>
    <row r="241" spans="1:18">
      <c r="A241" s="1" t="s">
        <v>290</v>
      </c>
      <c r="B241">
        <v>32</v>
      </c>
      <c r="C241">
        <v>18</v>
      </c>
      <c r="D241">
        <v>14</v>
      </c>
      <c r="E241">
        <v>1.68</v>
      </c>
      <c r="F241">
        <v>2349</v>
      </c>
      <c r="G241">
        <v>840</v>
      </c>
      <c r="H241">
        <v>1861</v>
      </c>
      <c r="I241">
        <v>507</v>
      </c>
      <c r="J241">
        <v>754</v>
      </c>
      <c r="K241">
        <v>351</v>
      </c>
      <c r="L241">
        <v>1182</v>
      </c>
      <c r="M241">
        <v>457</v>
      </c>
      <c r="N241">
        <v>187</v>
      </c>
      <c r="O241">
        <v>93</v>
      </c>
      <c r="P241">
        <v>357</v>
      </c>
      <c r="Q241">
        <v>595</v>
      </c>
      <c r="R241">
        <v>240</v>
      </c>
    </row>
    <row r="242" spans="1:18">
      <c r="A242" s="1" t="s">
        <v>189</v>
      </c>
      <c r="B242">
        <v>33</v>
      </c>
      <c r="C242">
        <v>21</v>
      </c>
      <c r="D242">
        <v>12</v>
      </c>
      <c r="E242">
        <v>8.75</v>
      </c>
      <c r="F242">
        <v>2476</v>
      </c>
      <c r="G242">
        <v>878</v>
      </c>
      <c r="H242">
        <v>1919</v>
      </c>
      <c r="I242">
        <v>516</v>
      </c>
      <c r="J242">
        <v>686</v>
      </c>
      <c r="K242">
        <v>417</v>
      </c>
      <c r="L242">
        <v>1257</v>
      </c>
      <c r="M242">
        <v>547</v>
      </c>
      <c r="N242">
        <v>162</v>
      </c>
      <c r="O242">
        <v>121</v>
      </c>
      <c r="P242">
        <v>384</v>
      </c>
      <c r="Q242">
        <v>581</v>
      </c>
      <c r="R242">
        <v>241</v>
      </c>
    </row>
    <row r="243" spans="1:18">
      <c r="A243" s="1" t="s">
        <v>190</v>
      </c>
      <c r="B243">
        <v>31</v>
      </c>
      <c r="C243">
        <v>13</v>
      </c>
      <c r="D243">
        <v>18</v>
      </c>
      <c r="E243">
        <v>-5.94</v>
      </c>
      <c r="F243">
        <v>2408</v>
      </c>
      <c r="G243">
        <v>908</v>
      </c>
      <c r="H243">
        <v>1904</v>
      </c>
      <c r="I243">
        <v>425</v>
      </c>
      <c r="J243">
        <v>645</v>
      </c>
      <c r="K243">
        <v>329</v>
      </c>
      <c r="L243">
        <v>1096</v>
      </c>
      <c r="M243">
        <v>527</v>
      </c>
      <c r="N243">
        <v>263</v>
      </c>
      <c r="O243">
        <v>112</v>
      </c>
      <c r="P243">
        <v>390</v>
      </c>
      <c r="Q243">
        <v>589</v>
      </c>
      <c r="R243">
        <v>242</v>
      </c>
    </row>
    <row r="244" spans="1:18">
      <c r="A244" s="1" t="s">
        <v>191</v>
      </c>
      <c r="B244">
        <v>32</v>
      </c>
      <c r="C244">
        <v>12</v>
      </c>
      <c r="D244">
        <v>20</v>
      </c>
      <c r="E244">
        <v>0.56000000000000005</v>
      </c>
      <c r="F244">
        <v>2483</v>
      </c>
      <c r="G244">
        <v>868</v>
      </c>
      <c r="H244">
        <v>2012</v>
      </c>
      <c r="I244">
        <v>458</v>
      </c>
      <c r="J244">
        <v>633</v>
      </c>
      <c r="K244">
        <v>369</v>
      </c>
      <c r="L244">
        <v>1130</v>
      </c>
      <c r="M244">
        <v>425</v>
      </c>
      <c r="N244">
        <v>208</v>
      </c>
      <c r="O244">
        <v>128</v>
      </c>
      <c r="P244">
        <v>389</v>
      </c>
      <c r="Q244">
        <v>697</v>
      </c>
      <c r="R244">
        <v>243</v>
      </c>
    </row>
    <row r="245" spans="1:18">
      <c r="A245" s="1" t="s">
        <v>192</v>
      </c>
      <c r="B245">
        <v>31</v>
      </c>
      <c r="C245">
        <v>7</v>
      </c>
      <c r="D245">
        <v>24</v>
      </c>
      <c r="E245">
        <v>-6.82</v>
      </c>
      <c r="F245">
        <v>1873</v>
      </c>
      <c r="G245">
        <v>657</v>
      </c>
      <c r="H245">
        <v>1727</v>
      </c>
      <c r="I245">
        <v>432</v>
      </c>
      <c r="J245">
        <v>630</v>
      </c>
      <c r="K245">
        <v>355</v>
      </c>
      <c r="L245">
        <v>998</v>
      </c>
      <c r="M245">
        <v>269</v>
      </c>
      <c r="N245">
        <v>239</v>
      </c>
      <c r="O245">
        <v>84</v>
      </c>
      <c r="P245">
        <v>465</v>
      </c>
      <c r="Q245">
        <v>691</v>
      </c>
      <c r="R245">
        <v>244</v>
      </c>
    </row>
    <row r="246" spans="1:18">
      <c r="A246" s="1" t="s">
        <v>350</v>
      </c>
      <c r="B246">
        <v>31</v>
      </c>
      <c r="C246">
        <v>11</v>
      </c>
      <c r="D246">
        <v>20</v>
      </c>
      <c r="E246">
        <v>-4.9800000000000004</v>
      </c>
      <c r="F246">
        <v>2093</v>
      </c>
      <c r="G246">
        <v>754</v>
      </c>
      <c r="H246">
        <v>1743</v>
      </c>
      <c r="I246">
        <v>437</v>
      </c>
      <c r="J246">
        <v>615</v>
      </c>
      <c r="K246">
        <v>298</v>
      </c>
      <c r="L246">
        <v>1047</v>
      </c>
      <c r="M246">
        <v>350</v>
      </c>
      <c r="N246">
        <v>206</v>
      </c>
      <c r="O246">
        <v>60</v>
      </c>
      <c r="P246">
        <v>441</v>
      </c>
      <c r="Q246">
        <v>595</v>
      </c>
      <c r="R246">
        <v>245</v>
      </c>
    </row>
    <row r="247" spans="1:18">
      <c r="A247" s="1" t="s">
        <v>193</v>
      </c>
      <c r="B247">
        <v>29</v>
      </c>
      <c r="C247">
        <v>22</v>
      </c>
      <c r="D247">
        <v>7</v>
      </c>
      <c r="E247">
        <v>-1.72</v>
      </c>
      <c r="F247">
        <v>2294</v>
      </c>
      <c r="G247">
        <v>800</v>
      </c>
      <c r="H247">
        <v>1725</v>
      </c>
      <c r="I247">
        <v>412</v>
      </c>
      <c r="J247">
        <v>579</v>
      </c>
      <c r="K247">
        <v>288</v>
      </c>
      <c r="L247">
        <v>1069</v>
      </c>
      <c r="M247">
        <v>431</v>
      </c>
      <c r="N247">
        <v>206</v>
      </c>
      <c r="O247">
        <v>104</v>
      </c>
      <c r="P247">
        <v>330</v>
      </c>
      <c r="Q247">
        <v>503</v>
      </c>
      <c r="R247">
        <v>246</v>
      </c>
    </row>
    <row r="248" spans="1:18">
      <c r="A248" s="1" t="s">
        <v>194</v>
      </c>
      <c r="B248">
        <v>35</v>
      </c>
      <c r="C248">
        <v>24</v>
      </c>
      <c r="D248">
        <v>11</v>
      </c>
      <c r="E248">
        <v>8.4600000000000009</v>
      </c>
      <c r="F248">
        <v>2577</v>
      </c>
      <c r="G248">
        <v>881</v>
      </c>
      <c r="H248">
        <v>2093</v>
      </c>
      <c r="I248">
        <v>566</v>
      </c>
      <c r="J248">
        <v>781</v>
      </c>
      <c r="K248">
        <v>402</v>
      </c>
      <c r="L248">
        <v>1263</v>
      </c>
      <c r="M248">
        <v>550</v>
      </c>
      <c r="N248">
        <v>229</v>
      </c>
      <c r="O248">
        <v>123</v>
      </c>
      <c r="P248">
        <v>397</v>
      </c>
      <c r="Q248">
        <v>591</v>
      </c>
      <c r="R248">
        <v>247</v>
      </c>
    </row>
    <row r="249" spans="1:18">
      <c r="A249" s="1" t="s">
        <v>291</v>
      </c>
      <c r="B249">
        <v>35</v>
      </c>
      <c r="C249">
        <v>26</v>
      </c>
      <c r="D249">
        <v>9</v>
      </c>
      <c r="E249">
        <v>7.46</v>
      </c>
      <c r="F249">
        <v>2726</v>
      </c>
      <c r="G249">
        <v>960</v>
      </c>
      <c r="H249">
        <v>2042</v>
      </c>
      <c r="I249">
        <v>538</v>
      </c>
      <c r="J249">
        <v>723</v>
      </c>
      <c r="K249">
        <v>407</v>
      </c>
      <c r="L249">
        <v>1443</v>
      </c>
      <c r="M249">
        <v>615</v>
      </c>
      <c r="N249">
        <v>147</v>
      </c>
      <c r="O249">
        <v>165</v>
      </c>
      <c r="P249">
        <v>419</v>
      </c>
      <c r="Q249">
        <v>607</v>
      </c>
      <c r="R249">
        <v>248</v>
      </c>
    </row>
    <row r="250" spans="1:18">
      <c r="A250" s="1" t="s">
        <v>195</v>
      </c>
      <c r="B250">
        <v>30</v>
      </c>
      <c r="C250">
        <v>9</v>
      </c>
      <c r="D250">
        <v>21</v>
      </c>
      <c r="E250">
        <v>-4.9800000000000004</v>
      </c>
      <c r="F250">
        <v>1969</v>
      </c>
      <c r="G250">
        <v>698</v>
      </c>
      <c r="H250">
        <v>1897</v>
      </c>
      <c r="I250">
        <v>344</v>
      </c>
      <c r="J250">
        <v>532</v>
      </c>
      <c r="K250">
        <v>498</v>
      </c>
      <c r="L250">
        <v>1299</v>
      </c>
      <c r="M250">
        <v>377</v>
      </c>
      <c r="N250">
        <v>146</v>
      </c>
      <c r="O250">
        <v>141</v>
      </c>
      <c r="P250">
        <v>459</v>
      </c>
      <c r="Q250">
        <v>611</v>
      </c>
      <c r="R250">
        <v>249</v>
      </c>
    </row>
    <row r="251" spans="1:18">
      <c r="A251" s="1" t="s">
        <v>196</v>
      </c>
      <c r="B251">
        <v>31</v>
      </c>
      <c r="C251">
        <v>16</v>
      </c>
      <c r="D251">
        <v>15</v>
      </c>
      <c r="E251">
        <v>-3.45</v>
      </c>
      <c r="F251">
        <v>2266</v>
      </c>
      <c r="G251">
        <v>844</v>
      </c>
      <c r="H251">
        <v>1885</v>
      </c>
      <c r="I251">
        <v>352</v>
      </c>
      <c r="J251">
        <v>541</v>
      </c>
      <c r="K251">
        <v>408</v>
      </c>
      <c r="L251">
        <v>1174</v>
      </c>
      <c r="M251">
        <v>410</v>
      </c>
      <c r="N251">
        <v>183</v>
      </c>
      <c r="O251">
        <v>138</v>
      </c>
      <c r="P251">
        <v>416</v>
      </c>
      <c r="Q251">
        <v>580</v>
      </c>
      <c r="R251">
        <v>250</v>
      </c>
    </row>
    <row r="252" spans="1:18">
      <c r="A252" s="1" t="s">
        <v>197</v>
      </c>
      <c r="B252">
        <v>32</v>
      </c>
      <c r="C252">
        <v>17</v>
      </c>
      <c r="D252">
        <v>15</v>
      </c>
      <c r="E252">
        <v>3.29</v>
      </c>
      <c r="F252">
        <v>2220</v>
      </c>
      <c r="G252">
        <v>782</v>
      </c>
      <c r="H252">
        <v>1762</v>
      </c>
      <c r="I252">
        <v>443</v>
      </c>
      <c r="J252">
        <v>662</v>
      </c>
      <c r="K252">
        <v>335</v>
      </c>
      <c r="L252">
        <v>1118</v>
      </c>
      <c r="M252">
        <v>391</v>
      </c>
      <c r="N252">
        <v>170</v>
      </c>
      <c r="O252">
        <v>159</v>
      </c>
      <c r="P252">
        <v>368</v>
      </c>
      <c r="Q252">
        <v>606</v>
      </c>
      <c r="R252">
        <v>251</v>
      </c>
    </row>
    <row r="253" spans="1:18">
      <c r="A253" s="1" t="s">
        <v>198</v>
      </c>
      <c r="B253">
        <v>32</v>
      </c>
      <c r="C253">
        <v>12</v>
      </c>
      <c r="D253">
        <v>20</v>
      </c>
      <c r="E253">
        <v>-2.7</v>
      </c>
      <c r="F253">
        <v>2427</v>
      </c>
      <c r="G253">
        <v>813</v>
      </c>
      <c r="H253">
        <v>1798</v>
      </c>
      <c r="I253">
        <v>573</v>
      </c>
      <c r="J253">
        <v>773</v>
      </c>
      <c r="K253">
        <v>294</v>
      </c>
      <c r="L253">
        <v>1052</v>
      </c>
      <c r="M253">
        <v>419</v>
      </c>
      <c r="N253">
        <v>205</v>
      </c>
      <c r="O253">
        <v>89</v>
      </c>
      <c r="P253">
        <v>419</v>
      </c>
      <c r="Q253">
        <v>562</v>
      </c>
      <c r="R253">
        <v>252</v>
      </c>
    </row>
    <row r="254" spans="1:18">
      <c r="A254" s="1" t="s">
        <v>199</v>
      </c>
      <c r="B254">
        <v>32</v>
      </c>
      <c r="C254">
        <v>16</v>
      </c>
      <c r="D254">
        <v>16</v>
      </c>
      <c r="E254">
        <v>4.5599999999999996</v>
      </c>
      <c r="F254">
        <v>2450</v>
      </c>
      <c r="G254">
        <v>890</v>
      </c>
      <c r="H254">
        <v>1848</v>
      </c>
      <c r="I254">
        <v>430</v>
      </c>
      <c r="J254">
        <v>652</v>
      </c>
      <c r="K254">
        <v>251</v>
      </c>
      <c r="L254">
        <v>1021</v>
      </c>
      <c r="M254">
        <v>531</v>
      </c>
      <c r="N254">
        <v>210</v>
      </c>
      <c r="O254">
        <v>74</v>
      </c>
      <c r="P254">
        <v>327</v>
      </c>
      <c r="Q254">
        <v>610</v>
      </c>
      <c r="R254">
        <v>253</v>
      </c>
    </row>
    <row r="255" spans="1:18">
      <c r="A255" s="1" t="s">
        <v>200</v>
      </c>
      <c r="B255">
        <v>33</v>
      </c>
      <c r="C255">
        <v>13</v>
      </c>
      <c r="D255">
        <v>20</v>
      </c>
      <c r="E255">
        <v>-3.6</v>
      </c>
      <c r="F255">
        <v>2177</v>
      </c>
      <c r="G255">
        <v>769</v>
      </c>
      <c r="H255">
        <v>1803</v>
      </c>
      <c r="I255">
        <v>435</v>
      </c>
      <c r="J255">
        <v>638</v>
      </c>
      <c r="K255">
        <v>330</v>
      </c>
      <c r="L255">
        <v>1170</v>
      </c>
      <c r="M255">
        <v>416</v>
      </c>
      <c r="N255">
        <v>189</v>
      </c>
      <c r="O255">
        <v>124</v>
      </c>
      <c r="P255">
        <v>421</v>
      </c>
      <c r="Q255">
        <v>587</v>
      </c>
      <c r="R255">
        <v>254</v>
      </c>
    </row>
    <row r="256" spans="1:18">
      <c r="A256" s="1" t="s">
        <v>201</v>
      </c>
      <c r="B256">
        <v>32</v>
      </c>
      <c r="C256">
        <v>10</v>
      </c>
      <c r="D256">
        <v>22</v>
      </c>
      <c r="E256">
        <v>-7.75</v>
      </c>
      <c r="F256">
        <v>2082</v>
      </c>
      <c r="G256">
        <v>741</v>
      </c>
      <c r="H256">
        <v>1780</v>
      </c>
      <c r="I256">
        <v>422</v>
      </c>
      <c r="J256">
        <v>633</v>
      </c>
      <c r="K256">
        <v>303</v>
      </c>
      <c r="L256">
        <v>1042</v>
      </c>
      <c r="M256">
        <v>400</v>
      </c>
      <c r="N256">
        <v>265</v>
      </c>
      <c r="O256">
        <v>127</v>
      </c>
      <c r="P256">
        <v>454</v>
      </c>
      <c r="Q256">
        <v>552</v>
      </c>
      <c r="R256">
        <v>255</v>
      </c>
    </row>
    <row r="257" spans="1:18">
      <c r="A257" s="1" t="s">
        <v>202</v>
      </c>
      <c r="B257">
        <v>32</v>
      </c>
      <c r="C257">
        <v>7</v>
      </c>
      <c r="D257">
        <v>25</v>
      </c>
      <c r="E257">
        <v>6.43</v>
      </c>
      <c r="F257">
        <v>2166</v>
      </c>
      <c r="G257">
        <v>785</v>
      </c>
      <c r="H257">
        <v>1878</v>
      </c>
      <c r="I257">
        <v>435</v>
      </c>
      <c r="J257">
        <v>640</v>
      </c>
      <c r="K257">
        <v>314</v>
      </c>
      <c r="L257">
        <v>1113</v>
      </c>
      <c r="M257">
        <v>377</v>
      </c>
      <c r="N257">
        <v>195</v>
      </c>
      <c r="O257">
        <v>113</v>
      </c>
      <c r="P257">
        <v>443</v>
      </c>
      <c r="Q257">
        <v>562</v>
      </c>
      <c r="R257">
        <v>256</v>
      </c>
    </row>
    <row r="258" spans="1:18">
      <c r="A258" s="1" t="s">
        <v>203</v>
      </c>
      <c r="B258">
        <v>31</v>
      </c>
      <c r="C258">
        <v>14</v>
      </c>
      <c r="D258">
        <v>17</v>
      </c>
      <c r="E258">
        <v>-5.32</v>
      </c>
      <c r="F258">
        <v>2210</v>
      </c>
      <c r="G258">
        <v>790</v>
      </c>
      <c r="H258">
        <v>1784</v>
      </c>
      <c r="I258">
        <v>421</v>
      </c>
      <c r="J258">
        <v>627</v>
      </c>
      <c r="K258">
        <v>302</v>
      </c>
      <c r="L258">
        <v>1112</v>
      </c>
      <c r="M258">
        <v>434</v>
      </c>
      <c r="N258">
        <v>175</v>
      </c>
      <c r="O258">
        <v>130</v>
      </c>
      <c r="P258">
        <v>367</v>
      </c>
      <c r="Q258">
        <v>631</v>
      </c>
      <c r="R258">
        <v>257</v>
      </c>
    </row>
    <row r="259" spans="1:18">
      <c r="A259" s="1" t="s">
        <v>204</v>
      </c>
      <c r="B259">
        <v>30</v>
      </c>
      <c r="C259">
        <v>12</v>
      </c>
      <c r="D259">
        <v>18</v>
      </c>
      <c r="E259">
        <v>-9.0500000000000007</v>
      </c>
      <c r="F259">
        <v>2217</v>
      </c>
      <c r="G259">
        <v>785</v>
      </c>
      <c r="H259">
        <v>1795</v>
      </c>
      <c r="I259">
        <v>478</v>
      </c>
      <c r="J259">
        <v>695</v>
      </c>
      <c r="K259">
        <v>378</v>
      </c>
      <c r="L259">
        <v>1128</v>
      </c>
      <c r="M259">
        <v>363</v>
      </c>
      <c r="N259">
        <v>190</v>
      </c>
      <c r="O259">
        <v>77</v>
      </c>
      <c r="P259">
        <v>442</v>
      </c>
      <c r="Q259">
        <v>625</v>
      </c>
      <c r="R259">
        <v>258</v>
      </c>
    </row>
    <row r="260" spans="1:18">
      <c r="A260" s="1" t="s">
        <v>205</v>
      </c>
      <c r="B260">
        <v>30</v>
      </c>
      <c r="C260">
        <v>13</v>
      </c>
      <c r="D260">
        <v>17</v>
      </c>
      <c r="E260">
        <v>-9.06</v>
      </c>
      <c r="F260">
        <v>2110</v>
      </c>
      <c r="G260">
        <v>716</v>
      </c>
      <c r="H260">
        <v>1700</v>
      </c>
      <c r="I260">
        <v>460</v>
      </c>
      <c r="J260">
        <v>662</v>
      </c>
      <c r="K260">
        <v>349</v>
      </c>
      <c r="L260">
        <v>1093</v>
      </c>
      <c r="M260">
        <v>356</v>
      </c>
      <c r="N260">
        <v>140</v>
      </c>
      <c r="O260">
        <v>95</v>
      </c>
      <c r="P260">
        <v>379</v>
      </c>
      <c r="Q260">
        <v>515</v>
      </c>
      <c r="R260">
        <v>259</v>
      </c>
    </row>
    <row r="261" spans="1:18">
      <c r="A261" s="1" t="s">
        <v>206</v>
      </c>
      <c r="B261">
        <v>36</v>
      </c>
      <c r="C261">
        <v>28</v>
      </c>
      <c r="D261">
        <v>8</v>
      </c>
      <c r="E261">
        <v>4.93</v>
      </c>
      <c r="F261">
        <v>2780</v>
      </c>
      <c r="G261">
        <v>976</v>
      </c>
      <c r="H261">
        <v>2153</v>
      </c>
      <c r="I261">
        <v>577</v>
      </c>
      <c r="J261">
        <v>806</v>
      </c>
      <c r="K261">
        <v>364</v>
      </c>
      <c r="L261">
        <v>1378</v>
      </c>
      <c r="M261">
        <v>534</v>
      </c>
      <c r="N261">
        <v>184</v>
      </c>
      <c r="O261">
        <v>119</v>
      </c>
      <c r="P261">
        <v>355</v>
      </c>
      <c r="Q261">
        <v>583</v>
      </c>
      <c r="R261">
        <v>260</v>
      </c>
    </row>
    <row r="262" spans="1:18">
      <c r="A262" s="1" t="s">
        <v>292</v>
      </c>
      <c r="B262">
        <v>32</v>
      </c>
      <c r="C262">
        <v>11</v>
      </c>
      <c r="D262">
        <v>21</v>
      </c>
      <c r="E262">
        <v>3.49</v>
      </c>
      <c r="F262">
        <v>2106</v>
      </c>
      <c r="G262">
        <v>724</v>
      </c>
      <c r="H262">
        <v>1726</v>
      </c>
      <c r="I262">
        <v>459</v>
      </c>
      <c r="J262">
        <v>653</v>
      </c>
      <c r="K262">
        <v>230</v>
      </c>
      <c r="L262">
        <v>1045</v>
      </c>
      <c r="M262">
        <v>426</v>
      </c>
      <c r="N262">
        <v>175</v>
      </c>
      <c r="O262">
        <v>66</v>
      </c>
      <c r="P262">
        <v>436</v>
      </c>
      <c r="Q262">
        <v>646</v>
      </c>
      <c r="R262">
        <v>261</v>
      </c>
    </row>
    <row r="263" spans="1:18">
      <c r="A263" s="1" t="s">
        <v>207</v>
      </c>
      <c r="B263">
        <v>35</v>
      </c>
      <c r="C263">
        <v>29</v>
      </c>
      <c r="D263">
        <v>6</v>
      </c>
      <c r="E263">
        <v>1.24</v>
      </c>
      <c r="F263">
        <v>2576</v>
      </c>
      <c r="G263">
        <v>951</v>
      </c>
      <c r="H263">
        <v>1887</v>
      </c>
      <c r="I263">
        <v>371</v>
      </c>
      <c r="J263">
        <v>539</v>
      </c>
      <c r="K263">
        <v>310</v>
      </c>
      <c r="L263">
        <v>1225</v>
      </c>
      <c r="M263">
        <v>583</v>
      </c>
      <c r="N263">
        <v>169</v>
      </c>
      <c r="O263">
        <v>119</v>
      </c>
      <c r="P263">
        <v>335</v>
      </c>
      <c r="Q263">
        <v>539</v>
      </c>
      <c r="R263">
        <v>262</v>
      </c>
    </row>
    <row r="264" spans="1:18">
      <c r="A264" s="1" t="s">
        <v>208</v>
      </c>
      <c r="B264">
        <v>30</v>
      </c>
      <c r="C264">
        <v>14</v>
      </c>
      <c r="D264">
        <v>16</v>
      </c>
      <c r="E264">
        <v>-4.3</v>
      </c>
      <c r="F264">
        <v>1966</v>
      </c>
      <c r="G264">
        <v>700</v>
      </c>
      <c r="H264">
        <v>1660</v>
      </c>
      <c r="I264">
        <v>383</v>
      </c>
      <c r="J264">
        <v>582</v>
      </c>
      <c r="K264">
        <v>322</v>
      </c>
      <c r="L264">
        <v>1102</v>
      </c>
      <c r="M264">
        <v>357</v>
      </c>
      <c r="N264">
        <v>164</v>
      </c>
      <c r="O264">
        <v>96</v>
      </c>
      <c r="P264">
        <v>392</v>
      </c>
      <c r="Q264">
        <v>528</v>
      </c>
      <c r="R264">
        <v>263</v>
      </c>
    </row>
    <row r="265" spans="1:18">
      <c r="A265" s="1" t="s">
        <v>209</v>
      </c>
      <c r="B265">
        <v>34</v>
      </c>
      <c r="C265">
        <v>18</v>
      </c>
      <c r="D265">
        <v>16</v>
      </c>
      <c r="E265">
        <v>-6.5</v>
      </c>
      <c r="F265">
        <v>2551</v>
      </c>
      <c r="G265">
        <v>876</v>
      </c>
      <c r="H265">
        <v>2013</v>
      </c>
      <c r="I265">
        <v>535</v>
      </c>
      <c r="J265">
        <v>767</v>
      </c>
      <c r="K265">
        <v>382</v>
      </c>
      <c r="L265">
        <v>1261</v>
      </c>
      <c r="M265">
        <v>575</v>
      </c>
      <c r="N265">
        <v>188</v>
      </c>
      <c r="O265">
        <v>57</v>
      </c>
      <c r="P265">
        <v>400</v>
      </c>
      <c r="Q265">
        <v>742</v>
      </c>
      <c r="R265">
        <v>264</v>
      </c>
    </row>
    <row r="266" spans="1:18">
      <c r="A266" s="1" t="s">
        <v>293</v>
      </c>
      <c r="B266">
        <v>33</v>
      </c>
      <c r="C266">
        <v>14</v>
      </c>
      <c r="D266">
        <v>19</v>
      </c>
      <c r="E266">
        <v>-4.49</v>
      </c>
      <c r="F266">
        <v>2440</v>
      </c>
      <c r="G266">
        <v>845</v>
      </c>
      <c r="H266">
        <v>1857</v>
      </c>
      <c r="I266">
        <v>573</v>
      </c>
      <c r="J266">
        <v>798</v>
      </c>
      <c r="K266">
        <v>346</v>
      </c>
      <c r="L266">
        <v>1143</v>
      </c>
      <c r="M266">
        <v>435</v>
      </c>
      <c r="N266">
        <v>226</v>
      </c>
      <c r="O266">
        <v>113</v>
      </c>
      <c r="P266">
        <v>455</v>
      </c>
      <c r="Q266">
        <v>691</v>
      </c>
      <c r="R266">
        <v>265</v>
      </c>
    </row>
    <row r="267" spans="1:18">
      <c r="A267" s="1" t="s">
        <v>210</v>
      </c>
      <c r="B267">
        <v>38</v>
      </c>
      <c r="C267">
        <v>28</v>
      </c>
      <c r="D267">
        <v>10</v>
      </c>
      <c r="E267">
        <v>4.33</v>
      </c>
      <c r="F267">
        <v>2605</v>
      </c>
      <c r="G267">
        <v>885</v>
      </c>
      <c r="H267">
        <v>2100</v>
      </c>
      <c r="I267">
        <v>613</v>
      </c>
      <c r="J267">
        <v>892</v>
      </c>
      <c r="K267">
        <v>453</v>
      </c>
      <c r="L267">
        <v>1475</v>
      </c>
      <c r="M267">
        <v>405</v>
      </c>
      <c r="N267">
        <v>210</v>
      </c>
      <c r="O267">
        <v>207</v>
      </c>
      <c r="P267">
        <v>467</v>
      </c>
      <c r="Q267">
        <v>648</v>
      </c>
      <c r="R267">
        <v>266</v>
      </c>
    </row>
    <row r="268" spans="1:18">
      <c r="A268" s="1" t="s">
        <v>211</v>
      </c>
      <c r="B268">
        <v>30</v>
      </c>
      <c r="C268">
        <v>9</v>
      </c>
      <c r="D268">
        <v>21</v>
      </c>
      <c r="E268">
        <v>1.42</v>
      </c>
      <c r="F268">
        <v>1822</v>
      </c>
      <c r="G268">
        <v>630</v>
      </c>
      <c r="H268">
        <v>1614</v>
      </c>
      <c r="I268">
        <v>370</v>
      </c>
      <c r="J268">
        <v>559</v>
      </c>
      <c r="K268">
        <v>289</v>
      </c>
      <c r="L268">
        <v>995</v>
      </c>
      <c r="M268">
        <v>328</v>
      </c>
      <c r="N268">
        <v>139</v>
      </c>
      <c r="O268">
        <v>118</v>
      </c>
      <c r="P268">
        <v>410</v>
      </c>
      <c r="Q268">
        <v>640</v>
      </c>
      <c r="R268">
        <v>267</v>
      </c>
    </row>
    <row r="269" spans="1:18">
      <c r="A269" s="1" t="s">
        <v>212</v>
      </c>
      <c r="B269">
        <v>30</v>
      </c>
      <c r="C269">
        <v>15</v>
      </c>
      <c r="D269">
        <v>15</v>
      </c>
      <c r="E269">
        <v>-0.68</v>
      </c>
      <c r="F269">
        <v>2329</v>
      </c>
      <c r="G269">
        <v>808</v>
      </c>
      <c r="H269">
        <v>1839</v>
      </c>
      <c r="I269">
        <v>480</v>
      </c>
      <c r="J269">
        <v>708</v>
      </c>
      <c r="K269">
        <v>388</v>
      </c>
      <c r="L269">
        <v>1181</v>
      </c>
      <c r="M269">
        <v>371</v>
      </c>
      <c r="N269">
        <v>162</v>
      </c>
      <c r="O269">
        <v>88</v>
      </c>
      <c r="P269">
        <v>379</v>
      </c>
      <c r="Q269">
        <v>619</v>
      </c>
      <c r="R269">
        <v>268</v>
      </c>
    </row>
    <row r="270" spans="1:18">
      <c r="A270" s="1" t="s">
        <v>213</v>
      </c>
      <c r="B270">
        <v>31</v>
      </c>
      <c r="C270">
        <v>9</v>
      </c>
      <c r="D270">
        <v>22</v>
      </c>
      <c r="E270">
        <v>1.35</v>
      </c>
      <c r="F270">
        <v>2186</v>
      </c>
      <c r="G270">
        <v>756</v>
      </c>
      <c r="H270">
        <v>1783</v>
      </c>
      <c r="I270">
        <v>462</v>
      </c>
      <c r="J270">
        <v>701</v>
      </c>
      <c r="K270">
        <v>327</v>
      </c>
      <c r="L270">
        <v>1130</v>
      </c>
      <c r="M270">
        <v>449</v>
      </c>
      <c r="N270">
        <v>186</v>
      </c>
      <c r="O270">
        <v>120</v>
      </c>
      <c r="P270">
        <v>430</v>
      </c>
      <c r="Q270">
        <v>687</v>
      </c>
      <c r="R270">
        <v>269</v>
      </c>
    </row>
    <row r="271" spans="1:18">
      <c r="A271" s="1" t="s">
        <v>214</v>
      </c>
      <c r="B271">
        <v>31</v>
      </c>
      <c r="C271">
        <v>11</v>
      </c>
      <c r="D271">
        <v>20</v>
      </c>
      <c r="E271">
        <v>1.86</v>
      </c>
      <c r="F271">
        <v>2083</v>
      </c>
      <c r="G271">
        <v>713</v>
      </c>
      <c r="H271">
        <v>1741</v>
      </c>
      <c r="I271">
        <v>425</v>
      </c>
      <c r="J271">
        <v>592</v>
      </c>
      <c r="K271">
        <v>279</v>
      </c>
      <c r="L271">
        <v>1047</v>
      </c>
      <c r="M271">
        <v>383</v>
      </c>
      <c r="N271">
        <v>134</v>
      </c>
      <c r="O271">
        <v>83</v>
      </c>
      <c r="P271">
        <v>350</v>
      </c>
      <c r="Q271">
        <v>613</v>
      </c>
      <c r="R271">
        <v>270</v>
      </c>
    </row>
    <row r="272" spans="1:18">
      <c r="A272" s="1" t="s">
        <v>322</v>
      </c>
      <c r="B272">
        <v>32</v>
      </c>
      <c r="C272">
        <v>16</v>
      </c>
      <c r="D272">
        <v>16</v>
      </c>
      <c r="E272">
        <v>-8.59</v>
      </c>
      <c r="F272">
        <v>1992</v>
      </c>
      <c r="G272">
        <v>667</v>
      </c>
      <c r="H272">
        <v>1685</v>
      </c>
      <c r="I272">
        <v>452</v>
      </c>
      <c r="J272">
        <v>686</v>
      </c>
      <c r="K272">
        <v>297</v>
      </c>
      <c r="L272">
        <v>1022</v>
      </c>
      <c r="M272">
        <v>330</v>
      </c>
      <c r="N272">
        <v>201</v>
      </c>
      <c r="O272">
        <v>84</v>
      </c>
      <c r="P272">
        <v>473</v>
      </c>
      <c r="Q272">
        <v>632</v>
      </c>
      <c r="R272">
        <v>271</v>
      </c>
    </row>
    <row r="273" spans="1:18">
      <c r="A273" s="1" t="s">
        <v>358</v>
      </c>
      <c r="B273">
        <v>32</v>
      </c>
      <c r="C273">
        <v>15</v>
      </c>
      <c r="D273">
        <v>17</v>
      </c>
      <c r="E273">
        <v>-5.0199999999999996</v>
      </c>
      <c r="F273">
        <v>2074</v>
      </c>
      <c r="G273">
        <v>735</v>
      </c>
      <c r="H273">
        <v>1732</v>
      </c>
      <c r="I273">
        <v>407</v>
      </c>
      <c r="J273">
        <v>612</v>
      </c>
      <c r="K273">
        <v>364</v>
      </c>
      <c r="L273">
        <v>1174</v>
      </c>
      <c r="M273">
        <v>415</v>
      </c>
      <c r="N273">
        <v>193</v>
      </c>
      <c r="O273">
        <v>51</v>
      </c>
      <c r="P273">
        <v>505</v>
      </c>
      <c r="Q273">
        <v>584</v>
      </c>
      <c r="R273">
        <v>272</v>
      </c>
    </row>
    <row r="274" spans="1:18">
      <c r="A274" s="1" t="s">
        <v>294</v>
      </c>
      <c r="B274">
        <v>34</v>
      </c>
      <c r="C274">
        <v>25</v>
      </c>
      <c r="D274">
        <v>9</v>
      </c>
      <c r="E274">
        <v>8.2799999999999994</v>
      </c>
      <c r="F274">
        <v>2522</v>
      </c>
      <c r="G274">
        <v>892</v>
      </c>
      <c r="H274">
        <v>1999</v>
      </c>
      <c r="I274">
        <v>532</v>
      </c>
      <c r="J274">
        <v>808</v>
      </c>
      <c r="K274">
        <v>438</v>
      </c>
      <c r="L274">
        <v>1355</v>
      </c>
      <c r="M274">
        <v>455</v>
      </c>
      <c r="N274">
        <v>251</v>
      </c>
      <c r="O274">
        <v>155</v>
      </c>
      <c r="P274">
        <v>469</v>
      </c>
      <c r="Q274">
        <v>636</v>
      </c>
      <c r="R274">
        <v>273</v>
      </c>
    </row>
    <row r="275" spans="1:18">
      <c r="A275" s="1" t="s">
        <v>215</v>
      </c>
      <c r="B275">
        <v>34</v>
      </c>
      <c r="C275">
        <v>21</v>
      </c>
      <c r="D275">
        <v>13</v>
      </c>
      <c r="E275">
        <v>-3.19</v>
      </c>
      <c r="F275">
        <v>2659</v>
      </c>
      <c r="G275">
        <v>929</v>
      </c>
      <c r="H275">
        <v>1992</v>
      </c>
      <c r="I275">
        <v>586</v>
      </c>
      <c r="J275">
        <v>812</v>
      </c>
      <c r="K275">
        <v>455</v>
      </c>
      <c r="L275">
        <v>1362</v>
      </c>
      <c r="M275">
        <v>492</v>
      </c>
      <c r="N275">
        <v>210</v>
      </c>
      <c r="O275">
        <v>155</v>
      </c>
      <c r="P275">
        <v>546</v>
      </c>
      <c r="Q275">
        <v>714</v>
      </c>
      <c r="R275">
        <v>274</v>
      </c>
    </row>
    <row r="276" spans="1:18">
      <c r="A276" s="1" t="s">
        <v>216</v>
      </c>
      <c r="B276">
        <v>33</v>
      </c>
      <c r="C276">
        <v>14</v>
      </c>
      <c r="D276">
        <v>19</v>
      </c>
      <c r="E276">
        <v>-2.02</v>
      </c>
      <c r="F276">
        <v>2284</v>
      </c>
      <c r="G276">
        <v>784</v>
      </c>
      <c r="H276">
        <v>1917</v>
      </c>
      <c r="I276">
        <v>503</v>
      </c>
      <c r="J276">
        <v>747</v>
      </c>
      <c r="K276">
        <v>390</v>
      </c>
      <c r="L276">
        <v>1228</v>
      </c>
      <c r="M276">
        <v>350</v>
      </c>
      <c r="N276">
        <v>221</v>
      </c>
      <c r="O276">
        <v>132</v>
      </c>
      <c r="P276">
        <v>483</v>
      </c>
      <c r="Q276">
        <v>664</v>
      </c>
      <c r="R276">
        <v>275</v>
      </c>
    </row>
    <row r="277" spans="1:18">
      <c r="A277" s="1" t="s">
        <v>295</v>
      </c>
      <c r="B277">
        <v>34</v>
      </c>
      <c r="C277">
        <v>19</v>
      </c>
      <c r="D277">
        <v>15</v>
      </c>
      <c r="E277">
        <v>-8.24</v>
      </c>
      <c r="F277">
        <v>2485</v>
      </c>
      <c r="G277">
        <v>885</v>
      </c>
      <c r="H277">
        <v>1955</v>
      </c>
      <c r="I277">
        <v>514</v>
      </c>
      <c r="J277">
        <v>716</v>
      </c>
      <c r="K277">
        <v>342</v>
      </c>
      <c r="L277">
        <v>1145</v>
      </c>
      <c r="M277">
        <v>432</v>
      </c>
      <c r="N277">
        <v>156</v>
      </c>
      <c r="O277">
        <v>94</v>
      </c>
      <c r="P277">
        <v>400</v>
      </c>
      <c r="Q277">
        <v>656</v>
      </c>
      <c r="R277">
        <v>276</v>
      </c>
    </row>
    <row r="278" spans="1:18">
      <c r="A278" s="1" t="s">
        <v>351</v>
      </c>
      <c r="B278">
        <v>32</v>
      </c>
      <c r="C278">
        <v>10</v>
      </c>
      <c r="D278">
        <v>22</v>
      </c>
      <c r="E278">
        <v>-4.3899999999999997</v>
      </c>
      <c r="F278">
        <v>2315</v>
      </c>
      <c r="G278">
        <v>860</v>
      </c>
      <c r="H278">
        <v>1914</v>
      </c>
      <c r="I278">
        <v>377</v>
      </c>
      <c r="J278">
        <v>590</v>
      </c>
      <c r="K278">
        <v>417</v>
      </c>
      <c r="L278">
        <v>1228</v>
      </c>
      <c r="M278">
        <v>484</v>
      </c>
      <c r="N278">
        <v>175</v>
      </c>
      <c r="O278">
        <v>106</v>
      </c>
      <c r="P278">
        <v>449</v>
      </c>
      <c r="Q278">
        <v>623</v>
      </c>
      <c r="R278">
        <v>277</v>
      </c>
    </row>
    <row r="279" spans="1:18">
      <c r="A279" s="1" t="s">
        <v>217</v>
      </c>
      <c r="B279">
        <v>34</v>
      </c>
      <c r="C279">
        <v>25</v>
      </c>
      <c r="D279">
        <v>9</v>
      </c>
      <c r="E279">
        <v>5.83</v>
      </c>
      <c r="F279">
        <v>2583</v>
      </c>
      <c r="G279">
        <v>882</v>
      </c>
      <c r="H279">
        <v>2040</v>
      </c>
      <c r="I279">
        <v>603</v>
      </c>
      <c r="J279">
        <v>883</v>
      </c>
      <c r="K279">
        <v>472</v>
      </c>
      <c r="L279">
        <v>1372</v>
      </c>
      <c r="M279">
        <v>461</v>
      </c>
      <c r="N279">
        <v>230</v>
      </c>
      <c r="O279">
        <v>151</v>
      </c>
      <c r="P279">
        <v>464</v>
      </c>
      <c r="Q279">
        <v>672</v>
      </c>
      <c r="R279">
        <v>278</v>
      </c>
    </row>
    <row r="280" spans="1:18">
      <c r="A280" s="1" t="s">
        <v>341</v>
      </c>
      <c r="B280">
        <v>34</v>
      </c>
      <c r="C280">
        <v>26</v>
      </c>
      <c r="D280">
        <v>8</v>
      </c>
      <c r="E280">
        <v>-1.22</v>
      </c>
      <c r="F280">
        <v>2591</v>
      </c>
      <c r="G280">
        <v>877</v>
      </c>
      <c r="H280">
        <v>1950</v>
      </c>
      <c r="I280">
        <v>582</v>
      </c>
      <c r="J280">
        <v>783</v>
      </c>
      <c r="K280">
        <v>381</v>
      </c>
      <c r="L280">
        <v>1279</v>
      </c>
      <c r="M280">
        <v>381</v>
      </c>
      <c r="N280">
        <v>169</v>
      </c>
      <c r="O280">
        <v>84</v>
      </c>
      <c r="P280">
        <v>399</v>
      </c>
      <c r="Q280">
        <v>670</v>
      </c>
      <c r="R280">
        <v>279</v>
      </c>
    </row>
    <row r="281" spans="1:18">
      <c r="A281" s="1" t="s">
        <v>359</v>
      </c>
      <c r="B281">
        <v>32</v>
      </c>
      <c r="C281">
        <v>14</v>
      </c>
      <c r="D281">
        <v>18</v>
      </c>
      <c r="E281">
        <v>-0.88</v>
      </c>
      <c r="F281">
        <v>2443</v>
      </c>
      <c r="G281">
        <v>912</v>
      </c>
      <c r="H281">
        <v>1954</v>
      </c>
      <c r="I281">
        <v>418</v>
      </c>
      <c r="J281">
        <v>596</v>
      </c>
      <c r="K281">
        <v>289</v>
      </c>
      <c r="L281">
        <v>1077</v>
      </c>
      <c r="M281">
        <v>492</v>
      </c>
      <c r="N281">
        <v>209</v>
      </c>
      <c r="O281">
        <v>113</v>
      </c>
      <c r="P281">
        <v>388</v>
      </c>
      <c r="Q281">
        <v>662</v>
      </c>
      <c r="R281">
        <v>280</v>
      </c>
    </row>
    <row r="282" spans="1:18">
      <c r="A282" s="1" t="s">
        <v>218</v>
      </c>
      <c r="B282">
        <v>33</v>
      </c>
      <c r="C282">
        <v>8</v>
      </c>
      <c r="D282">
        <v>25</v>
      </c>
      <c r="E282">
        <v>5.24</v>
      </c>
      <c r="F282">
        <v>2085</v>
      </c>
      <c r="G282">
        <v>774</v>
      </c>
      <c r="H282">
        <v>1852</v>
      </c>
      <c r="I282">
        <v>404</v>
      </c>
      <c r="J282">
        <v>612</v>
      </c>
      <c r="K282">
        <v>413</v>
      </c>
      <c r="L282">
        <v>1271</v>
      </c>
      <c r="M282">
        <v>331</v>
      </c>
      <c r="N282">
        <v>150</v>
      </c>
      <c r="O282">
        <v>176</v>
      </c>
      <c r="P282">
        <v>485</v>
      </c>
      <c r="Q282">
        <v>588</v>
      </c>
      <c r="R282">
        <v>281</v>
      </c>
    </row>
    <row r="283" spans="1:18">
      <c r="A283" s="1" t="s">
        <v>296</v>
      </c>
      <c r="B283">
        <v>29</v>
      </c>
      <c r="C283">
        <v>5</v>
      </c>
      <c r="D283">
        <v>24</v>
      </c>
      <c r="E283">
        <v>-3.43</v>
      </c>
      <c r="F283">
        <v>1944</v>
      </c>
      <c r="G283">
        <v>699</v>
      </c>
      <c r="H283">
        <v>1710</v>
      </c>
      <c r="I283">
        <v>392</v>
      </c>
      <c r="J283">
        <v>612</v>
      </c>
      <c r="K283">
        <v>326</v>
      </c>
      <c r="L283">
        <v>1022</v>
      </c>
      <c r="M283">
        <v>358</v>
      </c>
      <c r="N283">
        <v>218</v>
      </c>
      <c r="O283">
        <v>46</v>
      </c>
      <c r="P283">
        <v>402</v>
      </c>
      <c r="Q283">
        <v>514</v>
      </c>
      <c r="R283">
        <v>282</v>
      </c>
    </row>
    <row r="284" spans="1:18">
      <c r="A284" s="1" t="s">
        <v>219</v>
      </c>
      <c r="B284">
        <v>33</v>
      </c>
      <c r="C284">
        <v>12</v>
      </c>
      <c r="D284">
        <v>21</v>
      </c>
      <c r="E284">
        <v>-7.55</v>
      </c>
      <c r="F284">
        <v>2344</v>
      </c>
      <c r="G284">
        <v>831</v>
      </c>
      <c r="H284">
        <v>1833</v>
      </c>
      <c r="I284">
        <v>441</v>
      </c>
      <c r="J284">
        <v>694</v>
      </c>
      <c r="K284">
        <v>336</v>
      </c>
      <c r="L284">
        <v>1140</v>
      </c>
      <c r="M284">
        <v>472</v>
      </c>
      <c r="N284">
        <v>211</v>
      </c>
      <c r="O284">
        <v>89</v>
      </c>
      <c r="P284">
        <v>504</v>
      </c>
      <c r="Q284">
        <v>688</v>
      </c>
      <c r="R284">
        <v>283</v>
      </c>
    </row>
    <row r="285" spans="1:18">
      <c r="A285" s="1" t="s">
        <v>220</v>
      </c>
      <c r="B285">
        <v>34</v>
      </c>
      <c r="C285">
        <v>21</v>
      </c>
      <c r="D285">
        <v>13</v>
      </c>
      <c r="E285">
        <v>7.64</v>
      </c>
      <c r="F285">
        <v>2737</v>
      </c>
      <c r="G285">
        <v>982</v>
      </c>
      <c r="H285">
        <v>2138</v>
      </c>
      <c r="I285">
        <v>507</v>
      </c>
      <c r="J285">
        <v>750</v>
      </c>
      <c r="K285">
        <v>401</v>
      </c>
      <c r="L285">
        <v>1337</v>
      </c>
      <c r="M285">
        <v>504</v>
      </c>
      <c r="N285">
        <v>215</v>
      </c>
      <c r="O285">
        <v>181</v>
      </c>
      <c r="P285">
        <v>415</v>
      </c>
      <c r="Q285">
        <v>590</v>
      </c>
      <c r="R285">
        <v>284</v>
      </c>
    </row>
    <row r="286" spans="1:18">
      <c r="A286" s="1" t="s">
        <v>355</v>
      </c>
      <c r="B286">
        <v>28</v>
      </c>
      <c r="C286">
        <v>6</v>
      </c>
      <c r="D286">
        <v>22</v>
      </c>
      <c r="E286">
        <v>-2.6</v>
      </c>
      <c r="F286">
        <v>1839</v>
      </c>
      <c r="G286">
        <v>634</v>
      </c>
      <c r="H286">
        <v>1591</v>
      </c>
      <c r="I286">
        <v>413</v>
      </c>
      <c r="J286">
        <v>587</v>
      </c>
      <c r="K286">
        <v>339</v>
      </c>
      <c r="L286">
        <v>1001</v>
      </c>
      <c r="M286">
        <v>303</v>
      </c>
      <c r="N286">
        <v>138</v>
      </c>
      <c r="O286">
        <v>112</v>
      </c>
      <c r="P286">
        <v>377</v>
      </c>
      <c r="Q286">
        <v>619</v>
      </c>
      <c r="R286">
        <v>285</v>
      </c>
    </row>
    <row r="287" spans="1:18">
      <c r="A287" s="1" t="s">
        <v>221</v>
      </c>
      <c r="B287">
        <v>32</v>
      </c>
      <c r="C287">
        <v>22</v>
      </c>
      <c r="D287">
        <v>10</v>
      </c>
      <c r="E287">
        <v>-1.3</v>
      </c>
      <c r="F287">
        <v>2360</v>
      </c>
      <c r="G287">
        <v>828</v>
      </c>
      <c r="H287">
        <v>1827</v>
      </c>
      <c r="I287">
        <v>492</v>
      </c>
      <c r="J287">
        <v>718</v>
      </c>
      <c r="K287">
        <v>357</v>
      </c>
      <c r="L287">
        <v>1135</v>
      </c>
      <c r="M287">
        <v>371</v>
      </c>
      <c r="N287">
        <v>232</v>
      </c>
      <c r="O287">
        <v>63</v>
      </c>
      <c r="P287">
        <v>438</v>
      </c>
      <c r="Q287">
        <v>685</v>
      </c>
      <c r="R287">
        <v>286</v>
      </c>
    </row>
    <row r="288" spans="1:18">
      <c r="A288" s="1" t="s">
        <v>222</v>
      </c>
      <c r="B288">
        <v>30</v>
      </c>
      <c r="C288">
        <v>25</v>
      </c>
      <c r="D288">
        <v>5</v>
      </c>
      <c r="E288">
        <v>4.5599999999999996</v>
      </c>
      <c r="F288">
        <v>2319</v>
      </c>
      <c r="G288">
        <v>858</v>
      </c>
      <c r="H288">
        <v>1727</v>
      </c>
      <c r="I288">
        <v>409</v>
      </c>
      <c r="J288">
        <v>584</v>
      </c>
      <c r="K288">
        <v>396</v>
      </c>
      <c r="L288">
        <v>1183</v>
      </c>
      <c r="M288">
        <v>528</v>
      </c>
      <c r="N288">
        <v>182</v>
      </c>
      <c r="O288">
        <v>137</v>
      </c>
      <c r="P288">
        <v>372</v>
      </c>
      <c r="Q288">
        <v>472</v>
      </c>
      <c r="R288">
        <v>287</v>
      </c>
    </row>
    <row r="289" spans="1:18">
      <c r="A289" s="1" t="s">
        <v>223</v>
      </c>
      <c r="B289">
        <v>29</v>
      </c>
      <c r="C289">
        <v>8</v>
      </c>
      <c r="D289">
        <v>21</v>
      </c>
      <c r="E289">
        <v>-3.66</v>
      </c>
      <c r="F289">
        <v>1866</v>
      </c>
      <c r="G289">
        <v>612</v>
      </c>
      <c r="H289">
        <v>1496</v>
      </c>
      <c r="I289">
        <v>385</v>
      </c>
      <c r="J289">
        <v>540</v>
      </c>
      <c r="K289">
        <v>228</v>
      </c>
      <c r="L289">
        <v>920</v>
      </c>
      <c r="M289">
        <v>353</v>
      </c>
      <c r="N289">
        <v>156</v>
      </c>
      <c r="O289">
        <v>63</v>
      </c>
      <c r="P289">
        <v>388</v>
      </c>
      <c r="Q289">
        <v>543</v>
      </c>
      <c r="R289">
        <v>288</v>
      </c>
    </row>
    <row r="290" spans="1:18">
      <c r="A290" s="1" t="s">
        <v>224</v>
      </c>
      <c r="B290">
        <v>30</v>
      </c>
      <c r="C290">
        <v>6</v>
      </c>
      <c r="D290">
        <v>24</v>
      </c>
      <c r="E290">
        <v>-4.22</v>
      </c>
      <c r="F290">
        <v>2040</v>
      </c>
      <c r="G290">
        <v>707</v>
      </c>
      <c r="H290">
        <v>1621</v>
      </c>
      <c r="I290">
        <v>426</v>
      </c>
      <c r="J290">
        <v>598</v>
      </c>
      <c r="K290">
        <v>238</v>
      </c>
      <c r="L290">
        <v>926</v>
      </c>
      <c r="M290">
        <v>338</v>
      </c>
      <c r="N290">
        <v>163</v>
      </c>
      <c r="O290">
        <v>79</v>
      </c>
      <c r="P290">
        <v>381</v>
      </c>
      <c r="Q290">
        <v>602</v>
      </c>
      <c r="R290">
        <v>289</v>
      </c>
    </row>
    <row r="291" spans="1:18">
      <c r="A291" s="1" t="s">
        <v>225</v>
      </c>
      <c r="B291">
        <v>35</v>
      </c>
      <c r="C291">
        <v>22</v>
      </c>
      <c r="D291">
        <v>13</v>
      </c>
      <c r="E291">
        <v>-9.3699999999999992</v>
      </c>
      <c r="F291">
        <v>2534</v>
      </c>
      <c r="G291">
        <v>909</v>
      </c>
      <c r="H291">
        <v>2046</v>
      </c>
      <c r="I291">
        <v>505</v>
      </c>
      <c r="J291">
        <v>754</v>
      </c>
      <c r="K291">
        <v>365</v>
      </c>
      <c r="L291">
        <v>1258</v>
      </c>
      <c r="M291">
        <v>381</v>
      </c>
      <c r="N291">
        <v>258</v>
      </c>
      <c r="O291">
        <v>123</v>
      </c>
      <c r="P291">
        <v>391</v>
      </c>
      <c r="Q291">
        <v>680</v>
      </c>
      <c r="R291">
        <v>290</v>
      </c>
    </row>
    <row r="292" spans="1:18">
      <c r="A292" s="1" t="s">
        <v>297</v>
      </c>
      <c r="B292">
        <v>31</v>
      </c>
      <c r="C292">
        <v>22</v>
      </c>
      <c r="D292">
        <v>9</v>
      </c>
      <c r="E292">
        <v>1.87</v>
      </c>
      <c r="F292">
        <v>2409</v>
      </c>
      <c r="G292">
        <v>812</v>
      </c>
      <c r="H292">
        <v>1826</v>
      </c>
      <c r="I292">
        <v>529</v>
      </c>
      <c r="J292">
        <v>684</v>
      </c>
      <c r="K292">
        <v>345</v>
      </c>
      <c r="L292">
        <v>1102</v>
      </c>
      <c r="M292">
        <v>418</v>
      </c>
      <c r="N292">
        <v>184</v>
      </c>
      <c r="O292">
        <v>132</v>
      </c>
      <c r="P292">
        <v>357</v>
      </c>
      <c r="Q292">
        <v>602</v>
      </c>
      <c r="R292">
        <v>291</v>
      </c>
    </row>
    <row r="293" spans="1:18">
      <c r="A293" s="1" t="s">
        <v>226</v>
      </c>
      <c r="B293">
        <v>32</v>
      </c>
      <c r="C293">
        <v>15</v>
      </c>
      <c r="D293">
        <v>17</v>
      </c>
      <c r="E293">
        <v>-9.24</v>
      </c>
      <c r="F293">
        <v>2095</v>
      </c>
      <c r="G293">
        <v>710</v>
      </c>
      <c r="H293">
        <v>1787</v>
      </c>
      <c r="I293">
        <v>435</v>
      </c>
      <c r="J293">
        <v>652</v>
      </c>
      <c r="K293">
        <v>390</v>
      </c>
      <c r="L293">
        <v>1185</v>
      </c>
      <c r="M293">
        <v>370</v>
      </c>
      <c r="N293">
        <v>191</v>
      </c>
      <c r="O293">
        <v>161</v>
      </c>
      <c r="P293">
        <v>442</v>
      </c>
      <c r="Q293">
        <v>600</v>
      </c>
      <c r="R293">
        <v>292</v>
      </c>
    </row>
    <row r="294" spans="1:18">
      <c r="A294" s="1" t="s">
        <v>298</v>
      </c>
      <c r="B294">
        <v>32</v>
      </c>
      <c r="C294">
        <v>8</v>
      </c>
      <c r="D294">
        <v>24</v>
      </c>
      <c r="E294">
        <v>7.94</v>
      </c>
      <c r="F294">
        <v>2174</v>
      </c>
      <c r="G294">
        <v>757</v>
      </c>
      <c r="H294">
        <v>1864</v>
      </c>
      <c r="I294">
        <v>454</v>
      </c>
      <c r="J294">
        <v>714</v>
      </c>
      <c r="K294">
        <v>345</v>
      </c>
      <c r="L294">
        <v>1142</v>
      </c>
      <c r="M294">
        <v>413</v>
      </c>
      <c r="N294">
        <v>202</v>
      </c>
      <c r="O294">
        <v>175</v>
      </c>
      <c r="P294">
        <v>491</v>
      </c>
      <c r="Q294">
        <v>680</v>
      </c>
      <c r="R294">
        <v>293</v>
      </c>
    </row>
    <row r="295" spans="1:18">
      <c r="A295" s="1" t="s">
        <v>342</v>
      </c>
      <c r="B295">
        <v>30</v>
      </c>
      <c r="C295">
        <v>15</v>
      </c>
      <c r="D295">
        <v>15</v>
      </c>
      <c r="E295">
        <v>10.41</v>
      </c>
      <c r="F295">
        <v>2088</v>
      </c>
      <c r="G295">
        <v>704</v>
      </c>
      <c r="H295">
        <v>1653</v>
      </c>
      <c r="I295">
        <v>508</v>
      </c>
      <c r="J295">
        <v>742</v>
      </c>
      <c r="K295">
        <v>328</v>
      </c>
      <c r="L295">
        <v>1030</v>
      </c>
      <c r="M295">
        <v>350</v>
      </c>
      <c r="N295">
        <v>203</v>
      </c>
      <c r="O295">
        <v>94</v>
      </c>
      <c r="P295">
        <v>355</v>
      </c>
      <c r="Q295">
        <v>600</v>
      </c>
      <c r="R295">
        <v>294</v>
      </c>
    </row>
    <row r="296" spans="1:18">
      <c r="A296" s="1" t="s">
        <v>227</v>
      </c>
      <c r="B296">
        <v>34</v>
      </c>
      <c r="C296">
        <v>28</v>
      </c>
      <c r="D296">
        <v>6</v>
      </c>
      <c r="E296">
        <v>-5.47</v>
      </c>
      <c r="F296">
        <v>2728</v>
      </c>
      <c r="G296">
        <v>972</v>
      </c>
      <c r="H296">
        <v>2032</v>
      </c>
      <c r="I296">
        <v>515</v>
      </c>
      <c r="J296">
        <v>701</v>
      </c>
      <c r="K296">
        <v>405</v>
      </c>
      <c r="L296">
        <v>1188</v>
      </c>
      <c r="M296">
        <v>635</v>
      </c>
      <c r="N296">
        <v>310</v>
      </c>
      <c r="O296">
        <v>122</v>
      </c>
      <c r="P296">
        <v>411</v>
      </c>
      <c r="Q296">
        <v>700</v>
      </c>
      <c r="R296">
        <v>295</v>
      </c>
    </row>
    <row r="297" spans="1:18">
      <c r="A297" s="1" t="s">
        <v>228</v>
      </c>
      <c r="B297">
        <v>34</v>
      </c>
      <c r="C297">
        <v>12</v>
      </c>
      <c r="D297">
        <v>22</v>
      </c>
      <c r="E297">
        <v>-4.3499999999999996</v>
      </c>
      <c r="F297">
        <v>2729</v>
      </c>
      <c r="G297">
        <v>962</v>
      </c>
      <c r="H297">
        <v>2124</v>
      </c>
      <c r="I297">
        <v>523</v>
      </c>
      <c r="J297">
        <v>725</v>
      </c>
      <c r="K297">
        <v>331</v>
      </c>
      <c r="L297">
        <v>1213</v>
      </c>
      <c r="M297">
        <v>519</v>
      </c>
      <c r="N297">
        <v>215</v>
      </c>
      <c r="O297">
        <v>83</v>
      </c>
      <c r="P297">
        <v>418</v>
      </c>
      <c r="Q297">
        <v>614</v>
      </c>
      <c r="R297">
        <v>296</v>
      </c>
    </row>
    <row r="298" spans="1:18">
      <c r="A298" s="1" t="s">
        <v>229</v>
      </c>
      <c r="B298">
        <v>33</v>
      </c>
      <c r="C298">
        <v>26</v>
      </c>
      <c r="D298">
        <v>7</v>
      </c>
      <c r="E298">
        <v>-5.28</v>
      </c>
      <c r="F298">
        <v>2515</v>
      </c>
      <c r="G298">
        <v>933</v>
      </c>
      <c r="H298">
        <v>1992</v>
      </c>
      <c r="I298">
        <v>429</v>
      </c>
      <c r="J298">
        <v>637</v>
      </c>
      <c r="K298">
        <v>426</v>
      </c>
      <c r="L298">
        <v>1312</v>
      </c>
      <c r="M298">
        <v>541</v>
      </c>
      <c r="N298">
        <v>204</v>
      </c>
      <c r="O298">
        <v>150</v>
      </c>
      <c r="P298">
        <v>379</v>
      </c>
      <c r="Q298">
        <v>523</v>
      </c>
      <c r="R298">
        <v>297</v>
      </c>
    </row>
    <row r="299" spans="1:18">
      <c r="A299" s="1" t="s">
        <v>313</v>
      </c>
      <c r="B299">
        <v>37</v>
      </c>
      <c r="C299">
        <v>23</v>
      </c>
      <c r="D299">
        <v>14</v>
      </c>
      <c r="E299">
        <v>9.75</v>
      </c>
      <c r="F299">
        <v>2589</v>
      </c>
      <c r="G299">
        <v>884</v>
      </c>
      <c r="H299">
        <v>2080</v>
      </c>
      <c r="I299">
        <v>506</v>
      </c>
      <c r="J299">
        <v>736</v>
      </c>
      <c r="K299">
        <v>445</v>
      </c>
      <c r="L299">
        <v>1319</v>
      </c>
      <c r="M299">
        <v>493</v>
      </c>
      <c r="N299">
        <v>300</v>
      </c>
      <c r="O299">
        <v>162</v>
      </c>
      <c r="P299">
        <v>440</v>
      </c>
      <c r="Q299">
        <v>598</v>
      </c>
      <c r="R299">
        <v>298</v>
      </c>
    </row>
    <row r="300" spans="1:18">
      <c r="A300" s="1" t="s">
        <v>314</v>
      </c>
      <c r="B300">
        <v>33</v>
      </c>
      <c r="C300">
        <v>21</v>
      </c>
      <c r="D300">
        <v>12</v>
      </c>
      <c r="E300">
        <v>6.57</v>
      </c>
      <c r="F300">
        <v>2267</v>
      </c>
      <c r="G300">
        <v>822</v>
      </c>
      <c r="H300">
        <v>2021</v>
      </c>
      <c r="I300">
        <v>368</v>
      </c>
      <c r="J300">
        <v>538</v>
      </c>
      <c r="K300">
        <v>371</v>
      </c>
      <c r="L300">
        <v>1225</v>
      </c>
      <c r="M300">
        <v>445</v>
      </c>
      <c r="N300">
        <v>173</v>
      </c>
      <c r="O300">
        <v>103</v>
      </c>
      <c r="P300">
        <v>305</v>
      </c>
      <c r="Q300">
        <v>535</v>
      </c>
      <c r="R300">
        <v>299</v>
      </c>
    </row>
    <row r="301" spans="1:18">
      <c r="A301" s="1" t="s">
        <v>230</v>
      </c>
      <c r="B301">
        <v>35</v>
      </c>
      <c r="C301">
        <v>20</v>
      </c>
      <c r="D301">
        <v>15</v>
      </c>
      <c r="E301">
        <v>-4.72</v>
      </c>
      <c r="F301">
        <v>2554</v>
      </c>
      <c r="G301">
        <v>888</v>
      </c>
      <c r="H301">
        <v>2000</v>
      </c>
      <c r="I301">
        <v>504</v>
      </c>
      <c r="J301">
        <v>711</v>
      </c>
      <c r="K301">
        <v>371</v>
      </c>
      <c r="L301">
        <v>1279</v>
      </c>
      <c r="M301">
        <v>425</v>
      </c>
      <c r="N301">
        <v>203</v>
      </c>
      <c r="O301">
        <v>70</v>
      </c>
      <c r="P301">
        <v>426</v>
      </c>
      <c r="Q301">
        <v>609</v>
      </c>
      <c r="R301">
        <v>300</v>
      </c>
    </row>
    <row r="302" spans="1:18">
      <c r="A302" s="1" t="s">
        <v>231</v>
      </c>
      <c r="B302">
        <v>31</v>
      </c>
      <c r="C302">
        <v>20</v>
      </c>
      <c r="D302">
        <v>11</v>
      </c>
      <c r="E302">
        <v>-5.3</v>
      </c>
      <c r="F302">
        <v>2273</v>
      </c>
      <c r="G302">
        <v>795</v>
      </c>
      <c r="H302">
        <v>1760</v>
      </c>
      <c r="I302">
        <v>510</v>
      </c>
      <c r="J302">
        <v>734</v>
      </c>
      <c r="K302">
        <v>352</v>
      </c>
      <c r="L302">
        <v>1149</v>
      </c>
      <c r="M302">
        <v>328</v>
      </c>
      <c r="N302">
        <v>250</v>
      </c>
      <c r="O302">
        <v>113</v>
      </c>
      <c r="P302">
        <v>426</v>
      </c>
      <c r="Q302">
        <v>639</v>
      </c>
      <c r="R302">
        <v>301</v>
      </c>
    </row>
    <row r="303" spans="1:18">
      <c r="A303" s="1" t="s">
        <v>232</v>
      </c>
      <c r="B303">
        <v>31</v>
      </c>
      <c r="C303">
        <v>19</v>
      </c>
      <c r="D303">
        <v>12</v>
      </c>
      <c r="E303">
        <v>-3.66</v>
      </c>
      <c r="F303">
        <v>2416</v>
      </c>
      <c r="G303">
        <v>792</v>
      </c>
      <c r="H303">
        <v>1730</v>
      </c>
      <c r="I303">
        <v>566</v>
      </c>
      <c r="J303">
        <v>762</v>
      </c>
      <c r="K303">
        <v>291</v>
      </c>
      <c r="L303">
        <v>1102</v>
      </c>
      <c r="M303">
        <v>442</v>
      </c>
      <c r="N303">
        <v>159</v>
      </c>
      <c r="O303">
        <v>119</v>
      </c>
      <c r="P303">
        <v>383</v>
      </c>
      <c r="Q303">
        <v>600</v>
      </c>
      <c r="R303">
        <v>302</v>
      </c>
    </row>
    <row r="304" spans="1:18">
      <c r="A304" s="1" t="s">
        <v>315</v>
      </c>
      <c r="B304">
        <v>34</v>
      </c>
      <c r="C304">
        <v>15</v>
      </c>
      <c r="D304">
        <v>19</v>
      </c>
      <c r="E304">
        <v>7.86</v>
      </c>
      <c r="F304">
        <v>2554</v>
      </c>
      <c r="G304">
        <v>890</v>
      </c>
      <c r="H304">
        <v>2116</v>
      </c>
      <c r="I304">
        <v>523</v>
      </c>
      <c r="J304">
        <v>721</v>
      </c>
      <c r="K304">
        <v>428</v>
      </c>
      <c r="L304">
        <v>1292</v>
      </c>
      <c r="M304">
        <v>459</v>
      </c>
      <c r="N304">
        <v>180</v>
      </c>
      <c r="O304">
        <v>156</v>
      </c>
      <c r="P304">
        <v>380</v>
      </c>
      <c r="Q304">
        <v>662</v>
      </c>
      <c r="R304">
        <v>303</v>
      </c>
    </row>
    <row r="305" spans="1:18">
      <c r="A305" s="1" t="s">
        <v>323</v>
      </c>
      <c r="B305">
        <v>33</v>
      </c>
      <c r="C305">
        <v>25</v>
      </c>
      <c r="D305">
        <v>8</v>
      </c>
      <c r="E305">
        <v>-5.44</v>
      </c>
      <c r="F305">
        <v>2428</v>
      </c>
      <c r="G305">
        <v>838</v>
      </c>
      <c r="H305">
        <v>1918</v>
      </c>
      <c r="I305">
        <v>537</v>
      </c>
      <c r="J305">
        <v>728</v>
      </c>
      <c r="K305">
        <v>373</v>
      </c>
      <c r="L305">
        <v>1159</v>
      </c>
      <c r="M305">
        <v>421</v>
      </c>
      <c r="N305">
        <v>306</v>
      </c>
      <c r="O305">
        <v>149</v>
      </c>
      <c r="P305">
        <v>419</v>
      </c>
      <c r="Q305">
        <v>700</v>
      </c>
      <c r="R305">
        <v>304</v>
      </c>
    </row>
    <row r="306" spans="1:18">
      <c r="A306" s="1" t="s">
        <v>233</v>
      </c>
      <c r="B306">
        <v>37</v>
      </c>
      <c r="C306">
        <v>28</v>
      </c>
      <c r="D306">
        <v>9</v>
      </c>
      <c r="E306">
        <v>8.4499999999999993</v>
      </c>
      <c r="F306">
        <v>2828</v>
      </c>
      <c r="G306">
        <v>991</v>
      </c>
      <c r="H306">
        <v>2208</v>
      </c>
      <c r="I306">
        <v>565</v>
      </c>
      <c r="J306">
        <v>841</v>
      </c>
      <c r="K306">
        <v>477</v>
      </c>
      <c r="L306">
        <v>1461</v>
      </c>
      <c r="M306">
        <v>612</v>
      </c>
      <c r="N306">
        <v>260</v>
      </c>
      <c r="O306">
        <v>133</v>
      </c>
      <c r="P306">
        <v>434</v>
      </c>
      <c r="Q306">
        <v>668</v>
      </c>
      <c r="R306">
        <v>305</v>
      </c>
    </row>
    <row r="307" spans="1:18">
      <c r="A307" s="1" t="s">
        <v>234</v>
      </c>
      <c r="B307">
        <v>35</v>
      </c>
      <c r="C307">
        <v>24</v>
      </c>
      <c r="D307">
        <v>11</v>
      </c>
      <c r="E307">
        <v>-3.42</v>
      </c>
      <c r="F307">
        <v>2762</v>
      </c>
      <c r="G307">
        <v>956</v>
      </c>
      <c r="H307">
        <v>2249</v>
      </c>
      <c r="I307">
        <v>543</v>
      </c>
      <c r="J307">
        <v>780</v>
      </c>
      <c r="K307">
        <v>520</v>
      </c>
      <c r="L307">
        <v>1530</v>
      </c>
      <c r="M307">
        <v>590</v>
      </c>
      <c r="N307">
        <v>261</v>
      </c>
      <c r="O307">
        <v>99</v>
      </c>
      <c r="P307">
        <v>482</v>
      </c>
      <c r="Q307">
        <v>730</v>
      </c>
      <c r="R307">
        <v>306</v>
      </c>
    </row>
    <row r="308" spans="1:18">
      <c r="A308" s="1" t="s">
        <v>235</v>
      </c>
      <c r="B308">
        <v>33</v>
      </c>
      <c r="C308">
        <v>12</v>
      </c>
      <c r="D308">
        <v>21</v>
      </c>
      <c r="E308">
        <v>8.6199999999999992</v>
      </c>
      <c r="F308">
        <v>2209</v>
      </c>
      <c r="G308">
        <v>734</v>
      </c>
      <c r="H308">
        <v>1810</v>
      </c>
      <c r="I308">
        <v>554</v>
      </c>
      <c r="J308">
        <v>826</v>
      </c>
      <c r="K308">
        <v>355</v>
      </c>
      <c r="L308">
        <v>1111</v>
      </c>
      <c r="M308">
        <v>382</v>
      </c>
      <c r="N308">
        <v>213</v>
      </c>
      <c r="O308">
        <v>126</v>
      </c>
      <c r="P308">
        <v>478</v>
      </c>
      <c r="Q308">
        <v>675</v>
      </c>
      <c r="R308">
        <v>307</v>
      </c>
    </row>
    <row r="309" spans="1:18">
      <c r="A309" s="1" t="s">
        <v>236</v>
      </c>
      <c r="B309">
        <v>33</v>
      </c>
      <c r="C309">
        <v>19</v>
      </c>
      <c r="D309">
        <v>14</v>
      </c>
      <c r="E309">
        <v>-4.93</v>
      </c>
      <c r="F309">
        <v>2554</v>
      </c>
      <c r="G309">
        <v>896</v>
      </c>
      <c r="H309">
        <v>1926</v>
      </c>
      <c r="I309">
        <v>539</v>
      </c>
      <c r="J309">
        <v>809</v>
      </c>
      <c r="K309">
        <v>299</v>
      </c>
      <c r="L309">
        <v>1197</v>
      </c>
      <c r="M309">
        <v>512</v>
      </c>
      <c r="N309">
        <v>197</v>
      </c>
      <c r="O309">
        <v>116</v>
      </c>
      <c r="P309">
        <v>417</v>
      </c>
      <c r="Q309">
        <v>672</v>
      </c>
      <c r="R309">
        <v>308</v>
      </c>
    </row>
    <row r="310" spans="1:18">
      <c r="A310" s="1" t="s">
        <v>237</v>
      </c>
      <c r="B310">
        <v>30</v>
      </c>
      <c r="C310">
        <v>8</v>
      </c>
      <c r="D310">
        <v>22</v>
      </c>
      <c r="E310">
        <v>-4.25</v>
      </c>
      <c r="F310">
        <v>1993</v>
      </c>
      <c r="G310">
        <v>716</v>
      </c>
      <c r="H310">
        <v>1712</v>
      </c>
      <c r="I310">
        <v>349</v>
      </c>
      <c r="J310">
        <v>520</v>
      </c>
      <c r="K310">
        <v>257</v>
      </c>
      <c r="L310">
        <v>1004</v>
      </c>
      <c r="M310">
        <v>459</v>
      </c>
      <c r="N310">
        <v>143</v>
      </c>
      <c r="O310">
        <v>91</v>
      </c>
      <c r="P310">
        <v>374</v>
      </c>
      <c r="Q310">
        <v>536</v>
      </c>
      <c r="R310">
        <v>309</v>
      </c>
    </row>
    <row r="311" spans="1:18">
      <c r="A311" s="1" t="s">
        <v>238</v>
      </c>
      <c r="B311">
        <v>32</v>
      </c>
      <c r="C311">
        <v>5</v>
      </c>
      <c r="D311">
        <v>27</v>
      </c>
      <c r="E311">
        <v>-3.36</v>
      </c>
      <c r="F311">
        <v>2317</v>
      </c>
      <c r="G311">
        <v>796</v>
      </c>
      <c r="H311">
        <v>1915</v>
      </c>
      <c r="I311">
        <v>505</v>
      </c>
      <c r="J311">
        <v>719</v>
      </c>
      <c r="K311">
        <v>327</v>
      </c>
      <c r="L311">
        <v>1086</v>
      </c>
      <c r="M311">
        <v>366</v>
      </c>
      <c r="N311">
        <v>206</v>
      </c>
      <c r="O311">
        <v>80</v>
      </c>
      <c r="P311">
        <v>435</v>
      </c>
      <c r="Q311">
        <v>701</v>
      </c>
      <c r="R311">
        <v>310</v>
      </c>
    </row>
    <row r="312" spans="1:18">
      <c r="A312" s="1" t="s">
        <v>239</v>
      </c>
      <c r="B312">
        <v>33</v>
      </c>
      <c r="C312">
        <v>18</v>
      </c>
      <c r="D312">
        <v>15</v>
      </c>
      <c r="E312">
        <v>-6.94</v>
      </c>
      <c r="F312">
        <v>2403</v>
      </c>
      <c r="G312">
        <v>848</v>
      </c>
      <c r="H312">
        <v>1853</v>
      </c>
      <c r="I312">
        <v>485</v>
      </c>
      <c r="J312">
        <v>769</v>
      </c>
      <c r="K312">
        <v>408</v>
      </c>
      <c r="L312">
        <v>1249</v>
      </c>
      <c r="M312">
        <v>469</v>
      </c>
      <c r="N312">
        <v>146</v>
      </c>
      <c r="O312">
        <v>101</v>
      </c>
      <c r="P312">
        <v>434</v>
      </c>
      <c r="Q312">
        <v>505</v>
      </c>
      <c r="R312">
        <v>311</v>
      </c>
    </row>
    <row r="313" spans="1:18">
      <c r="A313" s="1" t="s">
        <v>240</v>
      </c>
      <c r="B313">
        <v>31</v>
      </c>
      <c r="C313">
        <v>15</v>
      </c>
      <c r="D313">
        <v>16</v>
      </c>
      <c r="E313">
        <v>-4.29</v>
      </c>
      <c r="F313">
        <v>2046</v>
      </c>
      <c r="G313">
        <v>727</v>
      </c>
      <c r="H313">
        <v>1692</v>
      </c>
      <c r="I313">
        <v>443</v>
      </c>
      <c r="J313">
        <v>658</v>
      </c>
      <c r="K313">
        <v>336</v>
      </c>
      <c r="L313">
        <v>1063</v>
      </c>
      <c r="M313">
        <v>366</v>
      </c>
      <c r="N313">
        <v>189</v>
      </c>
      <c r="O313">
        <v>96</v>
      </c>
      <c r="P313">
        <v>370</v>
      </c>
      <c r="Q313">
        <v>576</v>
      </c>
      <c r="R313">
        <v>312</v>
      </c>
    </row>
    <row r="314" spans="1:18">
      <c r="A314" s="1" t="s">
        <v>241</v>
      </c>
      <c r="B314">
        <v>32</v>
      </c>
      <c r="C314">
        <v>19</v>
      </c>
      <c r="D314">
        <v>13</v>
      </c>
      <c r="E314">
        <v>10.25</v>
      </c>
      <c r="F314">
        <v>2305</v>
      </c>
      <c r="G314">
        <v>785</v>
      </c>
      <c r="H314">
        <v>1754</v>
      </c>
      <c r="I314">
        <v>550</v>
      </c>
      <c r="J314">
        <v>741</v>
      </c>
      <c r="K314">
        <v>326</v>
      </c>
      <c r="L314">
        <v>1086</v>
      </c>
      <c r="M314">
        <v>418</v>
      </c>
      <c r="N314">
        <v>190</v>
      </c>
      <c r="O314">
        <v>134</v>
      </c>
      <c r="P314">
        <v>385</v>
      </c>
      <c r="Q314">
        <v>589</v>
      </c>
      <c r="R314">
        <v>313</v>
      </c>
    </row>
    <row r="315" spans="1:18">
      <c r="A315" s="1" t="s">
        <v>362</v>
      </c>
      <c r="B315">
        <v>33</v>
      </c>
      <c r="C315">
        <v>20</v>
      </c>
      <c r="D315">
        <v>13</v>
      </c>
      <c r="E315">
        <v>11.71</v>
      </c>
      <c r="F315">
        <v>2355</v>
      </c>
      <c r="G315">
        <v>814</v>
      </c>
      <c r="H315">
        <v>1884</v>
      </c>
      <c r="I315">
        <v>495</v>
      </c>
      <c r="J315">
        <v>743</v>
      </c>
      <c r="K315">
        <v>363</v>
      </c>
      <c r="L315">
        <v>1139</v>
      </c>
      <c r="M315">
        <v>377</v>
      </c>
      <c r="N315">
        <v>167</v>
      </c>
      <c r="O315">
        <v>144</v>
      </c>
      <c r="P315">
        <v>341</v>
      </c>
      <c r="Q315">
        <v>688</v>
      </c>
      <c r="R315">
        <v>314</v>
      </c>
    </row>
    <row r="316" spans="1:18">
      <c r="A316" s="1" t="s">
        <v>242</v>
      </c>
      <c r="B316">
        <v>32</v>
      </c>
      <c r="C316">
        <v>17</v>
      </c>
      <c r="D316">
        <v>15</v>
      </c>
      <c r="E316">
        <v>-2.36</v>
      </c>
      <c r="F316">
        <v>2482</v>
      </c>
      <c r="G316">
        <v>865</v>
      </c>
      <c r="H316">
        <v>1881</v>
      </c>
      <c r="I316">
        <v>489</v>
      </c>
      <c r="J316">
        <v>655</v>
      </c>
      <c r="K316">
        <v>306</v>
      </c>
      <c r="L316">
        <v>1161</v>
      </c>
      <c r="M316">
        <v>523</v>
      </c>
      <c r="N316">
        <v>167</v>
      </c>
      <c r="O316">
        <v>63</v>
      </c>
      <c r="P316">
        <v>373</v>
      </c>
      <c r="Q316">
        <v>552</v>
      </c>
      <c r="R316">
        <v>315</v>
      </c>
    </row>
    <row r="317" spans="1:18">
      <c r="A317" s="1" t="s">
        <v>243</v>
      </c>
      <c r="B317">
        <v>33</v>
      </c>
      <c r="C317">
        <v>20</v>
      </c>
      <c r="D317">
        <v>13</v>
      </c>
      <c r="E317">
        <v>-1.57</v>
      </c>
      <c r="F317">
        <v>2358</v>
      </c>
      <c r="G317">
        <v>805</v>
      </c>
      <c r="H317">
        <v>1888</v>
      </c>
      <c r="I317">
        <v>566</v>
      </c>
      <c r="J317">
        <v>840</v>
      </c>
      <c r="K317">
        <v>472</v>
      </c>
      <c r="L317">
        <v>1295</v>
      </c>
      <c r="M317">
        <v>371</v>
      </c>
      <c r="N317">
        <v>203</v>
      </c>
      <c r="O317">
        <v>155</v>
      </c>
      <c r="P317">
        <v>401</v>
      </c>
      <c r="Q317">
        <v>677</v>
      </c>
      <c r="R317">
        <v>316</v>
      </c>
    </row>
    <row r="318" spans="1:18">
      <c r="A318" s="1" t="s">
        <v>244</v>
      </c>
      <c r="B318">
        <v>31</v>
      </c>
      <c r="C318">
        <v>9</v>
      </c>
      <c r="D318">
        <v>22</v>
      </c>
      <c r="E318">
        <v>-2.0699999999999998</v>
      </c>
      <c r="F318">
        <v>2145</v>
      </c>
      <c r="G318">
        <v>740</v>
      </c>
      <c r="H318">
        <v>1817</v>
      </c>
      <c r="I318">
        <v>457</v>
      </c>
      <c r="J318">
        <v>713</v>
      </c>
      <c r="K318">
        <v>349</v>
      </c>
      <c r="L318">
        <v>1132</v>
      </c>
      <c r="M318">
        <v>349</v>
      </c>
      <c r="N318">
        <v>185</v>
      </c>
      <c r="O318">
        <v>88</v>
      </c>
      <c r="P318">
        <v>376</v>
      </c>
      <c r="Q318">
        <v>582</v>
      </c>
      <c r="R318">
        <v>317</v>
      </c>
    </row>
    <row r="319" spans="1:18">
      <c r="A319" s="1" t="s">
        <v>245</v>
      </c>
      <c r="B319">
        <v>34</v>
      </c>
      <c r="C319">
        <v>12</v>
      </c>
      <c r="D319">
        <v>22</v>
      </c>
      <c r="E319">
        <v>3.79</v>
      </c>
      <c r="F319">
        <v>2240</v>
      </c>
      <c r="G319">
        <v>802</v>
      </c>
      <c r="H319">
        <v>2021</v>
      </c>
      <c r="I319">
        <v>420</v>
      </c>
      <c r="J319">
        <v>621</v>
      </c>
      <c r="K319">
        <v>415</v>
      </c>
      <c r="L319">
        <v>1268</v>
      </c>
      <c r="M319">
        <v>372</v>
      </c>
      <c r="N319">
        <v>218</v>
      </c>
      <c r="O319">
        <v>131</v>
      </c>
      <c r="P319">
        <v>451</v>
      </c>
      <c r="Q319">
        <v>649</v>
      </c>
      <c r="R319">
        <v>318</v>
      </c>
    </row>
    <row r="320" spans="1:18">
      <c r="A320" s="1" t="s">
        <v>299</v>
      </c>
      <c r="B320">
        <v>32</v>
      </c>
      <c r="C320">
        <v>20</v>
      </c>
      <c r="D320">
        <v>12</v>
      </c>
      <c r="E320">
        <v>5.76</v>
      </c>
      <c r="F320">
        <v>2356</v>
      </c>
      <c r="G320">
        <v>821</v>
      </c>
      <c r="H320">
        <v>1849</v>
      </c>
      <c r="I320">
        <v>495</v>
      </c>
      <c r="J320">
        <v>731</v>
      </c>
      <c r="K320">
        <v>323</v>
      </c>
      <c r="L320">
        <v>1123</v>
      </c>
      <c r="M320">
        <v>435</v>
      </c>
      <c r="N320">
        <v>216</v>
      </c>
      <c r="O320">
        <v>88</v>
      </c>
      <c r="P320">
        <v>346</v>
      </c>
      <c r="Q320">
        <v>563</v>
      </c>
      <c r="R320">
        <v>319</v>
      </c>
    </row>
    <row r="321" spans="1:18">
      <c r="A321" s="1" t="s">
        <v>324</v>
      </c>
      <c r="B321">
        <v>32</v>
      </c>
      <c r="C321">
        <v>15</v>
      </c>
      <c r="D321">
        <v>17</v>
      </c>
      <c r="E321">
        <v>9.69</v>
      </c>
      <c r="F321">
        <v>2480</v>
      </c>
      <c r="G321">
        <v>915</v>
      </c>
      <c r="H321">
        <v>2016</v>
      </c>
      <c r="I321">
        <v>450</v>
      </c>
      <c r="J321">
        <v>651</v>
      </c>
      <c r="K321">
        <v>393</v>
      </c>
      <c r="L321">
        <v>1266</v>
      </c>
      <c r="M321">
        <v>502</v>
      </c>
      <c r="N321">
        <v>175</v>
      </c>
      <c r="O321">
        <v>110</v>
      </c>
      <c r="P321">
        <v>392</v>
      </c>
      <c r="Q321">
        <v>595</v>
      </c>
      <c r="R321">
        <v>320</v>
      </c>
    </row>
    <row r="322" spans="1:18">
      <c r="A322" s="1" t="s">
        <v>316</v>
      </c>
      <c r="B322">
        <v>31</v>
      </c>
      <c r="C322">
        <v>16</v>
      </c>
      <c r="D322">
        <v>15</v>
      </c>
      <c r="E322">
        <v>2.06</v>
      </c>
      <c r="F322">
        <v>2274</v>
      </c>
      <c r="G322">
        <v>802</v>
      </c>
      <c r="H322">
        <v>1779</v>
      </c>
      <c r="I322">
        <v>413</v>
      </c>
      <c r="J322">
        <v>597</v>
      </c>
      <c r="K322">
        <v>319</v>
      </c>
      <c r="L322">
        <v>1108</v>
      </c>
      <c r="M322">
        <v>454</v>
      </c>
      <c r="N322">
        <v>171</v>
      </c>
      <c r="O322">
        <v>81</v>
      </c>
      <c r="P322">
        <v>373</v>
      </c>
      <c r="Q322">
        <v>546</v>
      </c>
      <c r="R322">
        <v>321</v>
      </c>
    </row>
    <row r="323" spans="1:18">
      <c r="A323" s="1" t="s">
        <v>334</v>
      </c>
      <c r="B323">
        <v>30</v>
      </c>
      <c r="C323">
        <v>12</v>
      </c>
      <c r="D323">
        <v>18</v>
      </c>
      <c r="E323">
        <v>-3.58</v>
      </c>
      <c r="F323">
        <v>2280</v>
      </c>
      <c r="G323">
        <v>785</v>
      </c>
      <c r="H323">
        <v>1833</v>
      </c>
      <c r="I323">
        <v>454</v>
      </c>
      <c r="J323">
        <v>628</v>
      </c>
      <c r="K323">
        <v>277</v>
      </c>
      <c r="L323">
        <v>1100</v>
      </c>
      <c r="M323">
        <v>435</v>
      </c>
      <c r="N323">
        <v>176</v>
      </c>
      <c r="O323">
        <v>95</v>
      </c>
      <c r="P323">
        <v>399</v>
      </c>
      <c r="Q323">
        <v>627</v>
      </c>
      <c r="R323">
        <v>322</v>
      </c>
    </row>
    <row r="324" spans="1:18">
      <c r="A324" s="1" t="s">
        <v>300</v>
      </c>
      <c r="B324">
        <v>36</v>
      </c>
      <c r="C324">
        <v>27</v>
      </c>
      <c r="D324">
        <v>9</v>
      </c>
      <c r="E324">
        <v>8.7899999999999991</v>
      </c>
      <c r="F324">
        <v>2778</v>
      </c>
      <c r="G324">
        <v>977</v>
      </c>
      <c r="H324">
        <v>2000</v>
      </c>
      <c r="I324">
        <v>551</v>
      </c>
      <c r="J324">
        <v>764</v>
      </c>
      <c r="K324">
        <v>347</v>
      </c>
      <c r="L324">
        <v>1335</v>
      </c>
      <c r="M324">
        <v>557</v>
      </c>
      <c r="N324">
        <v>199</v>
      </c>
      <c r="O324">
        <v>149</v>
      </c>
      <c r="P324">
        <v>451</v>
      </c>
      <c r="Q324">
        <v>549</v>
      </c>
      <c r="R324">
        <v>323</v>
      </c>
    </row>
    <row r="325" spans="1:18">
      <c r="A325" s="1" t="s">
        <v>301</v>
      </c>
      <c r="B325">
        <v>37</v>
      </c>
      <c r="C325">
        <v>30</v>
      </c>
      <c r="D325">
        <v>7</v>
      </c>
      <c r="E325">
        <v>0.02</v>
      </c>
      <c r="F325">
        <v>2782</v>
      </c>
      <c r="G325">
        <v>964</v>
      </c>
      <c r="H325">
        <v>2178</v>
      </c>
      <c r="I325">
        <v>556</v>
      </c>
      <c r="J325">
        <v>769</v>
      </c>
      <c r="K325">
        <v>468</v>
      </c>
      <c r="L325">
        <v>1533</v>
      </c>
      <c r="M325">
        <v>526</v>
      </c>
      <c r="N325">
        <v>246</v>
      </c>
      <c r="O325">
        <v>175</v>
      </c>
      <c r="P325">
        <v>479</v>
      </c>
      <c r="Q325">
        <v>731</v>
      </c>
      <c r="R325">
        <v>324</v>
      </c>
    </row>
    <row r="326" spans="1:18">
      <c r="A326" s="1" t="s">
        <v>246</v>
      </c>
      <c r="B326">
        <v>33</v>
      </c>
      <c r="C326">
        <v>19</v>
      </c>
      <c r="D326">
        <v>14</v>
      </c>
      <c r="E326">
        <v>8.68</v>
      </c>
      <c r="F326">
        <v>2506</v>
      </c>
      <c r="G326">
        <v>857</v>
      </c>
      <c r="H326">
        <v>1879</v>
      </c>
      <c r="I326">
        <v>519</v>
      </c>
      <c r="J326">
        <v>747</v>
      </c>
      <c r="K326">
        <v>313</v>
      </c>
      <c r="L326">
        <v>1273</v>
      </c>
      <c r="M326">
        <v>487</v>
      </c>
      <c r="N326">
        <v>139</v>
      </c>
      <c r="O326">
        <v>182</v>
      </c>
      <c r="P326">
        <v>386</v>
      </c>
      <c r="Q326">
        <v>632</v>
      </c>
      <c r="R326">
        <v>325</v>
      </c>
    </row>
    <row r="327" spans="1:18">
      <c r="A327" s="1" t="s">
        <v>247</v>
      </c>
      <c r="B327">
        <v>37</v>
      </c>
      <c r="C327">
        <v>23</v>
      </c>
      <c r="D327">
        <v>14</v>
      </c>
      <c r="E327">
        <v>-4.7300000000000004</v>
      </c>
      <c r="F327">
        <v>2774</v>
      </c>
      <c r="G327">
        <v>986</v>
      </c>
      <c r="H327">
        <v>2051</v>
      </c>
      <c r="I327">
        <v>547</v>
      </c>
      <c r="J327">
        <v>772</v>
      </c>
      <c r="K327">
        <v>343</v>
      </c>
      <c r="L327">
        <v>1321</v>
      </c>
      <c r="M327">
        <v>495</v>
      </c>
      <c r="N327">
        <v>212</v>
      </c>
      <c r="O327">
        <v>161</v>
      </c>
      <c r="P327">
        <v>490</v>
      </c>
      <c r="Q327">
        <v>719</v>
      </c>
      <c r="R327">
        <v>326</v>
      </c>
    </row>
    <row r="328" spans="1:18">
      <c r="A328" s="1" t="s">
        <v>248</v>
      </c>
      <c r="B328">
        <v>40</v>
      </c>
      <c r="C328">
        <v>35</v>
      </c>
      <c r="D328">
        <v>5</v>
      </c>
      <c r="E328">
        <v>9.7100000000000009</v>
      </c>
      <c r="F328">
        <v>3118</v>
      </c>
      <c r="G328">
        <v>1086</v>
      </c>
      <c r="H328">
        <v>2247</v>
      </c>
      <c r="I328">
        <v>599</v>
      </c>
      <c r="J328">
        <v>766</v>
      </c>
      <c r="K328">
        <v>351</v>
      </c>
      <c r="L328">
        <v>1385</v>
      </c>
      <c r="M328">
        <v>637</v>
      </c>
      <c r="N328">
        <v>282</v>
      </c>
      <c r="O328">
        <v>136</v>
      </c>
      <c r="P328">
        <v>440</v>
      </c>
      <c r="Q328">
        <v>681</v>
      </c>
      <c r="R328">
        <v>327</v>
      </c>
    </row>
    <row r="329" spans="1:18">
      <c r="A329" s="1" t="s">
        <v>249</v>
      </c>
      <c r="B329">
        <v>36</v>
      </c>
      <c r="C329">
        <v>25</v>
      </c>
      <c r="D329">
        <v>11</v>
      </c>
      <c r="E329">
        <v>4.3499999999999996</v>
      </c>
      <c r="F329">
        <v>2781</v>
      </c>
      <c r="G329">
        <v>1010</v>
      </c>
      <c r="H329">
        <v>2238</v>
      </c>
      <c r="I329">
        <v>499</v>
      </c>
      <c r="J329">
        <v>721</v>
      </c>
      <c r="K329">
        <v>447</v>
      </c>
      <c r="L329">
        <v>1347</v>
      </c>
      <c r="M329">
        <v>515</v>
      </c>
      <c r="N329">
        <v>309</v>
      </c>
      <c r="O329">
        <v>135</v>
      </c>
      <c r="P329">
        <v>405</v>
      </c>
      <c r="Q329">
        <v>706</v>
      </c>
      <c r="R329">
        <v>328</v>
      </c>
    </row>
    <row r="330" spans="1:18">
      <c r="A330" s="1" t="s">
        <v>250</v>
      </c>
      <c r="B330">
        <v>30</v>
      </c>
      <c r="C330">
        <v>9</v>
      </c>
      <c r="D330">
        <v>21</v>
      </c>
      <c r="E330">
        <v>-3.15</v>
      </c>
      <c r="F330">
        <v>2081</v>
      </c>
      <c r="G330">
        <v>729</v>
      </c>
      <c r="H330">
        <v>1770</v>
      </c>
      <c r="I330">
        <v>360</v>
      </c>
      <c r="J330">
        <v>498</v>
      </c>
      <c r="K330">
        <v>290</v>
      </c>
      <c r="L330">
        <v>996</v>
      </c>
      <c r="M330">
        <v>330</v>
      </c>
      <c r="N330">
        <v>184</v>
      </c>
      <c r="O330">
        <v>126</v>
      </c>
      <c r="P330">
        <v>397</v>
      </c>
      <c r="Q330">
        <v>586</v>
      </c>
      <c r="R330">
        <v>329</v>
      </c>
    </row>
    <row r="331" spans="1:18">
      <c r="A331" s="1" t="s">
        <v>251</v>
      </c>
      <c r="B331">
        <v>35</v>
      </c>
      <c r="C331">
        <v>20</v>
      </c>
      <c r="D331">
        <v>15</v>
      </c>
      <c r="E331">
        <v>7.53</v>
      </c>
      <c r="F331">
        <v>2624</v>
      </c>
      <c r="G331">
        <v>876</v>
      </c>
      <c r="H331">
        <v>1953</v>
      </c>
      <c r="I331">
        <v>672</v>
      </c>
      <c r="J331">
        <v>964</v>
      </c>
      <c r="K331">
        <v>371</v>
      </c>
      <c r="L331">
        <v>1230</v>
      </c>
      <c r="M331">
        <v>426</v>
      </c>
      <c r="N331">
        <v>188</v>
      </c>
      <c r="O331">
        <v>125</v>
      </c>
      <c r="P331">
        <v>447</v>
      </c>
      <c r="Q331">
        <v>673</v>
      </c>
      <c r="R331">
        <v>330</v>
      </c>
    </row>
    <row r="332" spans="1:18">
      <c r="A332" s="1" t="s">
        <v>252</v>
      </c>
      <c r="B332">
        <v>37</v>
      </c>
      <c r="C332">
        <v>29</v>
      </c>
      <c r="D332">
        <v>8</v>
      </c>
      <c r="E332">
        <v>11.12</v>
      </c>
      <c r="F332">
        <v>2626</v>
      </c>
      <c r="G332">
        <v>964</v>
      </c>
      <c r="H332">
        <v>1964</v>
      </c>
      <c r="I332">
        <v>474</v>
      </c>
      <c r="J332">
        <v>630</v>
      </c>
      <c r="K332">
        <v>323</v>
      </c>
      <c r="L332">
        <v>1189</v>
      </c>
      <c r="M332">
        <v>551</v>
      </c>
      <c r="N332">
        <v>199</v>
      </c>
      <c r="O332">
        <v>119</v>
      </c>
      <c r="P332">
        <v>345</v>
      </c>
      <c r="Q332">
        <v>596</v>
      </c>
      <c r="R332">
        <v>331</v>
      </c>
    </row>
    <row r="333" spans="1:18">
      <c r="A333" s="1" t="s">
        <v>253</v>
      </c>
      <c r="B333">
        <v>34</v>
      </c>
      <c r="C333">
        <v>23</v>
      </c>
      <c r="D333">
        <v>11</v>
      </c>
      <c r="E333">
        <v>-9.52</v>
      </c>
      <c r="F333">
        <v>2389</v>
      </c>
      <c r="G333">
        <v>856</v>
      </c>
      <c r="H333">
        <v>2019</v>
      </c>
      <c r="I333">
        <v>474</v>
      </c>
      <c r="J333">
        <v>665</v>
      </c>
      <c r="K333">
        <v>474</v>
      </c>
      <c r="L333">
        <v>1348</v>
      </c>
      <c r="M333">
        <v>451</v>
      </c>
      <c r="N333">
        <v>237</v>
      </c>
      <c r="O333">
        <v>136</v>
      </c>
      <c r="P333">
        <v>454</v>
      </c>
      <c r="Q333">
        <v>743</v>
      </c>
      <c r="R333">
        <v>332</v>
      </c>
    </row>
    <row r="334" spans="1:18">
      <c r="A334" s="1" t="s">
        <v>254</v>
      </c>
      <c r="B334">
        <v>31</v>
      </c>
      <c r="C334">
        <v>11</v>
      </c>
      <c r="D334">
        <v>20</v>
      </c>
      <c r="E334">
        <v>10.53</v>
      </c>
      <c r="F334">
        <v>2295</v>
      </c>
      <c r="G334">
        <v>793</v>
      </c>
      <c r="H334">
        <v>1804</v>
      </c>
      <c r="I334">
        <v>514</v>
      </c>
      <c r="J334">
        <v>779</v>
      </c>
      <c r="K334">
        <v>377</v>
      </c>
      <c r="L334">
        <v>1186</v>
      </c>
      <c r="M334">
        <v>434</v>
      </c>
      <c r="N334">
        <v>184</v>
      </c>
      <c r="O334">
        <v>138</v>
      </c>
      <c r="P334">
        <v>451</v>
      </c>
      <c r="Q334">
        <v>649</v>
      </c>
      <c r="R334">
        <v>333</v>
      </c>
    </row>
    <row r="335" spans="1:18">
      <c r="A335" s="1" t="s">
        <v>255</v>
      </c>
      <c r="B335">
        <v>31</v>
      </c>
      <c r="C335">
        <v>9</v>
      </c>
      <c r="D335">
        <v>22</v>
      </c>
      <c r="E335">
        <v>7.97</v>
      </c>
      <c r="F335">
        <v>2187</v>
      </c>
      <c r="G335">
        <v>805</v>
      </c>
      <c r="H335">
        <v>1760</v>
      </c>
      <c r="I335">
        <v>393</v>
      </c>
      <c r="J335">
        <v>551</v>
      </c>
      <c r="K335">
        <v>247</v>
      </c>
      <c r="L335">
        <v>1048</v>
      </c>
      <c r="M335">
        <v>419</v>
      </c>
      <c r="N335">
        <v>155</v>
      </c>
      <c r="O335">
        <v>134</v>
      </c>
      <c r="P335">
        <v>440</v>
      </c>
      <c r="Q335">
        <v>615</v>
      </c>
      <c r="R335">
        <v>334</v>
      </c>
    </row>
    <row r="336" spans="1:18">
      <c r="A336" s="1" t="s">
        <v>256</v>
      </c>
      <c r="B336">
        <v>34</v>
      </c>
      <c r="C336">
        <v>19</v>
      </c>
      <c r="D336">
        <v>15</v>
      </c>
      <c r="E336">
        <v>8.1199999999999992</v>
      </c>
      <c r="F336">
        <v>2853</v>
      </c>
      <c r="G336">
        <v>964</v>
      </c>
      <c r="H336">
        <v>2264</v>
      </c>
      <c r="I336">
        <v>676</v>
      </c>
      <c r="J336">
        <v>932</v>
      </c>
      <c r="K336">
        <v>473</v>
      </c>
      <c r="L336">
        <v>1360</v>
      </c>
      <c r="M336">
        <v>488</v>
      </c>
      <c r="N336">
        <v>258</v>
      </c>
      <c r="O336">
        <v>222</v>
      </c>
      <c r="P336">
        <v>470</v>
      </c>
      <c r="Q336">
        <v>813</v>
      </c>
      <c r="R336">
        <v>335</v>
      </c>
    </row>
    <row r="337" spans="1:18">
      <c r="A337" s="1" t="s">
        <v>257</v>
      </c>
      <c r="B337">
        <v>35</v>
      </c>
      <c r="C337">
        <v>26</v>
      </c>
      <c r="D337">
        <v>9</v>
      </c>
      <c r="E337">
        <v>-5.13</v>
      </c>
      <c r="F337">
        <v>2662</v>
      </c>
      <c r="G337">
        <v>908</v>
      </c>
      <c r="H337">
        <v>1885</v>
      </c>
      <c r="I337">
        <v>555</v>
      </c>
      <c r="J337">
        <v>821</v>
      </c>
      <c r="K337">
        <v>300</v>
      </c>
      <c r="L337">
        <v>1296</v>
      </c>
      <c r="M337">
        <v>477</v>
      </c>
      <c r="N337">
        <v>175</v>
      </c>
      <c r="O337">
        <v>119</v>
      </c>
      <c r="P337">
        <v>462</v>
      </c>
      <c r="Q337">
        <v>611</v>
      </c>
      <c r="R337">
        <v>336</v>
      </c>
    </row>
    <row r="338" spans="1:18">
      <c r="A338" s="1" t="s">
        <v>258</v>
      </c>
      <c r="B338">
        <v>35</v>
      </c>
      <c r="C338">
        <v>26</v>
      </c>
      <c r="D338">
        <v>9</v>
      </c>
      <c r="E338">
        <v>9.7799999999999994</v>
      </c>
      <c r="F338">
        <v>2749</v>
      </c>
      <c r="G338">
        <v>943</v>
      </c>
      <c r="H338">
        <v>2102</v>
      </c>
      <c r="I338">
        <v>654</v>
      </c>
      <c r="J338">
        <v>972</v>
      </c>
      <c r="K338">
        <v>558</v>
      </c>
      <c r="L338">
        <v>1380</v>
      </c>
      <c r="M338">
        <v>510</v>
      </c>
      <c r="N338">
        <v>343</v>
      </c>
      <c r="O338">
        <v>93</v>
      </c>
      <c r="P338">
        <v>498</v>
      </c>
      <c r="Q338">
        <v>819</v>
      </c>
      <c r="R338">
        <v>337</v>
      </c>
    </row>
    <row r="339" spans="1:18">
      <c r="A339" s="1" t="s">
        <v>259</v>
      </c>
      <c r="B339">
        <v>34</v>
      </c>
      <c r="C339">
        <v>16</v>
      </c>
      <c r="D339">
        <v>18</v>
      </c>
      <c r="E339">
        <v>-1.53</v>
      </c>
      <c r="F339">
        <v>2479</v>
      </c>
      <c r="G339">
        <v>851</v>
      </c>
      <c r="H339">
        <v>1993</v>
      </c>
      <c r="I339">
        <v>535</v>
      </c>
      <c r="J339">
        <v>760</v>
      </c>
      <c r="K339">
        <v>404</v>
      </c>
      <c r="L339">
        <v>1241</v>
      </c>
      <c r="M339">
        <v>427</v>
      </c>
      <c r="N339">
        <v>275</v>
      </c>
      <c r="O339">
        <v>110</v>
      </c>
      <c r="P339">
        <v>485</v>
      </c>
      <c r="Q339">
        <v>705</v>
      </c>
      <c r="R339">
        <v>338</v>
      </c>
    </row>
    <row r="340" spans="1:18">
      <c r="A340" s="1" t="s">
        <v>260</v>
      </c>
      <c r="B340">
        <v>27</v>
      </c>
      <c r="C340">
        <v>10</v>
      </c>
      <c r="D340">
        <v>17</v>
      </c>
      <c r="E340">
        <v>-1.32</v>
      </c>
      <c r="F340">
        <v>1904</v>
      </c>
      <c r="G340">
        <v>676</v>
      </c>
      <c r="H340">
        <v>1521</v>
      </c>
      <c r="I340">
        <v>362</v>
      </c>
      <c r="J340">
        <v>502</v>
      </c>
      <c r="K340">
        <v>233</v>
      </c>
      <c r="L340">
        <v>948</v>
      </c>
      <c r="M340">
        <v>361</v>
      </c>
      <c r="N340">
        <v>163</v>
      </c>
      <c r="O340">
        <v>89</v>
      </c>
      <c r="P340">
        <v>332</v>
      </c>
      <c r="Q340">
        <v>555</v>
      </c>
      <c r="R340">
        <v>339</v>
      </c>
    </row>
    <row r="341" spans="1:18">
      <c r="A341" s="1" t="s">
        <v>261</v>
      </c>
      <c r="B341">
        <v>34</v>
      </c>
      <c r="C341">
        <v>18</v>
      </c>
      <c r="D341">
        <v>16</v>
      </c>
      <c r="E341">
        <v>-0.89</v>
      </c>
      <c r="F341">
        <v>2620</v>
      </c>
      <c r="G341">
        <v>925</v>
      </c>
      <c r="H341">
        <v>1970</v>
      </c>
      <c r="I341">
        <v>537</v>
      </c>
      <c r="J341">
        <v>768</v>
      </c>
      <c r="K341">
        <v>405</v>
      </c>
      <c r="L341">
        <v>1311</v>
      </c>
      <c r="M341">
        <v>463</v>
      </c>
      <c r="N341">
        <v>151</v>
      </c>
      <c r="O341">
        <v>139</v>
      </c>
      <c r="P341">
        <v>450</v>
      </c>
      <c r="Q341">
        <v>610</v>
      </c>
      <c r="R341">
        <v>340</v>
      </c>
    </row>
    <row r="342" spans="1:18">
      <c r="A342" s="1" t="s">
        <v>262</v>
      </c>
      <c r="B342">
        <v>32</v>
      </c>
      <c r="C342">
        <v>13</v>
      </c>
      <c r="D342">
        <v>19</v>
      </c>
      <c r="E342">
        <v>0.06</v>
      </c>
      <c r="F342">
        <v>2342</v>
      </c>
      <c r="G342">
        <v>786</v>
      </c>
      <c r="H342">
        <v>1824</v>
      </c>
      <c r="I342">
        <v>573</v>
      </c>
      <c r="J342">
        <v>805</v>
      </c>
      <c r="K342">
        <v>359</v>
      </c>
      <c r="L342">
        <v>1190</v>
      </c>
      <c r="M342">
        <v>382</v>
      </c>
      <c r="N342">
        <v>183</v>
      </c>
      <c r="O342">
        <v>80</v>
      </c>
      <c r="P342">
        <v>401</v>
      </c>
      <c r="Q342">
        <v>633</v>
      </c>
      <c r="R342">
        <v>341</v>
      </c>
    </row>
    <row r="343" spans="1:18">
      <c r="A343" s="1" t="s">
        <v>263</v>
      </c>
      <c r="B343">
        <v>35</v>
      </c>
      <c r="C343">
        <v>26</v>
      </c>
      <c r="D343">
        <v>9</v>
      </c>
      <c r="E343">
        <v>4.24</v>
      </c>
      <c r="F343">
        <v>2535</v>
      </c>
      <c r="G343">
        <v>867</v>
      </c>
      <c r="H343">
        <v>2023</v>
      </c>
      <c r="I343">
        <v>551</v>
      </c>
      <c r="J343">
        <v>768</v>
      </c>
      <c r="K343">
        <v>408</v>
      </c>
      <c r="L343">
        <v>1305</v>
      </c>
      <c r="M343">
        <v>489</v>
      </c>
      <c r="N343">
        <v>255</v>
      </c>
      <c r="O343">
        <v>125</v>
      </c>
      <c r="P343">
        <v>346</v>
      </c>
      <c r="Q343">
        <v>705</v>
      </c>
      <c r="R343">
        <v>342</v>
      </c>
    </row>
    <row r="344" spans="1:18">
      <c r="A344" s="1" t="s">
        <v>264</v>
      </c>
      <c r="B344">
        <v>31</v>
      </c>
      <c r="C344">
        <v>20</v>
      </c>
      <c r="D344">
        <v>11</v>
      </c>
      <c r="E344">
        <v>1.3</v>
      </c>
      <c r="F344">
        <v>2384</v>
      </c>
      <c r="G344">
        <v>843</v>
      </c>
      <c r="H344">
        <v>1755</v>
      </c>
      <c r="I344">
        <v>457</v>
      </c>
      <c r="J344">
        <v>636</v>
      </c>
      <c r="K344">
        <v>258</v>
      </c>
      <c r="L344">
        <v>1141</v>
      </c>
      <c r="M344">
        <v>501</v>
      </c>
      <c r="N344">
        <v>170</v>
      </c>
      <c r="O344">
        <v>132</v>
      </c>
      <c r="P344">
        <v>331</v>
      </c>
      <c r="Q344">
        <v>512</v>
      </c>
      <c r="R344">
        <v>343</v>
      </c>
    </row>
    <row r="345" spans="1:18">
      <c r="A345" s="1" t="s">
        <v>325</v>
      </c>
      <c r="B345">
        <v>32</v>
      </c>
      <c r="C345">
        <v>23</v>
      </c>
      <c r="D345">
        <v>9</v>
      </c>
      <c r="E345">
        <v>-5.7</v>
      </c>
      <c r="F345">
        <v>2631</v>
      </c>
      <c r="G345">
        <v>890</v>
      </c>
      <c r="H345">
        <v>1869</v>
      </c>
      <c r="I345">
        <v>566</v>
      </c>
      <c r="J345">
        <v>756</v>
      </c>
      <c r="K345">
        <v>291</v>
      </c>
      <c r="L345">
        <v>1160</v>
      </c>
      <c r="M345">
        <v>378</v>
      </c>
      <c r="N345">
        <v>174</v>
      </c>
      <c r="O345">
        <v>175</v>
      </c>
      <c r="P345">
        <v>403</v>
      </c>
      <c r="Q345">
        <v>602</v>
      </c>
      <c r="R345">
        <v>344</v>
      </c>
    </row>
    <row r="346" spans="1:18">
      <c r="A346" s="1" t="s">
        <v>367</v>
      </c>
      <c r="B346">
        <v>35</v>
      </c>
      <c r="C346">
        <v>22</v>
      </c>
      <c r="D346">
        <v>13</v>
      </c>
      <c r="E346">
        <v>9.4</v>
      </c>
      <c r="F346">
        <v>2373</v>
      </c>
      <c r="G346">
        <v>816</v>
      </c>
      <c r="H346">
        <v>1917</v>
      </c>
      <c r="I346">
        <v>512</v>
      </c>
      <c r="J346">
        <v>728</v>
      </c>
      <c r="K346">
        <v>398</v>
      </c>
      <c r="L346">
        <v>1228</v>
      </c>
      <c r="M346">
        <v>400</v>
      </c>
      <c r="N346">
        <v>205</v>
      </c>
      <c r="O346">
        <v>114</v>
      </c>
      <c r="P346">
        <v>386</v>
      </c>
      <c r="Q346">
        <v>588</v>
      </c>
      <c r="R346">
        <v>345</v>
      </c>
    </row>
    <row r="347" spans="1:18">
      <c r="A347" s="1" t="s">
        <v>265</v>
      </c>
      <c r="B347">
        <v>32</v>
      </c>
      <c r="C347">
        <v>15</v>
      </c>
      <c r="D347">
        <v>17</v>
      </c>
      <c r="E347">
        <v>-2.35</v>
      </c>
      <c r="F347">
        <v>2296</v>
      </c>
      <c r="G347">
        <v>771</v>
      </c>
      <c r="H347">
        <v>1725</v>
      </c>
      <c r="I347">
        <v>484</v>
      </c>
      <c r="J347">
        <v>645</v>
      </c>
      <c r="K347">
        <v>274</v>
      </c>
      <c r="L347">
        <v>1013</v>
      </c>
      <c r="M347">
        <v>470</v>
      </c>
      <c r="N347">
        <v>163</v>
      </c>
      <c r="O347">
        <v>56</v>
      </c>
      <c r="P347">
        <v>379</v>
      </c>
      <c r="Q347">
        <v>608</v>
      </c>
      <c r="R347">
        <v>346</v>
      </c>
    </row>
    <row r="348" spans="1:18">
      <c r="A348" s="1" t="s">
        <v>266</v>
      </c>
      <c r="B348">
        <v>35</v>
      </c>
      <c r="C348">
        <v>22</v>
      </c>
      <c r="D348">
        <v>13</v>
      </c>
      <c r="E348">
        <v>-1.76</v>
      </c>
      <c r="F348">
        <v>2399</v>
      </c>
      <c r="G348">
        <v>856</v>
      </c>
      <c r="H348">
        <v>1916</v>
      </c>
      <c r="I348">
        <v>431</v>
      </c>
      <c r="J348">
        <v>621</v>
      </c>
      <c r="K348">
        <v>232</v>
      </c>
      <c r="L348">
        <v>1094</v>
      </c>
      <c r="M348">
        <v>478</v>
      </c>
      <c r="N348">
        <v>193</v>
      </c>
      <c r="O348">
        <v>75</v>
      </c>
      <c r="P348">
        <v>397</v>
      </c>
      <c r="Q348">
        <v>770</v>
      </c>
      <c r="R348">
        <v>347</v>
      </c>
    </row>
    <row r="349" spans="1:18">
      <c r="A349" s="1" t="s">
        <v>267</v>
      </c>
      <c r="B349">
        <v>32</v>
      </c>
      <c r="C349">
        <v>14</v>
      </c>
      <c r="D349">
        <v>18</v>
      </c>
      <c r="E349">
        <v>2.19</v>
      </c>
      <c r="F349">
        <v>2193</v>
      </c>
      <c r="G349">
        <v>689</v>
      </c>
      <c r="H349">
        <v>1570</v>
      </c>
      <c r="I349">
        <v>508</v>
      </c>
      <c r="J349">
        <v>710</v>
      </c>
      <c r="K349">
        <v>175</v>
      </c>
      <c r="L349">
        <v>989</v>
      </c>
      <c r="M349">
        <v>372</v>
      </c>
      <c r="N349">
        <v>126</v>
      </c>
      <c r="O349">
        <v>82</v>
      </c>
      <c r="P349">
        <v>346</v>
      </c>
      <c r="Q349">
        <v>581</v>
      </c>
      <c r="R349">
        <v>348</v>
      </c>
    </row>
    <row r="350" spans="1:18">
      <c r="A350" s="1" t="s">
        <v>268</v>
      </c>
      <c r="B350">
        <v>34</v>
      </c>
      <c r="C350">
        <v>28</v>
      </c>
      <c r="D350">
        <v>6</v>
      </c>
      <c r="E350">
        <v>8.43</v>
      </c>
      <c r="F350">
        <v>2737</v>
      </c>
      <c r="G350">
        <v>928</v>
      </c>
      <c r="H350">
        <v>2054</v>
      </c>
      <c r="I350">
        <v>626</v>
      </c>
      <c r="J350">
        <v>857</v>
      </c>
      <c r="K350">
        <v>436</v>
      </c>
      <c r="L350">
        <v>1387</v>
      </c>
      <c r="M350">
        <v>548</v>
      </c>
      <c r="N350">
        <v>246</v>
      </c>
      <c r="O350">
        <v>101</v>
      </c>
      <c r="P350">
        <v>429</v>
      </c>
      <c r="Q350">
        <v>678</v>
      </c>
      <c r="R350">
        <v>349</v>
      </c>
    </row>
    <row r="351" spans="1:18">
      <c r="A351" s="1" t="s">
        <v>269</v>
      </c>
      <c r="B351">
        <v>30</v>
      </c>
      <c r="C351">
        <v>23</v>
      </c>
      <c r="D351">
        <v>7</v>
      </c>
      <c r="E351">
        <v>-1.03</v>
      </c>
      <c r="F351">
        <v>2248</v>
      </c>
      <c r="G351">
        <v>795</v>
      </c>
      <c r="H351">
        <v>1693</v>
      </c>
      <c r="I351">
        <v>468</v>
      </c>
      <c r="J351">
        <v>699</v>
      </c>
      <c r="K351">
        <v>407</v>
      </c>
      <c r="L351">
        <v>1208</v>
      </c>
      <c r="M351">
        <v>452</v>
      </c>
      <c r="N351">
        <v>170</v>
      </c>
      <c r="O351">
        <v>137</v>
      </c>
      <c r="P351">
        <v>398</v>
      </c>
      <c r="Q351">
        <v>530</v>
      </c>
      <c r="R351">
        <v>350</v>
      </c>
    </row>
    <row r="352" spans="1:18">
      <c r="A352" s="1" t="s">
        <v>270</v>
      </c>
      <c r="B352">
        <v>32</v>
      </c>
      <c r="C352">
        <v>11</v>
      </c>
      <c r="D352">
        <v>21</v>
      </c>
      <c r="E352">
        <v>-0.86</v>
      </c>
      <c r="F352">
        <v>2437</v>
      </c>
      <c r="G352">
        <v>870</v>
      </c>
      <c r="H352">
        <v>2021</v>
      </c>
      <c r="I352">
        <v>440</v>
      </c>
      <c r="J352">
        <v>619</v>
      </c>
      <c r="K352">
        <v>283</v>
      </c>
      <c r="L352">
        <v>1081</v>
      </c>
      <c r="M352">
        <v>467</v>
      </c>
      <c r="N352">
        <v>219</v>
      </c>
      <c r="O352">
        <v>80</v>
      </c>
      <c r="P352">
        <v>387</v>
      </c>
      <c r="Q352">
        <v>571</v>
      </c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5991-F72D-4C73-9536-B756A5C0AD8A}">
  <sheetPr codeName="Sheet18"/>
  <dimension ref="A1:R357"/>
  <sheetViews>
    <sheetView workbookViewId="0">
      <selection activeCell="T220" sqref="T220"/>
    </sheetView>
  </sheetViews>
  <sheetFormatPr defaultColWidth="8.85546875" defaultRowHeight="15"/>
  <cols>
    <col min="1" max="1" width="31.28515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363</v>
      </c>
      <c r="B2">
        <v>29</v>
      </c>
      <c r="C2">
        <v>13</v>
      </c>
      <c r="D2">
        <v>16</v>
      </c>
      <c r="E2">
        <v>-7.1</v>
      </c>
      <c r="F2">
        <v>2009</v>
      </c>
      <c r="G2">
        <v>721</v>
      </c>
      <c r="H2">
        <v>1555</v>
      </c>
      <c r="I2">
        <v>360</v>
      </c>
      <c r="J2">
        <v>543</v>
      </c>
      <c r="K2">
        <v>222</v>
      </c>
      <c r="L2">
        <v>904</v>
      </c>
      <c r="M2">
        <v>408</v>
      </c>
      <c r="N2">
        <v>210</v>
      </c>
      <c r="O2">
        <v>83</v>
      </c>
      <c r="P2">
        <v>412</v>
      </c>
      <c r="Q2">
        <v>631</v>
      </c>
      <c r="R2">
        <v>1</v>
      </c>
    </row>
    <row r="3" spans="1:18">
      <c r="A3" s="1" t="s">
        <v>17</v>
      </c>
      <c r="B3">
        <v>33</v>
      </c>
      <c r="C3">
        <v>12</v>
      </c>
      <c r="D3">
        <v>21</v>
      </c>
      <c r="E3">
        <v>1</v>
      </c>
      <c r="F3">
        <v>2411</v>
      </c>
      <c r="G3">
        <v>817</v>
      </c>
      <c r="H3">
        <v>1876</v>
      </c>
      <c r="I3">
        <v>513</v>
      </c>
      <c r="J3">
        <v>715</v>
      </c>
      <c r="K3">
        <v>310</v>
      </c>
      <c r="L3">
        <v>1149</v>
      </c>
      <c r="M3">
        <v>494</v>
      </c>
      <c r="N3">
        <v>197</v>
      </c>
      <c r="O3">
        <v>57</v>
      </c>
      <c r="P3">
        <v>390</v>
      </c>
      <c r="Q3">
        <v>594</v>
      </c>
      <c r="R3">
        <v>2</v>
      </c>
    </row>
    <row r="4" spans="1:18">
      <c r="A4" s="1" t="s">
        <v>18</v>
      </c>
      <c r="B4">
        <v>36</v>
      </c>
      <c r="C4">
        <v>27</v>
      </c>
      <c r="D4">
        <v>9</v>
      </c>
      <c r="E4">
        <v>-1.21</v>
      </c>
      <c r="F4">
        <v>2772</v>
      </c>
      <c r="G4">
        <v>949</v>
      </c>
      <c r="H4">
        <v>2035</v>
      </c>
      <c r="I4">
        <v>508</v>
      </c>
      <c r="J4">
        <v>744</v>
      </c>
      <c r="K4">
        <v>357</v>
      </c>
      <c r="L4">
        <v>1246</v>
      </c>
      <c r="M4">
        <v>517</v>
      </c>
      <c r="N4">
        <v>198</v>
      </c>
      <c r="O4">
        <v>118</v>
      </c>
      <c r="P4">
        <v>422</v>
      </c>
      <c r="Q4">
        <v>653</v>
      </c>
      <c r="R4">
        <v>3</v>
      </c>
    </row>
    <row r="5" spans="1:18">
      <c r="A5" s="1" t="s">
        <v>19</v>
      </c>
      <c r="B5">
        <v>29</v>
      </c>
      <c r="C5">
        <v>2</v>
      </c>
      <c r="D5">
        <v>27</v>
      </c>
      <c r="E5">
        <v>-11.09</v>
      </c>
      <c r="F5">
        <v>1794</v>
      </c>
      <c r="G5">
        <v>628</v>
      </c>
      <c r="H5">
        <v>1549</v>
      </c>
      <c r="I5">
        <v>411</v>
      </c>
      <c r="J5">
        <v>614</v>
      </c>
      <c r="K5">
        <v>299</v>
      </c>
      <c r="L5">
        <v>914</v>
      </c>
      <c r="M5">
        <v>326</v>
      </c>
      <c r="N5">
        <v>100</v>
      </c>
      <c r="O5">
        <v>50</v>
      </c>
      <c r="P5">
        <v>384</v>
      </c>
      <c r="Q5">
        <v>526</v>
      </c>
      <c r="R5">
        <v>4</v>
      </c>
    </row>
    <row r="6" spans="1:18">
      <c r="A6" s="1" t="s">
        <v>20</v>
      </c>
      <c r="B6">
        <v>33</v>
      </c>
      <c r="C6">
        <v>17</v>
      </c>
      <c r="D6">
        <v>16</v>
      </c>
      <c r="E6">
        <v>-1.83</v>
      </c>
      <c r="F6">
        <v>2369</v>
      </c>
      <c r="G6">
        <v>835</v>
      </c>
      <c r="H6">
        <v>1809</v>
      </c>
      <c r="I6">
        <v>496</v>
      </c>
      <c r="J6">
        <v>674</v>
      </c>
      <c r="K6">
        <v>321</v>
      </c>
      <c r="L6">
        <v>1188</v>
      </c>
      <c r="M6">
        <v>503</v>
      </c>
      <c r="N6">
        <v>157</v>
      </c>
      <c r="O6">
        <v>160</v>
      </c>
      <c r="P6">
        <v>444</v>
      </c>
      <c r="Q6">
        <v>527</v>
      </c>
      <c r="R6">
        <v>5</v>
      </c>
    </row>
    <row r="7" spans="1:18">
      <c r="A7" s="1" t="s">
        <v>21</v>
      </c>
      <c r="B7">
        <v>31</v>
      </c>
      <c r="C7">
        <v>8</v>
      </c>
      <c r="D7">
        <v>23</v>
      </c>
      <c r="E7">
        <v>-10.75</v>
      </c>
      <c r="F7">
        <v>2042</v>
      </c>
      <c r="G7">
        <v>719</v>
      </c>
      <c r="H7">
        <v>1834</v>
      </c>
      <c r="I7">
        <v>404</v>
      </c>
      <c r="J7">
        <v>634</v>
      </c>
      <c r="K7">
        <v>427</v>
      </c>
      <c r="L7">
        <v>1188</v>
      </c>
      <c r="M7">
        <v>300</v>
      </c>
      <c r="N7">
        <v>150</v>
      </c>
      <c r="O7">
        <v>98</v>
      </c>
      <c r="P7">
        <v>488</v>
      </c>
      <c r="Q7">
        <v>629</v>
      </c>
      <c r="R7">
        <v>6</v>
      </c>
    </row>
    <row r="8" spans="1:18">
      <c r="A8" s="1" t="s">
        <v>22</v>
      </c>
      <c r="B8">
        <v>34</v>
      </c>
      <c r="C8">
        <v>19</v>
      </c>
      <c r="D8">
        <v>15</v>
      </c>
      <c r="E8">
        <v>7.47</v>
      </c>
      <c r="F8">
        <v>2330</v>
      </c>
      <c r="G8">
        <v>809</v>
      </c>
      <c r="H8">
        <v>1909</v>
      </c>
      <c r="I8">
        <v>487</v>
      </c>
      <c r="J8">
        <v>746</v>
      </c>
      <c r="K8">
        <v>418</v>
      </c>
      <c r="L8">
        <v>1327</v>
      </c>
      <c r="M8">
        <v>390</v>
      </c>
      <c r="N8">
        <v>200</v>
      </c>
      <c r="O8">
        <v>141</v>
      </c>
      <c r="P8">
        <v>474</v>
      </c>
      <c r="Q8">
        <v>664</v>
      </c>
      <c r="R8">
        <v>7</v>
      </c>
    </row>
    <row r="9" spans="1:18">
      <c r="A9" s="1" t="s">
        <v>23</v>
      </c>
      <c r="B9">
        <v>35</v>
      </c>
      <c r="C9">
        <v>21</v>
      </c>
      <c r="D9">
        <v>14</v>
      </c>
      <c r="E9">
        <v>-4.6900000000000004</v>
      </c>
      <c r="F9">
        <v>2496</v>
      </c>
      <c r="G9">
        <v>907</v>
      </c>
      <c r="H9">
        <v>1941</v>
      </c>
      <c r="I9">
        <v>490</v>
      </c>
      <c r="J9">
        <v>647</v>
      </c>
      <c r="K9">
        <v>379</v>
      </c>
      <c r="L9">
        <v>1257</v>
      </c>
      <c r="M9">
        <v>444</v>
      </c>
      <c r="N9">
        <v>178</v>
      </c>
      <c r="O9">
        <v>60</v>
      </c>
      <c r="P9">
        <v>416</v>
      </c>
      <c r="Q9">
        <v>617</v>
      </c>
      <c r="R9">
        <v>8</v>
      </c>
    </row>
    <row r="10" spans="1:18">
      <c r="A10" s="1" t="s">
        <v>24</v>
      </c>
      <c r="B10">
        <v>32</v>
      </c>
      <c r="C10">
        <v>18</v>
      </c>
      <c r="D10">
        <v>14</v>
      </c>
      <c r="E10">
        <v>-10.95</v>
      </c>
      <c r="F10">
        <v>2221</v>
      </c>
      <c r="G10">
        <v>800</v>
      </c>
      <c r="H10">
        <v>1866</v>
      </c>
      <c r="I10">
        <v>399</v>
      </c>
      <c r="J10">
        <v>612</v>
      </c>
      <c r="K10">
        <v>387</v>
      </c>
      <c r="L10">
        <v>1243</v>
      </c>
      <c r="M10">
        <v>425</v>
      </c>
      <c r="N10">
        <v>209</v>
      </c>
      <c r="O10">
        <v>115</v>
      </c>
      <c r="P10">
        <v>452</v>
      </c>
      <c r="Q10">
        <v>610</v>
      </c>
      <c r="R10">
        <v>9</v>
      </c>
    </row>
    <row r="11" spans="1:18">
      <c r="A11" s="1" t="s">
        <v>25</v>
      </c>
      <c r="B11">
        <v>30</v>
      </c>
      <c r="C11">
        <v>8</v>
      </c>
      <c r="D11">
        <v>22</v>
      </c>
      <c r="E11">
        <v>-3.5</v>
      </c>
      <c r="F11">
        <v>1845</v>
      </c>
      <c r="G11">
        <v>692</v>
      </c>
      <c r="H11">
        <v>1542</v>
      </c>
      <c r="I11">
        <v>293</v>
      </c>
      <c r="J11">
        <v>474</v>
      </c>
      <c r="K11">
        <v>204</v>
      </c>
      <c r="L11">
        <v>868</v>
      </c>
      <c r="M11">
        <v>339</v>
      </c>
      <c r="N11">
        <v>209</v>
      </c>
      <c r="O11">
        <v>73</v>
      </c>
      <c r="P11">
        <v>396</v>
      </c>
      <c r="Q11">
        <v>548</v>
      </c>
      <c r="R11">
        <v>10</v>
      </c>
    </row>
    <row r="12" spans="1:18">
      <c r="A12" s="1" t="s">
        <v>271</v>
      </c>
      <c r="B12">
        <v>30</v>
      </c>
      <c r="C12">
        <v>9</v>
      </c>
      <c r="D12">
        <v>21</v>
      </c>
      <c r="E12">
        <v>-1.6</v>
      </c>
      <c r="F12">
        <v>2208</v>
      </c>
      <c r="G12">
        <v>749</v>
      </c>
      <c r="H12">
        <v>1781</v>
      </c>
      <c r="I12">
        <v>459</v>
      </c>
      <c r="J12">
        <v>674</v>
      </c>
      <c r="K12">
        <v>339</v>
      </c>
      <c r="L12">
        <v>1126</v>
      </c>
      <c r="M12">
        <v>414</v>
      </c>
      <c r="N12">
        <v>167</v>
      </c>
      <c r="O12">
        <v>91</v>
      </c>
      <c r="P12">
        <v>414</v>
      </c>
      <c r="Q12">
        <v>641</v>
      </c>
      <c r="R12">
        <v>11</v>
      </c>
    </row>
    <row r="13" spans="1:18">
      <c r="A13" s="1" t="s">
        <v>26</v>
      </c>
      <c r="B13">
        <v>33</v>
      </c>
      <c r="C13">
        <v>15</v>
      </c>
      <c r="D13">
        <v>18</v>
      </c>
      <c r="E13">
        <v>7.11</v>
      </c>
      <c r="F13">
        <v>2593</v>
      </c>
      <c r="G13">
        <v>888</v>
      </c>
      <c r="H13">
        <v>2047</v>
      </c>
      <c r="I13">
        <v>489</v>
      </c>
      <c r="J13">
        <v>653</v>
      </c>
      <c r="K13">
        <v>304</v>
      </c>
      <c r="L13">
        <v>1075</v>
      </c>
      <c r="M13">
        <v>430</v>
      </c>
      <c r="N13">
        <v>194</v>
      </c>
      <c r="O13">
        <v>106</v>
      </c>
      <c r="P13">
        <v>344</v>
      </c>
      <c r="Q13">
        <v>556</v>
      </c>
      <c r="R13">
        <v>12</v>
      </c>
    </row>
    <row r="14" spans="1:18">
      <c r="A14" s="1" t="s">
        <v>356</v>
      </c>
      <c r="B14">
        <v>37</v>
      </c>
      <c r="C14">
        <v>32</v>
      </c>
      <c r="D14">
        <v>5</v>
      </c>
      <c r="E14">
        <v>7.63</v>
      </c>
      <c r="F14">
        <v>2833</v>
      </c>
      <c r="G14">
        <v>977</v>
      </c>
      <c r="H14">
        <v>2048</v>
      </c>
      <c r="I14">
        <v>635</v>
      </c>
      <c r="J14">
        <v>830</v>
      </c>
      <c r="K14">
        <v>380</v>
      </c>
      <c r="L14">
        <v>1358</v>
      </c>
      <c r="M14">
        <v>501</v>
      </c>
      <c r="N14">
        <v>201</v>
      </c>
      <c r="O14">
        <v>119</v>
      </c>
      <c r="P14">
        <v>413</v>
      </c>
      <c r="Q14">
        <v>625</v>
      </c>
      <c r="R14">
        <v>13</v>
      </c>
    </row>
    <row r="15" spans="1:18">
      <c r="A15" s="1" t="s">
        <v>27</v>
      </c>
      <c r="B15">
        <v>32</v>
      </c>
      <c r="C15">
        <v>15</v>
      </c>
      <c r="D15">
        <v>17</v>
      </c>
      <c r="E15">
        <v>-3.8</v>
      </c>
      <c r="F15">
        <v>2188</v>
      </c>
      <c r="G15">
        <v>775</v>
      </c>
      <c r="H15">
        <v>1749</v>
      </c>
      <c r="I15">
        <v>431</v>
      </c>
      <c r="J15">
        <v>582</v>
      </c>
      <c r="K15">
        <v>305</v>
      </c>
      <c r="L15">
        <v>1058</v>
      </c>
      <c r="M15">
        <v>379</v>
      </c>
      <c r="N15">
        <v>183</v>
      </c>
      <c r="O15">
        <v>120</v>
      </c>
      <c r="P15">
        <v>412</v>
      </c>
      <c r="Q15">
        <v>591</v>
      </c>
      <c r="R15">
        <v>14</v>
      </c>
    </row>
    <row r="16" spans="1:18">
      <c r="A16" s="1" t="s">
        <v>28</v>
      </c>
      <c r="B16">
        <v>32</v>
      </c>
      <c r="C16">
        <v>7</v>
      </c>
      <c r="D16">
        <v>25</v>
      </c>
      <c r="E16">
        <v>-10.28</v>
      </c>
      <c r="F16">
        <v>1977</v>
      </c>
      <c r="G16">
        <v>695</v>
      </c>
      <c r="H16">
        <v>1725</v>
      </c>
      <c r="I16">
        <v>379</v>
      </c>
      <c r="J16">
        <v>581</v>
      </c>
      <c r="K16">
        <v>335</v>
      </c>
      <c r="L16">
        <v>1013</v>
      </c>
      <c r="M16">
        <v>334</v>
      </c>
      <c r="N16">
        <v>279</v>
      </c>
      <c r="O16">
        <v>93</v>
      </c>
      <c r="P16">
        <v>578</v>
      </c>
      <c r="Q16">
        <v>718</v>
      </c>
      <c r="R16">
        <v>15</v>
      </c>
    </row>
    <row r="17" spans="1:18">
      <c r="A17" s="1" t="s">
        <v>29</v>
      </c>
      <c r="B17">
        <v>32</v>
      </c>
      <c r="C17">
        <v>20</v>
      </c>
      <c r="D17">
        <v>12</v>
      </c>
      <c r="E17">
        <v>-2.1</v>
      </c>
      <c r="F17">
        <v>2346</v>
      </c>
      <c r="G17">
        <v>826</v>
      </c>
      <c r="H17">
        <v>1792</v>
      </c>
      <c r="I17">
        <v>474</v>
      </c>
      <c r="J17">
        <v>743</v>
      </c>
      <c r="K17">
        <v>352</v>
      </c>
      <c r="L17">
        <v>1169</v>
      </c>
      <c r="M17">
        <v>397</v>
      </c>
      <c r="N17">
        <v>172</v>
      </c>
      <c r="O17">
        <v>83</v>
      </c>
      <c r="P17">
        <v>414</v>
      </c>
      <c r="Q17">
        <v>652</v>
      </c>
      <c r="R17">
        <v>16</v>
      </c>
    </row>
    <row r="18" spans="1:18">
      <c r="A18" s="1" t="s">
        <v>302</v>
      </c>
      <c r="B18">
        <v>36</v>
      </c>
      <c r="C18">
        <v>26</v>
      </c>
      <c r="D18">
        <v>10</v>
      </c>
      <c r="E18">
        <v>8.6</v>
      </c>
      <c r="F18">
        <v>2855</v>
      </c>
      <c r="G18">
        <v>997</v>
      </c>
      <c r="H18">
        <v>2165</v>
      </c>
      <c r="I18">
        <v>628</v>
      </c>
      <c r="J18">
        <v>825</v>
      </c>
      <c r="K18">
        <v>401</v>
      </c>
      <c r="L18">
        <v>1298</v>
      </c>
      <c r="M18">
        <v>497</v>
      </c>
      <c r="N18">
        <v>278</v>
      </c>
      <c r="O18">
        <v>170</v>
      </c>
      <c r="P18">
        <v>428</v>
      </c>
      <c r="Q18">
        <v>739</v>
      </c>
      <c r="R18">
        <v>17</v>
      </c>
    </row>
    <row r="19" spans="1:18">
      <c r="A19" s="1" t="s">
        <v>30</v>
      </c>
      <c r="B19">
        <v>32</v>
      </c>
      <c r="C19">
        <v>13</v>
      </c>
      <c r="D19">
        <v>19</v>
      </c>
      <c r="E19">
        <v>-4.0999999999999996</v>
      </c>
      <c r="F19">
        <v>2324</v>
      </c>
      <c r="G19">
        <v>842</v>
      </c>
      <c r="H19">
        <v>1906</v>
      </c>
      <c r="I19">
        <v>349</v>
      </c>
      <c r="J19">
        <v>533</v>
      </c>
      <c r="K19">
        <v>317</v>
      </c>
      <c r="L19">
        <v>1213</v>
      </c>
      <c r="M19">
        <v>520</v>
      </c>
      <c r="N19">
        <v>178</v>
      </c>
      <c r="O19">
        <v>61</v>
      </c>
      <c r="P19">
        <v>483</v>
      </c>
      <c r="Q19">
        <v>620</v>
      </c>
      <c r="R19">
        <v>18</v>
      </c>
    </row>
    <row r="20" spans="1:18">
      <c r="A20" s="1" t="s">
        <v>272</v>
      </c>
      <c r="B20">
        <v>32</v>
      </c>
      <c r="C20">
        <v>18</v>
      </c>
      <c r="D20">
        <v>14</v>
      </c>
      <c r="E20">
        <v>7.33</v>
      </c>
      <c r="F20">
        <v>2573</v>
      </c>
      <c r="G20">
        <v>861</v>
      </c>
      <c r="H20">
        <v>1969</v>
      </c>
      <c r="I20">
        <v>562</v>
      </c>
      <c r="J20">
        <v>836</v>
      </c>
      <c r="K20">
        <v>369</v>
      </c>
      <c r="L20">
        <v>1171</v>
      </c>
      <c r="M20">
        <v>416</v>
      </c>
      <c r="N20">
        <v>234</v>
      </c>
      <c r="O20">
        <v>162</v>
      </c>
      <c r="P20">
        <v>434</v>
      </c>
      <c r="Q20">
        <v>668</v>
      </c>
      <c r="R20">
        <v>19</v>
      </c>
    </row>
    <row r="21" spans="1:18">
      <c r="A21" s="1" t="s">
        <v>31</v>
      </c>
      <c r="B21">
        <v>30</v>
      </c>
      <c r="C21">
        <v>11</v>
      </c>
      <c r="D21">
        <v>19</v>
      </c>
      <c r="E21">
        <v>-2.3199999999999998</v>
      </c>
      <c r="F21">
        <v>2331</v>
      </c>
      <c r="G21">
        <v>806</v>
      </c>
      <c r="H21">
        <v>1718</v>
      </c>
      <c r="I21">
        <v>492</v>
      </c>
      <c r="J21">
        <v>695</v>
      </c>
      <c r="K21">
        <v>245</v>
      </c>
      <c r="L21">
        <v>913</v>
      </c>
      <c r="M21">
        <v>324</v>
      </c>
      <c r="N21">
        <v>171</v>
      </c>
      <c r="O21">
        <v>73</v>
      </c>
      <c r="P21">
        <v>373</v>
      </c>
      <c r="Q21">
        <v>547</v>
      </c>
      <c r="R21">
        <v>20</v>
      </c>
    </row>
    <row r="22" spans="1:18">
      <c r="A22" s="1" t="s">
        <v>273</v>
      </c>
      <c r="B22">
        <v>34</v>
      </c>
      <c r="C22">
        <v>21</v>
      </c>
      <c r="D22">
        <v>13</v>
      </c>
      <c r="E22">
        <v>-3.57</v>
      </c>
      <c r="F22">
        <v>2677</v>
      </c>
      <c r="G22">
        <v>929</v>
      </c>
      <c r="H22">
        <v>2014</v>
      </c>
      <c r="I22">
        <v>500</v>
      </c>
      <c r="J22">
        <v>696</v>
      </c>
      <c r="K22">
        <v>335</v>
      </c>
      <c r="L22">
        <v>1281</v>
      </c>
      <c r="M22">
        <v>529</v>
      </c>
      <c r="N22">
        <v>203</v>
      </c>
      <c r="O22">
        <v>118</v>
      </c>
      <c r="P22">
        <v>496</v>
      </c>
      <c r="Q22">
        <v>658</v>
      </c>
      <c r="R22">
        <v>21</v>
      </c>
    </row>
    <row r="23" spans="1:18">
      <c r="A23" s="1" t="s">
        <v>32</v>
      </c>
      <c r="B23">
        <v>35</v>
      </c>
      <c r="C23">
        <v>27</v>
      </c>
      <c r="D23">
        <v>8</v>
      </c>
      <c r="E23">
        <v>11.87</v>
      </c>
      <c r="F23">
        <v>2550</v>
      </c>
      <c r="G23">
        <v>921</v>
      </c>
      <c r="H23">
        <v>1956</v>
      </c>
      <c r="I23">
        <v>478</v>
      </c>
      <c r="J23">
        <v>661</v>
      </c>
      <c r="K23">
        <v>451</v>
      </c>
      <c r="L23">
        <v>1329</v>
      </c>
      <c r="M23">
        <v>544</v>
      </c>
      <c r="N23">
        <v>180</v>
      </c>
      <c r="O23">
        <v>166</v>
      </c>
      <c r="P23">
        <v>469</v>
      </c>
      <c r="Q23">
        <v>617</v>
      </c>
      <c r="R23">
        <v>22</v>
      </c>
    </row>
    <row r="24" spans="1:18">
      <c r="A24" s="1" t="s">
        <v>33</v>
      </c>
      <c r="B24">
        <v>30</v>
      </c>
      <c r="C24">
        <v>23</v>
      </c>
      <c r="D24">
        <v>7</v>
      </c>
      <c r="E24">
        <v>-1.69</v>
      </c>
      <c r="F24">
        <v>2302</v>
      </c>
      <c r="G24">
        <v>798</v>
      </c>
      <c r="H24">
        <v>1703</v>
      </c>
      <c r="I24">
        <v>400</v>
      </c>
      <c r="J24">
        <v>521</v>
      </c>
      <c r="K24">
        <v>254</v>
      </c>
      <c r="L24">
        <v>1057</v>
      </c>
      <c r="M24">
        <v>481</v>
      </c>
      <c r="N24">
        <v>131</v>
      </c>
      <c r="O24">
        <v>80</v>
      </c>
      <c r="P24">
        <v>380</v>
      </c>
      <c r="Q24">
        <v>531</v>
      </c>
      <c r="R24">
        <v>23</v>
      </c>
    </row>
    <row r="25" spans="1:18">
      <c r="A25" s="1" t="s">
        <v>34</v>
      </c>
      <c r="B25">
        <v>32</v>
      </c>
      <c r="C25">
        <v>10</v>
      </c>
      <c r="D25">
        <v>22</v>
      </c>
      <c r="E25">
        <v>-11.21</v>
      </c>
      <c r="F25">
        <v>2275</v>
      </c>
      <c r="G25">
        <v>840</v>
      </c>
      <c r="H25">
        <v>2022</v>
      </c>
      <c r="I25">
        <v>367</v>
      </c>
      <c r="J25">
        <v>554</v>
      </c>
      <c r="K25">
        <v>397</v>
      </c>
      <c r="L25">
        <v>1135</v>
      </c>
      <c r="M25">
        <v>448</v>
      </c>
      <c r="N25">
        <v>245</v>
      </c>
      <c r="O25">
        <v>96</v>
      </c>
      <c r="P25">
        <v>413</v>
      </c>
      <c r="Q25">
        <v>644</v>
      </c>
      <c r="R25">
        <v>24</v>
      </c>
    </row>
    <row r="26" spans="1:18">
      <c r="A26" s="1" t="s">
        <v>303</v>
      </c>
      <c r="B26">
        <v>32</v>
      </c>
      <c r="C26">
        <v>12</v>
      </c>
      <c r="D26">
        <v>20</v>
      </c>
      <c r="E26">
        <v>-5.79</v>
      </c>
      <c r="F26">
        <v>2175</v>
      </c>
      <c r="G26">
        <v>768</v>
      </c>
      <c r="H26">
        <v>1757</v>
      </c>
      <c r="I26">
        <v>391</v>
      </c>
      <c r="J26">
        <v>555</v>
      </c>
      <c r="K26">
        <v>251</v>
      </c>
      <c r="L26">
        <v>1055</v>
      </c>
      <c r="M26">
        <v>410</v>
      </c>
      <c r="N26">
        <v>167</v>
      </c>
      <c r="O26">
        <v>78</v>
      </c>
      <c r="P26">
        <v>397</v>
      </c>
      <c r="Q26">
        <v>545</v>
      </c>
      <c r="R26">
        <v>25</v>
      </c>
    </row>
    <row r="27" spans="1:18">
      <c r="A27" s="1" t="s">
        <v>35</v>
      </c>
      <c r="B27">
        <v>32</v>
      </c>
      <c r="C27">
        <v>20</v>
      </c>
      <c r="D27">
        <v>12</v>
      </c>
      <c r="E27">
        <v>2.72</v>
      </c>
      <c r="F27">
        <v>2404</v>
      </c>
      <c r="G27">
        <v>811</v>
      </c>
      <c r="H27">
        <v>1802</v>
      </c>
      <c r="I27">
        <v>529</v>
      </c>
      <c r="J27">
        <v>743</v>
      </c>
      <c r="K27">
        <v>309</v>
      </c>
      <c r="L27">
        <v>1139</v>
      </c>
      <c r="M27">
        <v>387</v>
      </c>
      <c r="N27">
        <v>158</v>
      </c>
      <c r="O27">
        <v>77</v>
      </c>
      <c r="P27">
        <v>409</v>
      </c>
      <c r="Q27">
        <v>662</v>
      </c>
      <c r="R27">
        <v>26</v>
      </c>
    </row>
    <row r="28" spans="1:18">
      <c r="A28" s="1" t="s">
        <v>36</v>
      </c>
      <c r="B28">
        <v>32</v>
      </c>
      <c r="C28">
        <v>9</v>
      </c>
      <c r="D28">
        <v>23</v>
      </c>
      <c r="E28">
        <v>8.08</v>
      </c>
      <c r="F28">
        <v>2320</v>
      </c>
      <c r="G28">
        <v>843</v>
      </c>
      <c r="H28">
        <v>1880</v>
      </c>
      <c r="I28">
        <v>378</v>
      </c>
      <c r="J28">
        <v>556</v>
      </c>
      <c r="K28">
        <v>292</v>
      </c>
      <c r="L28">
        <v>1119</v>
      </c>
      <c r="M28">
        <v>473</v>
      </c>
      <c r="N28">
        <v>179</v>
      </c>
      <c r="O28">
        <v>87</v>
      </c>
      <c r="P28">
        <v>467</v>
      </c>
      <c r="Q28">
        <v>597</v>
      </c>
      <c r="R28">
        <v>27</v>
      </c>
    </row>
    <row r="29" spans="1:18">
      <c r="A29" s="1" t="s">
        <v>37</v>
      </c>
      <c r="B29">
        <v>32</v>
      </c>
      <c r="C29">
        <v>18</v>
      </c>
      <c r="D29">
        <v>14</v>
      </c>
      <c r="E29">
        <v>-3.66</v>
      </c>
      <c r="F29">
        <v>2339</v>
      </c>
      <c r="G29">
        <v>817</v>
      </c>
      <c r="H29">
        <v>1844</v>
      </c>
      <c r="I29">
        <v>431</v>
      </c>
      <c r="J29">
        <v>619</v>
      </c>
      <c r="K29">
        <v>321</v>
      </c>
      <c r="L29">
        <v>1141</v>
      </c>
      <c r="M29">
        <v>449</v>
      </c>
      <c r="N29">
        <v>265</v>
      </c>
      <c r="O29">
        <v>81</v>
      </c>
      <c r="P29">
        <v>444</v>
      </c>
      <c r="Q29">
        <v>610</v>
      </c>
      <c r="R29">
        <v>28</v>
      </c>
    </row>
    <row r="30" spans="1:18">
      <c r="A30" s="1" t="s">
        <v>38</v>
      </c>
      <c r="B30">
        <v>32</v>
      </c>
      <c r="C30">
        <v>13</v>
      </c>
      <c r="D30">
        <v>19</v>
      </c>
      <c r="E30">
        <v>-2</v>
      </c>
      <c r="F30">
        <v>2355</v>
      </c>
      <c r="G30">
        <v>832</v>
      </c>
      <c r="H30">
        <v>1957</v>
      </c>
      <c r="I30">
        <v>471</v>
      </c>
      <c r="J30">
        <v>706</v>
      </c>
      <c r="K30">
        <v>353</v>
      </c>
      <c r="L30">
        <v>1153</v>
      </c>
      <c r="M30">
        <v>390</v>
      </c>
      <c r="N30">
        <v>221</v>
      </c>
      <c r="O30">
        <v>87</v>
      </c>
      <c r="P30">
        <v>408</v>
      </c>
      <c r="Q30">
        <v>623</v>
      </c>
      <c r="R30">
        <v>29</v>
      </c>
    </row>
    <row r="31" spans="1:18">
      <c r="A31" s="1" t="s">
        <v>39</v>
      </c>
      <c r="B31">
        <v>33</v>
      </c>
      <c r="C31">
        <v>13</v>
      </c>
      <c r="D31">
        <v>20</v>
      </c>
      <c r="E31">
        <v>2.94</v>
      </c>
      <c r="F31">
        <v>2163</v>
      </c>
      <c r="G31">
        <v>731</v>
      </c>
      <c r="H31">
        <v>1722</v>
      </c>
      <c r="I31">
        <v>484</v>
      </c>
      <c r="J31">
        <v>719</v>
      </c>
      <c r="K31">
        <v>297</v>
      </c>
      <c r="L31">
        <v>1156</v>
      </c>
      <c r="M31">
        <v>372</v>
      </c>
      <c r="N31">
        <v>203</v>
      </c>
      <c r="O31">
        <v>118</v>
      </c>
      <c r="P31">
        <v>499</v>
      </c>
      <c r="Q31">
        <v>672</v>
      </c>
      <c r="R31">
        <v>30</v>
      </c>
    </row>
    <row r="32" spans="1:18">
      <c r="A32" s="1" t="s">
        <v>40</v>
      </c>
      <c r="B32">
        <v>34</v>
      </c>
      <c r="C32">
        <v>22</v>
      </c>
      <c r="D32">
        <v>12</v>
      </c>
      <c r="E32">
        <v>1.87</v>
      </c>
      <c r="F32">
        <v>2741</v>
      </c>
      <c r="G32">
        <v>937</v>
      </c>
      <c r="H32">
        <v>2057</v>
      </c>
      <c r="I32">
        <v>637</v>
      </c>
      <c r="J32">
        <v>869</v>
      </c>
      <c r="K32">
        <v>363</v>
      </c>
      <c r="L32">
        <v>1418</v>
      </c>
      <c r="M32">
        <v>534</v>
      </c>
      <c r="N32">
        <v>224</v>
      </c>
      <c r="O32">
        <v>156</v>
      </c>
      <c r="P32">
        <v>469</v>
      </c>
      <c r="Q32">
        <v>657</v>
      </c>
      <c r="R32">
        <v>31</v>
      </c>
    </row>
    <row r="33" spans="1:18">
      <c r="A33" s="1" t="s">
        <v>41</v>
      </c>
      <c r="B33">
        <v>30</v>
      </c>
      <c r="C33">
        <v>13</v>
      </c>
      <c r="D33">
        <v>17</v>
      </c>
      <c r="E33">
        <v>-4.08</v>
      </c>
      <c r="F33">
        <v>2275</v>
      </c>
      <c r="G33">
        <v>735</v>
      </c>
      <c r="H33">
        <v>1660</v>
      </c>
      <c r="I33">
        <v>561</v>
      </c>
      <c r="J33">
        <v>739</v>
      </c>
      <c r="K33">
        <v>275</v>
      </c>
      <c r="L33">
        <v>933</v>
      </c>
      <c r="M33">
        <v>399</v>
      </c>
      <c r="N33">
        <v>228</v>
      </c>
      <c r="O33">
        <v>56</v>
      </c>
      <c r="P33">
        <v>430</v>
      </c>
      <c r="Q33">
        <v>597</v>
      </c>
      <c r="R33">
        <v>32</v>
      </c>
    </row>
    <row r="34" spans="1:18">
      <c r="A34" s="1" t="s">
        <v>352</v>
      </c>
      <c r="B34">
        <v>32</v>
      </c>
      <c r="C34">
        <v>12</v>
      </c>
      <c r="D34">
        <v>20</v>
      </c>
      <c r="E34">
        <v>-5.43</v>
      </c>
      <c r="F34">
        <v>2373</v>
      </c>
      <c r="G34">
        <v>839</v>
      </c>
      <c r="H34">
        <v>1917</v>
      </c>
      <c r="I34">
        <v>458</v>
      </c>
      <c r="J34">
        <v>636</v>
      </c>
      <c r="K34">
        <v>345</v>
      </c>
      <c r="L34">
        <v>1148</v>
      </c>
      <c r="M34">
        <v>460</v>
      </c>
      <c r="N34">
        <v>218</v>
      </c>
      <c r="O34">
        <v>69</v>
      </c>
      <c r="P34">
        <v>428</v>
      </c>
      <c r="Q34">
        <v>680</v>
      </c>
      <c r="R34">
        <v>33</v>
      </c>
    </row>
    <row r="35" spans="1:18">
      <c r="A35" s="1" t="s">
        <v>42</v>
      </c>
      <c r="B35">
        <v>35</v>
      </c>
      <c r="C35">
        <v>26</v>
      </c>
      <c r="D35">
        <v>9</v>
      </c>
      <c r="E35">
        <v>-2.48</v>
      </c>
      <c r="F35">
        <v>2669</v>
      </c>
      <c r="G35">
        <v>942</v>
      </c>
      <c r="H35">
        <v>1961</v>
      </c>
      <c r="I35">
        <v>497</v>
      </c>
      <c r="J35">
        <v>730</v>
      </c>
      <c r="K35">
        <v>302</v>
      </c>
      <c r="L35">
        <v>1203</v>
      </c>
      <c r="M35">
        <v>510</v>
      </c>
      <c r="N35">
        <v>252</v>
      </c>
      <c r="O35">
        <v>134</v>
      </c>
      <c r="P35">
        <v>466</v>
      </c>
      <c r="Q35">
        <v>655</v>
      </c>
      <c r="R35">
        <v>34</v>
      </c>
    </row>
    <row r="36" spans="1:18">
      <c r="A36" s="1" t="s">
        <v>43</v>
      </c>
      <c r="B36">
        <v>32</v>
      </c>
      <c r="C36">
        <v>17</v>
      </c>
      <c r="D36">
        <v>15</v>
      </c>
      <c r="E36">
        <v>-1.01</v>
      </c>
      <c r="F36">
        <v>2486</v>
      </c>
      <c r="G36">
        <v>877</v>
      </c>
      <c r="H36">
        <v>1945</v>
      </c>
      <c r="I36">
        <v>492</v>
      </c>
      <c r="J36">
        <v>711</v>
      </c>
      <c r="K36">
        <v>397</v>
      </c>
      <c r="L36">
        <v>1295</v>
      </c>
      <c r="M36">
        <v>459</v>
      </c>
      <c r="N36">
        <v>181</v>
      </c>
      <c r="O36">
        <v>127</v>
      </c>
      <c r="P36">
        <v>453</v>
      </c>
      <c r="Q36">
        <v>735</v>
      </c>
      <c r="R36">
        <v>35</v>
      </c>
    </row>
    <row r="37" spans="1:18">
      <c r="A37" s="1" t="s">
        <v>304</v>
      </c>
      <c r="B37">
        <v>34</v>
      </c>
      <c r="C37">
        <v>25</v>
      </c>
      <c r="D37">
        <v>9</v>
      </c>
      <c r="E37">
        <v>10.23</v>
      </c>
      <c r="F37">
        <v>2595</v>
      </c>
      <c r="G37">
        <v>906</v>
      </c>
      <c r="H37">
        <v>1898</v>
      </c>
      <c r="I37">
        <v>522</v>
      </c>
      <c r="J37">
        <v>704</v>
      </c>
      <c r="K37">
        <v>287</v>
      </c>
      <c r="L37">
        <v>1091</v>
      </c>
      <c r="M37">
        <v>453</v>
      </c>
      <c r="N37">
        <v>206</v>
      </c>
      <c r="O37">
        <v>96</v>
      </c>
      <c r="P37">
        <v>346</v>
      </c>
      <c r="Q37">
        <v>640</v>
      </c>
      <c r="R37">
        <v>36</v>
      </c>
    </row>
    <row r="38" spans="1:18">
      <c r="A38" s="1" t="s">
        <v>44</v>
      </c>
      <c r="B38">
        <v>31</v>
      </c>
      <c r="C38">
        <v>11</v>
      </c>
      <c r="D38">
        <v>20</v>
      </c>
      <c r="E38">
        <v>-4.22</v>
      </c>
      <c r="F38">
        <v>2082</v>
      </c>
      <c r="G38">
        <v>726</v>
      </c>
      <c r="H38">
        <v>1800</v>
      </c>
      <c r="I38">
        <v>372</v>
      </c>
      <c r="J38">
        <v>534</v>
      </c>
      <c r="K38">
        <v>300</v>
      </c>
      <c r="L38">
        <v>1003</v>
      </c>
      <c r="M38">
        <v>322</v>
      </c>
      <c r="N38">
        <v>162</v>
      </c>
      <c r="O38">
        <v>113</v>
      </c>
      <c r="P38">
        <v>333</v>
      </c>
      <c r="Q38">
        <v>574</v>
      </c>
      <c r="R38">
        <v>37</v>
      </c>
    </row>
    <row r="39" spans="1:18">
      <c r="A39" s="1" t="s">
        <v>343</v>
      </c>
      <c r="B39">
        <v>35</v>
      </c>
      <c r="C39">
        <v>25</v>
      </c>
      <c r="D39">
        <v>10</v>
      </c>
      <c r="E39">
        <v>-1.94</v>
      </c>
      <c r="F39">
        <v>2502</v>
      </c>
      <c r="G39">
        <v>895</v>
      </c>
      <c r="H39">
        <v>2035</v>
      </c>
      <c r="I39">
        <v>483</v>
      </c>
      <c r="J39">
        <v>755</v>
      </c>
      <c r="K39">
        <v>432</v>
      </c>
      <c r="L39">
        <v>1349</v>
      </c>
      <c r="M39">
        <v>507</v>
      </c>
      <c r="N39">
        <v>286</v>
      </c>
      <c r="O39">
        <v>137</v>
      </c>
      <c r="P39">
        <v>519</v>
      </c>
      <c r="Q39">
        <v>794</v>
      </c>
      <c r="R39">
        <v>38</v>
      </c>
    </row>
    <row r="40" spans="1:18">
      <c r="A40" s="1" t="s">
        <v>45</v>
      </c>
      <c r="B40">
        <v>32</v>
      </c>
      <c r="C40">
        <v>17</v>
      </c>
      <c r="D40">
        <v>15</v>
      </c>
      <c r="E40">
        <v>-6.85</v>
      </c>
      <c r="F40">
        <v>2351</v>
      </c>
      <c r="G40">
        <v>821</v>
      </c>
      <c r="H40">
        <v>1850</v>
      </c>
      <c r="I40">
        <v>513</v>
      </c>
      <c r="J40">
        <v>747</v>
      </c>
      <c r="K40">
        <v>348</v>
      </c>
      <c r="L40">
        <v>1196</v>
      </c>
      <c r="M40">
        <v>387</v>
      </c>
      <c r="N40">
        <v>223</v>
      </c>
      <c r="O40">
        <v>117</v>
      </c>
      <c r="P40">
        <v>465</v>
      </c>
      <c r="Q40">
        <v>666</v>
      </c>
      <c r="R40">
        <v>39</v>
      </c>
    </row>
    <row r="41" spans="1:18">
      <c r="A41" s="1" t="s">
        <v>46</v>
      </c>
      <c r="B41">
        <v>30</v>
      </c>
      <c r="C41">
        <v>11</v>
      </c>
      <c r="D41">
        <v>19</v>
      </c>
      <c r="E41">
        <v>-4.13</v>
      </c>
      <c r="F41">
        <v>2341</v>
      </c>
      <c r="G41">
        <v>806</v>
      </c>
      <c r="H41">
        <v>1747</v>
      </c>
      <c r="I41">
        <v>584</v>
      </c>
      <c r="J41">
        <v>801</v>
      </c>
      <c r="K41">
        <v>295</v>
      </c>
      <c r="L41">
        <v>1052</v>
      </c>
      <c r="M41">
        <v>411</v>
      </c>
      <c r="N41">
        <v>207</v>
      </c>
      <c r="O41">
        <v>90</v>
      </c>
      <c r="P41">
        <v>399</v>
      </c>
      <c r="Q41">
        <v>638</v>
      </c>
      <c r="R41">
        <v>40</v>
      </c>
    </row>
    <row r="42" spans="1:18">
      <c r="A42" s="1" t="s">
        <v>330</v>
      </c>
      <c r="B42">
        <v>36</v>
      </c>
      <c r="C42">
        <v>23</v>
      </c>
      <c r="D42">
        <v>13</v>
      </c>
      <c r="E42">
        <v>-4.68</v>
      </c>
      <c r="F42">
        <v>2525</v>
      </c>
      <c r="G42">
        <v>873</v>
      </c>
      <c r="H42">
        <v>2008</v>
      </c>
      <c r="I42">
        <v>558</v>
      </c>
      <c r="J42">
        <v>828</v>
      </c>
      <c r="K42">
        <v>364</v>
      </c>
      <c r="L42">
        <v>1280</v>
      </c>
      <c r="M42">
        <v>461</v>
      </c>
      <c r="N42">
        <v>202</v>
      </c>
      <c r="O42">
        <v>118</v>
      </c>
      <c r="P42">
        <v>513</v>
      </c>
      <c r="Q42">
        <v>688</v>
      </c>
      <c r="R42">
        <v>41</v>
      </c>
    </row>
    <row r="43" spans="1:18">
      <c r="A43" s="1" t="s">
        <v>47</v>
      </c>
      <c r="B43">
        <v>36</v>
      </c>
      <c r="C43">
        <v>21</v>
      </c>
      <c r="D43">
        <v>15</v>
      </c>
      <c r="E43">
        <v>-2.7</v>
      </c>
      <c r="F43">
        <v>2514</v>
      </c>
      <c r="G43">
        <v>915</v>
      </c>
      <c r="H43">
        <v>2062</v>
      </c>
      <c r="I43">
        <v>419</v>
      </c>
      <c r="J43">
        <v>611</v>
      </c>
      <c r="K43">
        <v>402</v>
      </c>
      <c r="L43">
        <v>1429</v>
      </c>
      <c r="M43">
        <v>460</v>
      </c>
      <c r="N43">
        <v>176</v>
      </c>
      <c r="O43">
        <v>154</v>
      </c>
      <c r="P43">
        <v>481</v>
      </c>
      <c r="Q43">
        <v>748</v>
      </c>
      <c r="R43">
        <v>42</v>
      </c>
    </row>
    <row r="44" spans="1:18">
      <c r="A44" s="1" t="s">
        <v>305</v>
      </c>
      <c r="B44">
        <v>29</v>
      </c>
      <c r="C44">
        <v>8</v>
      </c>
      <c r="D44">
        <v>21</v>
      </c>
      <c r="E44">
        <v>-3.87</v>
      </c>
      <c r="F44">
        <v>1895</v>
      </c>
      <c r="G44">
        <v>689</v>
      </c>
      <c r="H44">
        <v>1671</v>
      </c>
      <c r="I44">
        <v>344</v>
      </c>
      <c r="J44">
        <v>495</v>
      </c>
      <c r="K44">
        <v>264</v>
      </c>
      <c r="L44">
        <v>1011</v>
      </c>
      <c r="M44">
        <v>338</v>
      </c>
      <c r="N44">
        <v>198</v>
      </c>
      <c r="O44">
        <v>88</v>
      </c>
      <c r="P44">
        <v>387</v>
      </c>
      <c r="Q44">
        <v>572</v>
      </c>
      <c r="R44">
        <v>43</v>
      </c>
    </row>
    <row r="45" spans="1:18">
      <c r="A45" s="1" t="s">
        <v>48</v>
      </c>
      <c r="B45">
        <v>28</v>
      </c>
      <c r="C45">
        <v>6</v>
      </c>
      <c r="D45">
        <v>22</v>
      </c>
      <c r="E45">
        <v>-2</v>
      </c>
      <c r="F45">
        <v>1701</v>
      </c>
      <c r="G45">
        <v>622</v>
      </c>
      <c r="H45">
        <v>1651</v>
      </c>
      <c r="I45">
        <v>303</v>
      </c>
      <c r="J45">
        <v>478</v>
      </c>
      <c r="K45">
        <v>356</v>
      </c>
      <c r="L45">
        <v>1028</v>
      </c>
      <c r="M45">
        <v>338</v>
      </c>
      <c r="N45">
        <v>148</v>
      </c>
      <c r="O45">
        <v>59</v>
      </c>
      <c r="P45">
        <v>341</v>
      </c>
      <c r="Q45">
        <v>502</v>
      </c>
      <c r="R45">
        <v>44</v>
      </c>
    </row>
    <row r="46" spans="1:18">
      <c r="A46" s="1" t="s">
        <v>49</v>
      </c>
      <c r="B46">
        <v>34</v>
      </c>
      <c r="C46">
        <v>21</v>
      </c>
      <c r="D46">
        <v>13</v>
      </c>
      <c r="E46">
        <v>6.34</v>
      </c>
      <c r="F46">
        <v>2316</v>
      </c>
      <c r="G46">
        <v>807</v>
      </c>
      <c r="H46">
        <v>1911</v>
      </c>
      <c r="I46">
        <v>476</v>
      </c>
      <c r="J46">
        <v>720</v>
      </c>
      <c r="K46">
        <v>394</v>
      </c>
      <c r="L46">
        <v>1323</v>
      </c>
      <c r="M46">
        <v>409</v>
      </c>
      <c r="N46">
        <v>165</v>
      </c>
      <c r="O46">
        <v>155</v>
      </c>
      <c r="P46">
        <v>428</v>
      </c>
      <c r="Q46">
        <v>656</v>
      </c>
      <c r="R46">
        <v>45</v>
      </c>
    </row>
    <row r="47" spans="1:18">
      <c r="A47" s="1" t="s">
        <v>50</v>
      </c>
      <c r="B47">
        <v>37</v>
      </c>
      <c r="C47">
        <v>19</v>
      </c>
      <c r="D47">
        <v>18</v>
      </c>
      <c r="E47">
        <v>-7.59</v>
      </c>
      <c r="F47">
        <v>2653</v>
      </c>
      <c r="G47">
        <v>909</v>
      </c>
      <c r="H47">
        <v>1992</v>
      </c>
      <c r="I47">
        <v>541</v>
      </c>
      <c r="J47">
        <v>720</v>
      </c>
      <c r="K47">
        <v>291</v>
      </c>
      <c r="L47">
        <v>1219</v>
      </c>
      <c r="M47">
        <v>432</v>
      </c>
      <c r="N47">
        <v>244</v>
      </c>
      <c r="O47">
        <v>151</v>
      </c>
      <c r="P47">
        <v>476</v>
      </c>
      <c r="Q47">
        <v>662</v>
      </c>
      <c r="R47">
        <v>46</v>
      </c>
    </row>
    <row r="48" spans="1:18">
      <c r="A48" s="1" t="s">
        <v>51</v>
      </c>
      <c r="B48">
        <v>34</v>
      </c>
      <c r="C48">
        <v>18</v>
      </c>
      <c r="D48">
        <v>16</v>
      </c>
      <c r="E48">
        <v>-3.5</v>
      </c>
      <c r="F48">
        <v>2665</v>
      </c>
      <c r="G48">
        <v>943</v>
      </c>
      <c r="H48">
        <v>2066</v>
      </c>
      <c r="I48">
        <v>470</v>
      </c>
      <c r="J48">
        <v>639</v>
      </c>
      <c r="K48">
        <v>364</v>
      </c>
      <c r="L48">
        <v>1120</v>
      </c>
      <c r="M48">
        <v>601</v>
      </c>
      <c r="N48">
        <v>230</v>
      </c>
      <c r="O48">
        <v>64</v>
      </c>
      <c r="P48">
        <v>446</v>
      </c>
      <c r="Q48">
        <v>659</v>
      </c>
      <c r="R48">
        <v>47</v>
      </c>
    </row>
    <row r="49" spans="1:18">
      <c r="A49" s="1" t="s">
        <v>344</v>
      </c>
      <c r="B49">
        <v>32</v>
      </c>
      <c r="C49">
        <v>8</v>
      </c>
      <c r="D49">
        <v>24</v>
      </c>
      <c r="E49">
        <v>-3.76</v>
      </c>
      <c r="F49">
        <v>2395</v>
      </c>
      <c r="G49">
        <v>836</v>
      </c>
      <c r="H49">
        <v>1910</v>
      </c>
      <c r="I49">
        <v>493</v>
      </c>
      <c r="J49">
        <v>687</v>
      </c>
      <c r="K49">
        <v>337</v>
      </c>
      <c r="L49">
        <v>1151</v>
      </c>
      <c r="M49">
        <v>465</v>
      </c>
      <c r="N49">
        <v>178</v>
      </c>
      <c r="O49">
        <v>84</v>
      </c>
      <c r="P49">
        <v>446</v>
      </c>
      <c r="Q49">
        <v>606</v>
      </c>
      <c r="R49">
        <v>48</v>
      </c>
    </row>
    <row r="50" spans="1:18">
      <c r="A50" s="1" t="s">
        <v>274</v>
      </c>
      <c r="B50">
        <v>29</v>
      </c>
      <c r="C50">
        <v>6</v>
      </c>
      <c r="D50">
        <v>23</v>
      </c>
      <c r="E50">
        <v>-7.68</v>
      </c>
      <c r="F50">
        <v>1827</v>
      </c>
      <c r="G50">
        <v>675</v>
      </c>
      <c r="H50">
        <v>1602</v>
      </c>
      <c r="I50">
        <v>331</v>
      </c>
      <c r="J50">
        <v>534</v>
      </c>
      <c r="K50">
        <v>332</v>
      </c>
      <c r="L50">
        <v>966</v>
      </c>
      <c r="M50">
        <v>341</v>
      </c>
      <c r="N50">
        <v>166</v>
      </c>
      <c r="O50">
        <v>68</v>
      </c>
      <c r="P50">
        <v>413</v>
      </c>
      <c r="Q50">
        <v>539</v>
      </c>
      <c r="R50">
        <v>49</v>
      </c>
    </row>
    <row r="51" spans="1:18">
      <c r="A51" s="1" t="s">
        <v>53</v>
      </c>
      <c r="B51">
        <v>36</v>
      </c>
      <c r="C51">
        <v>24</v>
      </c>
      <c r="D51">
        <v>12</v>
      </c>
      <c r="E51">
        <v>3.69</v>
      </c>
      <c r="F51">
        <v>2414</v>
      </c>
      <c r="G51">
        <v>825</v>
      </c>
      <c r="H51">
        <v>1898</v>
      </c>
      <c r="I51">
        <v>501</v>
      </c>
      <c r="J51">
        <v>758</v>
      </c>
      <c r="K51">
        <v>389</v>
      </c>
      <c r="L51">
        <v>1471</v>
      </c>
      <c r="M51">
        <v>400</v>
      </c>
      <c r="N51">
        <v>144</v>
      </c>
      <c r="O51">
        <v>145</v>
      </c>
      <c r="P51">
        <v>525</v>
      </c>
      <c r="Q51">
        <v>548</v>
      </c>
      <c r="R51">
        <v>50</v>
      </c>
    </row>
    <row r="52" spans="1:18">
      <c r="A52" s="1" t="s">
        <v>54</v>
      </c>
      <c r="B52">
        <v>32</v>
      </c>
      <c r="C52">
        <v>16</v>
      </c>
      <c r="D52">
        <v>16</v>
      </c>
      <c r="E52">
        <v>-2.63</v>
      </c>
      <c r="F52">
        <v>2826</v>
      </c>
      <c r="G52">
        <v>912</v>
      </c>
      <c r="H52">
        <v>2153</v>
      </c>
      <c r="I52">
        <v>603</v>
      </c>
      <c r="J52">
        <v>762</v>
      </c>
      <c r="K52">
        <v>364</v>
      </c>
      <c r="L52">
        <v>1244</v>
      </c>
      <c r="M52">
        <v>362</v>
      </c>
      <c r="N52">
        <v>181</v>
      </c>
      <c r="O52">
        <v>93</v>
      </c>
      <c r="P52">
        <v>362</v>
      </c>
      <c r="Q52">
        <v>612</v>
      </c>
      <c r="R52">
        <v>51</v>
      </c>
    </row>
    <row r="53" spans="1:18">
      <c r="A53" s="1" t="s">
        <v>55</v>
      </c>
      <c r="B53">
        <v>31</v>
      </c>
      <c r="C53">
        <v>12</v>
      </c>
      <c r="D53">
        <v>19</v>
      </c>
      <c r="E53">
        <v>-6.21</v>
      </c>
      <c r="F53">
        <v>2304</v>
      </c>
      <c r="G53">
        <v>824</v>
      </c>
      <c r="H53">
        <v>1868</v>
      </c>
      <c r="I53">
        <v>428</v>
      </c>
      <c r="J53">
        <v>643</v>
      </c>
      <c r="K53">
        <v>336</v>
      </c>
      <c r="L53">
        <v>1092</v>
      </c>
      <c r="M53">
        <v>341</v>
      </c>
      <c r="N53">
        <v>176</v>
      </c>
      <c r="O53">
        <v>89</v>
      </c>
      <c r="P53">
        <v>358</v>
      </c>
      <c r="Q53">
        <v>620</v>
      </c>
      <c r="R53">
        <v>52</v>
      </c>
    </row>
    <row r="54" spans="1:18">
      <c r="A54" s="1" t="s">
        <v>56</v>
      </c>
      <c r="B54">
        <v>30</v>
      </c>
      <c r="C54">
        <v>13</v>
      </c>
      <c r="D54">
        <v>17</v>
      </c>
      <c r="E54">
        <v>-0.93</v>
      </c>
      <c r="F54">
        <v>2295</v>
      </c>
      <c r="G54">
        <v>800</v>
      </c>
      <c r="H54">
        <v>1803</v>
      </c>
      <c r="I54">
        <v>458</v>
      </c>
      <c r="J54">
        <v>614</v>
      </c>
      <c r="K54">
        <v>224</v>
      </c>
      <c r="L54">
        <v>979</v>
      </c>
      <c r="M54">
        <v>361</v>
      </c>
      <c r="N54">
        <v>190</v>
      </c>
      <c r="O54">
        <v>94</v>
      </c>
      <c r="P54">
        <v>366</v>
      </c>
      <c r="Q54">
        <v>578</v>
      </c>
      <c r="R54">
        <v>53</v>
      </c>
    </row>
    <row r="55" spans="1:18">
      <c r="A55" s="1" t="s">
        <v>57</v>
      </c>
      <c r="B55">
        <v>31</v>
      </c>
      <c r="C55">
        <v>19</v>
      </c>
      <c r="D55">
        <v>12</v>
      </c>
      <c r="E55">
        <v>-2.08</v>
      </c>
      <c r="F55">
        <v>2314</v>
      </c>
      <c r="G55">
        <v>801</v>
      </c>
      <c r="H55">
        <v>1718</v>
      </c>
      <c r="I55">
        <v>481</v>
      </c>
      <c r="J55">
        <v>677</v>
      </c>
      <c r="K55">
        <v>322</v>
      </c>
      <c r="L55">
        <v>1005</v>
      </c>
      <c r="M55">
        <v>377</v>
      </c>
      <c r="N55">
        <v>241</v>
      </c>
      <c r="O55">
        <v>145</v>
      </c>
      <c r="P55">
        <v>413</v>
      </c>
      <c r="Q55">
        <v>570</v>
      </c>
      <c r="R55">
        <v>54</v>
      </c>
    </row>
    <row r="56" spans="1:18">
      <c r="A56" s="1" t="s">
        <v>58</v>
      </c>
      <c r="B56">
        <v>32</v>
      </c>
      <c r="C56">
        <v>6</v>
      </c>
      <c r="D56">
        <v>26</v>
      </c>
      <c r="E56">
        <v>-0.19</v>
      </c>
      <c r="F56">
        <v>2089</v>
      </c>
      <c r="G56">
        <v>739</v>
      </c>
      <c r="H56">
        <v>1923</v>
      </c>
      <c r="I56">
        <v>399</v>
      </c>
      <c r="J56">
        <v>569</v>
      </c>
      <c r="K56">
        <v>344</v>
      </c>
      <c r="L56">
        <v>1123</v>
      </c>
      <c r="M56">
        <v>360</v>
      </c>
      <c r="N56">
        <v>215</v>
      </c>
      <c r="O56">
        <v>68</v>
      </c>
      <c r="P56">
        <v>440</v>
      </c>
      <c r="Q56">
        <v>616</v>
      </c>
      <c r="R56">
        <v>55</v>
      </c>
    </row>
    <row r="57" spans="1:18">
      <c r="A57" s="1" t="s">
        <v>335</v>
      </c>
      <c r="B57">
        <v>36</v>
      </c>
      <c r="C57">
        <v>30</v>
      </c>
      <c r="D57">
        <v>6</v>
      </c>
      <c r="E57">
        <v>5.49</v>
      </c>
      <c r="F57">
        <v>2674</v>
      </c>
      <c r="G57">
        <v>969</v>
      </c>
      <c r="H57">
        <v>2116</v>
      </c>
      <c r="I57">
        <v>472</v>
      </c>
      <c r="J57">
        <v>688</v>
      </c>
      <c r="K57">
        <v>437</v>
      </c>
      <c r="L57">
        <v>1328</v>
      </c>
      <c r="M57">
        <v>557</v>
      </c>
      <c r="N57">
        <v>261</v>
      </c>
      <c r="O57">
        <v>173</v>
      </c>
      <c r="P57">
        <v>361</v>
      </c>
      <c r="Q57">
        <v>566</v>
      </c>
      <c r="R57">
        <v>56</v>
      </c>
    </row>
    <row r="58" spans="1:18">
      <c r="A58" s="1" t="s">
        <v>59</v>
      </c>
      <c r="B58">
        <v>33</v>
      </c>
      <c r="C58">
        <v>12</v>
      </c>
      <c r="D58">
        <v>21</v>
      </c>
      <c r="E58">
        <v>-2.93</v>
      </c>
      <c r="F58">
        <v>2964</v>
      </c>
      <c r="G58">
        <v>980</v>
      </c>
      <c r="H58">
        <v>2357</v>
      </c>
      <c r="I58">
        <v>607</v>
      </c>
      <c r="J58">
        <v>802</v>
      </c>
      <c r="K58">
        <v>448</v>
      </c>
      <c r="L58">
        <v>1232</v>
      </c>
      <c r="M58">
        <v>561</v>
      </c>
      <c r="N58">
        <v>306</v>
      </c>
      <c r="O58">
        <v>85</v>
      </c>
      <c r="P58">
        <v>473</v>
      </c>
      <c r="Q58">
        <v>737</v>
      </c>
      <c r="R58">
        <v>57</v>
      </c>
    </row>
    <row r="59" spans="1:18">
      <c r="A59" s="1" t="s">
        <v>60</v>
      </c>
      <c r="B59">
        <v>33</v>
      </c>
      <c r="C59">
        <v>17</v>
      </c>
      <c r="D59">
        <v>16</v>
      </c>
      <c r="E59">
        <v>9.98</v>
      </c>
      <c r="F59">
        <v>2468</v>
      </c>
      <c r="G59">
        <v>871</v>
      </c>
      <c r="H59">
        <v>1939</v>
      </c>
      <c r="I59">
        <v>487</v>
      </c>
      <c r="J59">
        <v>666</v>
      </c>
      <c r="K59">
        <v>365</v>
      </c>
      <c r="L59">
        <v>1124</v>
      </c>
      <c r="M59">
        <v>414</v>
      </c>
      <c r="N59">
        <v>235</v>
      </c>
      <c r="O59">
        <v>130</v>
      </c>
      <c r="P59">
        <v>354</v>
      </c>
      <c r="Q59">
        <v>501</v>
      </c>
      <c r="R59">
        <v>58</v>
      </c>
    </row>
    <row r="60" spans="1:18">
      <c r="A60" s="1" t="s">
        <v>61</v>
      </c>
      <c r="B60">
        <v>31</v>
      </c>
      <c r="C60">
        <v>9</v>
      </c>
      <c r="D60">
        <v>22</v>
      </c>
      <c r="E60">
        <v>-1.53</v>
      </c>
      <c r="F60">
        <v>2083</v>
      </c>
      <c r="G60">
        <v>745</v>
      </c>
      <c r="H60">
        <v>1838</v>
      </c>
      <c r="I60">
        <v>374</v>
      </c>
      <c r="J60">
        <v>541</v>
      </c>
      <c r="K60">
        <v>339</v>
      </c>
      <c r="L60">
        <v>1024</v>
      </c>
      <c r="M60">
        <v>327</v>
      </c>
      <c r="N60">
        <v>221</v>
      </c>
      <c r="O60">
        <v>94</v>
      </c>
      <c r="P60">
        <v>405</v>
      </c>
      <c r="Q60">
        <v>636</v>
      </c>
      <c r="R60">
        <v>59</v>
      </c>
    </row>
    <row r="61" spans="1:18">
      <c r="A61" s="1" t="s">
        <v>62</v>
      </c>
      <c r="B61">
        <v>39</v>
      </c>
      <c r="C61">
        <v>20</v>
      </c>
      <c r="D61">
        <v>19</v>
      </c>
      <c r="E61">
        <v>-1.48</v>
      </c>
      <c r="F61">
        <v>2833</v>
      </c>
      <c r="G61">
        <v>1021</v>
      </c>
      <c r="H61">
        <v>2416</v>
      </c>
      <c r="I61">
        <v>473</v>
      </c>
      <c r="J61">
        <v>719</v>
      </c>
      <c r="K61">
        <v>479</v>
      </c>
      <c r="L61">
        <v>1571</v>
      </c>
      <c r="M61">
        <v>467</v>
      </c>
      <c r="N61">
        <v>237</v>
      </c>
      <c r="O61">
        <v>109</v>
      </c>
      <c r="P61">
        <v>508</v>
      </c>
      <c r="Q61">
        <v>709</v>
      </c>
      <c r="R61">
        <v>60</v>
      </c>
    </row>
    <row r="62" spans="1:18">
      <c r="A62" s="1" t="s">
        <v>63</v>
      </c>
      <c r="B62">
        <v>32</v>
      </c>
      <c r="C62">
        <v>10</v>
      </c>
      <c r="D62">
        <v>22</v>
      </c>
      <c r="E62">
        <v>-3.6</v>
      </c>
      <c r="F62">
        <v>2145</v>
      </c>
      <c r="G62">
        <v>745</v>
      </c>
      <c r="H62">
        <v>1693</v>
      </c>
      <c r="I62">
        <v>384</v>
      </c>
      <c r="J62">
        <v>567</v>
      </c>
      <c r="K62">
        <v>263</v>
      </c>
      <c r="L62">
        <v>1037</v>
      </c>
      <c r="M62">
        <v>414</v>
      </c>
      <c r="N62">
        <v>164</v>
      </c>
      <c r="O62">
        <v>82</v>
      </c>
      <c r="P62">
        <v>470</v>
      </c>
      <c r="Q62">
        <v>603</v>
      </c>
      <c r="R62">
        <v>61</v>
      </c>
    </row>
    <row r="63" spans="1:18">
      <c r="A63" s="1" t="s">
        <v>64</v>
      </c>
      <c r="B63">
        <v>35</v>
      </c>
      <c r="C63">
        <v>25</v>
      </c>
      <c r="D63">
        <v>10</v>
      </c>
      <c r="E63">
        <v>-0.19</v>
      </c>
      <c r="F63">
        <v>2416</v>
      </c>
      <c r="G63">
        <v>804</v>
      </c>
      <c r="H63">
        <v>1862</v>
      </c>
      <c r="I63">
        <v>588</v>
      </c>
      <c r="J63">
        <v>799</v>
      </c>
      <c r="K63">
        <v>302</v>
      </c>
      <c r="L63">
        <v>1194</v>
      </c>
      <c r="M63">
        <v>355</v>
      </c>
      <c r="N63">
        <v>194</v>
      </c>
      <c r="O63">
        <v>117</v>
      </c>
      <c r="P63">
        <v>364</v>
      </c>
      <c r="Q63">
        <v>604</v>
      </c>
      <c r="R63">
        <v>62</v>
      </c>
    </row>
    <row r="64" spans="1:18">
      <c r="A64" s="1" t="s">
        <v>65</v>
      </c>
      <c r="B64">
        <v>36</v>
      </c>
      <c r="C64">
        <v>24</v>
      </c>
      <c r="D64">
        <v>12</v>
      </c>
      <c r="E64">
        <v>2.17</v>
      </c>
      <c r="F64">
        <v>2611</v>
      </c>
      <c r="G64">
        <v>879</v>
      </c>
      <c r="H64">
        <v>2070</v>
      </c>
      <c r="I64">
        <v>596</v>
      </c>
      <c r="J64">
        <v>815</v>
      </c>
      <c r="K64">
        <v>410</v>
      </c>
      <c r="L64">
        <v>1374</v>
      </c>
      <c r="M64">
        <v>397</v>
      </c>
      <c r="N64">
        <v>218</v>
      </c>
      <c r="O64">
        <v>123</v>
      </c>
      <c r="P64">
        <v>392</v>
      </c>
      <c r="Q64">
        <v>618</v>
      </c>
      <c r="R64">
        <v>63</v>
      </c>
    </row>
    <row r="65" spans="1:18">
      <c r="A65" s="1" t="s">
        <v>66</v>
      </c>
      <c r="B65">
        <v>34</v>
      </c>
      <c r="C65">
        <v>19</v>
      </c>
      <c r="D65">
        <v>15</v>
      </c>
      <c r="E65">
        <v>6</v>
      </c>
      <c r="F65">
        <v>2568</v>
      </c>
      <c r="G65">
        <v>888</v>
      </c>
      <c r="H65">
        <v>1993</v>
      </c>
      <c r="I65">
        <v>542</v>
      </c>
      <c r="J65">
        <v>770</v>
      </c>
      <c r="K65">
        <v>403</v>
      </c>
      <c r="L65">
        <v>1276</v>
      </c>
      <c r="M65">
        <v>474</v>
      </c>
      <c r="N65">
        <v>172</v>
      </c>
      <c r="O65">
        <v>146</v>
      </c>
      <c r="P65">
        <v>410</v>
      </c>
      <c r="Q65">
        <v>632</v>
      </c>
      <c r="R65">
        <v>64</v>
      </c>
    </row>
    <row r="66" spans="1:18">
      <c r="A66" s="1" t="s">
        <v>67</v>
      </c>
      <c r="B66">
        <v>27</v>
      </c>
      <c r="C66">
        <v>11</v>
      </c>
      <c r="D66">
        <v>16</v>
      </c>
      <c r="E66">
        <v>-3.13</v>
      </c>
      <c r="F66">
        <v>1940</v>
      </c>
      <c r="G66">
        <v>700</v>
      </c>
      <c r="H66">
        <v>1603</v>
      </c>
      <c r="I66">
        <v>329</v>
      </c>
      <c r="J66">
        <v>465</v>
      </c>
      <c r="K66">
        <v>273</v>
      </c>
      <c r="L66">
        <v>941</v>
      </c>
      <c r="M66">
        <v>418</v>
      </c>
      <c r="N66">
        <v>190</v>
      </c>
      <c r="O66">
        <v>79</v>
      </c>
      <c r="P66">
        <v>347</v>
      </c>
      <c r="Q66">
        <v>506</v>
      </c>
      <c r="R66">
        <v>65</v>
      </c>
    </row>
    <row r="67" spans="1:18">
      <c r="A67" s="1" t="s">
        <v>275</v>
      </c>
      <c r="B67">
        <v>33</v>
      </c>
      <c r="C67">
        <v>16</v>
      </c>
      <c r="D67">
        <v>17</v>
      </c>
      <c r="E67">
        <v>6.61</v>
      </c>
      <c r="F67">
        <v>2220</v>
      </c>
      <c r="G67">
        <v>778</v>
      </c>
      <c r="H67">
        <v>1809</v>
      </c>
      <c r="I67">
        <v>441</v>
      </c>
      <c r="J67">
        <v>619</v>
      </c>
      <c r="K67">
        <v>336</v>
      </c>
      <c r="L67">
        <v>1209</v>
      </c>
      <c r="M67">
        <v>432</v>
      </c>
      <c r="N67">
        <v>146</v>
      </c>
      <c r="O67">
        <v>177</v>
      </c>
      <c r="P67">
        <v>402</v>
      </c>
      <c r="Q67">
        <v>575</v>
      </c>
      <c r="R67">
        <v>66</v>
      </c>
    </row>
    <row r="68" spans="1:18">
      <c r="A68" s="1" t="s">
        <v>68</v>
      </c>
      <c r="B68">
        <v>32</v>
      </c>
      <c r="C68">
        <v>8</v>
      </c>
      <c r="D68">
        <v>24</v>
      </c>
      <c r="E68">
        <v>-8.01</v>
      </c>
      <c r="F68">
        <v>2119</v>
      </c>
      <c r="G68">
        <v>705</v>
      </c>
      <c r="H68">
        <v>1846</v>
      </c>
      <c r="I68">
        <v>484</v>
      </c>
      <c r="J68">
        <v>745</v>
      </c>
      <c r="K68">
        <v>367</v>
      </c>
      <c r="L68">
        <v>1115</v>
      </c>
      <c r="M68">
        <v>335</v>
      </c>
      <c r="N68">
        <v>182</v>
      </c>
      <c r="O68">
        <v>72</v>
      </c>
      <c r="P68">
        <v>440</v>
      </c>
      <c r="Q68">
        <v>664</v>
      </c>
      <c r="R68">
        <v>67</v>
      </c>
    </row>
    <row r="69" spans="1:18">
      <c r="A69" s="1" t="s">
        <v>69</v>
      </c>
      <c r="B69">
        <v>29</v>
      </c>
      <c r="C69">
        <v>8</v>
      </c>
      <c r="D69">
        <v>21</v>
      </c>
      <c r="E69">
        <v>-1.55</v>
      </c>
      <c r="F69">
        <v>2074</v>
      </c>
      <c r="G69">
        <v>746</v>
      </c>
      <c r="H69">
        <v>1646</v>
      </c>
      <c r="I69">
        <v>338</v>
      </c>
      <c r="J69">
        <v>484</v>
      </c>
      <c r="K69">
        <v>219</v>
      </c>
      <c r="L69">
        <v>976</v>
      </c>
      <c r="M69">
        <v>417</v>
      </c>
      <c r="N69">
        <v>150</v>
      </c>
      <c r="O69">
        <v>78</v>
      </c>
      <c r="P69">
        <v>419</v>
      </c>
      <c r="Q69">
        <v>529</v>
      </c>
      <c r="R69">
        <v>68</v>
      </c>
    </row>
    <row r="70" spans="1:18">
      <c r="A70" s="1" t="s">
        <v>326</v>
      </c>
      <c r="B70">
        <v>35</v>
      </c>
      <c r="C70">
        <v>25</v>
      </c>
      <c r="D70">
        <v>10</v>
      </c>
      <c r="E70">
        <v>8.9499999999999993</v>
      </c>
      <c r="F70">
        <v>2864</v>
      </c>
      <c r="G70">
        <v>1078</v>
      </c>
      <c r="H70">
        <v>2137</v>
      </c>
      <c r="I70">
        <v>404</v>
      </c>
      <c r="J70">
        <v>592</v>
      </c>
      <c r="K70">
        <v>289</v>
      </c>
      <c r="L70">
        <v>1223</v>
      </c>
      <c r="M70">
        <v>598</v>
      </c>
      <c r="N70">
        <v>213</v>
      </c>
      <c r="O70">
        <v>102</v>
      </c>
      <c r="P70">
        <v>435</v>
      </c>
      <c r="Q70">
        <v>582</v>
      </c>
      <c r="R70">
        <v>69</v>
      </c>
    </row>
    <row r="71" spans="1:18">
      <c r="A71" s="1" t="s">
        <v>70</v>
      </c>
      <c r="B71">
        <v>27</v>
      </c>
      <c r="C71">
        <v>7</v>
      </c>
      <c r="D71">
        <v>20</v>
      </c>
      <c r="E71">
        <v>-3.45</v>
      </c>
      <c r="F71">
        <v>1812</v>
      </c>
      <c r="G71">
        <v>631</v>
      </c>
      <c r="H71">
        <v>1463</v>
      </c>
      <c r="I71">
        <v>351</v>
      </c>
      <c r="J71">
        <v>495</v>
      </c>
      <c r="K71">
        <v>249</v>
      </c>
      <c r="L71">
        <v>917</v>
      </c>
      <c r="M71">
        <v>301</v>
      </c>
      <c r="N71">
        <v>124</v>
      </c>
      <c r="O71">
        <v>48</v>
      </c>
      <c r="P71">
        <v>401</v>
      </c>
      <c r="Q71">
        <v>493</v>
      </c>
      <c r="R71">
        <v>70</v>
      </c>
    </row>
    <row r="72" spans="1:18">
      <c r="A72" s="1" t="s">
        <v>71</v>
      </c>
      <c r="B72">
        <v>32</v>
      </c>
      <c r="C72">
        <v>17</v>
      </c>
      <c r="D72">
        <v>15</v>
      </c>
      <c r="E72">
        <v>4.26</v>
      </c>
      <c r="F72">
        <v>2362</v>
      </c>
      <c r="G72">
        <v>814</v>
      </c>
      <c r="H72">
        <v>1861</v>
      </c>
      <c r="I72">
        <v>442</v>
      </c>
      <c r="J72">
        <v>587</v>
      </c>
      <c r="K72">
        <v>285</v>
      </c>
      <c r="L72">
        <v>1149</v>
      </c>
      <c r="M72">
        <v>499</v>
      </c>
      <c r="N72">
        <v>163</v>
      </c>
      <c r="O72">
        <v>106</v>
      </c>
      <c r="P72">
        <v>390</v>
      </c>
      <c r="Q72">
        <v>583</v>
      </c>
      <c r="R72">
        <v>71</v>
      </c>
    </row>
    <row r="73" spans="1:18">
      <c r="A73" s="1" t="s">
        <v>276</v>
      </c>
      <c r="B73">
        <v>32</v>
      </c>
      <c r="C73">
        <v>24</v>
      </c>
      <c r="D73">
        <v>8</v>
      </c>
      <c r="E73">
        <v>4.2699999999999996</v>
      </c>
      <c r="F73">
        <v>2428</v>
      </c>
      <c r="G73">
        <v>820</v>
      </c>
      <c r="H73">
        <v>1763</v>
      </c>
      <c r="I73">
        <v>530</v>
      </c>
      <c r="J73">
        <v>768</v>
      </c>
      <c r="K73">
        <v>277</v>
      </c>
      <c r="L73">
        <v>1097</v>
      </c>
      <c r="M73">
        <v>500</v>
      </c>
      <c r="N73">
        <v>249</v>
      </c>
      <c r="O73">
        <v>128</v>
      </c>
      <c r="P73">
        <v>376</v>
      </c>
      <c r="Q73">
        <v>601</v>
      </c>
      <c r="R73">
        <v>72</v>
      </c>
    </row>
    <row r="74" spans="1:18">
      <c r="A74" s="1" t="s">
        <v>72</v>
      </c>
      <c r="B74">
        <v>32</v>
      </c>
      <c r="C74">
        <v>10</v>
      </c>
      <c r="D74">
        <v>22</v>
      </c>
      <c r="E74">
        <v>-9.3699999999999992</v>
      </c>
      <c r="F74">
        <v>2186</v>
      </c>
      <c r="G74">
        <v>782</v>
      </c>
      <c r="H74">
        <v>1865</v>
      </c>
      <c r="I74">
        <v>359</v>
      </c>
      <c r="J74">
        <v>545</v>
      </c>
      <c r="K74">
        <v>348</v>
      </c>
      <c r="L74">
        <v>1057</v>
      </c>
      <c r="M74">
        <v>429</v>
      </c>
      <c r="N74">
        <v>177</v>
      </c>
      <c r="O74">
        <v>89</v>
      </c>
      <c r="P74">
        <v>436</v>
      </c>
      <c r="Q74">
        <v>608</v>
      </c>
      <c r="R74">
        <v>73</v>
      </c>
    </row>
    <row r="75" spans="1:18">
      <c r="A75" s="1" t="s">
        <v>73</v>
      </c>
      <c r="B75">
        <v>33</v>
      </c>
      <c r="C75">
        <v>13</v>
      </c>
      <c r="D75">
        <v>20</v>
      </c>
      <c r="E75">
        <v>-1.42</v>
      </c>
      <c r="F75">
        <v>2157</v>
      </c>
      <c r="G75">
        <v>775</v>
      </c>
      <c r="H75">
        <v>1838</v>
      </c>
      <c r="I75">
        <v>411</v>
      </c>
      <c r="J75">
        <v>599</v>
      </c>
      <c r="K75">
        <v>322</v>
      </c>
      <c r="L75">
        <v>1159</v>
      </c>
      <c r="M75">
        <v>385</v>
      </c>
      <c r="N75">
        <v>176</v>
      </c>
      <c r="O75">
        <v>102</v>
      </c>
      <c r="P75">
        <v>396</v>
      </c>
      <c r="Q75">
        <v>625</v>
      </c>
      <c r="R75">
        <v>74</v>
      </c>
    </row>
    <row r="76" spans="1:18">
      <c r="A76" s="1" t="s">
        <v>74</v>
      </c>
      <c r="B76">
        <v>30</v>
      </c>
      <c r="C76">
        <v>16</v>
      </c>
      <c r="D76">
        <v>14</v>
      </c>
      <c r="E76">
        <v>-4.1900000000000004</v>
      </c>
      <c r="F76">
        <v>2275</v>
      </c>
      <c r="G76">
        <v>811</v>
      </c>
      <c r="H76">
        <v>1684</v>
      </c>
      <c r="I76">
        <v>428</v>
      </c>
      <c r="J76">
        <v>583</v>
      </c>
      <c r="K76">
        <v>273</v>
      </c>
      <c r="L76">
        <v>1058</v>
      </c>
      <c r="M76">
        <v>452</v>
      </c>
      <c r="N76">
        <v>150</v>
      </c>
      <c r="O76">
        <v>64</v>
      </c>
      <c r="P76">
        <v>404</v>
      </c>
      <c r="Q76">
        <v>603</v>
      </c>
      <c r="R76">
        <v>75</v>
      </c>
    </row>
    <row r="77" spans="1:18">
      <c r="A77" s="1" t="s">
        <v>277</v>
      </c>
      <c r="B77">
        <v>32</v>
      </c>
      <c r="C77">
        <v>9</v>
      </c>
      <c r="D77">
        <v>23</v>
      </c>
      <c r="E77">
        <v>7.78</v>
      </c>
      <c r="F77">
        <v>2206</v>
      </c>
      <c r="G77">
        <v>775</v>
      </c>
      <c r="H77">
        <v>1804</v>
      </c>
      <c r="I77">
        <v>472</v>
      </c>
      <c r="J77">
        <v>642</v>
      </c>
      <c r="K77">
        <v>339</v>
      </c>
      <c r="L77">
        <v>1057</v>
      </c>
      <c r="M77">
        <v>366</v>
      </c>
      <c r="N77">
        <v>213</v>
      </c>
      <c r="O77">
        <v>92</v>
      </c>
      <c r="P77">
        <v>451</v>
      </c>
      <c r="Q77">
        <v>635</v>
      </c>
      <c r="R77">
        <v>76</v>
      </c>
    </row>
    <row r="78" spans="1:18">
      <c r="A78" s="1" t="s">
        <v>75</v>
      </c>
      <c r="B78">
        <v>31</v>
      </c>
      <c r="C78">
        <v>8</v>
      </c>
      <c r="D78">
        <v>23</v>
      </c>
      <c r="E78">
        <v>-1.62</v>
      </c>
      <c r="F78">
        <v>2387</v>
      </c>
      <c r="G78">
        <v>830</v>
      </c>
      <c r="H78">
        <v>1867</v>
      </c>
      <c r="I78">
        <v>476</v>
      </c>
      <c r="J78">
        <v>717</v>
      </c>
      <c r="K78">
        <v>320</v>
      </c>
      <c r="L78">
        <v>1036</v>
      </c>
      <c r="M78">
        <v>398</v>
      </c>
      <c r="N78">
        <v>203</v>
      </c>
      <c r="O78">
        <v>78</v>
      </c>
      <c r="P78">
        <v>451</v>
      </c>
      <c r="Q78">
        <v>741</v>
      </c>
      <c r="R78">
        <v>77</v>
      </c>
    </row>
    <row r="79" spans="1:18">
      <c r="A79" s="1" t="s">
        <v>76</v>
      </c>
      <c r="B79">
        <v>31</v>
      </c>
      <c r="C79">
        <v>7</v>
      </c>
      <c r="D79">
        <v>24</v>
      </c>
      <c r="E79">
        <v>1.91</v>
      </c>
      <c r="F79">
        <v>2208</v>
      </c>
      <c r="G79">
        <v>760</v>
      </c>
      <c r="H79">
        <v>1856</v>
      </c>
      <c r="I79">
        <v>418</v>
      </c>
      <c r="J79">
        <v>553</v>
      </c>
      <c r="K79">
        <v>311</v>
      </c>
      <c r="L79">
        <v>1070</v>
      </c>
      <c r="M79">
        <v>404</v>
      </c>
      <c r="N79">
        <v>188</v>
      </c>
      <c r="O79">
        <v>75</v>
      </c>
      <c r="P79">
        <v>389</v>
      </c>
      <c r="Q79">
        <v>563</v>
      </c>
      <c r="R79">
        <v>78</v>
      </c>
    </row>
    <row r="80" spans="1:18">
      <c r="A80" s="1" t="s">
        <v>77</v>
      </c>
      <c r="B80">
        <v>32</v>
      </c>
      <c r="C80">
        <v>9</v>
      </c>
      <c r="D80">
        <v>23</v>
      </c>
      <c r="E80">
        <v>-2.56</v>
      </c>
      <c r="F80">
        <v>2397</v>
      </c>
      <c r="G80">
        <v>865</v>
      </c>
      <c r="H80">
        <v>1987</v>
      </c>
      <c r="I80">
        <v>411</v>
      </c>
      <c r="J80">
        <v>617</v>
      </c>
      <c r="K80">
        <v>380</v>
      </c>
      <c r="L80">
        <v>1177</v>
      </c>
      <c r="M80">
        <v>470</v>
      </c>
      <c r="N80">
        <v>187</v>
      </c>
      <c r="O80">
        <v>98</v>
      </c>
      <c r="P80">
        <v>425</v>
      </c>
      <c r="Q80">
        <v>644</v>
      </c>
      <c r="R80">
        <v>79</v>
      </c>
    </row>
    <row r="81" spans="1:18">
      <c r="A81" s="1" t="s">
        <v>373</v>
      </c>
      <c r="B81">
        <v>37</v>
      </c>
      <c r="C81">
        <v>28</v>
      </c>
      <c r="D81">
        <v>9</v>
      </c>
      <c r="E81">
        <v>10.91</v>
      </c>
      <c r="F81">
        <v>2991</v>
      </c>
      <c r="G81">
        <v>1019</v>
      </c>
      <c r="H81">
        <v>2144</v>
      </c>
      <c r="I81">
        <v>642</v>
      </c>
      <c r="J81">
        <v>842</v>
      </c>
      <c r="K81">
        <v>390</v>
      </c>
      <c r="L81">
        <v>1341</v>
      </c>
      <c r="M81">
        <v>484</v>
      </c>
      <c r="N81">
        <v>226</v>
      </c>
      <c r="O81">
        <v>172</v>
      </c>
      <c r="P81">
        <v>421</v>
      </c>
      <c r="Q81">
        <v>675</v>
      </c>
      <c r="R81">
        <v>80</v>
      </c>
    </row>
    <row r="82" spans="1:18">
      <c r="A82" s="1" t="s">
        <v>78</v>
      </c>
      <c r="B82">
        <v>32</v>
      </c>
      <c r="C82">
        <v>10</v>
      </c>
      <c r="D82">
        <v>22</v>
      </c>
      <c r="E82">
        <v>0.69</v>
      </c>
      <c r="F82">
        <v>2256</v>
      </c>
      <c r="G82">
        <v>785</v>
      </c>
      <c r="H82">
        <v>1835</v>
      </c>
      <c r="I82">
        <v>460</v>
      </c>
      <c r="J82">
        <v>680</v>
      </c>
      <c r="K82">
        <v>343</v>
      </c>
      <c r="L82">
        <v>1167</v>
      </c>
      <c r="M82">
        <v>401</v>
      </c>
      <c r="N82">
        <v>157</v>
      </c>
      <c r="O82">
        <v>127</v>
      </c>
      <c r="P82">
        <v>454</v>
      </c>
      <c r="Q82">
        <v>593</v>
      </c>
      <c r="R82">
        <v>81</v>
      </c>
    </row>
    <row r="83" spans="1:18">
      <c r="A83" s="1" t="s">
        <v>79</v>
      </c>
      <c r="B83">
        <v>33</v>
      </c>
      <c r="C83">
        <v>15</v>
      </c>
      <c r="D83">
        <v>18</v>
      </c>
      <c r="E83">
        <v>1.33</v>
      </c>
      <c r="F83">
        <v>2088</v>
      </c>
      <c r="G83">
        <v>716</v>
      </c>
      <c r="H83">
        <v>1797</v>
      </c>
      <c r="I83">
        <v>442</v>
      </c>
      <c r="J83">
        <v>673</v>
      </c>
      <c r="K83">
        <v>370</v>
      </c>
      <c r="L83">
        <v>1252</v>
      </c>
      <c r="M83">
        <v>394</v>
      </c>
      <c r="N83">
        <v>168</v>
      </c>
      <c r="O83">
        <v>171</v>
      </c>
      <c r="P83">
        <v>459</v>
      </c>
      <c r="Q83">
        <v>550</v>
      </c>
      <c r="R83">
        <v>82</v>
      </c>
    </row>
    <row r="84" spans="1:18">
      <c r="A84" s="1" t="s">
        <v>80</v>
      </c>
      <c r="B84">
        <v>35</v>
      </c>
      <c r="C84">
        <v>27</v>
      </c>
      <c r="D84">
        <v>8</v>
      </c>
      <c r="E84">
        <v>-2.11</v>
      </c>
      <c r="F84">
        <v>2782</v>
      </c>
      <c r="G84">
        <v>960</v>
      </c>
      <c r="H84">
        <v>1967</v>
      </c>
      <c r="I84">
        <v>597</v>
      </c>
      <c r="J84">
        <v>850</v>
      </c>
      <c r="K84">
        <v>357</v>
      </c>
      <c r="L84">
        <v>1269</v>
      </c>
      <c r="M84">
        <v>516</v>
      </c>
      <c r="N84">
        <v>293</v>
      </c>
      <c r="O84">
        <v>162</v>
      </c>
      <c r="P84">
        <v>519</v>
      </c>
      <c r="Q84">
        <v>698</v>
      </c>
      <c r="R84">
        <v>83</v>
      </c>
    </row>
    <row r="85" spans="1:18">
      <c r="A85" s="1" t="s">
        <v>81</v>
      </c>
      <c r="B85">
        <v>29</v>
      </c>
      <c r="C85">
        <v>14</v>
      </c>
      <c r="D85">
        <v>15</v>
      </c>
      <c r="E85">
        <v>-5.05</v>
      </c>
      <c r="F85">
        <v>2169</v>
      </c>
      <c r="G85">
        <v>772</v>
      </c>
      <c r="H85">
        <v>1852</v>
      </c>
      <c r="I85">
        <v>366</v>
      </c>
      <c r="J85">
        <v>501</v>
      </c>
      <c r="K85">
        <v>347</v>
      </c>
      <c r="L85">
        <v>1081</v>
      </c>
      <c r="M85">
        <v>444</v>
      </c>
      <c r="N85">
        <v>198</v>
      </c>
      <c r="O85">
        <v>119</v>
      </c>
      <c r="P85">
        <v>370</v>
      </c>
      <c r="Q85">
        <v>559</v>
      </c>
      <c r="R85">
        <v>84</v>
      </c>
    </row>
    <row r="86" spans="1:18">
      <c r="A86" s="1" t="s">
        <v>82</v>
      </c>
      <c r="B86">
        <v>31</v>
      </c>
      <c r="C86">
        <v>12</v>
      </c>
      <c r="D86">
        <v>19</v>
      </c>
      <c r="E86">
        <v>-2.44</v>
      </c>
      <c r="F86">
        <v>2197</v>
      </c>
      <c r="G86">
        <v>750</v>
      </c>
      <c r="H86">
        <v>1751</v>
      </c>
      <c r="I86">
        <v>462</v>
      </c>
      <c r="J86">
        <v>655</v>
      </c>
      <c r="K86">
        <v>286</v>
      </c>
      <c r="L86">
        <v>1018</v>
      </c>
      <c r="M86">
        <v>422</v>
      </c>
      <c r="N86">
        <v>185</v>
      </c>
      <c r="O86">
        <v>113</v>
      </c>
      <c r="P86">
        <v>432</v>
      </c>
      <c r="Q86">
        <v>619</v>
      </c>
      <c r="R86">
        <v>85</v>
      </c>
    </row>
    <row r="87" spans="1:18">
      <c r="A87" s="1" t="s">
        <v>83</v>
      </c>
      <c r="B87">
        <v>33</v>
      </c>
      <c r="C87">
        <v>16</v>
      </c>
      <c r="D87">
        <v>17</v>
      </c>
      <c r="E87">
        <v>0.16</v>
      </c>
      <c r="F87">
        <v>2566</v>
      </c>
      <c r="G87">
        <v>918</v>
      </c>
      <c r="H87">
        <v>2046</v>
      </c>
      <c r="I87">
        <v>519</v>
      </c>
      <c r="J87">
        <v>716</v>
      </c>
      <c r="K87">
        <v>420</v>
      </c>
      <c r="L87">
        <v>1201</v>
      </c>
      <c r="M87">
        <v>443</v>
      </c>
      <c r="N87">
        <v>317</v>
      </c>
      <c r="O87">
        <v>144</v>
      </c>
      <c r="P87">
        <v>399</v>
      </c>
      <c r="Q87">
        <v>704</v>
      </c>
      <c r="R87">
        <v>86</v>
      </c>
    </row>
    <row r="88" spans="1:18">
      <c r="A88" s="1" t="s">
        <v>84</v>
      </c>
      <c r="B88">
        <v>34</v>
      </c>
      <c r="C88">
        <v>22</v>
      </c>
      <c r="D88">
        <v>12</v>
      </c>
      <c r="E88">
        <v>-4.43</v>
      </c>
      <c r="F88">
        <v>2695</v>
      </c>
      <c r="G88">
        <v>947</v>
      </c>
      <c r="H88">
        <v>1975</v>
      </c>
      <c r="I88">
        <v>520</v>
      </c>
      <c r="J88">
        <v>675</v>
      </c>
      <c r="K88">
        <v>309</v>
      </c>
      <c r="L88">
        <v>1196</v>
      </c>
      <c r="M88">
        <v>421</v>
      </c>
      <c r="N88">
        <v>158</v>
      </c>
      <c r="O88">
        <v>162</v>
      </c>
      <c r="P88">
        <v>415</v>
      </c>
      <c r="Q88">
        <v>679</v>
      </c>
      <c r="R88">
        <v>87</v>
      </c>
    </row>
    <row r="89" spans="1:18">
      <c r="A89" s="1" t="s">
        <v>85</v>
      </c>
      <c r="B89">
        <v>32</v>
      </c>
      <c r="C89">
        <v>18</v>
      </c>
      <c r="D89">
        <v>14</v>
      </c>
      <c r="E89">
        <v>-1.39</v>
      </c>
      <c r="F89">
        <v>2403</v>
      </c>
      <c r="G89">
        <v>850</v>
      </c>
      <c r="H89">
        <v>1911</v>
      </c>
      <c r="I89">
        <v>395</v>
      </c>
      <c r="J89">
        <v>577</v>
      </c>
      <c r="K89">
        <v>291</v>
      </c>
      <c r="L89">
        <v>1209</v>
      </c>
      <c r="M89">
        <v>466</v>
      </c>
      <c r="N89">
        <v>165</v>
      </c>
      <c r="O89">
        <v>73</v>
      </c>
      <c r="P89">
        <v>374</v>
      </c>
      <c r="Q89">
        <v>532</v>
      </c>
      <c r="R89">
        <v>88</v>
      </c>
    </row>
    <row r="90" spans="1:18">
      <c r="A90" s="1" t="s">
        <v>86</v>
      </c>
      <c r="B90">
        <v>33</v>
      </c>
      <c r="C90">
        <v>16</v>
      </c>
      <c r="D90">
        <v>17</v>
      </c>
      <c r="E90">
        <v>2.42</v>
      </c>
      <c r="F90">
        <v>2288</v>
      </c>
      <c r="G90">
        <v>800</v>
      </c>
      <c r="H90">
        <v>1762</v>
      </c>
      <c r="I90">
        <v>561</v>
      </c>
      <c r="J90">
        <v>787</v>
      </c>
      <c r="K90">
        <v>298</v>
      </c>
      <c r="L90">
        <v>1136</v>
      </c>
      <c r="M90">
        <v>442</v>
      </c>
      <c r="N90">
        <v>172</v>
      </c>
      <c r="O90">
        <v>99</v>
      </c>
      <c r="P90">
        <v>389</v>
      </c>
      <c r="Q90">
        <v>659</v>
      </c>
      <c r="R90">
        <v>89</v>
      </c>
    </row>
    <row r="91" spans="1:18">
      <c r="A91" s="1" t="s">
        <v>87</v>
      </c>
      <c r="B91">
        <v>31</v>
      </c>
      <c r="C91">
        <v>16</v>
      </c>
      <c r="D91">
        <v>15</v>
      </c>
      <c r="E91">
        <v>-3.85</v>
      </c>
      <c r="F91">
        <v>2251</v>
      </c>
      <c r="G91">
        <v>822</v>
      </c>
      <c r="H91">
        <v>1859</v>
      </c>
      <c r="I91">
        <v>345</v>
      </c>
      <c r="J91">
        <v>506</v>
      </c>
      <c r="K91">
        <v>275</v>
      </c>
      <c r="L91">
        <v>1115</v>
      </c>
      <c r="M91">
        <v>464</v>
      </c>
      <c r="N91">
        <v>166</v>
      </c>
      <c r="O91">
        <v>92</v>
      </c>
      <c r="P91">
        <v>416</v>
      </c>
      <c r="Q91">
        <v>567</v>
      </c>
      <c r="R91">
        <v>90</v>
      </c>
    </row>
    <row r="92" spans="1:18">
      <c r="A92" s="1" t="s">
        <v>88</v>
      </c>
      <c r="B92">
        <v>30</v>
      </c>
      <c r="C92">
        <v>11</v>
      </c>
      <c r="D92">
        <v>19</v>
      </c>
      <c r="E92">
        <v>-5.31</v>
      </c>
      <c r="F92">
        <v>2183</v>
      </c>
      <c r="G92">
        <v>754</v>
      </c>
      <c r="H92">
        <v>1713</v>
      </c>
      <c r="I92">
        <v>474</v>
      </c>
      <c r="J92">
        <v>620</v>
      </c>
      <c r="K92">
        <v>291</v>
      </c>
      <c r="L92">
        <v>993</v>
      </c>
      <c r="M92">
        <v>366</v>
      </c>
      <c r="N92">
        <v>189</v>
      </c>
      <c r="O92">
        <v>78</v>
      </c>
      <c r="P92">
        <v>398</v>
      </c>
      <c r="Q92">
        <v>637</v>
      </c>
      <c r="R92">
        <v>91</v>
      </c>
    </row>
    <row r="93" spans="1:18">
      <c r="A93" s="1" t="s">
        <v>89</v>
      </c>
      <c r="B93">
        <v>30</v>
      </c>
      <c r="C93">
        <v>7</v>
      </c>
      <c r="D93">
        <v>23</v>
      </c>
      <c r="E93">
        <v>-11.85</v>
      </c>
      <c r="F93">
        <v>2153</v>
      </c>
      <c r="G93">
        <v>762</v>
      </c>
      <c r="H93">
        <v>1800</v>
      </c>
      <c r="I93">
        <v>442</v>
      </c>
      <c r="J93">
        <v>671</v>
      </c>
      <c r="K93">
        <v>305</v>
      </c>
      <c r="L93">
        <v>1047</v>
      </c>
      <c r="M93">
        <v>379</v>
      </c>
      <c r="N93">
        <v>197</v>
      </c>
      <c r="O93">
        <v>99</v>
      </c>
      <c r="P93">
        <v>407</v>
      </c>
      <c r="Q93">
        <v>568</v>
      </c>
      <c r="R93">
        <v>92</v>
      </c>
    </row>
    <row r="94" spans="1:18">
      <c r="A94" s="1" t="s">
        <v>90</v>
      </c>
      <c r="B94">
        <v>30</v>
      </c>
      <c r="C94">
        <v>10</v>
      </c>
      <c r="D94">
        <v>20</v>
      </c>
      <c r="E94">
        <v>-1.98</v>
      </c>
      <c r="F94">
        <v>2108</v>
      </c>
      <c r="G94">
        <v>756</v>
      </c>
      <c r="H94">
        <v>1838</v>
      </c>
      <c r="I94">
        <v>392</v>
      </c>
      <c r="J94">
        <v>558</v>
      </c>
      <c r="K94">
        <v>316</v>
      </c>
      <c r="L94">
        <v>1066</v>
      </c>
      <c r="M94">
        <v>369</v>
      </c>
      <c r="N94">
        <v>171</v>
      </c>
      <c r="O94">
        <v>93</v>
      </c>
      <c r="P94">
        <v>348</v>
      </c>
      <c r="Q94">
        <v>570</v>
      </c>
      <c r="R94">
        <v>93</v>
      </c>
    </row>
    <row r="95" spans="1:18">
      <c r="A95" s="1" t="s">
        <v>346</v>
      </c>
      <c r="B95">
        <v>34</v>
      </c>
      <c r="C95">
        <v>26</v>
      </c>
      <c r="D95">
        <v>8</v>
      </c>
      <c r="E95">
        <v>-3.42</v>
      </c>
      <c r="F95">
        <v>2701</v>
      </c>
      <c r="G95">
        <v>1007</v>
      </c>
      <c r="H95">
        <v>2017</v>
      </c>
      <c r="I95">
        <v>466</v>
      </c>
      <c r="J95">
        <v>664</v>
      </c>
      <c r="K95">
        <v>379</v>
      </c>
      <c r="L95">
        <v>1269</v>
      </c>
      <c r="M95">
        <v>527</v>
      </c>
      <c r="N95">
        <v>207</v>
      </c>
      <c r="O95">
        <v>116</v>
      </c>
      <c r="P95">
        <v>421</v>
      </c>
      <c r="Q95">
        <v>635</v>
      </c>
      <c r="R95">
        <v>94</v>
      </c>
    </row>
    <row r="96" spans="1:18">
      <c r="A96" s="1" t="s">
        <v>91</v>
      </c>
      <c r="B96">
        <v>31</v>
      </c>
      <c r="C96">
        <v>7</v>
      </c>
      <c r="D96">
        <v>24</v>
      </c>
      <c r="E96">
        <v>-3.27</v>
      </c>
      <c r="F96">
        <v>2178</v>
      </c>
      <c r="G96">
        <v>805</v>
      </c>
      <c r="H96">
        <v>1773</v>
      </c>
      <c r="I96">
        <v>387</v>
      </c>
      <c r="J96">
        <v>516</v>
      </c>
      <c r="K96">
        <v>315</v>
      </c>
      <c r="L96">
        <v>1051</v>
      </c>
      <c r="M96">
        <v>346</v>
      </c>
      <c r="N96">
        <v>185</v>
      </c>
      <c r="O96">
        <v>67</v>
      </c>
      <c r="P96">
        <v>413</v>
      </c>
      <c r="Q96">
        <v>570</v>
      </c>
      <c r="R96">
        <v>95</v>
      </c>
    </row>
    <row r="97" spans="1:18">
      <c r="A97" s="1" t="s">
        <v>92</v>
      </c>
      <c r="B97">
        <v>35</v>
      </c>
      <c r="C97">
        <v>26</v>
      </c>
      <c r="D97">
        <v>9</v>
      </c>
      <c r="E97">
        <v>8.8699999999999992</v>
      </c>
      <c r="F97">
        <v>2873</v>
      </c>
      <c r="G97">
        <v>1036</v>
      </c>
      <c r="H97">
        <v>2146</v>
      </c>
      <c r="I97">
        <v>568</v>
      </c>
      <c r="J97">
        <v>824</v>
      </c>
      <c r="K97">
        <v>409</v>
      </c>
      <c r="L97">
        <v>1324</v>
      </c>
      <c r="M97">
        <v>511</v>
      </c>
      <c r="N97">
        <v>259</v>
      </c>
      <c r="O97">
        <v>180</v>
      </c>
      <c r="P97">
        <v>415</v>
      </c>
      <c r="Q97">
        <v>684</v>
      </c>
      <c r="R97">
        <v>96</v>
      </c>
    </row>
    <row r="98" spans="1:18">
      <c r="A98" s="1" t="s">
        <v>347</v>
      </c>
      <c r="B98">
        <v>36</v>
      </c>
      <c r="C98">
        <v>27</v>
      </c>
      <c r="D98">
        <v>9</v>
      </c>
      <c r="E98">
        <v>11.01</v>
      </c>
      <c r="F98">
        <v>2804</v>
      </c>
      <c r="G98">
        <v>953</v>
      </c>
      <c r="H98">
        <v>2118</v>
      </c>
      <c r="I98">
        <v>620</v>
      </c>
      <c r="J98">
        <v>851</v>
      </c>
      <c r="K98">
        <v>416</v>
      </c>
      <c r="L98">
        <v>1331</v>
      </c>
      <c r="M98">
        <v>450</v>
      </c>
      <c r="N98">
        <v>272</v>
      </c>
      <c r="O98">
        <v>167</v>
      </c>
      <c r="P98">
        <v>431</v>
      </c>
      <c r="Q98">
        <v>661</v>
      </c>
      <c r="R98">
        <v>97</v>
      </c>
    </row>
    <row r="99" spans="1:18">
      <c r="A99" s="1" t="s">
        <v>93</v>
      </c>
      <c r="B99">
        <v>32</v>
      </c>
      <c r="C99">
        <v>13</v>
      </c>
      <c r="D99">
        <v>19</v>
      </c>
      <c r="E99">
        <v>1.36</v>
      </c>
      <c r="F99">
        <v>2090</v>
      </c>
      <c r="G99">
        <v>741</v>
      </c>
      <c r="H99">
        <v>1783</v>
      </c>
      <c r="I99">
        <v>344</v>
      </c>
      <c r="J99">
        <v>474</v>
      </c>
      <c r="K99">
        <v>261</v>
      </c>
      <c r="L99">
        <v>913</v>
      </c>
      <c r="M99">
        <v>429</v>
      </c>
      <c r="N99">
        <v>314</v>
      </c>
      <c r="O99">
        <v>91</v>
      </c>
      <c r="P99">
        <v>418</v>
      </c>
      <c r="Q99">
        <v>611</v>
      </c>
      <c r="R99">
        <v>98</v>
      </c>
    </row>
    <row r="100" spans="1:18">
      <c r="A100" s="1" t="s">
        <v>306</v>
      </c>
      <c r="B100">
        <v>33</v>
      </c>
      <c r="C100">
        <v>20</v>
      </c>
      <c r="D100">
        <v>13</v>
      </c>
      <c r="E100">
        <v>2.31</v>
      </c>
      <c r="F100">
        <v>2426</v>
      </c>
      <c r="G100">
        <v>852</v>
      </c>
      <c r="H100">
        <v>1872</v>
      </c>
      <c r="I100">
        <v>513</v>
      </c>
      <c r="J100">
        <v>763</v>
      </c>
      <c r="K100">
        <v>314</v>
      </c>
      <c r="L100">
        <v>1175</v>
      </c>
      <c r="M100">
        <v>414</v>
      </c>
      <c r="N100">
        <v>277</v>
      </c>
      <c r="O100">
        <v>127</v>
      </c>
      <c r="P100">
        <v>444</v>
      </c>
      <c r="Q100">
        <v>718</v>
      </c>
      <c r="R100">
        <v>99</v>
      </c>
    </row>
    <row r="101" spans="1:18">
      <c r="A101" s="1" t="s">
        <v>94</v>
      </c>
      <c r="B101">
        <v>35</v>
      </c>
      <c r="C101">
        <v>23</v>
      </c>
      <c r="D101">
        <v>12</v>
      </c>
      <c r="E101">
        <v>-3.75</v>
      </c>
      <c r="F101">
        <v>2590</v>
      </c>
      <c r="G101">
        <v>918</v>
      </c>
      <c r="H101">
        <v>1941</v>
      </c>
      <c r="I101">
        <v>435</v>
      </c>
      <c r="J101">
        <v>624</v>
      </c>
      <c r="K101">
        <v>317</v>
      </c>
      <c r="L101">
        <v>1211</v>
      </c>
      <c r="M101">
        <v>524</v>
      </c>
      <c r="N101">
        <v>245</v>
      </c>
      <c r="O101">
        <v>82</v>
      </c>
      <c r="P101">
        <v>451</v>
      </c>
      <c r="Q101">
        <v>613</v>
      </c>
      <c r="R101">
        <v>100</v>
      </c>
    </row>
    <row r="102" spans="1:18">
      <c r="A102" s="1" t="s">
        <v>318</v>
      </c>
      <c r="B102">
        <v>33</v>
      </c>
      <c r="C102">
        <v>19</v>
      </c>
      <c r="D102">
        <v>14</v>
      </c>
      <c r="E102">
        <v>-5.71</v>
      </c>
      <c r="F102">
        <v>2546</v>
      </c>
      <c r="G102">
        <v>913</v>
      </c>
      <c r="H102">
        <v>1905</v>
      </c>
      <c r="I102">
        <v>511</v>
      </c>
      <c r="J102">
        <v>819</v>
      </c>
      <c r="K102">
        <v>372</v>
      </c>
      <c r="L102">
        <v>1259</v>
      </c>
      <c r="M102">
        <v>486</v>
      </c>
      <c r="N102">
        <v>291</v>
      </c>
      <c r="O102">
        <v>118</v>
      </c>
      <c r="P102">
        <v>474</v>
      </c>
      <c r="Q102">
        <v>670</v>
      </c>
      <c r="R102">
        <v>101</v>
      </c>
    </row>
    <row r="103" spans="1:18">
      <c r="A103" s="1" t="s">
        <v>95</v>
      </c>
      <c r="B103">
        <v>34</v>
      </c>
      <c r="C103">
        <v>20</v>
      </c>
      <c r="D103">
        <v>14</v>
      </c>
      <c r="E103">
        <v>1.28</v>
      </c>
      <c r="F103">
        <v>2519</v>
      </c>
      <c r="G103">
        <v>879</v>
      </c>
      <c r="H103">
        <v>1962</v>
      </c>
      <c r="I103">
        <v>579</v>
      </c>
      <c r="J103">
        <v>775</v>
      </c>
      <c r="K103">
        <v>381</v>
      </c>
      <c r="L103">
        <v>1370</v>
      </c>
      <c r="M103">
        <v>398</v>
      </c>
      <c r="N103">
        <v>169</v>
      </c>
      <c r="O103">
        <v>96</v>
      </c>
      <c r="P103">
        <v>440</v>
      </c>
      <c r="Q103">
        <v>570</v>
      </c>
      <c r="R103">
        <v>102</v>
      </c>
    </row>
    <row r="104" spans="1:18">
      <c r="A104" s="1" t="s">
        <v>96</v>
      </c>
      <c r="B104">
        <v>35</v>
      </c>
      <c r="C104">
        <v>20</v>
      </c>
      <c r="D104">
        <v>15</v>
      </c>
      <c r="E104">
        <v>2.11</v>
      </c>
      <c r="F104">
        <v>2447</v>
      </c>
      <c r="G104">
        <v>821</v>
      </c>
      <c r="H104">
        <v>1938</v>
      </c>
      <c r="I104">
        <v>529</v>
      </c>
      <c r="J104">
        <v>710</v>
      </c>
      <c r="K104">
        <v>394</v>
      </c>
      <c r="L104">
        <v>1279</v>
      </c>
      <c r="M104">
        <v>466</v>
      </c>
      <c r="N104">
        <v>192</v>
      </c>
      <c r="O104">
        <v>136</v>
      </c>
      <c r="P104">
        <v>453</v>
      </c>
      <c r="Q104">
        <v>541</v>
      </c>
      <c r="R104">
        <v>103</v>
      </c>
    </row>
    <row r="105" spans="1:18">
      <c r="A105" s="1" t="s">
        <v>97</v>
      </c>
      <c r="B105">
        <v>32</v>
      </c>
      <c r="C105">
        <v>14</v>
      </c>
      <c r="D105">
        <v>18</v>
      </c>
      <c r="E105">
        <v>9.31</v>
      </c>
      <c r="F105">
        <v>2369</v>
      </c>
      <c r="G105">
        <v>808</v>
      </c>
      <c r="H105">
        <v>1752</v>
      </c>
      <c r="I105">
        <v>547</v>
      </c>
      <c r="J105">
        <v>746</v>
      </c>
      <c r="K105">
        <v>305</v>
      </c>
      <c r="L105">
        <v>1142</v>
      </c>
      <c r="M105">
        <v>480</v>
      </c>
      <c r="N105">
        <v>175</v>
      </c>
      <c r="O105">
        <v>147</v>
      </c>
      <c r="P105">
        <v>454</v>
      </c>
      <c r="Q105">
        <v>672</v>
      </c>
      <c r="R105">
        <v>104</v>
      </c>
    </row>
    <row r="106" spans="1:18">
      <c r="A106" s="1" t="s">
        <v>98</v>
      </c>
      <c r="B106">
        <v>33</v>
      </c>
      <c r="C106">
        <v>18</v>
      </c>
      <c r="D106">
        <v>15</v>
      </c>
      <c r="E106">
        <v>-2.83</v>
      </c>
      <c r="F106">
        <v>2492</v>
      </c>
      <c r="G106">
        <v>841</v>
      </c>
      <c r="H106">
        <v>1909</v>
      </c>
      <c r="I106">
        <v>507</v>
      </c>
      <c r="J106">
        <v>763</v>
      </c>
      <c r="K106">
        <v>320</v>
      </c>
      <c r="L106">
        <v>1147</v>
      </c>
      <c r="M106">
        <v>342</v>
      </c>
      <c r="N106">
        <v>224</v>
      </c>
      <c r="O106">
        <v>102</v>
      </c>
      <c r="P106">
        <v>388</v>
      </c>
      <c r="Q106">
        <v>641</v>
      </c>
      <c r="R106">
        <v>105</v>
      </c>
    </row>
    <row r="107" spans="1:18">
      <c r="A107" s="1" t="s">
        <v>99</v>
      </c>
      <c r="B107">
        <v>33</v>
      </c>
      <c r="C107">
        <v>20</v>
      </c>
      <c r="D107">
        <v>13</v>
      </c>
      <c r="E107">
        <v>-2.17</v>
      </c>
      <c r="F107">
        <v>2442</v>
      </c>
      <c r="G107">
        <v>885</v>
      </c>
      <c r="H107">
        <v>1888</v>
      </c>
      <c r="I107">
        <v>426</v>
      </c>
      <c r="J107">
        <v>658</v>
      </c>
      <c r="K107">
        <v>334</v>
      </c>
      <c r="L107">
        <v>1174</v>
      </c>
      <c r="M107">
        <v>399</v>
      </c>
      <c r="N107">
        <v>236</v>
      </c>
      <c r="O107">
        <v>140</v>
      </c>
      <c r="P107">
        <v>463</v>
      </c>
      <c r="Q107">
        <v>673</v>
      </c>
      <c r="R107">
        <v>106</v>
      </c>
    </row>
    <row r="108" spans="1:18">
      <c r="A108" s="1" t="s">
        <v>100</v>
      </c>
      <c r="B108">
        <v>37</v>
      </c>
      <c r="C108">
        <v>21</v>
      </c>
      <c r="D108">
        <v>16</v>
      </c>
      <c r="E108">
        <v>8.2100000000000009</v>
      </c>
      <c r="F108">
        <v>2496</v>
      </c>
      <c r="G108">
        <v>910</v>
      </c>
      <c r="H108">
        <v>2079</v>
      </c>
      <c r="I108">
        <v>505</v>
      </c>
      <c r="J108">
        <v>740</v>
      </c>
      <c r="K108">
        <v>356</v>
      </c>
      <c r="L108">
        <v>1330</v>
      </c>
      <c r="M108">
        <v>570</v>
      </c>
      <c r="N108">
        <v>245</v>
      </c>
      <c r="O108">
        <v>221</v>
      </c>
      <c r="P108">
        <v>494</v>
      </c>
      <c r="Q108">
        <v>592</v>
      </c>
      <c r="R108">
        <v>107</v>
      </c>
    </row>
    <row r="109" spans="1:18">
      <c r="A109" s="1" t="s">
        <v>101</v>
      </c>
      <c r="B109">
        <v>34</v>
      </c>
      <c r="C109">
        <v>19</v>
      </c>
      <c r="D109">
        <v>15</v>
      </c>
      <c r="E109">
        <v>10.28</v>
      </c>
      <c r="F109">
        <v>2435</v>
      </c>
      <c r="G109">
        <v>836</v>
      </c>
      <c r="H109">
        <v>1903</v>
      </c>
      <c r="I109">
        <v>588</v>
      </c>
      <c r="J109">
        <v>777</v>
      </c>
      <c r="K109">
        <v>330</v>
      </c>
      <c r="L109">
        <v>1259</v>
      </c>
      <c r="M109">
        <v>429</v>
      </c>
      <c r="N109">
        <v>182</v>
      </c>
      <c r="O109">
        <v>126</v>
      </c>
      <c r="P109">
        <v>444</v>
      </c>
      <c r="Q109">
        <v>632</v>
      </c>
      <c r="R109">
        <v>108</v>
      </c>
    </row>
    <row r="110" spans="1:18">
      <c r="A110" s="1" t="s">
        <v>374</v>
      </c>
      <c r="B110">
        <v>39</v>
      </c>
      <c r="C110">
        <v>37</v>
      </c>
      <c r="D110">
        <v>2</v>
      </c>
      <c r="E110">
        <v>4.13</v>
      </c>
      <c r="F110">
        <v>3222</v>
      </c>
      <c r="G110">
        <v>1149</v>
      </c>
      <c r="H110">
        <v>2280</v>
      </c>
      <c r="I110">
        <v>638</v>
      </c>
      <c r="J110">
        <v>890</v>
      </c>
      <c r="K110">
        <v>378</v>
      </c>
      <c r="L110">
        <v>1587</v>
      </c>
      <c r="M110">
        <v>595</v>
      </c>
      <c r="N110">
        <v>265</v>
      </c>
      <c r="O110">
        <v>183</v>
      </c>
      <c r="P110">
        <v>448</v>
      </c>
      <c r="Q110">
        <v>660</v>
      </c>
      <c r="R110">
        <v>109</v>
      </c>
    </row>
    <row r="111" spans="1:18">
      <c r="A111" s="1" t="s">
        <v>102</v>
      </c>
      <c r="B111">
        <v>33</v>
      </c>
      <c r="C111">
        <v>16</v>
      </c>
      <c r="D111">
        <v>17</v>
      </c>
      <c r="E111">
        <v>-11.89</v>
      </c>
      <c r="F111">
        <v>2361</v>
      </c>
      <c r="G111">
        <v>841</v>
      </c>
      <c r="H111">
        <v>1943</v>
      </c>
      <c r="I111">
        <v>495</v>
      </c>
      <c r="J111">
        <v>747</v>
      </c>
      <c r="K111">
        <v>398</v>
      </c>
      <c r="L111">
        <v>1108</v>
      </c>
      <c r="M111">
        <v>368</v>
      </c>
      <c r="N111">
        <v>292</v>
      </c>
      <c r="O111">
        <v>76</v>
      </c>
      <c r="P111">
        <v>450</v>
      </c>
      <c r="Q111">
        <v>658</v>
      </c>
      <c r="R111">
        <v>110</v>
      </c>
    </row>
    <row r="112" spans="1:18">
      <c r="A112" s="1" t="s">
        <v>364</v>
      </c>
      <c r="B112">
        <v>31</v>
      </c>
      <c r="C112">
        <v>22</v>
      </c>
      <c r="D112">
        <v>9</v>
      </c>
      <c r="E112">
        <v>-4.22</v>
      </c>
      <c r="F112">
        <v>2282</v>
      </c>
      <c r="G112">
        <v>790</v>
      </c>
      <c r="H112">
        <v>1812</v>
      </c>
      <c r="I112">
        <v>497</v>
      </c>
      <c r="J112">
        <v>747</v>
      </c>
      <c r="K112">
        <v>335</v>
      </c>
      <c r="L112">
        <v>1166</v>
      </c>
      <c r="M112">
        <v>423</v>
      </c>
      <c r="N112">
        <v>233</v>
      </c>
      <c r="O112">
        <v>79</v>
      </c>
      <c r="P112">
        <v>397</v>
      </c>
      <c r="Q112">
        <v>539</v>
      </c>
      <c r="R112">
        <v>111</v>
      </c>
    </row>
    <row r="113" spans="1:18">
      <c r="A113" s="1" t="s">
        <v>103</v>
      </c>
      <c r="B113">
        <v>32</v>
      </c>
      <c r="C113">
        <v>18</v>
      </c>
      <c r="D113">
        <v>14</v>
      </c>
      <c r="E113">
        <v>-2.83</v>
      </c>
      <c r="F113">
        <v>2565</v>
      </c>
      <c r="G113">
        <v>913</v>
      </c>
      <c r="H113">
        <v>2061</v>
      </c>
      <c r="I113">
        <v>542</v>
      </c>
      <c r="J113">
        <v>787</v>
      </c>
      <c r="K113">
        <v>387</v>
      </c>
      <c r="L113">
        <v>1312</v>
      </c>
      <c r="M113">
        <v>446</v>
      </c>
      <c r="N113">
        <v>247</v>
      </c>
      <c r="O113">
        <v>133</v>
      </c>
      <c r="P113">
        <v>448</v>
      </c>
      <c r="Q113">
        <v>632</v>
      </c>
      <c r="R113">
        <v>112</v>
      </c>
    </row>
    <row r="114" spans="1:18">
      <c r="A114" s="1" t="s">
        <v>104</v>
      </c>
      <c r="B114">
        <v>31</v>
      </c>
      <c r="C114">
        <v>14</v>
      </c>
      <c r="D114">
        <v>17</v>
      </c>
      <c r="E114">
        <v>-9.92</v>
      </c>
      <c r="F114">
        <v>2149</v>
      </c>
      <c r="G114">
        <v>751</v>
      </c>
      <c r="H114">
        <v>1844</v>
      </c>
      <c r="I114">
        <v>451</v>
      </c>
      <c r="J114">
        <v>633</v>
      </c>
      <c r="K114">
        <v>371</v>
      </c>
      <c r="L114">
        <v>1143</v>
      </c>
      <c r="M114">
        <v>364</v>
      </c>
      <c r="N114">
        <v>152</v>
      </c>
      <c r="O114">
        <v>113</v>
      </c>
      <c r="P114">
        <v>435</v>
      </c>
      <c r="Q114">
        <v>633</v>
      </c>
      <c r="R114">
        <v>113</v>
      </c>
    </row>
    <row r="115" spans="1:18">
      <c r="A115" s="1" t="s">
        <v>105</v>
      </c>
      <c r="B115">
        <v>32</v>
      </c>
      <c r="C115">
        <v>9</v>
      </c>
      <c r="D115">
        <v>23</v>
      </c>
      <c r="E115">
        <v>-5.56</v>
      </c>
      <c r="F115">
        <v>2136</v>
      </c>
      <c r="G115">
        <v>730</v>
      </c>
      <c r="H115">
        <v>1814</v>
      </c>
      <c r="I115">
        <v>413</v>
      </c>
      <c r="J115">
        <v>591</v>
      </c>
      <c r="K115">
        <v>292</v>
      </c>
      <c r="L115">
        <v>1046</v>
      </c>
      <c r="M115">
        <v>367</v>
      </c>
      <c r="N115">
        <v>228</v>
      </c>
      <c r="O115">
        <v>118</v>
      </c>
      <c r="P115">
        <v>462</v>
      </c>
      <c r="Q115">
        <v>603</v>
      </c>
      <c r="R115">
        <v>114</v>
      </c>
    </row>
    <row r="116" spans="1:18">
      <c r="A116" s="1" t="s">
        <v>106</v>
      </c>
      <c r="B116">
        <v>28</v>
      </c>
      <c r="C116">
        <v>18</v>
      </c>
      <c r="D116">
        <v>10</v>
      </c>
      <c r="E116">
        <v>-2.2400000000000002</v>
      </c>
      <c r="F116">
        <v>2012</v>
      </c>
      <c r="G116">
        <v>699</v>
      </c>
      <c r="H116">
        <v>1564</v>
      </c>
      <c r="I116">
        <v>385</v>
      </c>
      <c r="J116">
        <v>518</v>
      </c>
      <c r="K116">
        <v>284</v>
      </c>
      <c r="L116">
        <v>1005</v>
      </c>
      <c r="M116">
        <v>403</v>
      </c>
      <c r="N116">
        <v>176</v>
      </c>
      <c r="O116">
        <v>133</v>
      </c>
      <c r="P116">
        <v>359</v>
      </c>
      <c r="Q116">
        <v>531</v>
      </c>
      <c r="R116">
        <v>115</v>
      </c>
    </row>
    <row r="117" spans="1:18">
      <c r="A117" s="1" t="s">
        <v>107</v>
      </c>
      <c r="B117">
        <v>30</v>
      </c>
      <c r="C117">
        <v>14</v>
      </c>
      <c r="D117">
        <v>16</v>
      </c>
      <c r="E117">
        <v>-4.92</v>
      </c>
      <c r="F117">
        <v>2042</v>
      </c>
      <c r="G117">
        <v>698</v>
      </c>
      <c r="H117">
        <v>1650</v>
      </c>
      <c r="I117">
        <v>432</v>
      </c>
      <c r="J117">
        <v>604</v>
      </c>
      <c r="K117">
        <v>287</v>
      </c>
      <c r="L117">
        <v>966</v>
      </c>
      <c r="M117">
        <v>418</v>
      </c>
      <c r="N117">
        <v>150</v>
      </c>
      <c r="O117">
        <v>57</v>
      </c>
      <c r="P117">
        <v>414</v>
      </c>
      <c r="Q117">
        <v>570</v>
      </c>
      <c r="R117">
        <v>116</v>
      </c>
    </row>
    <row r="118" spans="1:18">
      <c r="A118" s="1" t="s">
        <v>108</v>
      </c>
      <c r="B118">
        <v>31</v>
      </c>
      <c r="C118">
        <v>15</v>
      </c>
      <c r="D118">
        <v>16</v>
      </c>
      <c r="E118">
        <v>-6.28</v>
      </c>
      <c r="F118">
        <v>2133</v>
      </c>
      <c r="G118">
        <v>732</v>
      </c>
      <c r="H118">
        <v>1693</v>
      </c>
      <c r="I118">
        <v>473</v>
      </c>
      <c r="J118">
        <v>636</v>
      </c>
      <c r="K118">
        <v>307</v>
      </c>
      <c r="L118">
        <v>1088</v>
      </c>
      <c r="M118">
        <v>389</v>
      </c>
      <c r="N118">
        <v>184</v>
      </c>
      <c r="O118">
        <v>96</v>
      </c>
      <c r="P118">
        <v>407</v>
      </c>
      <c r="Q118">
        <v>539</v>
      </c>
      <c r="R118">
        <v>117</v>
      </c>
    </row>
    <row r="119" spans="1:18">
      <c r="A119" s="1" t="s">
        <v>307</v>
      </c>
      <c r="B119">
        <v>32</v>
      </c>
      <c r="C119">
        <v>15</v>
      </c>
      <c r="D119">
        <v>17</v>
      </c>
      <c r="E119">
        <v>-1.9</v>
      </c>
      <c r="F119">
        <v>2473</v>
      </c>
      <c r="G119">
        <v>846</v>
      </c>
      <c r="H119">
        <v>1908</v>
      </c>
      <c r="I119">
        <v>490</v>
      </c>
      <c r="J119">
        <v>716</v>
      </c>
      <c r="K119">
        <v>371</v>
      </c>
      <c r="L119">
        <v>1164</v>
      </c>
      <c r="M119">
        <v>419</v>
      </c>
      <c r="N119">
        <v>142</v>
      </c>
      <c r="O119">
        <v>82</v>
      </c>
      <c r="P119">
        <v>341</v>
      </c>
      <c r="Q119">
        <v>544</v>
      </c>
      <c r="R119">
        <v>118</v>
      </c>
    </row>
    <row r="120" spans="1:18">
      <c r="A120" s="1" t="s">
        <v>109</v>
      </c>
      <c r="B120">
        <v>32</v>
      </c>
      <c r="C120">
        <v>15</v>
      </c>
      <c r="D120">
        <v>17</v>
      </c>
      <c r="E120">
        <v>-3.51</v>
      </c>
      <c r="F120">
        <v>1932</v>
      </c>
      <c r="G120">
        <v>663</v>
      </c>
      <c r="H120">
        <v>1552</v>
      </c>
      <c r="I120">
        <v>370</v>
      </c>
      <c r="J120">
        <v>534</v>
      </c>
      <c r="K120">
        <v>189</v>
      </c>
      <c r="L120">
        <v>811</v>
      </c>
      <c r="M120">
        <v>426</v>
      </c>
      <c r="N120">
        <v>302</v>
      </c>
      <c r="O120">
        <v>76</v>
      </c>
      <c r="P120">
        <v>351</v>
      </c>
      <c r="Q120">
        <v>515</v>
      </c>
      <c r="R120">
        <v>119</v>
      </c>
    </row>
    <row r="121" spans="1:18">
      <c r="A121" s="1" t="s">
        <v>353</v>
      </c>
      <c r="B121">
        <v>31</v>
      </c>
      <c r="C121">
        <v>17</v>
      </c>
      <c r="D121">
        <v>14</v>
      </c>
      <c r="E121">
        <v>-4.4400000000000004</v>
      </c>
      <c r="F121">
        <v>2441</v>
      </c>
      <c r="G121">
        <v>871</v>
      </c>
      <c r="H121">
        <v>1924</v>
      </c>
      <c r="I121">
        <v>504</v>
      </c>
      <c r="J121">
        <v>721</v>
      </c>
      <c r="K121">
        <v>425</v>
      </c>
      <c r="L121">
        <v>1199</v>
      </c>
      <c r="M121">
        <v>457</v>
      </c>
      <c r="N121">
        <v>195</v>
      </c>
      <c r="O121">
        <v>81</v>
      </c>
      <c r="P121">
        <v>410</v>
      </c>
      <c r="Q121">
        <v>597</v>
      </c>
      <c r="R121">
        <v>120</v>
      </c>
    </row>
    <row r="122" spans="1:18">
      <c r="A122" s="1" t="s">
        <v>110</v>
      </c>
      <c r="B122">
        <v>32</v>
      </c>
      <c r="C122">
        <v>21</v>
      </c>
      <c r="D122">
        <v>11</v>
      </c>
      <c r="E122">
        <v>3.42</v>
      </c>
      <c r="F122">
        <v>2358</v>
      </c>
      <c r="G122">
        <v>850</v>
      </c>
      <c r="H122">
        <v>1902</v>
      </c>
      <c r="I122">
        <v>390</v>
      </c>
      <c r="J122">
        <v>544</v>
      </c>
      <c r="K122">
        <v>362</v>
      </c>
      <c r="L122">
        <v>1138</v>
      </c>
      <c r="M122">
        <v>406</v>
      </c>
      <c r="N122">
        <v>170</v>
      </c>
      <c r="O122">
        <v>113</v>
      </c>
      <c r="P122">
        <v>315</v>
      </c>
      <c r="Q122">
        <v>601</v>
      </c>
      <c r="R122">
        <v>121</v>
      </c>
    </row>
    <row r="123" spans="1:18">
      <c r="A123" s="1" t="s">
        <v>111</v>
      </c>
      <c r="B123">
        <v>34</v>
      </c>
      <c r="C123">
        <v>10</v>
      </c>
      <c r="D123">
        <v>24</v>
      </c>
      <c r="E123">
        <v>-7.97</v>
      </c>
      <c r="F123">
        <v>2163</v>
      </c>
      <c r="G123">
        <v>723</v>
      </c>
      <c r="H123">
        <v>1856</v>
      </c>
      <c r="I123">
        <v>547</v>
      </c>
      <c r="J123">
        <v>833</v>
      </c>
      <c r="K123">
        <v>420</v>
      </c>
      <c r="L123">
        <v>1257</v>
      </c>
      <c r="M123">
        <v>307</v>
      </c>
      <c r="N123">
        <v>179</v>
      </c>
      <c r="O123">
        <v>126</v>
      </c>
      <c r="P123">
        <v>500</v>
      </c>
      <c r="Q123">
        <v>636</v>
      </c>
      <c r="R123">
        <v>122</v>
      </c>
    </row>
    <row r="124" spans="1:18">
      <c r="A124" s="1" t="s">
        <v>112</v>
      </c>
      <c r="B124">
        <v>31</v>
      </c>
      <c r="C124">
        <v>5</v>
      </c>
      <c r="D124">
        <v>26</v>
      </c>
      <c r="E124">
        <v>-3.37</v>
      </c>
      <c r="F124">
        <v>2164</v>
      </c>
      <c r="G124">
        <v>742</v>
      </c>
      <c r="H124">
        <v>1708</v>
      </c>
      <c r="I124">
        <v>443</v>
      </c>
      <c r="J124">
        <v>648</v>
      </c>
      <c r="K124">
        <v>233</v>
      </c>
      <c r="L124">
        <v>921</v>
      </c>
      <c r="M124">
        <v>316</v>
      </c>
      <c r="N124">
        <v>224</v>
      </c>
      <c r="O124">
        <v>73</v>
      </c>
      <c r="P124">
        <v>400</v>
      </c>
      <c r="Q124">
        <v>578</v>
      </c>
      <c r="R124">
        <v>123</v>
      </c>
    </row>
    <row r="125" spans="1:18">
      <c r="A125" s="1" t="s">
        <v>113</v>
      </c>
      <c r="B125">
        <v>33</v>
      </c>
      <c r="C125">
        <v>19</v>
      </c>
      <c r="D125">
        <v>14</v>
      </c>
      <c r="E125">
        <v>-5.89</v>
      </c>
      <c r="F125">
        <v>2412</v>
      </c>
      <c r="G125">
        <v>809</v>
      </c>
      <c r="H125">
        <v>1870</v>
      </c>
      <c r="I125">
        <v>539</v>
      </c>
      <c r="J125">
        <v>746</v>
      </c>
      <c r="K125">
        <v>362</v>
      </c>
      <c r="L125">
        <v>1213</v>
      </c>
      <c r="M125">
        <v>422</v>
      </c>
      <c r="N125">
        <v>164</v>
      </c>
      <c r="O125">
        <v>81</v>
      </c>
      <c r="P125">
        <v>421</v>
      </c>
      <c r="Q125">
        <v>697</v>
      </c>
      <c r="R125">
        <v>124</v>
      </c>
    </row>
    <row r="126" spans="1:18">
      <c r="A126" s="1" t="s">
        <v>114</v>
      </c>
      <c r="B126">
        <v>36</v>
      </c>
      <c r="C126">
        <v>17</v>
      </c>
      <c r="D126">
        <v>19</v>
      </c>
      <c r="E126">
        <v>-3.63</v>
      </c>
      <c r="F126">
        <v>2749</v>
      </c>
      <c r="G126">
        <v>939</v>
      </c>
      <c r="H126">
        <v>2113</v>
      </c>
      <c r="I126">
        <v>599</v>
      </c>
      <c r="J126">
        <v>843</v>
      </c>
      <c r="K126">
        <v>422</v>
      </c>
      <c r="L126">
        <v>1429</v>
      </c>
      <c r="M126">
        <v>524</v>
      </c>
      <c r="N126">
        <v>197</v>
      </c>
      <c r="O126">
        <v>183</v>
      </c>
      <c r="P126">
        <v>589</v>
      </c>
      <c r="Q126">
        <v>678</v>
      </c>
      <c r="R126">
        <v>125</v>
      </c>
    </row>
    <row r="127" spans="1:18">
      <c r="A127" s="1" t="s">
        <v>115</v>
      </c>
      <c r="B127">
        <v>35</v>
      </c>
      <c r="C127">
        <v>28</v>
      </c>
      <c r="D127">
        <v>7</v>
      </c>
      <c r="E127">
        <v>2.71</v>
      </c>
      <c r="F127">
        <v>2418</v>
      </c>
      <c r="G127">
        <v>865</v>
      </c>
      <c r="H127">
        <v>1972</v>
      </c>
      <c r="I127">
        <v>394</v>
      </c>
      <c r="J127">
        <v>593</v>
      </c>
      <c r="K127">
        <v>369</v>
      </c>
      <c r="L127">
        <v>1293</v>
      </c>
      <c r="M127">
        <v>483</v>
      </c>
      <c r="N127">
        <v>250</v>
      </c>
      <c r="O127">
        <v>170</v>
      </c>
      <c r="P127">
        <v>427</v>
      </c>
      <c r="Q127">
        <v>620</v>
      </c>
      <c r="R127">
        <v>126</v>
      </c>
    </row>
    <row r="128" spans="1:18">
      <c r="A128" s="1" t="s">
        <v>348</v>
      </c>
      <c r="B128">
        <v>35</v>
      </c>
      <c r="C128">
        <v>20</v>
      </c>
      <c r="D128">
        <v>15</v>
      </c>
      <c r="E128">
        <v>9.25</v>
      </c>
      <c r="F128">
        <v>2508</v>
      </c>
      <c r="G128">
        <v>898</v>
      </c>
      <c r="H128">
        <v>2019</v>
      </c>
      <c r="I128">
        <v>442</v>
      </c>
      <c r="J128">
        <v>643</v>
      </c>
      <c r="K128">
        <v>342</v>
      </c>
      <c r="L128">
        <v>1217</v>
      </c>
      <c r="M128">
        <v>472</v>
      </c>
      <c r="N128">
        <v>197</v>
      </c>
      <c r="O128">
        <v>83</v>
      </c>
      <c r="P128">
        <v>433</v>
      </c>
      <c r="Q128">
        <v>641</v>
      </c>
      <c r="R128">
        <v>127</v>
      </c>
    </row>
    <row r="129" spans="1:18">
      <c r="A129" s="1" t="s">
        <v>365</v>
      </c>
      <c r="B129">
        <v>29</v>
      </c>
      <c r="C129">
        <v>12</v>
      </c>
      <c r="D129">
        <v>17</v>
      </c>
      <c r="E129">
        <v>-5.62</v>
      </c>
      <c r="F129">
        <v>2212</v>
      </c>
      <c r="G129">
        <v>736</v>
      </c>
      <c r="H129">
        <v>1617</v>
      </c>
      <c r="I129">
        <v>507</v>
      </c>
      <c r="J129">
        <v>731</v>
      </c>
      <c r="K129">
        <v>229</v>
      </c>
      <c r="L129">
        <v>950</v>
      </c>
      <c r="M129">
        <v>362</v>
      </c>
      <c r="N129">
        <v>168</v>
      </c>
      <c r="O129">
        <v>136</v>
      </c>
      <c r="P129">
        <v>391</v>
      </c>
      <c r="Q129">
        <v>583</v>
      </c>
      <c r="R129">
        <v>128</v>
      </c>
    </row>
    <row r="130" spans="1:18">
      <c r="A130" s="1" t="s">
        <v>308</v>
      </c>
      <c r="B130">
        <v>31</v>
      </c>
      <c r="C130">
        <v>11</v>
      </c>
      <c r="D130">
        <v>20</v>
      </c>
      <c r="E130">
        <v>3.18</v>
      </c>
      <c r="F130">
        <v>2170</v>
      </c>
      <c r="G130">
        <v>762</v>
      </c>
      <c r="H130">
        <v>1832</v>
      </c>
      <c r="I130">
        <v>392</v>
      </c>
      <c r="J130">
        <v>576</v>
      </c>
      <c r="K130">
        <v>263</v>
      </c>
      <c r="L130">
        <v>1111</v>
      </c>
      <c r="M130">
        <v>417</v>
      </c>
      <c r="N130">
        <v>204</v>
      </c>
      <c r="O130">
        <v>126</v>
      </c>
      <c r="P130">
        <v>396</v>
      </c>
      <c r="Q130">
        <v>660</v>
      </c>
      <c r="R130">
        <v>129</v>
      </c>
    </row>
    <row r="131" spans="1:18">
      <c r="A131" s="1" t="s">
        <v>327</v>
      </c>
      <c r="B131">
        <v>34</v>
      </c>
      <c r="C131">
        <v>18</v>
      </c>
      <c r="D131">
        <v>16</v>
      </c>
      <c r="E131">
        <v>8.16</v>
      </c>
      <c r="F131">
        <v>2711</v>
      </c>
      <c r="G131">
        <v>959</v>
      </c>
      <c r="H131">
        <v>2004</v>
      </c>
      <c r="I131">
        <v>498</v>
      </c>
      <c r="J131">
        <v>683</v>
      </c>
      <c r="K131">
        <v>413</v>
      </c>
      <c r="L131">
        <v>1328</v>
      </c>
      <c r="M131">
        <v>488</v>
      </c>
      <c r="N131">
        <v>209</v>
      </c>
      <c r="O131">
        <v>157</v>
      </c>
      <c r="P131">
        <v>517</v>
      </c>
      <c r="Q131">
        <v>682</v>
      </c>
      <c r="R131">
        <v>130</v>
      </c>
    </row>
    <row r="132" spans="1:18">
      <c r="A132" s="1" t="s">
        <v>309</v>
      </c>
      <c r="B132">
        <v>35</v>
      </c>
      <c r="C132">
        <v>22</v>
      </c>
      <c r="D132">
        <v>13</v>
      </c>
      <c r="E132">
        <v>-2.4700000000000002</v>
      </c>
      <c r="F132">
        <v>2813</v>
      </c>
      <c r="G132">
        <v>979</v>
      </c>
      <c r="H132">
        <v>2155</v>
      </c>
      <c r="I132">
        <v>513</v>
      </c>
      <c r="J132">
        <v>668</v>
      </c>
      <c r="K132">
        <v>337</v>
      </c>
      <c r="L132">
        <v>1250</v>
      </c>
      <c r="M132">
        <v>541</v>
      </c>
      <c r="N132">
        <v>239</v>
      </c>
      <c r="O132">
        <v>108</v>
      </c>
      <c r="P132">
        <v>421</v>
      </c>
      <c r="Q132">
        <v>669</v>
      </c>
      <c r="R132">
        <v>131</v>
      </c>
    </row>
    <row r="133" spans="1:18">
      <c r="A133" s="1" t="s">
        <v>310</v>
      </c>
      <c r="B133">
        <v>35</v>
      </c>
      <c r="C133">
        <v>24</v>
      </c>
      <c r="D133">
        <v>11</v>
      </c>
      <c r="E133">
        <v>11.94</v>
      </c>
      <c r="F133">
        <v>2829</v>
      </c>
      <c r="G133">
        <v>1031</v>
      </c>
      <c r="H133">
        <v>2186</v>
      </c>
      <c r="I133">
        <v>423</v>
      </c>
      <c r="J133">
        <v>604</v>
      </c>
      <c r="K133">
        <v>318</v>
      </c>
      <c r="L133">
        <v>1219</v>
      </c>
      <c r="M133">
        <v>553</v>
      </c>
      <c r="N133">
        <v>272</v>
      </c>
      <c r="O133">
        <v>124</v>
      </c>
      <c r="P133">
        <v>355</v>
      </c>
      <c r="Q133">
        <v>557</v>
      </c>
      <c r="R133">
        <v>132</v>
      </c>
    </row>
    <row r="134" spans="1:18">
      <c r="A134" s="1" t="s">
        <v>116</v>
      </c>
      <c r="B134">
        <v>34</v>
      </c>
      <c r="C134">
        <v>19</v>
      </c>
      <c r="D134">
        <v>15</v>
      </c>
      <c r="E134">
        <v>7.54</v>
      </c>
      <c r="F134">
        <v>2738</v>
      </c>
      <c r="G134">
        <v>964</v>
      </c>
      <c r="H134">
        <v>2121</v>
      </c>
      <c r="I134">
        <v>510</v>
      </c>
      <c r="J134">
        <v>741</v>
      </c>
      <c r="K134">
        <v>408</v>
      </c>
      <c r="L134">
        <v>1306</v>
      </c>
      <c r="M134">
        <v>602</v>
      </c>
      <c r="N134">
        <v>252</v>
      </c>
      <c r="O134">
        <v>130</v>
      </c>
      <c r="P134">
        <v>472</v>
      </c>
      <c r="Q134">
        <v>608</v>
      </c>
      <c r="R134">
        <v>133</v>
      </c>
    </row>
    <row r="135" spans="1:18">
      <c r="A135" s="1" t="s">
        <v>319</v>
      </c>
      <c r="B135">
        <v>33</v>
      </c>
      <c r="C135">
        <v>20</v>
      </c>
      <c r="D135">
        <v>13</v>
      </c>
      <c r="E135">
        <v>-3.19</v>
      </c>
      <c r="F135">
        <v>2869</v>
      </c>
      <c r="G135">
        <v>1055</v>
      </c>
      <c r="H135">
        <v>2127</v>
      </c>
      <c r="I135">
        <v>407</v>
      </c>
      <c r="J135">
        <v>561</v>
      </c>
      <c r="K135">
        <v>334</v>
      </c>
      <c r="L135">
        <v>1245</v>
      </c>
      <c r="M135">
        <v>576</v>
      </c>
      <c r="N135">
        <v>255</v>
      </c>
      <c r="O135">
        <v>129</v>
      </c>
      <c r="P135">
        <v>450</v>
      </c>
      <c r="Q135">
        <v>592</v>
      </c>
      <c r="R135">
        <v>134</v>
      </c>
    </row>
    <row r="136" spans="1:18">
      <c r="A136" s="1" t="s">
        <v>117</v>
      </c>
      <c r="B136">
        <v>32</v>
      </c>
      <c r="C136">
        <v>14</v>
      </c>
      <c r="D136">
        <v>18</v>
      </c>
      <c r="E136">
        <v>-1.62</v>
      </c>
      <c r="F136">
        <v>2500</v>
      </c>
      <c r="G136">
        <v>883</v>
      </c>
      <c r="H136">
        <v>1957</v>
      </c>
      <c r="I136">
        <v>446</v>
      </c>
      <c r="J136">
        <v>653</v>
      </c>
      <c r="K136">
        <v>348</v>
      </c>
      <c r="L136">
        <v>1104</v>
      </c>
      <c r="M136">
        <v>455</v>
      </c>
      <c r="N136">
        <v>217</v>
      </c>
      <c r="O136">
        <v>87</v>
      </c>
      <c r="P136">
        <v>401</v>
      </c>
      <c r="Q136">
        <v>655</v>
      </c>
      <c r="R136">
        <v>135</v>
      </c>
    </row>
    <row r="137" spans="1:18">
      <c r="A137" s="1" t="s">
        <v>278</v>
      </c>
      <c r="B137">
        <v>32</v>
      </c>
      <c r="C137">
        <v>14</v>
      </c>
      <c r="D137">
        <v>18</v>
      </c>
      <c r="E137">
        <v>-11.55</v>
      </c>
      <c r="F137">
        <v>2067</v>
      </c>
      <c r="G137">
        <v>716</v>
      </c>
      <c r="H137">
        <v>1860</v>
      </c>
      <c r="I137">
        <v>417</v>
      </c>
      <c r="J137">
        <v>619</v>
      </c>
      <c r="K137">
        <v>425</v>
      </c>
      <c r="L137">
        <v>1162</v>
      </c>
      <c r="M137">
        <v>350</v>
      </c>
      <c r="N137">
        <v>197</v>
      </c>
      <c r="O137">
        <v>83</v>
      </c>
      <c r="P137">
        <v>390</v>
      </c>
      <c r="Q137">
        <v>648</v>
      </c>
      <c r="R137">
        <v>136</v>
      </c>
    </row>
    <row r="138" spans="1:18">
      <c r="A138" s="1" t="s">
        <v>118</v>
      </c>
      <c r="B138">
        <v>35</v>
      </c>
      <c r="C138">
        <v>20</v>
      </c>
      <c r="D138">
        <v>15</v>
      </c>
      <c r="E138">
        <v>-3.24</v>
      </c>
      <c r="F138">
        <v>2434</v>
      </c>
      <c r="G138">
        <v>857</v>
      </c>
      <c r="H138">
        <v>1869</v>
      </c>
      <c r="I138">
        <v>462</v>
      </c>
      <c r="J138">
        <v>647</v>
      </c>
      <c r="K138">
        <v>355</v>
      </c>
      <c r="L138">
        <v>1244</v>
      </c>
      <c r="M138">
        <v>493</v>
      </c>
      <c r="N138">
        <v>157</v>
      </c>
      <c r="O138">
        <v>134</v>
      </c>
      <c r="P138">
        <v>477</v>
      </c>
      <c r="Q138">
        <v>628</v>
      </c>
      <c r="R138">
        <v>137</v>
      </c>
    </row>
    <row r="139" spans="1:18">
      <c r="A139" s="1" t="s">
        <v>119</v>
      </c>
      <c r="B139">
        <v>33</v>
      </c>
      <c r="C139">
        <v>17</v>
      </c>
      <c r="D139">
        <v>16</v>
      </c>
      <c r="E139">
        <v>-8.4499999999999993</v>
      </c>
      <c r="F139">
        <v>2557</v>
      </c>
      <c r="G139">
        <v>878</v>
      </c>
      <c r="H139">
        <v>1885</v>
      </c>
      <c r="I139">
        <v>474</v>
      </c>
      <c r="J139">
        <v>644</v>
      </c>
      <c r="K139">
        <v>302</v>
      </c>
      <c r="L139">
        <v>1081</v>
      </c>
      <c r="M139">
        <v>445</v>
      </c>
      <c r="N139">
        <v>265</v>
      </c>
      <c r="O139">
        <v>63</v>
      </c>
      <c r="P139">
        <v>424</v>
      </c>
      <c r="Q139">
        <v>620</v>
      </c>
      <c r="R139">
        <v>138</v>
      </c>
    </row>
    <row r="140" spans="1:18">
      <c r="A140" s="1" t="s">
        <v>120</v>
      </c>
      <c r="B140">
        <v>33</v>
      </c>
      <c r="C140">
        <v>10</v>
      </c>
      <c r="D140">
        <v>23</v>
      </c>
      <c r="E140">
        <v>-1.83</v>
      </c>
      <c r="F140">
        <v>2194</v>
      </c>
      <c r="G140">
        <v>770</v>
      </c>
      <c r="H140">
        <v>1733</v>
      </c>
      <c r="I140">
        <v>446</v>
      </c>
      <c r="J140">
        <v>622</v>
      </c>
      <c r="K140">
        <v>310</v>
      </c>
      <c r="L140">
        <v>1133</v>
      </c>
      <c r="M140">
        <v>385</v>
      </c>
      <c r="N140">
        <v>194</v>
      </c>
      <c r="O140">
        <v>89</v>
      </c>
      <c r="P140">
        <v>467</v>
      </c>
      <c r="Q140">
        <v>665</v>
      </c>
      <c r="R140">
        <v>139</v>
      </c>
    </row>
    <row r="141" spans="1:18">
      <c r="A141" s="1" t="s">
        <v>121</v>
      </c>
      <c r="B141">
        <v>35</v>
      </c>
      <c r="C141">
        <v>21</v>
      </c>
      <c r="D141">
        <v>14</v>
      </c>
      <c r="E141">
        <v>10.48</v>
      </c>
      <c r="F141">
        <v>2523</v>
      </c>
      <c r="G141">
        <v>869</v>
      </c>
      <c r="H141">
        <v>1883</v>
      </c>
      <c r="I141">
        <v>538</v>
      </c>
      <c r="J141">
        <v>775</v>
      </c>
      <c r="K141">
        <v>330</v>
      </c>
      <c r="L141">
        <v>1132</v>
      </c>
      <c r="M141">
        <v>521</v>
      </c>
      <c r="N141">
        <v>271</v>
      </c>
      <c r="O141">
        <v>130</v>
      </c>
      <c r="P141">
        <v>453</v>
      </c>
      <c r="Q141">
        <v>630</v>
      </c>
      <c r="R141">
        <v>140</v>
      </c>
    </row>
    <row r="142" spans="1:18">
      <c r="A142" s="1" t="s">
        <v>375</v>
      </c>
      <c r="B142">
        <v>36</v>
      </c>
      <c r="C142">
        <v>31</v>
      </c>
      <c r="D142">
        <v>5</v>
      </c>
      <c r="E142">
        <v>12.23</v>
      </c>
      <c r="F142">
        <v>2995</v>
      </c>
      <c r="G142">
        <v>1071</v>
      </c>
      <c r="H142">
        <v>2193</v>
      </c>
      <c r="I142">
        <v>535</v>
      </c>
      <c r="J142">
        <v>789</v>
      </c>
      <c r="K142">
        <v>428</v>
      </c>
      <c r="L142">
        <v>1393</v>
      </c>
      <c r="M142">
        <v>584</v>
      </c>
      <c r="N142">
        <v>250</v>
      </c>
      <c r="O142">
        <v>162</v>
      </c>
      <c r="P142">
        <v>456</v>
      </c>
      <c r="Q142">
        <v>639</v>
      </c>
      <c r="R142">
        <v>141</v>
      </c>
    </row>
    <row r="143" spans="1:18">
      <c r="A143" s="1" t="s">
        <v>336</v>
      </c>
      <c r="B143">
        <v>32</v>
      </c>
      <c r="C143">
        <v>14</v>
      </c>
      <c r="D143">
        <v>18</v>
      </c>
      <c r="E143">
        <v>-5.97</v>
      </c>
      <c r="F143">
        <v>2401</v>
      </c>
      <c r="G143">
        <v>892</v>
      </c>
      <c r="H143">
        <v>1932</v>
      </c>
      <c r="I143">
        <v>411</v>
      </c>
      <c r="J143">
        <v>595</v>
      </c>
      <c r="K143">
        <v>358</v>
      </c>
      <c r="L143">
        <v>1146</v>
      </c>
      <c r="M143">
        <v>507</v>
      </c>
      <c r="N143">
        <v>163</v>
      </c>
      <c r="O143">
        <v>95</v>
      </c>
      <c r="P143">
        <v>431</v>
      </c>
      <c r="Q143">
        <v>613</v>
      </c>
      <c r="R143">
        <v>142</v>
      </c>
    </row>
    <row r="144" spans="1:18">
      <c r="A144" s="1" t="s">
        <v>122</v>
      </c>
      <c r="B144">
        <v>36</v>
      </c>
      <c r="C144">
        <v>22</v>
      </c>
      <c r="D144">
        <v>14</v>
      </c>
      <c r="E144">
        <v>-1.63</v>
      </c>
      <c r="F144">
        <v>2772</v>
      </c>
      <c r="G144">
        <v>986</v>
      </c>
      <c r="H144">
        <v>2302</v>
      </c>
      <c r="I144">
        <v>543</v>
      </c>
      <c r="J144">
        <v>755</v>
      </c>
      <c r="K144">
        <v>539</v>
      </c>
      <c r="L144">
        <v>1454</v>
      </c>
      <c r="M144">
        <v>449</v>
      </c>
      <c r="N144">
        <v>230</v>
      </c>
      <c r="O144">
        <v>134</v>
      </c>
      <c r="P144">
        <v>465</v>
      </c>
      <c r="Q144">
        <v>685</v>
      </c>
      <c r="R144">
        <v>143</v>
      </c>
    </row>
    <row r="145" spans="1:18">
      <c r="A145" s="1" t="s">
        <v>354</v>
      </c>
      <c r="B145">
        <v>38</v>
      </c>
      <c r="C145">
        <v>32</v>
      </c>
      <c r="D145">
        <v>6</v>
      </c>
      <c r="E145">
        <v>10.49</v>
      </c>
      <c r="F145">
        <v>3225</v>
      </c>
      <c r="G145">
        <v>1134</v>
      </c>
      <c r="H145">
        <v>2396</v>
      </c>
      <c r="I145">
        <v>690</v>
      </c>
      <c r="J145">
        <v>980</v>
      </c>
      <c r="K145">
        <v>470</v>
      </c>
      <c r="L145">
        <v>1512</v>
      </c>
      <c r="M145">
        <v>585</v>
      </c>
      <c r="N145">
        <v>229</v>
      </c>
      <c r="O145">
        <v>200</v>
      </c>
      <c r="P145">
        <v>443</v>
      </c>
      <c r="Q145">
        <v>716</v>
      </c>
      <c r="R145">
        <v>144</v>
      </c>
    </row>
    <row r="146" spans="1:18">
      <c r="A146" s="1" t="s">
        <v>123</v>
      </c>
      <c r="B146">
        <v>30</v>
      </c>
      <c r="C146">
        <v>15</v>
      </c>
      <c r="D146">
        <v>15</v>
      </c>
      <c r="E146">
        <v>2.94</v>
      </c>
      <c r="F146">
        <v>2266</v>
      </c>
      <c r="G146">
        <v>761</v>
      </c>
      <c r="H146">
        <v>1666</v>
      </c>
      <c r="I146">
        <v>489</v>
      </c>
      <c r="J146">
        <v>638</v>
      </c>
      <c r="K146">
        <v>249</v>
      </c>
      <c r="L146">
        <v>973</v>
      </c>
      <c r="M146">
        <v>425</v>
      </c>
      <c r="N146">
        <v>191</v>
      </c>
      <c r="O146">
        <v>64</v>
      </c>
      <c r="P146">
        <v>393</v>
      </c>
      <c r="Q146">
        <v>559</v>
      </c>
      <c r="R146">
        <v>145</v>
      </c>
    </row>
    <row r="147" spans="1:18">
      <c r="A147" s="1" t="s">
        <v>279</v>
      </c>
      <c r="B147">
        <v>30</v>
      </c>
      <c r="C147">
        <v>9</v>
      </c>
      <c r="D147">
        <v>21</v>
      </c>
      <c r="E147">
        <v>-3.5</v>
      </c>
      <c r="F147">
        <v>1995</v>
      </c>
      <c r="G147">
        <v>712</v>
      </c>
      <c r="H147">
        <v>1655</v>
      </c>
      <c r="I147">
        <v>350</v>
      </c>
      <c r="J147">
        <v>492</v>
      </c>
      <c r="K147">
        <v>205</v>
      </c>
      <c r="L147">
        <v>956</v>
      </c>
      <c r="M147">
        <v>378</v>
      </c>
      <c r="N147">
        <v>148</v>
      </c>
      <c r="O147">
        <v>85</v>
      </c>
      <c r="P147">
        <v>436</v>
      </c>
      <c r="Q147">
        <v>514</v>
      </c>
      <c r="R147">
        <v>146</v>
      </c>
    </row>
    <row r="148" spans="1:18">
      <c r="A148" s="1" t="s">
        <v>280</v>
      </c>
      <c r="B148">
        <v>34</v>
      </c>
      <c r="C148">
        <v>19</v>
      </c>
      <c r="D148">
        <v>15</v>
      </c>
      <c r="E148">
        <v>-7.93</v>
      </c>
      <c r="F148">
        <v>2623</v>
      </c>
      <c r="G148">
        <v>907</v>
      </c>
      <c r="H148">
        <v>1977</v>
      </c>
      <c r="I148">
        <v>544</v>
      </c>
      <c r="J148">
        <v>813</v>
      </c>
      <c r="K148">
        <v>389</v>
      </c>
      <c r="L148">
        <v>1189</v>
      </c>
      <c r="M148">
        <v>481</v>
      </c>
      <c r="N148">
        <v>271</v>
      </c>
      <c r="O148">
        <v>95</v>
      </c>
      <c r="P148">
        <v>455</v>
      </c>
      <c r="Q148">
        <v>733</v>
      </c>
      <c r="R148">
        <v>147</v>
      </c>
    </row>
    <row r="149" spans="1:18">
      <c r="A149" s="1" t="s">
        <v>124</v>
      </c>
      <c r="B149">
        <v>32</v>
      </c>
      <c r="C149">
        <v>20</v>
      </c>
      <c r="D149">
        <v>12</v>
      </c>
      <c r="E149">
        <v>-3.3</v>
      </c>
      <c r="F149">
        <v>2432</v>
      </c>
      <c r="G149">
        <v>857</v>
      </c>
      <c r="H149">
        <v>1788</v>
      </c>
      <c r="I149">
        <v>448</v>
      </c>
      <c r="J149">
        <v>580</v>
      </c>
      <c r="K149">
        <v>232</v>
      </c>
      <c r="L149">
        <v>1100</v>
      </c>
      <c r="M149">
        <v>467</v>
      </c>
      <c r="N149">
        <v>215</v>
      </c>
      <c r="O149">
        <v>99</v>
      </c>
      <c r="P149">
        <v>450</v>
      </c>
      <c r="Q149">
        <v>539</v>
      </c>
      <c r="R149">
        <v>148</v>
      </c>
    </row>
    <row r="150" spans="1:18">
      <c r="A150" s="1" t="s">
        <v>125</v>
      </c>
      <c r="B150">
        <v>35</v>
      </c>
      <c r="C150">
        <v>21</v>
      </c>
      <c r="D150">
        <v>14</v>
      </c>
      <c r="E150">
        <v>-6.16</v>
      </c>
      <c r="F150">
        <v>2331</v>
      </c>
      <c r="G150">
        <v>779</v>
      </c>
      <c r="H150">
        <v>1787</v>
      </c>
      <c r="I150">
        <v>454</v>
      </c>
      <c r="J150">
        <v>612</v>
      </c>
      <c r="K150">
        <v>173</v>
      </c>
      <c r="L150">
        <v>990</v>
      </c>
      <c r="M150">
        <v>453</v>
      </c>
      <c r="N150">
        <v>229</v>
      </c>
      <c r="O150">
        <v>65</v>
      </c>
      <c r="P150">
        <v>363</v>
      </c>
      <c r="Q150">
        <v>670</v>
      </c>
      <c r="R150">
        <v>149</v>
      </c>
    </row>
    <row r="151" spans="1:18">
      <c r="A151" s="1" t="s">
        <v>320</v>
      </c>
      <c r="B151">
        <v>33</v>
      </c>
      <c r="C151">
        <v>20</v>
      </c>
      <c r="D151">
        <v>13</v>
      </c>
      <c r="E151">
        <v>-4.45</v>
      </c>
      <c r="F151">
        <v>2804</v>
      </c>
      <c r="G151">
        <v>939</v>
      </c>
      <c r="H151">
        <v>1978</v>
      </c>
      <c r="I151">
        <v>586</v>
      </c>
      <c r="J151">
        <v>811</v>
      </c>
      <c r="K151">
        <v>340</v>
      </c>
      <c r="L151">
        <v>1213</v>
      </c>
      <c r="M151">
        <v>599</v>
      </c>
      <c r="N151">
        <v>218</v>
      </c>
      <c r="O151">
        <v>104</v>
      </c>
      <c r="P151">
        <v>500</v>
      </c>
      <c r="Q151">
        <v>702</v>
      </c>
      <c r="R151">
        <v>150</v>
      </c>
    </row>
    <row r="152" spans="1:18">
      <c r="A152" s="1" t="s">
        <v>126</v>
      </c>
      <c r="B152">
        <v>34</v>
      </c>
      <c r="C152">
        <v>15</v>
      </c>
      <c r="D152">
        <v>19</v>
      </c>
      <c r="E152">
        <v>-0.6</v>
      </c>
      <c r="F152">
        <v>2549</v>
      </c>
      <c r="G152">
        <v>895</v>
      </c>
      <c r="H152">
        <v>2035</v>
      </c>
      <c r="I152">
        <v>543</v>
      </c>
      <c r="J152">
        <v>750</v>
      </c>
      <c r="K152">
        <v>396</v>
      </c>
      <c r="L152">
        <v>1212</v>
      </c>
      <c r="M152">
        <v>447</v>
      </c>
      <c r="N152">
        <v>199</v>
      </c>
      <c r="O152">
        <v>92</v>
      </c>
      <c r="P152">
        <v>488</v>
      </c>
      <c r="Q152">
        <v>682</v>
      </c>
      <c r="R152">
        <v>151</v>
      </c>
    </row>
    <row r="153" spans="1:18">
      <c r="A153" s="1" t="s">
        <v>127</v>
      </c>
      <c r="B153">
        <v>32</v>
      </c>
      <c r="C153">
        <v>20</v>
      </c>
      <c r="D153">
        <v>12</v>
      </c>
      <c r="E153">
        <v>-8.51</v>
      </c>
      <c r="F153">
        <v>2278</v>
      </c>
      <c r="G153">
        <v>803</v>
      </c>
      <c r="H153">
        <v>1846</v>
      </c>
      <c r="I153">
        <v>488</v>
      </c>
      <c r="J153">
        <v>710</v>
      </c>
      <c r="K153">
        <v>423</v>
      </c>
      <c r="L153">
        <v>1242</v>
      </c>
      <c r="M153">
        <v>350</v>
      </c>
      <c r="N153">
        <v>186</v>
      </c>
      <c r="O153">
        <v>107</v>
      </c>
      <c r="P153">
        <v>460</v>
      </c>
      <c r="Q153">
        <v>641</v>
      </c>
      <c r="R153">
        <v>152</v>
      </c>
    </row>
    <row r="154" spans="1:18">
      <c r="A154" s="1" t="s">
        <v>331</v>
      </c>
      <c r="B154">
        <v>30</v>
      </c>
      <c r="C154">
        <v>6</v>
      </c>
      <c r="D154">
        <v>24</v>
      </c>
      <c r="E154">
        <v>-6.16</v>
      </c>
      <c r="F154">
        <v>2018</v>
      </c>
      <c r="G154">
        <v>738</v>
      </c>
      <c r="H154">
        <v>1660</v>
      </c>
      <c r="I154">
        <v>356</v>
      </c>
      <c r="J154">
        <v>487</v>
      </c>
      <c r="K154">
        <v>218</v>
      </c>
      <c r="L154">
        <v>922</v>
      </c>
      <c r="M154">
        <v>324</v>
      </c>
      <c r="N154">
        <v>175</v>
      </c>
      <c r="O154">
        <v>124</v>
      </c>
      <c r="P154">
        <v>456</v>
      </c>
      <c r="Q154">
        <v>539</v>
      </c>
      <c r="R154">
        <v>153</v>
      </c>
    </row>
    <row r="155" spans="1:18">
      <c r="A155" s="1" t="s">
        <v>281</v>
      </c>
      <c r="B155">
        <v>33</v>
      </c>
      <c r="C155">
        <v>21</v>
      </c>
      <c r="D155">
        <v>12</v>
      </c>
      <c r="E155">
        <v>-3.28</v>
      </c>
      <c r="F155">
        <v>2704</v>
      </c>
      <c r="G155">
        <v>945</v>
      </c>
      <c r="H155">
        <v>2022</v>
      </c>
      <c r="I155">
        <v>583</v>
      </c>
      <c r="J155">
        <v>839</v>
      </c>
      <c r="K155">
        <v>442</v>
      </c>
      <c r="L155">
        <v>1252</v>
      </c>
      <c r="M155">
        <v>475</v>
      </c>
      <c r="N155">
        <v>233</v>
      </c>
      <c r="O155">
        <v>91</v>
      </c>
      <c r="P155">
        <v>440</v>
      </c>
      <c r="Q155">
        <v>621</v>
      </c>
      <c r="R155">
        <v>154</v>
      </c>
    </row>
    <row r="156" spans="1:18">
      <c r="A156" s="1" t="s">
        <v>128</v>
      </c>
      <c r="B156">
        <v>33</v>
      </c>
      <c r="C156">
        <v>9</v>
      </c>
      <c r="D156">
        <v>24</v>
      </c>
      <c r="E156">
        <v>-2.56</v>
      </c>
      <c r="F156">
        <v>2198</v>
      </c>
      <c r="G156">
        <v>814</v>
      </c>
      <c r="H156">
        <v>1916</v>
      </c>
      <c r="I156">
        <v>333</v>
      </c>
      <c r="J156">
        <v>498</v>
      </c>
      <c r="K156">
        <v>349</v>
      </c>
      <c r="L156">
        <v>1174</v>
      </c>
      <c r="M156">
        <v>443</v>
      </c>
      <c r="N156">
        <v>154</v>
      </c>
      <c r="O156">
        <v>73</v>
      </c>
      <c r="P156">
        <v>433</v>
      </c>
      <c r="Q156">
        <v>576</v>
      </c>
      <c r="R156">
        <v>155</v>
      </c>
    </row>
    <row r="157" spans="1:18">
      <c r="A157" s="1" t="s">
        <v>282</v>
      </c>
      <c r="B157">
        <v>31</v>
      </c>
      <c r="C157">
        <v>10</v>
      </c>
      <c r="D157">
        <v>21</v>
      </c>
      <c r="E157">
        <v>8.69</v>
      </c>
      <c r="F157">
        <v>2319</v>
      </c>
      <c r="G157">
        <v>853</v>
      </c>
      <c r="H157">
        <v>1893</v>
      </c>
      <c r="I157">
        <v>417</v>
      </c>
      <c r="J157">
        <v>599</v>
      </c>
      <c r="K157">
        <v>355</v>
      </c>
      <c r="L157">
        <v>1115</v>
      </c>
      <c r="M157">
        <v>397</v>
      </c>
      <c r="N157">
        <v>186</v>
      </c>
      <c r="O157">
        <v>110</v>
      </c>
      <c r="P157">
        <v>451</v>
      </c>
      <c r="Q157">
        <v>593</v>
      </c>
      <c r="R157">
        <v>156</v>
      </c>
    </row>
    <row r="158" spans="1:18">
      <c r="A158" s="1" t="s">
        <v>129</v>
      </c>
      <c r="B158">
        <v>33</v>
      </c>
      <c r="C158">
        <v>23</v>
      </c>
      <c r="D158">
        <v>10</v>
      </c>
      <c r="E158">
        <v>-4.3499999999999996</v>
      </c>
      <c r="F158">
        <v>2557</v>
      </c>
      <c r="G158">
        <v>911</v>
      </c>
      <c r="H158">
        <v>1952</v>
      </c>
      <c r="I158">
        <v>478</v>
      </c>
      <c r="J158">
        <v>674</v>
      </c>
      <c r="K158">
        <v>335</v>
      </c>
      <c r="L158">
        <v>1244</v>
      </c>
      <c r="M158">
        <v>543</v>
      </c>
      <c r="N158">
        <v>223</v>
      </c>
      <c r="O158">
        <v>176</v>
      </c>
      <c r="P158">
        <v>407</v>
      </c>
      <c r="Q158">
        <v>519</v>
      </c>
      <c r="R158">
        <v>157</v>
      </c>
    </row>
    <row r="159" spans="1:18">
      <c r="A159" s="1" t="s">
        <v>283</v>
      </c>
      <c r="B159">
        <v>34</v>
      </c>
      <c r="C159">
        <v>25</v>
      </c>
      <c r="D159">
        <v>9</v>
      </c>
      <c r="E159">
        <v>11.15</v>
      </c>
      <c r="F159">
        <v>2628</v>
      </c>
      <c r="G159">
        <v>952</v>
      </c>
      <c r="H159">
        <v>2085</v>
      </c>
      <c r="I159">
        <v>486</v>
      </c>
      <c r="J159">
        <v>708</v>
      </c>
      <c r="K159">
        <v>457</v>
      </c>
      <c r="L159">
        <v>1343</v>
      </c>
      <c r="M159">
        <v>461</v>
      </c>
      <c r="N159">
        <v>227</v>
      </c>
      <c r="O159">
        <v>186</v>
      </c>
      <c r="P159">
        <v>374</v>
      </c>
      <c r="Q159">
        <v>652</v>
      </c>
      <c r="R159">
        <v>158</v>
      </c>
    </row>
    <row r="160" spans="1:18">
      <c r="A160" s="1" t="s">
        <v>130</v>
      </c>
      <c r="B160">
        <v>32</v>
      </c>
      <c r="C160">
        <v>18</v>
      </c>
      <c r="D160">
        <v>14</v>
      </c>
      <c r="E160">
        <v>1.02</v>
      </c>
      <c r="F160">
        <v>2348</v>
      </c>
      <c r="G160">
        <v>852</v>
      </c>
      <c r="H160">
        <v>1754</v>
      </c>
      <c r="I160">
        <v>385</v>
      </c>
      <c r="J160">
        <v>543</v>
      </c>
      <c r="K160">
        <v>218</v>
      </c>
      <c r="L160">
        <v>1000</v>
      </c>
      <c r="M160">
        <v>474</v>
      </c>
      <c r="N160">
        <v>218</v>
      </c>
      <c r="O160">
        <v>76</v>
      </c>
      <c r="P160">
        <v>377</v>
      </c>
      <c r="Q160">
        <v>545</v>
      </c>
      <c r="R160">
        <v>159</v>
      </c>
    </row>
    <row r="161" spans="1:18">
      <c r="A161" s="1" t="s">
        <v>131</v>
      </c>
      <c r="B161">
        <v>30</v>
      </c>
      <c r="C161">
        <v>15</v>
      </c>
      <c r="D161">
        <v>15</v>
      </c>
      <c r="E161">
        <v>1.6</v>
      </c>
      <c r="F161">
        <v>2113</v>
      </c>
      <c r="G161">
        <v>779</v>
      </c>
      <c r="H161">
        <v>1755</v>
      </c>
      <c r="I161">
        <v>338</v>
      </c>
      <c r="J161">
        <v>545</v>
      </c>
      <c r="K161">
        <v>332</v>
      </c>
      <c r="L161">
        <v>1022</v>
      </c>
      <c r="M161">
        <v>444</v>
      </c>
      <c r="N161">
        <v>228</v>
      </c>
      <c r="O161">
        <v>120</v>
      </c>
      <c r="P161">
        <v>395</v>
      </c>
      <c r="Q161">
        <v>610</v>
      </c>
      <c r="R161">
        <v>160</v>
      </c>
    </row>
    <row r="162" spans="1:18">
      <c r="A162" s="1" t="s">
        <v>132</v>
      </c>
      <c r="B162">
        <v>33</v>
      </c>
      <c r="C162">
        <v>16</v>
      </c>
      <c r="D162">
        <v>17</v>
      </c>
      <c r="E162">
        <v>-3.6</v>
      </c>
      <c r="F162">
        <v>2175</v>
      </c>
      <c r="G162">
        <v>753</v>
      </c>
      <c r="H162">
        <v>1791</v>
      </c>
      <c r="I162">
        <v>492</v>
      </c>
      <c r="J162">
        <v>711</v>
      </c>
      <c r="K162">
        <v>382</v>
      </c>
      <c r="L162">
        <v>1113</v>
      </c>
      <c r="M162">
        <v>385</v>
      </c>
      <c r="N162">
        <v>240</v>
      </c>
      <c r="O162">
        <v>113</v>
      </c>
      <c r="P162">
        <v>496</v>
      </c>
      <c r="Q162">
        <v>636</v>
      </c>
      <c r="R162">
        <v>161</v>
      </c>
    </row>
    <row r="163" spans="1:18">
      <c r="A163" s="1" t="s">
        <v>133</v>
      </c>
      <c r="B163">
        <v>32</v>
      </c>
      <c r="C163">
        <v>7</v>
      </c>
      <c r="D163">
        <v>25</v>
      </c>
      <c r="E163">
        <v>-4.01</v>
      </c>
      <c r="F163">
        <v>2069</v>
      </c>
      <c r="G163">
        <v>746</v>
      </c>
      <c r="H163">
        <v>1852</v>
      </c>
      <c r="I163">
        <v>365</v>
      </c>
      <c r="J163">
        <v>558</v>
      </c>
      <c r="K163">
        <v>325</v>
      </c>
      <c r="L163">
        <v>1122</v>
      </c>
      <c r="M163">
        <v>377</v>
      </c>
      <c r="N163">
        <v>165</v>
      </c>
      <c r="O163">
        <v>63</v>
      </c>
      <c r="P163">
        <v>419</v>
      </c>
      <c r="Q163">
        <v>562</v>
      </c>
      <c r="R163">
        <v>162</v>
      </c>
    </row>
    <row r="164" spans="1:18">
      <c r="A164" s="1" t="s">
        <v>134</v>
      </c>
      <c r="B164">
        <v>32</v>
      </c>
      <c r="C164">
        <v>10</v>
      </c>
      <c r="D164">
        <v>22</v>
      </c>
      <c r="E164">
        <v>-2.61</v>
      </c>
      <c r="F164">
        <v>2259</v>
      </c>
      <c r="G164">
        <v>754</v>
      </c>
      <c r="H164">
        <v>1813</v>
      </c>
      <c r="I164">
        <v>542</v>
      </c>
      <c r="J164">
        <v>743</v>
      </c>
      <c r="K164">
        <v>355</v>
      </c>
      <c r="L164">
        <v>1118</v>
      </c>
      <c r="M164">
        <v>350</v>
      </c>
      <c r="N164">
        <v>224</v>
      </c>
      <c r="O164">
        <v>103</v>
      </c>
      <c r="P164">
        <v>530</v>
      </c>
      <c r="Q164">
        <v>790</v>
      </c>
      <c r="R164">
        <v>163</v>
      </c>
    </row>
    <row r="165" spans="1:18">
      <c r="A165" s="1" t="s">
        <v>135</v>
      </c>
      <c r="B165">
        <v>32</v>
      </c>
      <c r="C165">
        <v>8</v>
      </c>
      <c r="D165">
        <v>24</v>
      </c>
      <c r="E165">
        <v>-2.74</v>
      </c>
      <c r="F165">
        <v>2223</v>
      </c>
      <c r="G165">
        <v>749</v>
      </c>
      <c r="H165">
        <v>1747</v>
      </c>
      <c r="I165">
        <v>480</v>
      </c>
      <c r="J165">
        <v>662</v>
      </c>
      <c r="K165">
        <v>235</v>
      </c>
      <c r="L165">
        <v>998</v>
      </c>
      <c r="M165">
        <v>352</v>
      </c>
      <c r="N165">
        <v>146</v>
      </c>
      <c r="O165">
        <v>83</v>
      </c>
      <c r="P165">
        <v>409</v>
      </c>
      <c r="Q165">
        <v>628</v>
      </c>
      <c r="R165">
        <v>164</v>
      </c>
    </row>
    <row r="166" spans="1:18">
      <c r="A166" s="1" t="s">
        <v>136</v>
      </c>
      <c r="B166">
        <v>32</v>
      </c>
      <c r="C166">
        <v>19</v>
      </c>
      <c r="D166">
        <v>13</v>
      </c>
      <c r="E166">
        <v>8.6</v>
      </c>
      <c r="F166">
        <v>2631</v>
      </c>
      <c r="G166">
        <v>919</v>
      </c>
      <c r="H166">
        <v>1888</v>
      </c>
      <c r="I166">
        <v>457</v>
      </c>
      <c r="J166">
        <v>585</v>
      </c>
      <c r="K166">
        <v>280</v>
      </c>
      <c r="L166">
        <v>1058</v>
      </c>
      <c r="M166">
        <v>525</v>
      </c>
      <c r="N166">
        <v>231</v>
      </c>
      <c r="O166">
        <v>115</v>
      </c>
      <c r="P166">
        <v>396</v>
      </c>
      <c r="Q166">
        <v>620</v>
      </c>
      <c r="R166">
        <v>165</v>
      </c>
    </row>
    <row r="167" spans="1:18">
      <c r="A167" s="1" t="s">
        <v>137</v>
      </c>
      <c r="B167">
        <v>35</v>
      </c>
      <c r="C167">
        <v>20</v>
      </c>
      <c r="D167">
        <v>15</v>
      </c>
      <c r="E167">
        <v>-1.05</v>
      </c>
      <c r="F167">
        <v>2997</v>
      </c>
      <c r="G167">
        <v>1021</v>
      </c>
      <c r="H167">
        <v>2237</v>
      </c>
      <c r="I167">
        <v>599</v>
      </c>
      <c r="J167">
        <v>816</v>
      </c>
      <c r="K167">
        <v>325</v>
      </c>
      <c r="L167">
        <v>1291</v>
      </c>
      <c r="M167">
        <v>576</v>
      </c>
      <c r="N167">
        <v>211</v>
      </c>
      <c r="O167">
        <v>140</v>
      </c>
      <c r="P167">
        <v>433</v>
      </c>
      <c r="Q167">
        <v>643</v>
      </c>
      <c r="R167">
        <v>166</v>
      </c>
    </row>
    <row r="168" spans="1:18">
      <c r="A168" s="1" t="s">
        <v>138</v>
      </c>
      <c r="B168">
        <v>34</v>
      </c>
      <c r="C168">
        <v>21</v>
      </c>
      <c r="D168">
        <v>13</v>
      </c>
      <c r="E168">
        <v>-5.87</v>
      </c>
      <c r="F168">
        <v>2759</v>
      </c>
      <c r="G168">
        <v>957</v>
      </c>
      <c r="H168">
        <v>2041</v>
      </c>
      <c r="I168">
        <v>515</v>
      </c>
      <c r="J168">
        <v>691</v>
      </c>
      <c r="K168">
        <v>307</v>
      </c>
      <c r="L168">
        <v>1199</v>
      </c>
      <c r="M168">
        <v>507</v>
      </c>
      <c r="N168">
        <v>224</v>
      </c>
      <c r="O168">
        <v>80</v>
      </c>
      <c r="P168">
        <v>411</v>
      </c>
      <c r="Q168">
        <v>625</v>
      </c>
      <c r="R168">
        <v>167</v>
      </c>
    </row>
    <row r="169" spans="1:18">
      <c r="A169" s="1" t="s">
        <v>139</v>
      </c>
      <c r="B169">
        <v>34</v>
      </c>
      <c r="C169">
        <v>14</v>
      </c>
      <c r="D169">
        <v>20</v>
      </c>
      <c r="E169">
        <v>-7.61</v>
      </c>
      <c r="F169">
        <v>2424</v>
      </c>
      <c r="G169">
        <v>854</v>
      </c>
      <c r="H169">
        <v>2013</v>
      </c>
      <c r="I169">
        <v>456</v>
      </c>
      <c r="J169">
        <v>668</v>
      </c>
      <c r="K169">
        <v>350</v>
      </c>
      <c r="L169">
        <v>1142</v>
      </c>
      <c r="M169">
        <v>449</v>
      </c>
      <c r="N169">
        <v>193</v>
      </c>
      <c r="O169">
        <v>89</v>
      </c>
      <c r="P169">
        <v>425</v>
      </c>
      <c r="Q169">
        <v>665</v>
      </c>
      <c r="R169">
        <v>168</v>
      </c>
    </row>
    <row r="170" spans="1:18">
      <c r="A170" s="1" t="s">
        <v>332</v>
      </c>
      <c r="B170">
        <v>33</v>
      </c>
      <c r="C170">
        <v>24</v>
      </c>
      <c r="D170">
        <v>9</v>
      </c>
      <c r="E170">
        <v>8.2899999999999991</v>
      </c>
      <c r="F170">
        <v>2438</v>
      </c>
      <c r="G170">
        <v>827</v>
      </c>
      <c r="H170">
        <v>1840</v>
      </c>
      <c r="I170">
        <v>512</v>
      </c>
      <c r="J170">
        <v>732</v>
      </c>
      <c r="K170">
        <v>351</v>
      </c>
      <c r="L170">
        <v>1173</v>
      </c>
      <c r="M170">
        <v>472</v>
      </c>
      <c r="N170">
        <v>180</v>
      </c>
      <c r="O170">
        <v>154</v>
      </c>
      <c r="P170">
        <v>426</v>
      </c>
      <c r="Q170">
        <v>613</v>
      </c>
      <c r="R170">
        <v>169</v>
      </c>
    </row>
    <row r="171" spans="1:18">
      <c r="A171" s="1" t="s">
        <v>366</v>
      </c>
      <c r="B171">
        <v>31</v>
      </c>
      <c r="C171">
        <v>11</v>
      </c>
      <c r="D171">
        <v>20</v>
      </c>
      <c r="E171">
        <v>-6.4</v>
      </c>
      <c r="F171">
        <v>2429</v>
      </c>
      <c r="G171">
        <v>877</v>
      </c>
      <c r="H171">
        <v>1825</v>
      </c>
      <c r="I171">
        <v>417</v>
      </c>
      <c r="J171">
        <v>567</v>
      </c>
      <c r="K171">
        <v>280</v>
      </c>
      <c r="L171">
        <v>1038</v>
      </c>
      <c r="M171">
        <v>495</v>
      </c>
      <c r="N171">
        <v>171</v>
      </c>
      <c r="O171">
        <v>64</v>
      </c>
      <c r="P171">
        <v>474</v>
      </c>
      <c r="Q171">
        <v>622</v>
      </c>
      <c r="R171">
        <v>170</v>
      </c>
    </row>
    <row r="172" spans="1:18">
      <c r="A172" s="1" t="s">
        <v>140</v>
      </c>
      <c r="B172">
        <v>33</v>
      </c>
      <c r="C172">
        <v>15</v>
      </c>
      <c r="D172">
        <v>18</v>
      </c>
      <c r="E172">
        <v>1.66</v>
      </c>
      <c r="F172">
        <v>2371</v>
      </c>
      <c r="G172">
        <v>847</v>
      </c>
      <c r="H172">
        <v>1939</v>
      </c>
      <c r="I172">
        <v>443</v>
      </c>
      <c r="J172">
        <v>671</v>
      </c>
      <c r="K172">
        <v>333</v>
      </c>
      <c r="L172">
        <v>1185</v>
      </c>
      <c r="M172">
        <v>529</v>
      </c>
      <c r="N172">
        <v>250</v>
      </c>
      <c r="O172">
        <v>169</v>
      </c>
      <c r="P172">
        <v>489</v>
      </c>
      <c r="Q172">
        <v>722</v>
      </c>
      <c r="R172">
        <v>171</v>
      </c>
    </row>
    <row r="173" spans="1:18">
      <c r="A173" s="1" t="s">
        <v>141</v>
      </c>
      <c r="B173">
        <v>29</v>
      </c>
      <c r="C173">
        <v>7</v>
      </c>
      <c r="D173">
        <v>22</v>
      </c>
      <c r="E173">
        <v>-4.12</v>
      </c>
      <c r="F173">
        <v>2043</v>
      </c>
      <c r="G173">
        <v>715</v>
      </c>
      <c r="H173">
        <v>1697</v>
      </c>
      <c r="I173">
        <v>418</v>
      </c>
      <c r="J173">
        <v>610</v>
      </c>
      <c r="K173">
        <v>285</v>
      </c>
      <c r="L173">
        <v>977</v>
      </c>
      <c r="M173">
        <v>302</v>
      </c>
      <c r="N173">
        <v>159</v>
      </c>
      <c r="O173">
        <v>91</v>
      </c>
      <c r="P173">
        <v>403</v>
      </c>
      <c r="Q173">
        <v>573</v>
      </c>
      <c r="R173">
        <v>172</v>
      </c>
    </row>
    <row r="174" spans="1:18">
      <c r="A174" s="1" t="s">
        <v>142</v>
      </c>
      <c r="B174">
        <v>32</v>
      </c>
      <c r="C174">
        <v>19</v>
      </c>
      <c r="D174">
        <v>13</v>
      </c>
      <c r="E174">
        <v>3.19</v>
      </c>
      <c r="F174">
        <v>2367</v>
      </c>
      <c r="G174">
        <v>852</v>
      </c>
      <c r="H174">
        <v>1926</v>
      </c>
      <c r="I174">
        <v>482</v>
      </c>
      <c r="J174">
        <v>706</v>
      </c>
      <c r="K174">
        <v>373</v>
      </c>
      <c r="L174">
        <v>1172</v>
      </c>
      <c r="M174">
        <v>508</v>
      </c>
      <c r="N174">
        <v>221</v>
      </c>
      <c r="O174">
        <v>150</v>
      </c>
      <c r="P174">
        <v>368</v>
      </c>
      <c r="Q174">
        <v>534</v>
      </c>
      <c r="R174">
        <v>173</v>
      </c>
    </row>
    <row r="175" spans="1:18">
      <c r="A175" s="1" t="s">
        <v>143</v>
      </c>
      <c r="B175">
        <v>32</v>
      </c>
      <c r="C175">
        <v>15</v>
      </c>
      <c r="D175">
        <v>17</v>
      </c>
      <c r="E175">
        <v>-0.92</v>
      </c>
      <c r="F175">
        <v>2269</v>
      </c>
      <c r="G175">
        <v>787</v>
      </c>
      <c r="H175">
        <v>1774</v>
      </c>
      <c r="I175">
        <v>449</v>
      </c>
      <c r="J175">
        <v>574</v>
      </c>
      <c r="K175">
        <v>367</v>
      </c>
      <c r="L175">
        <v>1174</v>
      </c>
      <c r="M175">
        <v>433</v>
      </c>
      <c r="N175">
        <v>134</v>
      </c>
      <c r="O175">
        <v>74</v>
      </c>
      <c r="P175">
        <v>367</v>
      </c>
      <c r="Q175">
        <v>546</v>
      </c>
      <c r="R175">
        <v>174</v>
      </c>
    </row>
    <row r="176" spans="1:18">
      <c r="A176" s="1" t="s">
        <v>284</v>
      </c>
      <c r="B176">
        <v>33</v>
      </c>
      <c r="C176">
        <v>21</v>
      </c>
      <c r="D176">
        <v>12</v>
      </c>
      <c r="E176">
        <v>9.57</v>
      </c>
      <c r="F176">
        <v>2278</v>
      </c>
      <c r="G176">
        <v>813</v>
      </c>
      <c r="H176">
        <v>1800</v>
      </c>
      <c r="I176">
        <v>443</v>
      </c>
      <c r="J176">
        <v>617</v>
      </c>
      <c r="K176">
        <v>363</v>
      </c>
      <c r="L176">
        <v>1176</v>
      </c>
      <c r="M176">
        <v>389</v>
      </c>
      <c r="N176">
        <v>213</v>
      </c>
      <c r="O176">
        <v>125</v>
      </c>
      <c r="P176">
        <v>417</v>
      </c>
      <c r="Q176">
        <v>513</v>
      </c>
      <c r="R176">
        <v>175</v>
      </c>
    </row>
    <row r="177" spans="1:18">
      <c r="A177" s="1" t="s">
        <v>144</v>
      </c>
      <c r="B177">
        <v>32</v>
      </c>
      <c r="C177">
        <v>11</v>
      </c>
      <c r="D177">
        <v>21</v>
      </c>
      <c r="E177">
        <v>-2.1</v>
      </c>
      <c r="F177">
        <v>2249</v>
      </c>
      <c r="G177">
        <v>787</v>
      </c>
      <c r="H177">
        <v>1815</v>
      </c>
      <c r="I177">
        <v>476</v>
      </c>
      <c r="J177">
        <v>689</v>
      </c>
      <c r="K177">
        <v>298</v>
      </c>
      <c r="L177">
        <v>1091</v>
      </c>
      <c r="M177">
        <v>364</v>
      </c>
      <c r="N177">
        <v>238</v>
      </c>
      <c r="O177">
        <v>125</v>
      </c>
      <c r="P177">
        <v>467</v>
      </c>
      <c r="Q177">
        <v>642</v>
      </c>
      <c r="R177">
        <v>176</v>
      </c>
    </row>
    <row r="178" spans="1:18">
      <c r="A178" s="1" t="s">
        <v>377</v>
      </c>
      <c r="B178">
        <v>35</v>
      </c>
      <c r="C178">
        <v>20</v>
      </c>
      <c r="D178">
        <v>15</v>
      </c>
      <c r="E178">
        <v>10.5</v>
      </c>
      <c r="F178">
        <v>2515</v>
      </c>
      <c r="G178">
        <v>905</v>
      </c>
      <c r="H178">
        <v>1927</v>
      </c>
      <c r="I178">
        <v>432</v>
      </c>
      <c r="J178">
        <v>646</v>
      </c>
      <c r="K178">
        <v>328</v>
      </c>
      <c r="L178">
        <v>1275</v>
      </c>
      <c r="M178">
        <v>591</v>
      </c>
      <c r="N178">
        <v>151</v>
      </c>
      <c r="O178">
        <v>162</v>
      </c>
      <c r="P178">
        <v>490</v>
      </c>
      <c r="Q178">
        <v>699</v>
      </c>
      <c r="R178">
        <v>177</v>
      </c>
    </row>
    <row r="179" spans="1:18">
      <c r="A179" s="1" t="s">
        <v>145</v>
      </c>
      <c r="B179">
        <v>38</v>
      </c>
      <c r="C179">
        <v>26</v>
      </c>
      <c r="D179">
        <v>12</v>
      </c>
      <c r="E179">
        <v>10.17</v>
      </c>
      <c r="F179">
        <v>2851</v>
      </c>
      <c r="G179">
        <v>1002</v>
      </c>
      <c r="H179">
        <v>2076</v>
      </c>
      <c r="I179">
        <v>486</v>
      </c>
      <c r="J179">
        <v>624</v>
      </c>
      <c r="K179">
        <v>280</v>
      </c>
      <c r="L179">
        <v>1111</v>
      </c>
      <c r="M179">
        <v>527</v>
      </c>
      <c r="N179">
        <v>220</v>
      </c>
      <c r="O179">
        <v>108</v>
      </c>
      <c r="P179">
        <v>348</v>
      </c>
      <c r="Q179">
        <v>571</v>
      </c>
      <c r="R179">
        <v>178</v>
      </c>
    </row>
    <row r="180" spans="1:18">
      <c r="A180" s="1" t="s">
        <v>146</v>
      </c>
      <c r="B180">
        <v>36</v>
      </c>
      <c r="C180">
        <v>31</v>
      </c>
      <c r="D180">
        <v>5</v>
      </c>
      <c r="E180">
        <v>-0.48</v>
      </c>
      <c r="F180">
        <v>2697</v>
      </c>
      <c r="G180">
        <v>1014</v>
      </c>
      <c r="H180">
        <v>2077</v>
      </c>
      <c r="I180">
        <v>441</v>
      </c>
      <c r="J180">
        <v>631</v>
      </c>
      <c r="K180">
        <v>355</v>
      </c>
      <c r="L180">
        <v>1273</v>
      </c>
      <c r="M180">
        <v>552</v>
      </c>
      <c r="N180">
        <v>242</v>
      </c>
      <c r="O180">
        <v>100</v>
      </c>
      <c r="P180">
        <v>374</v>
      </c>
      <c r="Q180">
        <v>655</v>
      </c>
      <c r="R180">
        <v>179</v>
      </c>
    </row>
    <row r="181" spans="1:18">
      <c r="A181" s="1" t="s">
        <v>147</v>
      </c>
      <c r="B181">
        <v>35</v>
      </c>
      <c r="C181">
        <v>11</v>
      </c>
      <c r="D181">
        <v>24</v>
      </c>
      <c r="E181">
        <v>-2.17</v>
      </c>
      <c r="F181">
        <v>2347</v>
      </c>
      <c r="G181">
        <v>860</v>
      </c>
      <c r="H181">
        <v>1949</v>
      </c>
      <c r="I181">
        <v>355</v>
      </c>
      <c r="J181">
        <v>538</v>
      </c>
      <c r="K181">
        <v>293</v>
      </c>
      <c r="L181">
        <v>1107</v>
      </c>
      <c r="M181">
        <v>467</v>
      </c>
      <c r="N181">
        <v>164</v>
      </c>
      <c r="O181">
        <v>53</v>
      </c>
      <c r="P181">
        <v>409</v>
      </c>
      <c r="Q181">
        <v>641</v>
      </c>
      <c r="R181">
        <v>180</v>
      </c>
    </row>
    <row r="182" spans="1:18">
      <c r="A182" s="1" t="s">
        <v>148</v>
      </c>
      <c r="B182">
        <v>34</v>
      </c>
      <c r="C182">
        <v>24</v>
      </c>
      <c r="D182">
        <v>10</v>
      </c>
      <c r="E182">
        <v>8.82</v>
      </c>
      <c r="F182">
        <v>2556</v>
      </c>
      <c r="G182">
        <v>887</v>
      </c>
      <c r="H182">
        <v>2037</v>
      </c>
      <c r="I182">
        <v>573</v>
      </c>
      <c r="J182">
        <v>806</v>
      </c>
      <c r="K182">
        <v>378</v>
      </c>
      <c r="L182">
        <v>1341</v>
      </c>
      <c r="M182">
        <v>507</v>
      </c>
      <c r="N182">
        <v>194</v>
      </c>
      <c r="O182">
        <v>227</v>
      </c>
      <c r="P182">
        <v>393</v>
      </c>
      <c r="Q182">
        <v>577</v>
      </c>
      <c r="R182">
        <v>181</v>
      </c>
    </row>
    <row r="183" spans="1:18">
      <c r="A183" s="1" t="s">
        <v>149</v>
      </c>
      <c r="B183">
        <v>32</v>
      </c>
      <c r="C183">
        <v>16</v>
      </c>
      <c r="D183">
        <v>16</v>
      </c>
      <c r="E183">
        <v>5.9</v>
      </c>
      <c r="F183">
        <v>2320</v>
      </c>
      <c r="G183">
        <v>821</v>
      </c>
      <c r="H183">
        <v>1849</v>
      </c>
      <c r="I183">
        <v>431</v>
      </c>
      <c r="J183">
        <v>627</v>
      </c>
      <c r="K183">
        <v>310</v>
      </c>
      <c r="L183">
        <v>1130</v>
      </c>
      <c r="M183">
        <v>386</v>
      </c>
      <c r="N183">
        <v>239</v>
      </c>
      <c r="O183">
        <v>131</v>
      </c>
      <c r="P183">
        <v>433</v>
      </c>
      <c r="Q183">
        <v>638</v>
      </c>
      <c r="R183">
        <v>182</v>
      </c>
    </row>
    <row r="184" spans="1:18">
      <c r="A184" s="1" t="s">
        <v>150</v>
      </c>
      <c r="B184">
        <v>32</v>
      </c>
      <c r="C184">
        <v>7</v>
      </c>
      <c r="D184">
        <v>25</v>
      </c>
      <c r="E184">
        <v>-7.11</v>
      </c>
      <c r="F184">
        <v>2235</v>
      </c>
      <c r="G184">
        <v>818</v>
      </c>
      <c r="H184">
        <v>1942</v>
      </c>
      <c r="I184">
        <v>423</v>
      </c>
      <c r="J184">
        <v>651</v>
      </c>
      <c r="K184">
        <v>385</v>
      </c>
      <c r="L184">
        <v>1108</v>
      </c>
      <c r="M184">
        <v>374</v>
      </c>
      <c r="N184">
        <v>218</v>
      </c>
      <c r="O184">
        <v>60</v>
      </c>
      <c r="P184">
        <v>460</v>
      </c>
      <c r="Q184">
        <v>624</v>
      </c>
      <c r="R184">
        <v>183</v>
      </c>
    </row>
    <row r="185" spans="1:18">
      <c r="A185" s="1" t="s">
        <v>151</v>
      </c>
      <c r="B185">
        <v>36</v>
      </c>
      <c r="C185">
        <v>22</v>
      </c>
      <c r="D185">
        <v>14</v>
      </c>
      <c r="E185">
        <v>7.99</v>
      </c>
      <c r="F185">
        <v>2807</v>
      </c>
      <c r="G185">
        <v>914</v>
      </c>
      <c r="H185">
        <v>2162</v>
      </c>
      <c r="I185">
        <v>696</v>
      </c>
      <c r="J185">
        <v>926</v>
      </c>
      <c r="K185">
        <v>458</v>
      </c>
      <c r="L185">
        <v>1422</v>
      </c>
      <c r="M185">
        <v>465</v>
      </c>
      <c r="N185">
        <v>243</v>
      </c>
      <c r="O185">
        <v>149</v>
      </c>
      <c r="P185">
        <v>516</v>
      </c>
      <c r="Q185">
        <v>702</v>
      </c>
      <c r="R185">
        <v>184</v>
      </c>
    </row>
    <row r="186" spans="1:18">
      <c r="A186" s="1" t="s">
        <v>152</v>
      </c>
      <c r="B186">
        <v>35</v>
      </c>
      <c r="C186">
        <v>18</v>
      </c>
      <c r="D186">
        <v>17</v>
      </c>
      <c r="E186">
        <v>-1.06</v>
      </c>
      <c r="F186">
        <v>2691</v>
      </c>
      <c r="G186">
        <v>911</v>
      </c>
      <c r="H186">
        <v>2076</v>
      </c>
      <c r="I186">
        <v>554</v>
      </c>
      <c r="J186">
        <v>777</v>
      </c>
      <c r="K186">
        <v>352</v>
      </c>
      <c r="L186">
        <v>1213</v>
      </c>
      <c r="M186">
        <v>451</v>
      </c>
      <c r="N186">
        <v>236</v>
      </c>
      <c r="O186">
        <v>92</v>
      </c>
      <c r="P186">
        <v>510</v>
      </c>
      <c r="Q186">
        <v>772</v>
      </c>
      <c r="R186">
        <v>185</v>
      </c>
    </row>
    <row r="187" spans="1:18">
      <c r="A187" s="1" t="s">
        <v>153</v>
      </c>
      <c r="B187">
        <v>33</v>
      </c>
      <c r="C187">
        <v>17</v>
      </c>
      <c r="D187">
        <v>16</v>
      </c>
      <c r="E187">
        <v>1.18</v>
      </c>
      <c r="F187">
        <v>2403</v>
      </c>
      <c r="G187">
        <v>838</v>
      </c>
      <c r="H187">
        <v>1895</v>
      </c>
      <c r="I187">
        <v>457</v>
      </c>
      <c r="J187">
        <v>652</v>
      </c>
      <c r="K187">
        <v>377</v>
      </c>
      <c r="L187">
        <v>1212</v>
      </c>
      <c r="M187">
        <v>403</v>
      </c>
      <c r="N187">
        <v>176</v>
      </c>
      <c r="O187">
        <v>127</v>
      </c>
      <c r="P187">
        <v>406</v>
      </c>
      <c r="Q187">
        <v>585</v>
      </c>
      <c r="R187">
        <v>186</v>
      </c>
    </row>
    <row r="188" spans="1:18">
      <c r="A188" s="1" t="s">
        <v>328</v>
      </c>
      <c r="B188">
        <v>32</v>
      </c>
      <c r="C188">
        <v>8</v>
      </c>
      <c r="D188">
        <v>24</v>
      </c>
      <c r="E188">
        <v>6.73</v>
      </c>
      <c r="F188">
        <v>2213</v>
      </c>
      <c r="G188">
        <v>744</v>
      </c>
      <c r="H188">
        <v>1893</v>
      </c>
      <c r="I188">
        <v>500</v>
      </c>
      <c r="J188">
        <v>732</v>
      </c>
      <c r="K188">
        <v>357</v>
      </c>
      <c r="L188">
        <v>1168</v>
      </c>
      <c r="M188">
        <v>386</v>
      </c>
      <c r="N188">
        <v>200</v>
      </c>
      <c r="O188">
        <v>68</v>
      </c>
      <c r="P188">
        <v>384</v>
      </c>
      <c r="Q188">
        <v>647</v>
      </c>
      <c r="R188">
        <v>187</v>
      </c>
    </row>
    <row r="189" spans="1:18">
      <c r="A189" s="1" t="s">
        <v>154</v>
      </c>
      <c r="B189">
        <v>34</v>
      </c>
      <c r="C189">
        <v>27</v>
      </c>
      <c r="D189">
        <v>7</v>
      </c>
      <c r="E189">
        <v>-2.62</v>
      </c>
      <c r="F189">
        <v>2761</v>
      </c>
      <c r="G189">
        <v>929</v>
      </c>
      <c r="H189">
        <v>2127</v>
      </c>
      <c r="I189">
        <v>600</v>
      </c>
      <c r="J189">
        <v>793</v>
      </c>
      <c r="K189">
        <v>380</v>
      </c>
      <c r="L189">
        <v>1310</v>
      </c>
      <c r="M189">
        <v>431</v>
      </c>
      <c r="N189">
        <v>235</v>
      </c>
      <c r="O189">
        <v>155</v>
      </c>
      <c r="P189">
        <v>425</v>
      </c>
      <c r="Q189">
        <v>697</v>
      </c>
      <c r="R189">
        <v>188</v>
      </c>
    </row>
    <row r="190" spans="1:18">
      <c r="A190" s="1" t="s">
        <v>155</v>
      </c>
      <c r="B190">
        <v>32</v>
      </c>
      <c r="C190">
        <v>16</v>
      </c>
      <c r="D190">
        <v>16</v>
      </c>
      <c r="E190">
        <v>-5.88</v>
      </c>
      <c r="F190">
        <v>2561</v>
      </c>
      <c r="G190">
        <v>857</v>
      </c>
      <c r="H190">
        <v>1968</v>
      </c>
      <c r="I190">
        <v>527</v>
      </c>
      <c r="J190">
        <v>722</v>
      </c>
      <c r="K190">
        <v>336</v>
      </c>
      <c r="L190">
        <v>1167</v>
      </c>
      <c r="M190">
        <v>423</v>
      </c>
      <c r="N190">
        <v>181</v>
      </c>
      <c r="O190">
        <v>74</v>
      </c>
      <c r="P190">
        <v>393</v>
      </c>
      <c r="Q190">
        <v>732</v>
      </c>
      <c r="R190">
        <v>189</v>
      </c>
    </row>
    <row r="191" spans="1:18">
      <c r="A191" s="1" t="s">
        <v>156</v>
      </c>
      <c r="B191">
        <v>32</v>
      </c>
      <c r="C191">
        <v>16</v>
      </c>
      <c r="D191">
        <v>16</v>
      </c>
      <c r="E191">
        <v>-4.0199999999999996</v>
      </c>
      <c r="F191">
        <v>2391</v>
      </c>
      <c r="G191">
        <v>843</v>
      </c>
      <c r="H191">
        <v>1879</v>
      </c>
      <c r="I191">
        <v>467</v>
      </c>
      <c r="J191">
        <v>621</v>
      </c>
      <c r="K191">
        <v>310</v>
      </c>
      <c r="L191">
        <v>1084</v>
      </c>
      <c r="M191">
        <v>416</v>
      </c>
      <c r="N191">
        <v>181</v>
      </c>
      <c r="O191">
        <v>91</v>
      </c>
      <c r="P191">
        <v>345</v>
      </c>
      <c r="Q191">
        <v>699</v>
      </c>
      <c r="R191">
        <v>190</v>
      </c>
    </row>
    <row r="192" spans="1:18">
      <c r="A192" s="1" t="s">
        <v>157</v>
      </c>
      <c r="B192">
        <v>30</v>
      </c>
      <c r="C192">
        <v>14</v>
      </c>
      <c r="D192">
        <v>16</v>
      </c>
      <c r="E192">
        <v>-1.85</v>
      </c>
      <c r="F192">
        <v>2370</v>
      </c>
      <c r="G192">
        <v>878</v>
      </c>
      <c r="H192">
        <v>1906</v>
      </c>
      <c r="I192">
        <v>395</v>
      </c>
      <c r="J192">
        <v>544</v>
      </c>
      <c r="K192">
        <v>396</v>
      </c>
      <c r="L192">
        <v>1129</v>
      </c>
      <c r="M192">
        <v>482</v>
      </c>
      <c r="N192">
        <v>202</v>
      </c>
      <c r="O192">
        <v>95</v>
      </c>
      <c r="P192">
        <v>404</v>
      </c>
      <c r="Q192">
        <v>633</v>
      </c>
      <c r="R192">
        <v>191</v>
      </c>
    </row>
    <row r="193" spans="1:18">
      <c r="A193" s="1" t="s">
        <v>158</v>
      </c>
      <c r="B193">
        <v>30</v>
      </c>
      <c r="C193">
        <v>14</v>
      </c>
      <c r="D193">
        <v>16</v>
      </c>
      <c r="E193">
        <v>-11.2</v>
      </c>
      <c r="F193">
        <v>2025</v>
      </c>
      <c r="G193">
        <v>691</v>
      </c>
      <c r="H193">
        <v>1793</v>
      </c>
      <c r="I193">
        <v>484</v>
      </c>
      <c r="J193">
        <v>681</v>
      </c>
      <c r="K193">
        <v>424</v>
      </c>
      <c r="L193">
        <v>1168</v>
      </c>
      <c r="M193">
        <v>322</v>
      </c>
      <c r="N193">
        <v>170</v>
      </c>
      <c r="O193">
        <v>101</v>
      </c>
      <c r="P193">
        <v>420</v>
      </c>
      <c r="Q193">
        <v>602</v>
      </c>
      <c r="R193">
        <v>192</v>
      </c>
    </row>
    <row r="194" spans="1:18">
      <c r="A194" s="1" t="s">
        <v>159</v>
      </c>
      <c r="B194">
        <v>36</v>
      </c>
      <c r="C194">
        <v>20</v>
      </c>
      <c r="D194">
        <v>16</v>
      </c>
      <c r="E194">
        <v>-3.51</v>
      </c>
      <c r="F194">
        <v>2446</v>
      </c>
      <c r="G194">
        <v>877</v>
      </c>
      <c r="H194">
        <v>1977</v>
      </c>
      <c r="I194">
        <v>431</v>
      </c>
      <c r="J194">
        <v>640</v>
      </c>
      <c r="K194">
        <v>276</v>
      </c>
      <c r="L194">
        <v>1082</v>
      </c>
      <c r="M194">
        <v>403</v>
      </c>
      <c r="N194">
        <v>222</v>
      </c>
      <c r="O194">
        <v>142</v>
      </c>
      <c r="P194">
        <v>472</v>
      </c>
      <c r="Q194">
        <v>640</v>
      </c>
      <c r="R194">
        <v>193</v>
      </c>
    </row>
    <row r="195" spans="1:18">
      <c r="A195" s="1" t="s">
        <v>160</v>
      </c>
      <c r="B195">
        <v>33</v>
      </c>
      <c r="C195">
        <v>16</v>
      </c>
      <c r="D195">
        <v>17</v>
      </c>
      <c r="E195">
        <v>-4.41</v>
      </c>
      <c r="F195">
        <v>2639</v>
      </c>
      <c r="G195">
        <v>899</v>
      </c>
      <c r="H195">
        <v>2040</v>
      </c>
      <c r="I195">
        <v>552</v>
      </c>
      <c r="J195">
        <v>751</v>
      </c>
      <c r="K195">
        <v>399</v>
      </c>
      <c r="L195">
        <v>1243</v>
      </c>
      <c r="M195">
        <v>458</v>
      </c>
      <c r="N195">
        <v>198</v>
      </c>
      <c r="O195">
        <v>75</v>
      </c>
      <c r="P195">
        <v>403</v>
      </c>
      <c r="Q195">
        <v>659</v>
      </c>
      <c r="R195">
        <v>194</v>
      </c>
    </row>
    <row r="196" spans="1:18">
      <c r="A196" s="1" t="s">
        <v>161</v>
      </c>
      <c r="B196">
        <v>32</v>
      </c>
      <c r="C196">
        <v>16</v>
      </c>
      <c r="D196">
        <v>16</v>
      </c>
      <c r="E196">
        <v>-3.92</v>
      </c>
      <c r="F196">
        <v>2076</v>
      </c>
      <c r="G196">
        <v>735</v>
      </c>
      <c r="H196">
        <v>1740</v>
      </c>
      <c r="I196">
        <v>400</v>
      </c>
      <c r="J196">
        <v>624</v>
      </c>
      <c r="K196">
        <v>424</v>
      </c>
      <c r="L196">
        <v>1134</v>
      </c>
      <c r="M196">
        <v>433</v>
      </c>
      <c r="N196">
        <v>227</v>
      </c>
      <c r="O196">
        <v>66</v>
      </c>
      <c r="P196">
        <v>464</v>
      </c>
      <c r="Q196">
        <v>594</v>
      </c>
      <c r="R196">
        <v>195</v>
      </c>
    </row>
    <row r="197" spans="1:18">
      <c r="A197" s="1" t="s">
        <v>360</v>
      </c>
      <c r="B197">
        <v>32</v>
      </c>
      <c r="C197">
        <v>18</v>
      </c>
      <c r="D197">
        <v>14</v>
      </c>
      <c r="E197">
        <v>-1.1100000000000001</v>
      </c>
      <c r="F197">
        <v>2685</v>
      </c>
      <c r="G197">
        <v>895</v>
      </c>
      <c r="H197">
        <v>1972</v>
      </c>
      <c r="I197">
        <v>598</v>
      </c>
      <c r="J197">
        <v>799</v>
      </c>
      <c r="K197">
        <v>338</v>
      </c>
      <c r="L197">
        <v>1149</v>
      </c>
      <c r="M197">
        <v>442</v>
      </c>
      <c r="N197">
        <v>262</v>
      </c>
      <c r="O197">
        <v>107</v>
      </c>
      <c r="P197">
        <v>444</v>
      </c>
      <c r="Q197">
        <v>616</v>
      </c>
      <c r="R197">
        <v>196</v>
      </c>
    </row>
    <row r="198" spans="1:18">
      <c r="A198" s="1" t="s">
        <v>162</v>
      </c>
      <c r="B198">
        <v>31</v>
      </c>
      <c r="C198">
        <v>12</v>
      </c>
      <c r="D198">
        <v>19</v>
      </c>
      <c r="E198">
        <v>10.74</v>
      </c>
      <c r="F198">
        <v>2168</v>
      </c>
      <c r="G198">
        <v>793</v>
      </c>
      <c r="H198">
        <v>1906</v>
      </c>
      <c r="I198">
        <v>403</v>
      </c>
      <c r="J198">
        <v>568</v>
      </c>
      <c r="K198">
        <v>411</v>
      </c>
      <c r="L198">
        <v>1187</v>
      </c>
      <c r="M198">
        <v>354</v>
      </c>
      <c r="N198">
        <v>211</v>
      </c>
      <c r="O198">
        <v>116</v>
      </c>
      <c r="P198">
        <v>411</v>
      </c>
      <c r="Q198">
        <v>577</v>
      </c>
      <c r="R198">
        <v>197</v>
      </c>
    </row>
    <row r="199" spans="1:18">
      <c r="A199" s="1" t="s">
        <v>285</v>
      </c>
      <c r="B199">
        <v>32</v>
      </c>
      <c r="C199">
        <v>11</v>
      </c>
      <c r="D199">
        <v>21</v>
      </c>
      <c r="E199">
        <v>2.59</v>
      </c>
      <c r="F199">
        <v>2202</v>
      </c>
      <c r="G199">
        <v>747</v>
      </c>
      <c r="H199">
        <v>1893</v>
      </c>
      <c r="I199">
        <v>495</v>
      </c>
      <c r="J199">
        <v>711</v>
      </c>
      <c r="K199">
        <v>365</v>
      </c>
      <c r="L199">
        <v>1210</v>
      </c>
      <c r="M199">
        <v>412</v>
      </c>
      <c r="N199">
        <v>189</v>
      </c>
      <c r="O199">
        <v>85</v>
      </c>
      <c r="P199">
        <v>410</v>
      </c>
      <c r="Q199">
        <v>539</v>
      </c>
      <c r="R199">
        <v>198</v>
      </c>
    </row>
    <row r="200" spans="1:18">
      <c r="A200" s="1" t="s">
        <v>163</v>
      </c>
      <c r="B200">
        <v>35</v>
      </c>
      <c r="C200">
        <v>28</v>
      </c>
      <c r="D200">
        <v>7</v>
      </c>
      <c r="E200">
        <v>2.0299999999999998</v>
      </c>
      <c r="F200">
        <v>2792</v>
      </c>
      <c r="G200">
        <v>933</v>
      </c>
      <c r="H200">
        <v>2082</v>
      </c>
      <c r="I200">
        <v>606</v>
      </c>
      <c r="J200">
        <v>859</v>
      </c>
      <c r="K200">
        <v>386</v>
      </c>
      <c r="L200">
        <v>1351</v>
      </c>
      <c r="M200">
        <v>559</v>
      </c>
      <c r="N200">
        <v>189</v>
      </c>
      <c r="O200">
        <v>152</v>
      </c>
      <c r="P200">
        <v>386</v>
      </c>
      <c r="Q200">
        <v>581</v>
      </c>
      <c r="R200">
        <v>199</v>
      </c>
    </row>
    <row r="201" spans="1:18">
      <c r="A201" s="1" t="s">
        <v>164</v>
      </c>
      <c r="B201">
        <v>32</v>
      </c>
      <c r="C201">
        <v>20</v>
      </c>
      <c r="D201">
        <v>12</v>
      </c>
      <c r="E201">
        <v>-4.46</v>
      </c>
      <c r="F201">
        <v>2277</v>
      </c>
      <c r="G201">
        <v>783</v>
      </c>
      <c r="H201">
        <v>1787</v>
      </c>
      <c r="I201">
        <v>455</v>
      </c>
      <c r="J201">
        <v>628</v>
      </c>
      <c r="K201">
        <v>324</v>
      </c>
      <c r="L201">
        <v>1227</v>
      </c>
      <c r="M201">
        <v>398</v>
      </c>
      <c r="N201">
        <v>129</v>
      </c>
      <c r="O201">
        <v>59</v>
      </c>
      <c r="P201">
        <v>401</v>
      </c>
      <c r="Q201">
        <v>505</v>
      </c>
      <c r="R201">
        <v>200</v>
      </c>
    </row>
    <row r="202" spans="1:18">
      <c r="A202" s="1" t="s">
        <v>165</v>
      </c>
      <c r="B202">
        <v>34</v>
      </c>
      <c r="C202">
        <v>28</v>
      </c>
      <c r="D202">
        <v>6</v>
      </c>
      <c r="E202">
        <v>-3.82</v>
      </c>
      <c r="F202">
        <v>2678</v>
      </c>
      <c r="G202">
        <v>913</v>
      </c>
      <c r="H202">
        <v>1957</v>
      </c>
      <c r="I202">
        <v>600</v>
      </c>
      <c r="J202">
        <v>843</v>
      </c>
      <c r="K202">
        <v>436</v>
      </c>
      <c r="L202">
        <v>1339</v>
      </c>
      <c r="M202">
        <v>505</v>
      </c>
      <c r="N202">
        <v>166</v>
      </c>
      <c r="O202">
        <v>128</v>
      </c>
      <c r="P202">
        <v>465</v>
      </c>
      <c r="Q202">
        <v>627</v>
      </c>
      <c r="R202">
        <v>201</v>
      </c>
    </row>
    <row r="203" spans="1:18">
      <c r="A203" s="1" t="s">
        <v>166</v>
      </c>
      <c r="B203">
        <v>31</v>
      </c>
      <c r="C203">
        <v>17</v>
      </c>
      <c r="D203">
        <v>14</v>
      </c>
      <c r="E203">
        <v>2.0699999999999998</v>
      </c>
      <c r="F203">
        <v>2283</v>
      </c>
      <c r="G203">
        <v>778</v>
      </c>
      <c r="H203">
        <v>1693</v>
      </c>
      <c r="I203">
        <v>582</v>
      </c>
      <c r="J203">
        <v>780</v>
      </c>
      <c r="K203">
        <v>274</v>
      </c>
      <c r="L203">
        <v>1071</v>
      </c>
      <c r="M203">
        <v>419</v>
      </c>
      <c r="N203">
        <v>189</v>
      </c>
      <c r="O203">
        <v>109</v>
      </c>
      <c r="P203">
        <v>403</v>
      </c>
      <c r="Q203">
        <v>611</v>
      </c>
      <c r="R203">
        <v>202</v>
      </c>
    </row>
    <row r="204" spans="1:18">
      <c r="A204" s="1" t="s">
        <v>167</v>
      </c>
      <c r="B204">
        <v>32</v>
      </c>
      <c r="C204">
        <v>20</v>
      </c>
      <c r="D204">
        <v>12</v>
      </c>
      <c r="E204">
        <v>-5.34</v>
      </c>
      <c r="F204">
        <v>2331</v>
      </c>
      <c r="G204">
        <v>830</v>
      </c>
      <c r="H204">
        <v>1755</v>
      </c>
      <c r="I204">
        <v>532</v>
      </c>
      <c r="J204">
        <v>749</v>
      </c>
      <c r="K204">
        <v>386</v>
      </c>
      <c r="L204">
        <v>1140</v>
      </c>
      <c r="M204">
        <v>500</v>
      </c>
      <c r="N204">
        <v>252</v>
      </c>
      <c r="O204">
        <v>97</v>
      </c>
      <c r="P204">
        <v>534</v>
      </c>
      <c r="Q204">
        <v>562</v>
      </c>
      <c r="R204">
        <v>203</v>
      </c>
    </row>
    <row r="205" spans="1:18">
      <c r="A205" s="1" t="s">
        <v>168</v>
      </c>
      <c r="B205">
        <v>33</v>
      </c>
      <c r="C205">
        <v>10</v>
      </c>
      <c r="D205">
        <v>23</v>
      </c>
      <c r="E205">
        <v>-4.37</v>
      </c>
      <c r="F205">
        <v>2448</v>
      </c>
      <c r="G205">
        <v>846</v>
      </c>
      <c r="H205">
        <v>2035</v>
      </c>
      <c r="I205">
        <v>512</v>
      </c>
      <c r="J205">
        <v>683</v>
      </c>
      <c r="K205">
        <v>389</v>
      </c>
      <c r="L205">
        <v>1260</v>
      </c>
      <c r="M205">
        <v>416</v>
      </c>
      <c r="N205">
        <v>172</v>
      </c>
      <c r="O205">
        <v>152</v>
      </c>
      <c r="P205">
        <v>428</v>
      </c>
      <c r="Q205">
        <v>604</v>
      </c>
      <c r="R205">
        <v>204</v>
      </c>
    </row>
    <row r="206" spans="1:18">
      <c r="A206" s="1" t="s">
        <v>169</v>
      </c>
      <c r="B206">
        <v>31</v>
      </c>
      <c r="C206">
        <v>14</v>
      </c>
      <c r="D206">
        <v>17</v>
      </c>
      <c r="E206">
        <v>-5.23</v>
      </c>
      <c r="F206">
        <v>2316</v>
      </c>
      <c r="G206">
        <v>771</v>
      </c>
      <c r="H206">
        <v>1804</v>
      </c>
      <c r="I206">
        <v>496</v>
      </c>
      <c r="J206">
        <v>671</v>
      </c>
      <c r="K206">
        <v>303</v>
      </c>
      <c r="L206">
        <v>1020</v>
      </c>
      <c r="M206">
        <v>430</v>
      </c>
      <c r="N206">
        <v>234</v>
      </c>
      <c r="O206">
        <v>190</v>
      </c>
      <c r="P206">
        <v>451</v>
      </c>
      <c r="Q206">
        <v>599</v>
      </c>
      <c r="R206">
        <v>205</v>
      </c>
    </row>
    <row r="207" spans="1:18">
      <c r="A207" s="1" t="s">
        <v>337</v>
      </c>
      <c r="B207">
        <v>31</v>
      </c>
      <c r="C207">
        <v>11</v>
      </c>
      <c r="D207">
        <v>20</v>
      </c>
      <c r="E207">
        <v>-4.22</v>
      </c>
      <c r="F207">
        <v>2253</v>
      </c>
      <c r="G207">
        <v>786</v>
      </c>
      <c r="H207">
        <v>1857</v>
      </c>
      <c r="I207">
        <v>421</v>
      </c>
      <c r="J207">
        <v>599</v>
      </c>
      <c r="K207">
        <v>357</v>
      </c>
      <c r="L207">
        <v>1134</v>
      </c>
      <c r="M207">
        <v>395</v>
      </c>
      <c r="N207">
        <v>203</v>
      </c>
      <c r="O207">
        <v>89</v>
      </c>
      <c r="P207">
        <v>418</v>
      </c>
      <c r="Q207">
        <v>599</v>
      </c>
      <c r="R207">
        <v>206</v>
      </c>
    </row>
    <row r="208" spans="1:18">
      <c r="A208" s="1" t="s">
        <v>170</v>
      </c>
      <c r="B208">
        <v>34</v>
      </c>
      <c r="C208">
        <v>17</v>
      </c>
      <c r="D208">
        <v>17</v>
      </c>
      <c r="E208">
        <v>-8.57</v>
      </c>
      <c r="F208">
        <v>2374</v>
      </c>
      <c r="G208">
        <v>827</v>
      </c>
      <c r="H208">
        <v>1949</v>
      </c>
      <c r="I208">
        <v>495</v>
      </c>
      <c r="J208">
        <v>727</v>
      </c>
      <c r="K208">
        <v>365</v>
      </c>
      <c r="L208">
        <v>1307</v>
      </c>
      <c r="M208">
        <v>375</v>
      </c>
      <c r="N208">
        <v>173</v>
      </c>
      <c r="O208">
        <v>180</v>
      </c>
      <c r="P208">
        <v>502</v>
      </c>
      <c r="Q208">
        <v>705</v>
      </c>
      <c r="R208">
        <v>207</v>
      </c>
    </row>
    <row r="209" spans="1:18">
      <c r="A209" s="1" t="s">
        <v>171</v>
      </c>
      <c r="B209">
        <v>33</v>
      </c>
      <c r="C209">
        <v>23</v>
      </c>
      <c r="D209">
        <v>10</v>
      </c>
      <c r="E209">
        <v>-5.61</v>
      </c>
      <c r="F209">
        <v>2544</v>
      </c>
      <c r="G209">
        <v>908</v>
      </c>
      <c r="H209">
        <v>1908</v>
      </c>
      <c r="I209">
        <v>464</v>
      </c>
      <c r="J209">
        <v>681</v>
      </c>
      <c r="K209">
        <v>281</v>
      </c>
      <c r="L209">
        <v>1096</v>
      </c>
      <c r="M209">
        <v>512</v>
      </c>
      <c r="N209">
        <v>306</v>
      </c>
      <c r="O209">
        <v>64</v>
      </c>
      <c r="P209">
        <v>384</v>
      </c>
      <c r="Q209">
        <v>553</v>
      </c>
      <c r="R209">
        <v>208</v>
      </c>
    </row>
    <row r="210" spans="1:18">
      <c r="A210" s="1" t="s">
        <v>172</v>
      </c>
      <c r="B210">
        <v>32</v>
      </c>
      <c r="C210">
        <v>3</v>
      </c>
      <c r="D210">
        <v>29</v>
      </c>
      <c r="E210">
        <v>-9.61</v>
      </c>
      <c r="F210">
        <v>2056</v>
      </c>
      <c r="G210">
        <v>728</v>
      </c>
      <c r="H210">
        <v>1716</v>
      </c>
      <c r="I210">
        <v>400</v>
      </c>
      <c r="J210">
        <v>587</v>
      </c>
      <c r="K210">
        <v>348</v>
      </c>
      <c r="L210">
        <v>1102</v>
      </c>
      <c r="M210">
        <v>352</v>
      </c>
      <c r="N210">
        <v>144</v>
      </c>
      <c r="O210">
        <v>69</v>
      </c>
      <c r="P210">
        <v>466</v>
      </c>
      <c r="Q210">
        <v>629</v>
      </c>
      <c r="R210">
        <v>209</v>
      </c>
    </row>
    <row r="211" spans="1:18">
      <c r="A211" s="1" t="s">
        <v>349</v>
      </c>
      <c r="B211">
        <v>34</v>
      </c>
      <c r="C211">
        <v>25</v>
      </c>
      <c r="D211">
        <v>9</v>
      </c>
      <c r="E211">
        <v>-12.12</v>
      </c>
      <c r="F211">
        <v>2542</v>
      </c>
      <c r="G211">
        <v>910</v>
      </c>
      <c r="H211">
        <v>2005</v>
      </c>
      <c r="I211">
        <v>467</v>
      </c>
      <c r="J211">
        <v>684</v>
      </c>
      <c r="K211">
        <v>397</v>
      </c>
      <c r="L211">
        <v>1313</v>
      </c>
      <c r="M211">
        <v>480</v>
      </c>
      <c r="N211">
        <v>209</v>
      </c>
      <c r="O211">
        <v>112</v>
      </c>
      <c r="P211">
        <v>406</v>
      </c>
      <c r="Q211">
        <v>587</v>
      </c>
      <c r="R211">
        <v>210</v>
      </c>
    </row>
    <row r="212" spans="1:18">
      <c r="A212" s="1" t="s">
        <v>173</v>
      </c>
      <c r="B212">
        <v>35</v>
      </c>
      <c r="C212">
        <v>25</v>
      </c>
      <c r="D212">
        <v>10</v>
      </c>
      <c r="E212">
        <v>-2.63</v>
      </c>
      <c r="F212">
        <v>2628</v>
      </c>
      <c r="G212">
        <v>947</v>
      </c>
      <c r="H212">
        <v>2043</v>
      </c>
      <c r="I212">
        <v>426</v>
      </c>
      <c r="J212">
        <v>603</v>
      </c>
      <c r="K212">
        <v>405</v>
      </c>
      <c r="L212">
        <v>1243</v>
      </c>
      <c r="M212">
        <v>525</v>
      </c>
      <c r="N212">
        <v>245</v>
      </c>
      <c r="O212">
        <v>133</v>
      </c>
      <c r="P212">
        <v>474</v>
      </c>
      <c r="Q212">
        <v>638</v>
      </c>
      <c r="R212">
        <v>211</v>
      </c>
    </row>
    <row r="213" spans="1:18">
      <c r="A213" s="1" t="s">
        <v>174</v>
      </c>
      <c r="B213">
        <v>32</v>
      </c>
      <c r="C213">
        <v>15</v>
      </c>
      <c r="D213">
        <v>17</v>
      </c>
      <c r="E213">
        <v>8.09</v>
      </c>
      <c r="F213">
        <v>2483</v>
      </c>
      <c r="G213">
        <v>888</v>
      </c>
      <c r="H213">
        <v>1898</v>
      </c>
      <c r="I213">
        <v>481</v>
      </c>
      <c r="J213">
        <v>687</v>
      </c>
      <c r="K213">
        <v>329</v>
      </c>
      <c r="L213">
        <v>1161</v>
      </c>
      <c r="M213">
        <v>457</v>
      </c>
      <c r="N213">
        <v>162</v>
      </c>
      <c r="O213">
        <v>140</v>
      </c>
      <c r="P213">
        <v>428</v>
      </c>
      <c r="Q213">
        <v>582</v>
      </c>
      <c r="R213">
        <v>212</v>
      </c>
    </row>
    <row r="214" spans="1:18">
      <c r="A214" s="1" t="s">
        <v>286</v>
      </c>
      <c r="B214">
        <v>35</v>
      </c>
      <c r="C214">
        <v>29</v>
      </c>
      <c r="D214">
        <v>6</v>
      </c>
      <c r="E214">
        <v>-0.55000000000000004</v>
      </c>
      <c r="F214">
        <v>2967</v>
      </c>
      <c r="G214">
        <v>1071</v>
      </c>
      <c r="H214">
        <v>2231</v>
      </c>
      <c r="I214">
        <v>489</v>
      </c>
      <c r="J214">
        <v>708</v>
      </c>
      <c r="K214">
        <v>422</v>
      </c>
      <c r="L214">
        <v>1261</v>
      </c>
      <c r="M214">
        <v>564</v>
      </c>
      <c r="N214">
        <v>234</v>
      </c>
      <c r="O214">
        <v>115</v>
      </c>
      <c r="P214">
        <v>363</v>
      </c>
      <c r="Q214">
        <v>699</v>
      </c>
      <c r="R214">
        <v>213</v>
      </c>
    </row>
    <row r="215" spans="1:18">
      <c r="A215" s="1" t="s">
        <v>312</v>
      </c>
      <c r="B215">
        <v>40</v>
      </c>
      <c r="C215">
        <v>33</v>
      </c>
      <c r="D215">
        <v>7</v>
      </c>
      <c r="E215">
        <v>11.76</v>
      </c>
      <c r="F215">
        <v>3377</v>
      </c>
      <c r="G215">
        <v>1226</v>
      </c>
      <c r="H215">
        <v>2633</v>
      </c>
      <c r="I215">
        <v>642</v>
      </c>
      <c r="J215">
        <v>916</v>
      </c>
      <c r="K215">
        <v>630</v>
      </c>
      <c r="L215">
        <v>1748</v>
      </c>
      <c r="M215">
        <v>722</v>
      </c>
      <c r="N215">
        <v>283</v>
      </c>
      <c r="O215">
        <v>139</v>
      </c>
      <c r="P215">
        <v>473</v>
      </c>
      <c r="Q215">
        <v>711</v>
      </c>
      <c r="R215">
        <v>214</v>
      </c>
    </row>
    <row r="216" spans="1:18">
      <c r="A216" s="1" t="s">
        <v>338</v>
      </c>
      <c r="B216">
        <v>30</v>
      </c>
      <c r="C216">
        <v>19</v>
      </c>
      <c r="D216">
        <v>11</v>
      </c>
      <c r="E216">
        <v>-2.63</v>
      </c>
      <c r="F216">
        <v>2244</v>
      </c>
      <c r="G216">
        <v>775</v>
      </c>
      <c r="H216">
        <v>1693</v>
      </c>
      <c r="I216">
        <v>462</v>
      </c>
      <c r="J216">
        <v>650</v>
      </c>
      <c r="K216">
        <v>258</v>
      </c>
      <c r="L216">
        <v>1047</v>
      </c>
      <c r="M216">
        <v>365</v>
      </c>
      <c r="N216">
        <v>183</v>
      </c>
      <c r="O216">
        <v>111</v>
      </c>
      <c r="P216">
        <v>348</v>
      </c>
      <c r="Q216">
        <v>501</v>
      </c>
      <c r="R216">
        <v>215</v>
      </c>
    </row>
    <row r="217" spans="1:18">
      <c r="A217" s="1" t="s">
        <v>357</v>
      </c>
      <c r="B217">
        <v>32</v>
      </c>
      <c r="C217">
        <v>22</v>
      </c>
      <c r="D217">
        <v>10</v>
      </c>
      <c r="E217">
        <v>-5.45</v>
      </c>
      <c r="F217">
        <v>2578</v>
      </c>
      <c r="G217">
        <v>926</v>
      </c>
      <c r="H217">
        <v>1919</v>
      </c>
      <c r="I217">
        <v>498</v>
      </c>
      <c r="J217">
        <v>698</v>
      </c>
      <c r="K217">
        <v>297</v>
      </c>
      <c r="L217">
        <v>1146</v>
      </c>
      <c r="M217">
        <v>487</v>
      </c>
      <c r="N217">
        <v>251</v>
      </c>
      <c r="O217">
        <v>93</v>
      </c>
      <c r="P217">
        <v>419</v>
      </c>
      <c r="Q217">
        <v>672</v>
      </c>
      <c r="R217">
        <v>216</v>
      </c>
    </row>
    <row r="218" spans="1:18">
      <c r="A218" s="1" t="s">
        <v>339</v>
      </c>
      <c r="B218">
        <v>34</v>
      </c>
      <c r="C218">
        <v>15</v>
      </c>
      <c r="D218">
        <v>19</v>
      </c>
      <c r="E218">
        <v>-1.65</v>
      </c>
      <c r="F218">
        <v>2637</v>
      </c>
      <c r="G218">
        <v>926</v>
      </c>
      <c r="H218">
        <v>2025</v>
      </c>
      <c r="I218">
        <v>490</v>
      </c>
      <c r="J218">
        <v>748</v>
      </c>
      <c r="K218">
        <v>423</v>
      </c>
      <c r="L218">
        <v>1321</v>
      </c>
      <c r="M218">
        <v>447</v>
      </c>
      <c r="N218">
        <v>185</v>
      </c>
      <c r="O218">
        <v>143</v>
      </c>
      <c r="P218">
        <v>542</v>
      </c>
      <c r="Q218">
        <v>639</v>
      </c>
      <c r="R218">
        <v>217</v>
      </c>
    </row>
    <row r="219" spans="1:18">
      <c r="A219" s="1" t="s">
        <v>175</v>
      </c>
      <c r="B219">
        <v>30</v>
      </c>
      <c r="C219">
        <v>8</v>
      </c>
      <c r="D219">
        <v>22</v>
      </c>
      <c r="E219">
        <v>-3.32</v>
      </c>
      <c r="F219">
        <v>2075</v>
      </c>
      <c r="G219">
        <v>740</v>
      </c>
      <c r="H219">
        <v>1747</v>
      </c>
      <c r="I219">
        <v>409</v>
      </c>
      <c r="J219">
        <v>633</v>
      </c>
      <c r="K219">
        <v>300</v>
      </c>
      <c r="L219">
        <v>1075</v>
      </c>
      <c r="M219">
        <v>338</v>
      </c>
      <c r="N219">
        <v>199</v>
      </c>
      <c r="O219">
        <v>95</v>
      </c>
      <c r="P219">
        <v>410</v>
      </c>
      <c r="Q219">
        <v>567</v>
      </c>
      <c r="R219">
        <v>218</v>
      </c>
    </row>
    <row r="220" spans="1:18">
      <c r="A220" s="1" t="s">
        <v>176</v>
      </c>
      <c r="B220">
        <v>31</v>
      </c>
      <c r="C220">
        <v>15</v>
      </c>
      <c r="D220">
        <v>16</v>
      </c>
      <c r="E220">
        <v>-0.91</v>
      </c>
      <c r="F220">
        <v>2234</v>
      </c>
      <c r="G220">
        <v>767</v>
      </c>
      <c r="H220">
        <v>1682</v>
      </c>
      <c r="I220">
        <v>433</v>
      </c>
      <c r="J220">
        <v>636</v>
      </c>
      <c r="K220">
        <v>264</v>
      </c>
      <c r="L220">
        <v>1039</v>
      </c>
      <c r="M220">
        <v>414</v>
      </c>
      <c r="N220">
        <v>170</v>
      </c>
      <c r="O220">
        <v>112</v>
      </c>
      <c r="P220">
        <v>390</v>
      </c>
      <c r="Q220">
        <v>522</v>
      </c>
      <c r="R220">
        <v>219</v>
      </c>
    </row>
    <row r="221" spans="1:18">
      <c r="A221" s="1" t="s">
        <v>287</v>
      </c>
      <c r="B221">
        <v>32</v>
      </c>
      <c r="C221">
        <v>9</v>
      </c>
      <c r="D221">
        <v>23</v>
      </c>
      <c r="E221">
        <v>-5.95</v>
      </c>
      <c r="F221">
        <v>2217</v>
      </c>
      <c r="G221">
        <v>769</v>
      </c>
      <c r="H221">
        <v>1892</v>
      </c>
      <c r="I221">
        <v>440</v>
      </c>
      <c r="J221">
        <v>644</v>
      </c>
      <c r="K221">
        <v>383</v>
      </c>
      <c r="L221">
        <v>1218</v>
      </c>
      <c r="M221">
        <v>440</v>
      </c>
      <c r="N221">
        <v>142</v>
      </c>
      <c r="O221">
        <v>63</v>
      </c>
      <c r="P221">
        <v>465</v>
      </c>
      <c r="Q221">
        <v>590</v>
      </c>
      <c r="R221">
        <v>220</v>
      </c>
    </row>
    <row r="222" spans="1:18">
      <c r="A222" s="1" t="s">
        <v>333</v>
      </c>
      <c r="B222">
        <v>29</v>
      </c>
      <c r="C222">
        <v>11</v>
      </c>
      <c r="D222">
        <v>18</v>
      </c>
      <c r="E222">
        <v>-4.2</v>
      </c>
      <c r="F222">
        <v>2075</v>
      </c>
      <c r="G222">
        <v>732</v>
      </c>
      <c r="H222">
        <v>1666</v>
      </c>
      <c r="I222">
        <v>357</v>
      </c>
      <c r="J222">
        <v>590</v>
      </c>
      <c r="K222">
        <v>310</v>
      </c>
      <c r="L222">
        <v>1075</v>
      </c>
      <c r="M222">
        <v>392</v>
      </c>
      <c r="N222">
        <v>147</v>
      </c>
      <c r="O222">
        <v>64</v>
      </c>
      <c r="P222">
        <v>407</v>
      </c>
      <c r="Q222">
        <v>563</v>
      </c>
      <c r="R222">
        <v>221</v>
      </c>
    </row>
    <row r="223" spans="1:18">
      <c r="A223" s="1" t="s">
        <v>177</v>
      </c>
      <c r="B223">
        <v>32</v>
      </c>
      <c r="C223">
        <v>15</v>
      </c>
      <c r="D223">
        <v>17</v>
      </c>
      <c r="E223">
        <v>-2.0499999999999998</v>
      </c>
      <c r="F223">
        <v>2310</v>
      </c>
      <c r="G223">
        <v>828</v>
      </c>
      <c r="H223">
        <v>1891</v>
      </c>
      <c r="I223">
        <v>493</v>
      </c>
      <c r="J223">
        <v>728</v>
      </c>
      <c r="K223">
        <v>401</v>
      </c>
      <c r="L223">
        <v>1211</v>
      </c>
      <c r="M223">
        <v>347</v>
      </c>
      <c r="N223">
        <v>226</v>
      </c>
      <c r="O223">
        <v>80</v>
      </c>
      <c r="P223">
        <v>429</v>
      </c>
      <c r="Q223">
        <v>618</v>
      </c>
      <c r="R223">
        <v>222</v>
      </c>
    </row>
    <row r="224" spans="1:18">
      <c r="A224" s="1" t="s">
        <v>178</v>
      </c>
      <c r="B224">
        <v>30</v>
      </c>
      <c r="C224">
        <v>14</v>
      </c>
      <c r="D224">
        <v>16</v>
      </c>
      <c r="E224">
        <v>5.22</v>
      </c>
      <c r="F224">
        <v>1854</v>
      </c>
      <c r="G224">
        <v>622</v>
      </c>
      <c r="H224">
        <v>1559</v>
      </c>
      <c r="I224">
        <v>381</v>
      </c>
      <c r="J224">
        <v>520</v>
      </c>
      <c r="K224">
        <v>182</v>
      </c>
      <c r="L224">
        <v>878</v>
      </c>
      <c r="M224">
        <v>298</v>
      </c>
      <c r="N224">
        <v>197</v>
      </c>
      <c r="O224">
        <v>84</v>
      </c>
      <c r="P224">
        <v>342</v>
      </c>
      <c r="Q224">
        <v>464</v>
      </c>
      <c r="R224">
        <v>223</v>
      </c>
    </row>
    <row r="225" spans="1:18">
      <c r="A225" s="1" t="s">
        <v>361</v>
      </c>
      <c r="B225">
        <v>35</v>
      </c>
      <c r="C225">
        <v>24</v>
      </c>
      <c r="D225">
        <v>11</v>
      </c>
      <c r="E225">
        <v>-2.84</v>
      </c>
      <c r="F225">
        <v>2659</v>
      </c>
      <c r="G225">
        <v>928</v>
      </c>
      <c r="H225">
        <v>2037</v>
      </c>
      <c r="I225">
        <v>503</v>
      </c>
      <c r="J225">
        <v>740</v>
      </c>
      <c r="K225">
        <v>391</v>
      </c>
      <c r="L225">
        <v>1319</v>
      </c>
      <c r="M225">
        <v>486</v>
      </c>
      <c r="N225">
        <v>200</v>
      </c>
      <c r="O225">
        <v>98</v>
      </c>
      <c r="P225">
        <v>468</v>
      </c>
      <c r="Q225">
        <v>622</v>
      </c>
      <c r="R225">
        <v>224</v>
      </c>
    </row>
    <row r="226" spans="1:18">
      <c r="A226" s="1" t="s">
        <v>179</v>
      </c>
      <c r="B226">
        <v>29</v>
      </c>
      <c r="C226">
        <v>13</v>
      </c>
      <c r="D226">
        <v>16</v>
      </c>
      <c r="E226">
        <v>-6.07</v>
      </c>
      <c r="F226">
        <v>2204</v>
      </c>
      <c r="G226">
        <v>751</v>
      </c>
      <c r="H226">
        <v>1698</v>
      </c>
      <c r="I226">
        <v>499</v>
      </c>
      <c r="J226">
        <v>723</v>
      </c>
      <c r="K226">
        <v>337</v>
      </c>
      <c r="L226">
        <v>1049</v>
      </c>
      <c r="M226">
        <v>405</v>
      </c>
      <c r="N226">
        <v>196</v>
      </c>
      <c r="O226">
        <v>77</v>
      </c>
      <c r="P226">
        <v>439</v>
      </c>
      <c r="Q226">
        <v>568</v>
      </c>
      <c r="R226">
        <v>225</v>
      </c>
    </row>
    <row r="227" spans="1:18">
      <c r="A227" s="1" t="s">
        <v>180</v>
      </c>
      <c r="B227">
        <v>36</v>
      </c>
      <c r="C227">
        <v>24</v>
      </c>
      <c r="D227">
        <v>12</v>
      </c>
      <c r="E227">
        <v>8.43</v>
      </c>
      <c r="F227">
        <v>2558</v>
      </c>
      <c r="G227">
        <v>913</v>
      </c>
      <c r="H227">
        <v>2092</v>
      </c>
      <c r="I227">
        <v>477</v>
      </c>
      <c r="J227">
        <v>638</v>
      </c>
      <c r="K227">
        <v>386</v>
      </c>
      <c r="L227">
        <v>1304</v>
      </c>
      <c r="M227">
        <v>541</v>
      </c>
      <c r="N227">
        <v>189</v>
      </c>
      <c r="O227">
        <v>175</v>
      </c>
      <c r="P227">
        <v>383</v>
      </c>
      <c r="Q227">
        <v>691</v>
      </c>
      <c r="R227">
        <v>226</v>
      </c>
    </row>
    <row r="228" spans="1:18">
      <c r="A228" s="1" t="s">
        <v>181</v>
      </c>
      <c r="B228">
        <v>36</v>
      </c>
      <c r="C228">
        <v>26</v>
      </c>
      <c r="D228">
        <v>10</v>
      </c>
      <c r="E228">
        <v>9.7799999999999994</v>
      </c>
      <c r="F228">
        <v>2783</v>
      </c>
      <c r="G228">
        <v>980</v>
      </c>
      <c r="H228">
        <v>2139</v>
      </c>
      <c r="I228">
        <v>489</v>
      </c>
      <c r="J228">
        <v>611</v>
      </c>
      <c r="K228">
        <v>334</v>
      </c>
      <c r="L228">
        <v>1212</v>
      </c>
      <c r="M228">
        <v>566</v>
      </c>
      <c r="N228">
        <v>255</v>
      </c>
      <c r="O228">
        <v>134</v>
      </c>
      <c r="P228">
        <v>341</v>
      </c>
      <c r="Q228">
        <v>533</v>
      </c>
      <c r="R228">
        <v>227</v>
      </c>
    </row>
    <row r="229" spans="1:18">
      <c r="A229" s="1" t="s">
        <v>182</v>
      </c>
      <c r="B229">
        <v>34</v>
      </c>
      <c r="C229">
        <v>25</v>
      </c>
      <c r="D229">
        <v>9</v>
      </c>
      <c r="E229">
        <v>-3</v>
      </c>
      <c r="F229">
        <v>2699</v>
      </c>
      <c r="G229">
        <v>935</v>
      </c>
      <c r="H229">
        <v>2057</v>
      </c>
      <c r="I229">
        <v>582</v>
      </c>
      <c r="J229">
        <v>765</v>
      </c>
      <c r="K229">
        <v>353</v>
      </c>
      <c r="L229">
        <v>1324</v>
      </c>
      <c r="M229">
        <v>576</v>
      </c>
      <c r="N229">
        <v>266</v>
      </c>
      <c r="O229">
        <v>170</v>
      </c>
      <c r="P229">
        <v>462</v>
      </c>
      <c r="Q229">
        <v>592</v>
      </c>
      <c r="R229">
        <v>228</v>
      </c>
    </row>
    <row r="230" spans="1:18">
      <c r="A230" s="1" t="s">
        <v>321</v>
      </c>
      <c r="B230">
        <v>32</v>
      </c>
      <c r="C230">
        <v>17</v>
      </c>
      <c r="D230">
        <v>15</v>
      </c>
      <c r="E230">
        <v>7.28</v>
      </c>
      <c r="F230">
        <v>2329</v>
      </c>
      <c r="G230">
        <v>827</v>
      </c>
      <c r="H230">
        <v>1786</v>
      </c>
      <c r="I230">
        <v>464</v>
      </c>
      <c r="J230">
        <v>680</v>
      </c>
      <c r="K230">
        <v>324</v>
      </c>
      <c r="L230">
        <v>1191</v>
      </c>
      <c r="M230">
        <v>434</v>
      </c>
      <c r="N230">
        <v>166</v>
      </c>
      <c r="O230">
        <v>121</v>
      </c>
      <c r="P230">
        <v>423</v>
      </c>
      <c r="Q230">
        <v>562</v>
      </c>
      <c r="R230">
        <v>229</v>
      </c>
    </row>
    <row r="231" spans="1:18">
      <c r="A231" s="1" t="s">
        <v>183</v>
      </c>
      <c r="B231">
        <v>31</v>
      </c>
      <c r="C231">
        <v>20</v>
      </c>
      <c r="D231">
        <v>11</v>
      </c>
      <c r="E231">
        <v>-2.56</v>
      </c>
      <c r="F231">
        <v>2387</v>
      </c>
      <c r="G231">
        <v>835</v>
      </c>
      <c r="H231">
        <v>1837</v>
      </c>
      <c r="I231">
        <v>432</v>
      </c>
      <c r="J231">
        <v>626</v>
      </c>
      <c r="K231">
        <v>284</v>
      </c>
      <c r="L231">
        <v>1141</v>
      </c>
      <c r="M231">
        <v>415</v>
      </c>
      <c r="N231">
        <v>182</v>
      </c>
      <c r="O231">
        <v>88</v>
      </c>
      <c r="P231">
        <v>388</v>
      </c>
      <c r="Q231">
        <v>550</v>
      </c>
      <c r="R231">
        <v>230</v>
      </c>
    </row>
    <row r="232" spans="1:18">
      <c r="A232" s="1" t="s">
        <v>340</v>
      </c>
      <c r="B232">
        <v>33</v>
      </c>
      <c r="C232">
        <v>20</v>
      </c>
      <c r="D232">
        <v>13</v>
      </c>
      <c r="E232">
        <v>12.22</v>
      </c>
      <c r="F232">
        <v>2828</v>
      </c>
      <c r="G232">
        <v>957</v>
      </c>
      <c r="H232">
        <v>2050</v>
      </c>
      <c r="I232">
        <v>620</v>
      </c>
      <c r="J232">
        <v>786</v>
      </c>
      <c r="K232">
        <v>454</v>
      </c>
      <c r="L232">
        <v>1215</v>
      </c>
      <c r="M232">
        <v>486</v>
      </c>
      <c r="N232">
        <v>252</v>
      </c>
      <c r="O232">
        <v>99</v>
      </c>
      <c r="P232">
        <v>432</v>
      </c>
      <c r="Q232">
        <v>730</v>
      </c>
      <c r="R232">
        <v>231</v>
      </c>
    </row>
    <row r="233" spans="1:18">
      <c r="A233" s="1" t="s">
        <v>329</v>
      </c>
      <c r="B233">
        <v>31</v>
      </c>
      <c r="C233">
        <v>11</v>
      </c>
      <c r="D233">
        <v>20</v>
      </c>
      <c r="E233">
        <v>12.62</v>
      </c>
      <c r="F233">
        <v>2262</v>
      </c>
      <c r="G233">
        <v>788</v>
      </c>
      <c r="H233">
        <v>1863</v>
      </c>
      <c r="I233">
        <v>494</v>
      </c>
      <c r="J233">
        <v>685</v>
      </c>
      <c r="K233">
        <v>361</v>
      </c>
      <c r="L233">
        <v>1173</v>
      </c>
      <c r="M233">
        <v>328</v>
      </c>
      <c r="N233">
        <v>213</v>
      </c>
      <c r="O233">
        <v>147</v>
      </c>
      <c r="P233">
        <v>428</v>
      </c>
      <c r="Q233">
        <v>602</v>
      </c>
      <c r="R233">
        <v>232</v>
      </c>
    </row>
    <row r="234" spans="1:18">
      <c r="A234" s="1" t="s">
        <v>184</v>
      </c>
      <c r="B234">
        <v>31</v>
      </c>
      <c r="C234">
        <v>19</v>
      </c>
      <c r="D234">
        <v>12</v>
      </c>
      <c r="E234">
        <v>-1.35</v>
      </c>
      <c r="F234">
        <v>1998</v>
      </c>
      <c r="G234">
        <v>727</v>
      </c>
      <c r="H234">
        <v>1765</v>
      </c>
      <c r="I234">
        <v>387</v>
      </c>
      <c r="J234">
        <v>602</v>
      </c>
      <c r="K234">
        <v>412</v>
      </c>
      <c r="L234">
        <v>1190</v>
      </c>
      <c r="M234">
        <v>422</v>
      </c>
      <c r="N234">
        <v>196</v>
      </c>
      <c r="O234">
        <v>142</v>
      </c>
      <c r="P234">
        <v>348</v>
      </c>
      <c r="Q234">
        <v>566</v>
      </c>
      <c r="R234">
        <v>233</v>
      </c>
    </row>
    <row r="235" spans="1:18">
      <c r="A235" s="1" t="s">
        <v>185</v>
      </c>
      <c r="B235">
        <v>30</v>
      </c>
      <c r="C235">
        <v>8</v>
      </c>
      <c r="D235">
        <v>22</v>
      </c>
      <c r="E235">
        <v>1.24</v>
      </c>
      <c r="F235">
        <v>2252</v>
      </c>
      <c r="G235">
        <v>810</v>
      </c>
      <c r="H235">
        <v>1819</v>
      </c>
      <c r="I235">
        <v>416</v>
      </c>
      <c r="J235">
        <v>548</v>
      </c>
      <c r="K235">
        <v>278</v>
      </c>
      <c r="L235">
        <v>1034</v>
      </c>
      <c r="M235">
        <v>423</v>
      </c>
      <c r="N235">
        <v>162</v>
      </c>
      <c r="O235">
        <v>88</v>
      </c>
      <c r="P235">
        <v>360</v>
      </c>
      <c r="Q235">
        <v>534</v>
      </c>
      <c r="R235">
        <v>234</v>
      </c>
    </row>
    <row r="236" spans="1:18">
      <c r="A236" s="1" t="s">
        <v>186</v>
      </c>
      <c r="B236">
        <v>32</v>
      </c>
      <c r="C236">
        <v>5</v>
      </c>
      <c r="D236">
        <v>27</v>
      </c>
      <c r="E236">
        <v>5.89</v>
      </c>
      <c r="F236">
        <v>2021</v>
      </c>
      <c r="G236">
        <v>721</v>
      </c>
      <c r="H236">
        <v>1686</v>
      </c>
      <c r="I236">
        <v>376</v>
      </c>
      <c r="J236">
        <v>569</v>
      </c>
      <c r="K236">
        <v>290</v>
      </c>
      <c r="L236">
        <v>1038</v>
      </c>
      <c r="M236">
        <v>380</v>
      </c>
      <c r="N236">
        <v>177</v>
      </c>
      <c r="O236">
        <v>118</v>
      </c>
      <c r="P236">
        <v>491</v>
      </c>
      <c r="Q236">
        <v>611</v>
      </c>
      <c r="R236">
        <v>235</v>
      </c>
    </row>
    <row r="237" spans="1:18">
      <c r="A237" s="1" t="s">
        <v>288</v>
      </c>
      <c r="B237">
        <v>39</v>
      </c>
      <c r="C237">
        <v>33</v>
      </c>
      <c r="D237">
        <v>6</v>
      </c>
      <c r="E237">
        <v>8.3800000000000008</v>
      </c>
      <c r="F237">
        <v>3076</v>
      </c>
      <c r="G237">
        <v>1091</v>
      </c>
      <c r="H237">
        <v>2270</v>
      </c>
      <c r="I237">
        <v>560</v>
      </c>
      <c r="J237">
        <v>787</v>
      </c>
      <c r="K237">
        <v>412</v>
      </c>
      <c r="L237">
        <v>1431</v>
      </c>
      <c r="M237">
        <v>614</v>
      </c>
      <c r="N237">
        <v>253</v>
      </c>
      <c r="O237">
        <v>248</v>
      </c>
      <c r="P237">
        <v>454</v>
      </c>
      <c r="Q237">
        <v>614</v>
      </c>
      <c r="R237">
        <v>236</v>
      </c>
    </row>
    <row r="238" spans="1:18">
      <c r="A238" s="1" t="s">
        <v>187</v>
      </c>
      <c r="B238">
        <v>33</v>
      </c>
      <c r="C238">
        <v>11</v>
      </c>
      <c r="D238">
        <v>22</v>
      </c>
      <c r="E238">
        <v>2.09</v>
      </c>
      <c r="F238">
        <v>2206</v>
      </c>
      <c r="G238">
        <v>784</v>
      </c>
      <c r="H238">
        <v>1939</v>
      </c>
      <c r="I238">
        <v>453</v>
      </c>
      <c r="J238">
        <v>671</v>
      </c>
      <c r="K238">
        <v>385</v>
      </c>
      <c r="L238">
        <v>1225</v>
      </c>
      <c r="M238">
        <v>396</v>
      </c>
      <c r="N238">
        <v>140</v>
      </c>
      <c r="O238">
        <v>63</v>
      </c>
      <c r="P238">
        <v>386</v>
      </c>
      <c r="Q238">
        <v>690</v>
      </c>
      <c r="R238">
        <v>237</v>
      </c>
    </row>
    <row r="239" spans="1:18">
      <c r="A239" s="1" t="s">
        <v>188</v>
      </c>
      <c r="B239">
        <v>33</v>
      </c>
      <c r="C239">
        <v>15</v>
      </c>
      <c r="D239">
        <v>18</v>
      </c>
      <c r="E239">
        <v>8.9</v>
      </c>
      <c r="F239">
        <v>2367</v>
      </c>
      <c r="G239">
        <v>825</v>
      </c>
      <c r="H239">
        <v>1989</v>
      </c>
      <c r="I239">
        <v>487</v>
      </c>
      <c r="J239">
        <v>654</v>
      </c>
      <c r="K239">
        <v>330</v>
      </c>
      <c r="L239">
        <v>1166</v>
      </c>
      <c r="M239">
        <v>449</v>
      </c>
      <c r="N239">
        <v>224</v>
      </c>
      <c r="O239">
        <v>184</v>
      </c>
      <c r="P239">
        <v>430</v>
      </c>
      <c r="Q239">
        <v>596</v>
      </c>
      <c r="R239">
        <v>238</v>
      </c>
    </row>
    <row r="240" spans="1:18">
      <c r="A240" s="1" t="s">
        <v>289</v>
      </c>
      <c r="B240">
        <v>28</v>
      </c>
      <c r="C240">
        <v>13</v>
      </c>
      <c r="D240">
        <v>15</v>
      </c>
      <c r="E240">
        <v>-1.5</v>
      </c>
      <c r="F240">
        <v>1928</v>
      </c>
      <c r="G240">
        <v>710</v>
      </c>
      <c r="H240">
        <v>1603</v>
      </c>
      <c r="I240">
        <v>274</v>
      </c>
      <c r="J240">
        <v>417</v>
      </c>
      <c r="K240">
        <v>267</v>
      </c>
      <c r="L240">
        <v>972</v>
      </c>
      <c r="M240">
        <v>401</v>
      </c>
      <c r="N240">
        <v>181</v>
      </c>
      <c r="O240">
        <v>100</v>
      </c>
      <c r="P240">
        <v>358</v>
      </c>
      <c r="Q240">
        <v>501</v>
      </c>
      <c r="R240">
        <v>239</v>
      </c>
    </row>
    <row r="241" spans="1:18">
      <c r="A241" s="1" t="s">
        <v>290</v>
      </c>
      <c r="B241">
        <v>31</v>
      </c>
      <c r="C241">
        <v>9</v>
      </c>
      <c r="D241">
        <v>22</v>
      </c>
      <c r="E241">
        <v>1.87</v>
      </c>
      <c r="F241">
        <v>2140</v>
      </c>
      <c r="G241">
        <v>807</v>
      </c>
      <c r="H241">
        <v>1811</v>
      </c>
      <c r="I241">
        <v>348</v>
      </c>
      <c r="J241">
        <v>543</v>
      </c>
      <c r="K241">
        <v>295</v>
      </c>
      <c r="L241">
        <v>1033</v>
      </c>
      <c r="M241">
        <v>420</v>
      </c>
      <c r="N241">
        <v>157</v>
      </c>
      <c r="O241">
        <v>84</v>
      </c>
      <c r="P241">
        <v>389</v>
      </c>
      <c r="Q241">
        <v>531</v>
      </c>
      <c r="R241">
        <v>240</v>
      </c>
    </row>
    <row r="242" spans="1:18">
      <c r="A242" s="1" t="s">
        <v>189</v>
      </c>
      <c r="B242">
        <v>33</v>
      </c>
      <c r="C242">
        <v>16</v>
      </c>
      <c r="D242">
        <v>17</v>
      </c>
      <c r="E242">
        <v>11.06</v>
      </c>
      <c r="F242">
        <v>2404</v>
      </c>
      <c r="G242">
        <v>807</v>
      </c>
      <c r="H242">
        <v>1825</v>
      </c>
      <c r="I242">
        <v>527</v>
      </c>
      <c r="J242">
        <v>719</v>
      </c>
      <c r="K242">
        <v>313</v>
      </c>
      <c r="L242">
        <v>1158</v>
      </c>
      <c r="M242">
        <v>473</v>
      </c>
      <c r="N242">
        <v>127</v>
      </c>
      <c r="O242">
        <v>112</v>
      </c>
      <c r="P242">
        <v>396</v>
      </c>
      <c r="Q242">
        <v>548</v>
      </c>
      <c r="R242">
        <v>241</v>
      </c>
    </row>
    <row r="243" spans="1:18">
      <c r="A243" s="1" t="s">
        <v>190</v>
      </c>
      <c r="B243">
        <v>31</v>
      </c>
      <c r="C243">
        <v>15</v>
      </c>
      <c r="D243">
        <v>16</v>
      </c>
      <c r="E243">
        <v>-6.63</v>
      </c>
      <c r="F243">
        <v>2645</v>
      </c>
      <c r="G243">
        <v>959</v>
      </c>
      <c r="H243">
        <v>1991</v>
      </c>
      <c r="I243">
        <v>489</v>
      </c>
      <c r="J243">
        <v>743</v>
      </c>
      <c r="K243">
        <v>322</v>
      </c>
      <c r="L243">
        <v>1064</v>
      </c>
      <c r="M243">
        <v>491</v>
      </c>
      <c r="N243">
        <v>307</v>
      </c>
      <c r="O243">
        <v>81</v>
      </c>
      <c r="P243">
        <v>376</v>
      </c>
      <c r="Q243">
        <v>590</v>
      </c>
      <c r="R243">
        <v>242</v>
      </c>
    </row>
    <row r="244" spans="1:18">
      <c r="A244" s="1" t="s">
        <v>191</v>
      </c>
      <c r="B244">
        <v>33</v>
      </c>
      <c r="C244">
        <v>11</v>
      </c>
      <c r="D244">
        <v>22</v>
      </c>
      <c r="E244">
        <v>2.3199999999999998</v>
      </c>
      <c r="F244">
        <v>2215</v>
      </c>
      <c r="G244">
        <v>758</v>
      </c>
      <c r="H244">
        <v>1793</v>
      </c>
      <c r="I244">
        <v>485</v>
      </c>
      <c r="J244">
        <v>655</v>
      </c>
      <c r="K244">
        <v>278</v>
      </c>
      <c r="L244">
        <v>1098</v>
      </c>
      <c r="M244">
        <v>325</v>
      </c>
      <c r="N244">
        <v>163</v>
      </c>
      <c r="O244">
        <v>112</v>
      </c>
      <c r="P244">
        <v>424</v>
      </c>
      <c r="Q244">
        <v>581</v>
      </c>
      <c r="R244">
        <v>243</v>
      </c>
    </row>
    <row r="245" spans="1:18">
      <c r="A245" s="1" t="s">
        <v>192</v>
      </c>
      <c r="B245">
        <v>33</v>
      </c>
      <c r="C245">
        <v>13</v>
      </c>
      <c r="D245">
        <v>20</v>
      </c>
      <c r="E245">
        <v>-8.48</v>
      </c>
      <c r="F245">
        <v>2276</v>
      </c>
      <c r="G245">
        <v>788</v>
      </c>
      <c r="H245">
        <v>1839</v>
      </c>
      <c r="I245">
        <v>463</v>
      </c>
      <c r="J245">
        <v>659</v>
      </c>
      <c r="K245">
        <v>292</v>
      </c>
      <c r="L245">
        <v>1019</v>
      </c>
      <c r="M245">
        <v>404</v>
      </c>
      <c r="N245">
        <v>273</v>
      </c>
      <c r="O245">
        <v>121</v>
      </c>
      <c r="P245">
        <v>436</v>
      </c>
      <c r="Q245">
        <v>700</v>
      </c>
      <c r="R245">
        <v>244</v>
      </c>
    </row>
    <row r="246" spans="1:18">
      <c r="A246" s="1" t="s">
        <v>350</v>
      </c>
      <c r="B246">
        <v>30</v>
      </c>
      <c r="C246">
        <v>5</v>
      </c>
      <c r="D246">
        <v>25</v>
      </c>
      <c r="E246">
        <v>-5.95</v>
      </c>
      <c r="F246">
        <v>1836</v>
      </c>
      <c r="G246">
        <v>667</v>
      </c>
      <c r="H246">
        <v>1618</v>
      </c>
      <c r="I246">
        <v>321</v>
      </c>
      <c r="J246">
        <v>468</v>
      </c>
      <c r="K246">
        <v>300</v>
      </c>
      <c r="L246">
        <v>979</v>
      </c>
      <c r="M246">
        <v>364</v>
      </c>
      <c r="N246">
        <v>143</v>
      </c>
      <c r="O246">
        <v>72</v>
      </c>
      <c r="P246">
        <v>451</v>
      </c>
      <c r="Q246">
        <v>519</v>
      </c>
      <c r="R246">
        <v>245</v>
      </c>
    </row>
    <row r="247" spans="1:18">
      <c r="A247" s="1" t="s">
        <v>193</v>
      </c>
      <c r="B247">
        <v>30</v>
      </c>
      <c r="C247">
        <v>23</v>
      </c>
      <c r="D247">
        <v>7</v>
      </c>
      <c r="E247">
        <v>-1.84</v>
      </c>
      <c r="F247">
        <v>2149</v>
      </c>
      <c r="G247">
        <v>772</v>
      </c>
      <c r="H247">
        <v>1716</v>
      </c>
      <c r="I247">
        <v>307</v>
      </c>
      <c r="J247">
        <v>416</v>
      </c>
      <c r="K247">
        <v>247</v>
      </c>
      <c r="L247">
        <v>1003</v>
      </c>
      <c r="M247">
        <v>426</v>
      </c>
      <c r="N247">
        <v>200</v>
      </c>
      <c r="O247">
        <v>93</v>
      </c>
      <c r="P247">
        <v>298</v>
      </c>
      <c r="Q247">
        <v>482</v>
      </c>
      <c r="R247">
        <v>246</v>
      </c>
    </row>
    <row r="248" spans="1:18">
      <c r="A248" s="1" t="s">
        <v>194</v>
      </c>
      <c r="B248">
        <v>33</v>
      </c>
      <c r="C248">
        <v>20</v>
      </c>
      <c r="D248">
        <v>13</v>
      </c>
      <c r="E248">
        <v>7.84</v>
      </c>
      <c r="F248">
        <v>2319</v>
      </c>
      <c r="G248">
        <v>804</v>
      </c>
      <c r="H248">
        <v>1795</v>
      </c>
      <c r="I248">
        <v>472</v>
      </c>
      <c r="J248">
        <v>683</v>
      </c>
      <c r="K248">
        <v>294</v>
      </c>
      <c r="L248">
        <v>1101</v>
      </c>
      <c r="M248">
        <v>471</v>
      </c>
      <c r="N248">
        <v>218</v>
      </c>
      <c r="O248">
        <v>98</v>
      </c>
      <c r="P248">
        <v>412</v>
      </c>
      <c r="Q248">
        <v>569</v>
      </c>
      <c r="R248">
        <v>247</v>
      </c>
    </row>
    <row r="249" spans="1:18">
      <c r="A249" s="1" t="s">
        <v>291</v>
      </c>
      <c r="B249">
        <v>35</v>
      </c>
      <c r="C249">
        <v>27</v>
      </c>
      <c r="D249">
        <v>8</v>
      </c>
      <c r="E249">
        <v>8.7899999999999991</v>
      </c>
      <c r="F249">
        <v>2790</v>
      </c>
      <c r="G249">
        <v>980</v>
      </c>
      <c r="H249">
        <v>2044</v>
      </c>
      <c r="I249">
        <v>515</v>
      </c>
      <c r="J249">
        <v>680</v>
      </c>
      <c r="K249">
        <v>344</v>
      </c>
      <c r="L249">
        <v>1322</v>
      </c>
      <c r="M249">
        <v>640</v>
      </c>
      <c r="N249">
        <v>181</v>
      </c>
      <c r="O249">
        <v>87</v>
      </c>
      <c r="P249">
        <v>455</v>
      </c>
      <c r="Q249">
        <v>552</v>
      </c>
      <c r="R249">
        <v>248</v>
      </c>
    </row>
    <row r="250" spans="1:18">
      <c r="A250" s="1" t="s">
        <v>195</v>
      </c>
      <c r="B250">
        <v>31</v>
      </c>
      <c r="C250">
        <v>10</v>
      </c>
      <c r="D250">
        <v>21</v>
      </c>
      <c r="E250">
        <v>-3.22</v>
      </c>
      <c r="F250">
        <v>2377</v>
      </c>
      <c r="G250">
        <v>848</v>
      </c>
      <c r="H250">
        <v>2008</v>
      </c>
      <c r="I250">
        <v>453</v>
      </c>
      <c r="J250">
        <v>663</v>
      </c>
      <c r="K250">
        <v>432</v>
      </c>
      <c r="L250">
        <v>1223</v>
      </c>
      <c r="M250">
        <v>447</v>
      </c>
      <c r="N250">
        <v>178</v>
      </c>
      <c r="O250">
        <v>111</v>
      </c>
      <c r="P250">
        <v>448</v>
      </c>
      <c r="Q250">
        <v>607</v>
      </c>
      <c r="R250">
        <v>249</v>
      </c>
    </row>
    <row r="251" spans="1:18">
      <c r="A251" s="1" t="s">
        <v>196</v>
      </c>
      <c r="B251">
        <v>32</v>
      </c>
      <c r="C251">
        <v>14</v>
      </c>
      <c r="D251">
        <v>18</v>
      </c>
      <c r="E251">
        <v>-4.58</v>
      </c>
      <c r="F251">
        <v>2090</v>
      </c>
      <c r="G251">
        <v>745</v>
      </c>
      <c r="H251">
        <v>1802</v>
      </c>
      <c r="I251">
        <v>353</v>
      </c>
      <c r="J251">
        <v>530</v>
      </c>
      <c r="K251">
        <v>396</v>
      </c>
      <c r="L251">
        <v>1219</v>
      </c>
      <c r="M251">
        <v>393</v>
      </c>
      <c r="N251">
        <v>153</v>
      </c>
      <c r="O251">
        <v>114</v>
      </c>
      <c r="P251">
        <v>470</v>
      </c>
      <c r="Q251">
        <v>550</v>
      </c>
      <c r="R251">
        <v>250</v>
      </c>
    </row>
    <row r="252" spans="1:18">
      <c r="A252" s="1" t="s">
        <v>197</v>
      </c>
      <c r="B252">
        <v>35</v>
      </c>
      <c r="C252">
        <v>25</v>
      </c>
      <c r="D252">
        <v>10</v>
      </c>
      <c r="E252">
        <v>4.62</v>
      </c>
      <c r="F252">
        <v>2577</v>
      </c>
      <c r="G252">
        <v>916</v>
      </c>
      <c r="H252">
        <v>2019</v>
      </c>
      <c r="I252">
        <v>528</v>
      </c>
      <c r="J252">
        <v>791</v>
      </c>
      <c r="K252">
        <v>409</v>
      </c>
      <c r="L252">
        <v>1301</v>
      </c>
      <c r="M252">
        <v>467</v>
      </c>
      <c r="N252">
        <v>227</v>
      </c>
      <c r="O252">
        <v>206</v>
      </c>
      <c r="P252">
        <v>389</v>
      </c>
      <c r="Q252">
        <v>725</v>
      </c>
      <c r="R252">
        <v>251</v>
      </c>
    </row>
    <row r="253" spans="1:18">
      <c r="A253" s="1" t="s">
        <v>198</v>
      </c>
      <c r="B253">
        <v>35</v>
      </c>
      <c r="C253">
        <v>23</v>
      </c>
      <c r="D253">
        <v>12</v>
      </c>
      <c r="E253">
        <v>-4.16</v>
      </c>
      <c r="F253">
        <v>2853</v>
      </c>
      <c r="G253">
        <v>946</v>
      </c>
      <c r="H253">
        <v>2048</v>
      </c>
      <c r="I253">
        <v>635</v>
      </c>
      <c r="J253">
        <v>858</v>
      </c>
      <c r="K253">
        <v>353</v>
      </c>
      <c r="L253">
        <v>1331</v>
      </c>
      <c r="M253">
        <v>484</v>
      </c>
      <c r="N253">
        <v>221</v>
      </c>
      <c r="O253">
        <v>129</v>
      </c>
      <c r="P253">
        <v>524</v>
      </c>
      <c r="Q253">
        <v>669</v>
      </c>
      <c r="R253">
        <v>252</v>
      </c>
    </row>
    <row r="254" spans="1:18">
      <c r="A254" s="1" t="s">
        <v>199</v>
      </c>
      <c r="B254">
        <v>35</v>
      </c>
      <c r="C254">
        <v>22</v>
      </c>
      <c r="D254">
        <v>13</v>
      </c>
      <c r="E254">
        <v>3.28</v>
      </c>
      <c r="F254">
        <v>2596</v>
      </c>
      <c r="G254">
        <v>938</v>
      </c>
      <c r="H254">
        <v>1993</v>
      </c>
      <c r="I254">
        <v>449</v>
      </c>
      <c r="J254">
        <v>630</v>
      </c>
      <c r="K254">
        <v>236</v>
      </c>
      <c r="L254">
        <v>1078</v>
      </c>
      <c r="M254">
        <v>592</v>
      </c>
      <c r="N254">
        <v>232</v>
      </c>
      <c r="O254">
        <v>67</v>
      </c>
      <c r="P254">
        <v>399</v>
      </c>
      <c r="Q254">
        <v>634</v>
      </c>
      <c r="R254">
        <v>253</v>
      </c>
    </row>
    <row r="255" spans="1:18">
      <c r="A255" s="1" t="s">
        <v>200</v>
      </c>
      <c r="B255">
        <v>33</v>
      </c>
      <c r="C255">
        <v>18</v>
      </c>
      <c r="D255">
        <v>15</v>
      </c>
      <c r="E255">
        <v>-5.28</v>
      </c>
      <c r="F255">
        <v>2498</v>
      </c>
      <c r="G255">
        <v>907</v>
      </c>
      <c r="H255">
        <v>2034</v>
      </c>
      <c r="I255">
        <v>505</v>
      </c>
      <c r="J255">
        <v>752</v>
      </c>
      <c r="K255">
        <v>421</v>
      </c>
      <c r="L255">
        <v>1331</v>
      </c>
      <c r="M255">
        <v>466</v>
      </c>
      <c r="N255">
        <v>219</v>
      </c>
      <c r="O255">
        <v>119</v>
      </c>
      <c r="P255">
        <v>481</v>
      </c>
      <c r="Q255">
        <v>650</v>
      </c>
      <c r="R255">
        <v>254</v>
      </c>
    </row>
    <row r="256" spans="1:18">
      <c r="A256" s="1" t="s">
        <v>201</v>
      </c>
      <c r="B256">
        <v>33</v>
      </c>
      <c r="C256">
        <v>14</v>
      </c>
      <c r="D256">
        <v>19</v>
      </c>
      <c r="E256">
        <v>-5.13</v>
      </c>
      <c r="F256">
        <v>2125</v>
      </c>
      <c r="G256">
        <v>728</v>
      </c>
      <c r="H256">
        <v>1818</v>
      </c>
      <c r="I256">
        <v>486</v>
      </c>
      <c r="J256">
        <v>750</v>
      </c>
      <c r="K256">
        <v>363</v>
      </c>
      <c r="L256">
        <v>1139</v>
      </c>
      <c r="M256">
        <v>348</v>
      </c>
      <c r="N256">
        <v>261</v>
      </c>
      <c r="O256">
        <v>80</v>
      </c>
      <c r="P256">
        <v>497</v>
      </c>
      <c r="Q256">
        <v>671</v>
      </c>
      <c r="R256">
        <v>255</v>
      </c>
    </row>
    <row r="257" spans="1:18">
      <c r="A257" s="1" t="s">
        <v>202</v>
      </c>
      <c r="B257">
        <v>33</v>
      </c>
      <c r="C257">
        <v>15</v>
      </c>
      <c r="D257">
        <v>18</v>
      </c>
      <c r="E257">
        <v>6.22</v>
      </c>
      <c r="F257">
        <v>2163</v>
      </c>
      <c r="G257">
        <v>809</v>
      </c>
      <c r="H257">
        <v>1967</v>
      </c>
      <c r="I257">
        <v>393</v>
      </c>
      <c r="J257">
        <v>631</v>
      </c>
      <c r="K257">
        <v>480</v>
      </c>
      <c r="L257">
        <v>1319</v>
      </c>
      <c r="M257">
        <v>360</v>
      </c>
      <c r="N257">
        <v>217</v>
      </c>
      <c r="O257">
        <v>153</v>
      </c>
      <c r="P257">
        <v>437</v>
      </c>
      <c r="Q257">
        <v>584</v>
      </c>
      <c r="R257">
        <v>256</v>
      </c>
    </row>
    <row r="258" spans="1:18">
      <c r="A258" s="1" t="s">
        <v>203</v>
      </c>
      <c r="B258">
        <v>31</v>
      </c>
      <c r="C258">
        <v>13</v>
      </c>
      <c r="D258">
        <v>18</v>
      </c>
      <c r="E258">
        <v>-5.58</v>
      </c>
      <c r="F258">
        <v>2204</v>
      </c>
      <c r="G258">
        <v>808</v>
      </c>
      <c r="H258">
        <v>1759</v>
      </c>
      <c r="I258">
        <v>428</v>
      </c>
      <c r="J258">
        <v>657</v>
      </c>
      <c r="K258">
        <v>306</v>
      </c>
      <c r="L258">
        <v>1100</v>
      </c>
      <c r="M258">
        <v>408</v>
      </c>
      <c r="N258">
        <v>145</v>
      </c>
      <c r="O258">
        <v>135</v>
      </c>
      <c r="P258">
        <v>360</v>
      </c>
      <c r="Q258">
        <v>568</v>
      </c>
      <c r="R258">
        <v>257</v>
      </c>
    </row>
    <row r="259" spans="1:18">
      <c r="A259" s="1" t="s">
        <v>204</v>
      </c>
      <c r="B259">
        <v>32</v>
      </c>
      <c r="C259">
        <v>13</v>
      </c>
      <c r="D259">
        <v>19</v>
      </c>
      <c r="E259">
        <v>-7.52</v>
      </c>
      <c r="F259">
        <v>2326</v>
      </c>
      <c r="G259">
        <v>832</v>
      </c>
      <c r="H259">
        <v>1882</v>
      </c>
      <c r="I259">
        <v>462</v>
      </c>
      <c r="J259">
        <v>659</v>
      </c>
      <c r="K259">
        <v>361</v>
      </c>
      <c r="L259">
        <v>1194</v>
      </c>
      <c r="M259">
        <v>459</v>
      </c>
      <c r="N259">
        <v>217</v>
      </c>
      <c r="O259">
        <v>86</v>
      </c>
      <c r="P259">
        <v>516</v>
      </c>
      <c r="Q259">
        <v>617</v>
      </c>
      <c r="R259">
        <v>258</v>
      </c>
    </row>
    <row r="260" spans="1:18">
      <c r="A260" s="1" t="s">
        <v>205</v>
      </c>
      <c r="B260">
        <v>34</v>
      </c>
      <c r="C260">
        <v>17</v>
      </c>
      <c r="D260">
        <v>17</v>
      </c>
      <c r="E260">
        <v>-7.65</v>
      </c>
      <c r="F260">
        <v>2577</v>
      </c>
      <c r="G260">
        <v>943</v>
      </c>
      <c r="H260">
        <v>2021</v>
      </c>
      <c r="I260">
        <v>414</v>
      </c>
      <c r="J260">
        <v>598</v>
      </c>
      <c r="K260">
        <v>354</v>
      </c>
      <c r="L260">
        <v>1243</v>
      </c>
      <c r="M260">
        <v>472</v>
      </c>
      <c r="N260">
        <v>225</v>
      </c>
      <c r="O260">
        <v>136</v>
      </c>
      <c r="P260">
        <v>491</v>
      </c>
      <c r="Q260">
        <v>551</v>
      </c>
      <c r="R260">
        <v>259</v>
      </c>
    </row>
    <row r="261" spans="1:18">
      <c r="A261" s="1" t="s">
        <v>206</v>
      </c>
      <c r="B261">
        <v>31</v>
      </c>
      <c r="C261">
        <v>11</v>
      </c>
      <c r="D261">
        <v>20</v>
      </c>
      <c r="E261">
        <v>3.69</v>
      </c>
      <c r="F261">
        <v>2155</v>
      </c>
      <c r="G261">
        <v>755</v>
      </c>
      <c r="H261">
        <v>1808</v>
      </c>
      <c r="I261">
        <v>471</v>
      </c>
      <c r="J261">
        <v>725</v>
      </c>
      <c r="K261">
        <v>351</v>
      </c>
      <c r="L261">
        <v>1132</v>
      </c>
      <c r="M261">
        <v>352</v>
      </c>
      <c r="N261">
        <v>150</v>
      </c>
      <c r="O261">
        <v>106</v>
      </c>
      <c r="P261">
        <v>371</v>
      </c>
      <c r="Q261">
        <v>547</v>
      </c>
      <c r="R261">
        <v>260</v>
      </c>
    </row>
    <row r="262" spans="1:18">
      <c r="A262" s="1" t="s">
        <v>292</v>
      </c>
      <c r="B262">
        <v>33</v>
      </c>
      <c r="C262">
        <v>12</v>
      </c>
      <c r="D262">
        <v>21</v>
      </c>
      <c r="E262">
        <v>1.85</v>
      </c>
      <c r="F262">
        <v>2026</v>
      </c>
      <c r="G262">
        <v>700</v>
      </c>
      <c r="H262">
        <v>1733</v>
      </c>
      <c r="I262">
        <v>396</v>
      </c>
      <c r="J262">
        <v>597</v>
      </c>
      <c r="K262">
        <v>279</v>
      </c>
      <c r="L262">
        <v>1093</v>
      </c>
      <c r="M262">
        <v>423</v>
      </c>
      <c r="N262">
        <v>164</v>
      </c>
      <c r="O262">
        <v>95</v>
      </c>
      <c r="P262">
        <v>441</v>
      </c>
      <c r="Q262">
        <v>639</v>
      </c>
      <c r="R262">
        <v>261</v>
      </c>
    </row>
    <row r="263" spans="1:18">
      <c r="A263" s="1" t="s">
        <v>207</v>
      </c>
      <c r="B263">
        <v>34</v>
      </c>
      <c r="C263">
        <v>29</v>
      </c>
      <c r="D263">
        <v>5</v>
      </c>
      <c r="E263">
        <v>2.19</v>
      </c>
      <c r="F263">
        <v>2449</v>
      </c>
      <c r="G263">
        <v>892</v>
      </c>
      <c r="H263">
        <v>1797</v>
      </c>
      <c r="I263">
        <v>372</v>
      </c>
      <c r="J263">
        <v>499</v>
      </c>
      <c r="K263">
        <v>324</v>
      </c>
      <c r="L263">
        <v>1205</v>
      </c>
      <c r="M263">
        <v>563</v>
      </c>
      <c r="N263">
        <v>143</v>
      </c>
      <c r="O263">
        <v>110</v>
      </c>
      <c r="P263">
        <v>365</v>
      </c>
      <c r="Q263">
        <v>512</v>
      </c>
      <c r="R263">
        <v>262</v>
      </c>
    </row>
    <row r="264" spans="1:18">
      <c r="A264" s="1" t="s">
        <v>208</v>
      </c>
      <c r="B264">
        <v>36</v>
      </c>
      <c r="C264">
        <v>23</v>
      </c>
      <c r="D264">
        <v>13</v>
      </c>
      <c r="E264">
        <v>-3.6</v>
      </c>
      <c r="F264">
        <v>2376</v>
      </c>
      <c r="G264">
        <v>825</v>
      </c>
      <c r="H264">
        <v>1891</v>
      </c>
      <c r="I264">
        <v>438</v>
      </c>
      <c r="J264">
        <v>625</v>
      </c>
      <c r="K264">
        <v>297</v>
      </c>
      <c r="L264">
        <v>1182</v>
      </c>
      <c r="M264">
        <v>440</v>
      </c>
      <c r="N264">
        <v>251</v>
      </c>
      <c r="O264">
        <v>106</v>
      </c>
      <c r="P264">
        <v>398</v>
      </c>
      <c r="Q264">
        <v>571</v>
      </c>
      <c r="R264">
        <v>263</v>
      </c>
    </row>
    <row r="265" spans="1:18">
      <c r="A265" s="1" t="s">
        <v>209</v>
      </c>
      <c r="B265">
        <v>34</v>
      </c>
      <c r="C265">
        <v>21</v>
      </c>
      <c r="D265">
        <v>13</v>
      </c>
      <c r="E265">
        <v>-6.35</v>
      </c>
      <c r="F265">
        <v>2526</v>
      </c>
      <c r="G265">
        <v>898</v>
      </c>
      <c r="H265">
        <v>2055</v>
      </c>
      <c r="I265">
        <v>518</v>
      </c>
      <c r="J265">
        <v>755</v>
      </c>
      <c r="K265">
        <v>401</v>
      </c>
      <c r="L265">
        <v>1283</v>
      </c>
      <c r="M265">
        <v>507</v>
      </c>
      <c r="N265">
        <v>239</v>
      </c>
      <c r="O265">
        <v>93</v>
      </c>
      <c r="P265">
        <v>466</v>
      </c>
      <c r="Q265">
        <v>758</v>
      </c>
      <c r="R265">
        <v>264</v>
      </c>
    </row>
    <row r="266" spans="1:18">
      <c r="A266" s="1" t="s">
        <v>293</v>
      </c>
      <c r="B266">
        <v>36</v>
      </c>
      <c r="C266">
        <v>20</v>
      </c>
      <c r="D266">
        <v>16</v>
      </c>
      <c r="E266">
        <v>-3.7</v>
      </c>
      <c r="F266">
        <v>2834</v>
      </c>
      <c r="G266">
        <v>955</v>
      </c>
      <c r="H266">
        <v>2038</v>
      </c>
      <c r="I266">
        <v>645</v>
      </c>
      <c r="J266">
        <v>868</v>
      </c>
      <c r="K266">
        <v>345</v>
      </c>
      <c r="L266">
        <v>1300</v>
      </c>
      <c r="M266">
        <v>581</v>
      </c>
      <c r="N266">
        <v>222</v>
      </c>
      <c r="O266">
        <v>88</v>
      </c>
      <c r="P266">
        <v>493</v>
      </c>
      <c r="Q266">
        <v>678</v>
      </c>
      <c r="R266">
        <v>265</v>
      </c>
    </row>
    <row r="267" spans="1:18">
      <c r="A267" s="1" t="s">
        <v>210</v>
      </c>
      <c r="B267">
        <v>33</v>
      </c>
      <c r="C267">
        <v>19</v>
      </c>
      <c r="D267">
        <v>14</v>
      </c>
      <c r="E267">
        <v>1.47</v>
      </c>
      <c r="F267">
        <v>2260</v>
      </c>
      <c r="G267">
        <v>782</v>
      </c>
      <c r="H267">
        <v>1878</v>
      </c>
      <c r="I267">
        <v>463</v>
      </c>
      <c r="J267">
        <v>663</v>
      </c>
      <c r="K267">
        <v>350</v>
      </c>
      <c r="L267">
        <v>1199</v>
      </c>
      <c r="M267">
        <v>360</v>
      </c>
      <c r="N267">
        <v>227</v>
      </c>
      <c r="O267">
        <v>164</v>
      </c>
      <c r="P267">
        <v>387</v>
      </c>
      <c r="Q267">
        <v>572</v>
      </c>
      <c r="R267">
        <v>266</v>
      </c>
    </row>
    <row r="268" spans="1:18">
      <c r="A268" s="1" t="s">
        <v>211</v>
      </c>
      <c r="B268">
        <v>31</v>
      </c>
      <c r="C268">
        <v>13</v>
      </c>
      <c r="D268">
        <v>18</v>
      </c>
      <c r="E268">
        <v>0.92</v>
      </c>
      <c r="F268">
        <v>2025</v>
      </c>
      <c r="G268">
        <v>666</v>
      </c>
      <c r="H268">
        <v>1636</v>
      </c>
      <c r="I268">
        <v>435</v>
      </c>
      <c r="J268">
        <v>603</v>
      </c>
      <c r="K268">
        <v>254</v>
      </c>
      <c r="L268">
        <v>1028</v>
      </c>
      <c r="M268">
        <v>376</v>
      </c>
      <c r="N268">
        <v>121</v>
      </c>
      <c r="O268">
        <v>54</v>
      </c>
      <c r="P268">
        <v>379</v>
      </c>
      <c r="Q268">
        <v>600</v>
      </c>
      <c r="R268">
        <v>267</v>
      </c>
    </row>
    <row r="269" spans="1:18">
      <c r="A269" s="1" t="s">
        <v>212</v>
      </c>
      <c r="B269">
        <v>33</v>
      </c>
      <c r="C269">
        <v>20</v>
      </c>
      <c r="D269">
        <v>13</v>
      </c>
      <c r="E269">
        <v>0.42</v>
      </c>
      <c r="F269">
        <v>2362</v>
      </c>
      <c r="G269">
        <v>868</v>
      </c>
      <c r="H269">
        <v>1934</v>
      </c>
      <c r="I269">
        <v>327</v>
      </c>
      <c r="J269">
        <v>514</v>
      </c>
      <c r="K269">
        <v>314</v>
      </c>
      <c r="L269">
        <v>1187</v>
      </c>
      <c r="M269">
        <v>428</v>
      </c>
      <c r="N269">
        <v>220</v>
      </c>
      <c r="O269">
        <v>92</v>
      </c>
      <c r="P269">
        <v>415</v>
      </c>
      <c r="Q269">
        <v>639</v>
      </c>
      <c r="R269">
        <v>268</v>
      </c>
    </row>
    <row r="270" spans="1:18">
      <c r="A270" s="1" t="s">
        <v>213</v>
      </c>
      <c r="B270">
        <v>30</v>
      </c>
      <c r="C270">
        <v>14</v>
      </c>
      <c r="D270">
        <v>16</v>
      </c>
      <c r="E270">
        <v>1.74</v>
      </c>
      <c r="F270">
        <v>2195</v>
      </c>
      <c r="G270">
        <v>772</v>
      </c>
      <c r="H270">
        <v>1750</v>
      </c>
      <c r="I270">
        <v>451</v>
      </c>
      <c r="J270">
        <v>643</v>
      </c>
      <c r="K270">
        <v>283</v>
      </c>
      <c r="L270">
        <v>1015</v>
      </c>
      <c r="M270">
        <v>417</v>
      </c>
      <c r="N270">
        <v>190</v>
      </c>
      <c r="O270">
        <v>124</v>
      </c>
      <c r="P270">
        <v>377</v>
      </c>
      <c r="Q270">
        <v>589</v>
      </c>
      <c r="R270">
        <v>269</v>
      </c>
    </row>
    <row r="271" spans="1:18">
      <c r="A271" s="1" t="s">
        <v>214</v>
      </c>
      <c r="B271">
        <v>33</v>
      </c>
      <c r="C271">
        <v>17</v>
      </c>
      <c r="D271">
        <v>16</v>
      </c>
      <c r="E271">
        <v>2.0299999999999998</v>
      </c>
      <c r="F271">
        <v>2204</v>
      </c>
      <c r="G271">
        <v>778</v>
      </c>
      <c r="H271">
        <v>1784</v>
      </c>
      <c r="I271">
        <v>330</v>
      </c>
      <c r="J271">
        <v>451</v>
      </c>
      <c r="K271">
        <v>203</v>
      </c>
      <c r="L271">
        <v>980</v>
      </c>
      <c r="M271">
        <v>464</v>
      </c>
      <c r="N271">
        <v>170</v>
      </c>
      <c r="O271">
        <v>65</v>
      </c>
      <c r="P271">
        <v>341</v>
      </c>
      <c r="Q271">
        <v>617</v>
      </c>
      <c r="R271">
        <v>270</v>
      </c>
    </row>
    <row r="272" spans="1:18">
      <c r="A272" s="1" t="s">
        <v>322</v>
      </c>
      <c r="B272">
        <v>29</v>
      </c>
      <c r="C272">
        <v>13</v>
      </c>
      <c r="D272">
        <v>16</v>
      </c>
      <c r="E272">
        <v>-8.44</v>
      </c>
      <c r="F272">
        <v>2485</v>
      </c>
      <c r="G272">
        <v>833</v>
      </c>
      <c r="H272">
        <v>2030</v>
      </c>
      <c r="I272">
        <v>427</v>
      </c>
      <c r="J272">
        <v>659</v>
      </c>
      <c r="K272">
        <v>358</v>
      </c>
      <c r="L272">
        <v>1169</v>
      </c>
      <c r="M272">
        <v>501</v>
      </c>
      <c r="N272">
        <v>226</v>
      </c>
      <c r="O272">
        <v>94</v>
      </c>
      <c r="P272">
        <v>431</v>
      </c>
      <c r="Q272">
        <v>571</v>
      </c>
      <c r="R272">
        <v>271</v>
      </c>
    </row>
    <row r="273" spans="1:18">
      <c r="A273" s="1" t="s">
        <v>358</v>
      </c>
      <c r="B273">
        <v>30</v>
      </c>
      <c r="C273">
        <v>13</v>
      </c>
      <c r="D273">
        <v>17</v>
      </c>
      <c r="E273">
        <v>-3.95</v>
      </c>
      <c r="F273">
        <v>2091</v>
      </c>
      <c r="G273">
        <v>713</v>
      </c>
      <c r="H273">
        <v>1646</v>
      </c>
      <c r="I273">
        <v>405</v>
      </c>
      <c r="J273">
        <v>573</v>
      </c>
      <c r="K273">
        <v>223</v>
      </c>
      <c r="L273">
        <v>1011</v>
      </c>
      <c r="M273">
        <v>476</v>
      </c>
      <c r="N273">
        <v>199</v>
      </c>
      <c r="O273">
        <v>62</v>
      </c>
      <c r="P273">
        <v>436</v>
      </c>
      <c r="Q273">
        <v>568</v>
      </c>
      <c r="R273">
        <v>272</v>
      </c>
    </row>
    <row r="274" spans="1:18">
      <c r="A274" s="1" t="s">
        <v>294</v>
      </c>
      <c r="B274">
        <v>33</v>
      </c>
      <c r="C274">
        <v>21</v>
      </c>
      <c r="D274">
        <v>12</v>
      </c>
      <c r="E274">
        <v>9.25</v>
      </c>
      <c r="F274">
        <v>2417</v>
      </c>
      <c r="G274">
        <v>872</v>
      </c>
      <c r="H274">
        <v>1949</v>
      </c>
      <c r="I274">
        <v>471</v>
      </c>
      <c r="J274">
        <v>733</v>
      </c>
      <c r="K274">
        <v>439</v>
      </c>
      <c r="L274">
        <v>1311</v>
      </c>
      <c r="M274">
        <v>405</v>
      </c>
      <c r="N274">
        <v>228</v>
      </c>
      <c r="O274">
        <v>82</v>
      </c>
      <c r="P274">
        <v>449</v>
      </c>
      <c r="Q274">
        <v>613</v>
      </c>
      <c r="R274">
        <v>273</v>
      </c>
    </row>
    <row r="275" spans="1:18">
      <c r="A275" s="1" t="s">
        <v>215</v>
      </c>
      <c r="B275">
        <v>34</v>
      </c>
      <c r="C275">
        <v>17</v>
      </c>
      <c r="D275">
        <v>17</v>
      </c>
      <c r="E275">
        <v>-2.23</v>
      </c>
      <c r="F275">
        <v>2549</v>
      </c>
      <c r="G275">
        <v>899</v>
      </c>
      <c r="H275">
        <v>1989</v>
      </c>
      <c r="I275">
        <v>565</v>
      </c>
      <c r="J275">
        <v>795</v>
      </c>
      <c r="K275">
        <v>430</v>
      </c>
      <c r="L275">
        <v>1284</v>
      </c>
      <c r="M275">
        <v>460</v>
      </c>
      <c r="N275">
        <v>199</v>
      </c>
      <c r="O275">
        <v>140</v>
      </c>
      <c r="P275">
        <v>476</v>
      </c>
      <c r="Q275">
        <v>664</v>
      </c>
      <c r="R275">
        <v>274</v>
      </c>
    </row>
    <row r="276" spans="1:18">
      <c r="A276" s="1" t="s">
        <v>216</v>
      </c>
      <c r="B276">
        <v>32</v>
      </c>
      <c r="C276">
        <v>14</v>
      </c>
      <c r="D276">
        <v>18</v>
      </c>
      <c r="E276">
        <v>-2.9</v>
      </c>
      <c r="F276">
        <v>2286</v>
      </c>
      <c r="G276">
        <v>793</v>
      </c>
      <c r="H276">
        <v>1859</v>
      </c>
      <c r="I276">
        <v>475</v>
      </c>
      <c r="J276">
        <v>725</v>
      </c>
      <c r="K276">
        <v>337</v>
      </c>
      <c r="L276">
        <v>1108</v>
      </c>
      <c r="M276">
        <v>408</v>
      </c>
      <c r="N276">
        <v>240</v>
      </c>
      <c r="O276">
        <v>119</v>
      </c>
      <c r="P276">
        <v>419</v>
      </c>
      <c r="Q276">
        <v>653</v>
      </c>
      <c r="R276">
        <v>275</v>
      </c>
    </row>
    <row r="277" spans="1:18">
      <c r="A277" s="1" t="s">
        <v>295</v>
      </c>
      <c r="B277">
        <v>31</v>
      </c>
      <c r="C277">
        <v>11</v>
      </c>
      <c r="D277">
        <v>20</v>
      </c>
      <c r="E277">
        <v>-6.61</v>
      </c>
      <c r="F277">
        <v>2167</v>
      </c>
      <c r="G277">
        <v>796</v>
      </c>
      <c r="H277">
        <v>1849</v>
      </c>
      <c r="I277">
        <v>390</v>
      </c>
      <c r="J277">
        <v>564</v>
      </c>
      <c r="K277">
        <v>320</v>
      </c>
      <c r="L277">
        <v>991</v>
      </c>
      <c r="M277">
        <v>380</v>
      </c>
      <c r="N277">
        <v>154</v>
      </c>
      <c r="O277">
        <v>64</v>
      </c>
      <c r="P277">
        <v>383</v>
      </c>
      <c r="Q277">
        <v>594</v>
      </c>
      <c r="R277">
        <v>276</v>
      </c>
    </row>
    <row r="278" spans="1:18">
      <c r="A278" s="1" t="s">
        <v>351</v>
      </c>
      <c r="B278">
        <v>33</v>
      </c>
      <c r="C278">
        <v>17</v>
      </c>
      <c r="D278">
        <v>16</v>
      </c>
      <c r="E278">
        <v>-5.23</v>
      </c>
      <c r="F278">
        <v>2575</v>
      </c>
      <c r="G278">
        <v>936</v>
      </c>
      <c r="H278">
        <v>2042</v>
      </c>
      <c r="I278">
        <v>419</v>
      </c>
      <c r="J278">
        <v>638</v>
      </c>
      <c r="K278">
        <v>396</v>
      </c>
      <c r="L278">
        <v>1279</v>
      </c>
      <c r="M278">
        <v>508</v>
      </c>
      <c r="N278">
        <v>179</v>
      </c>
      <c r="O278">
        <v>104</v>
      </c>
      <c r="P278">
        <v>421</v>
      </c>
      <c r="Q278">
        <v>545</v>
      </c>
      <c r="R278">
        <v>277</v>
      </c>
    </row>
    <row r="279" spans="1:18">
      <c r="A279" s="1" t="s">
        <v>217</v>
      </c>
      <c r="B279">
        <v>37</v>
      </c>
      <c r="C279">
        <v>26</v>
      </c>
      <c r="D279">
        <v>11</v>
      </c>
      <c r="E279">
        <v>10.16</v>
      </c>
      <c r="F279">
        <v>2707</v>
      </c>
      <c r="G279">
        <v>924</v>
      </c>
      <c r="H279">
        <v>2197</v>
      </c>
      <c r="I279">
        <v>611</v>
      </c>
      <c r="J279">
        <v>874</v>
      </c>
      <c r="K279">
        <v>464</v>
      </c>
      <c r="L279">
        <v>1346</v>
      </c>
      <c r="M279">
        <v>468</v>
      </c>
      <c r="N279">
        <v>288</v>
      </c>
      <c r="O279">
        <v>142</v>
      </c>
      <c r="P279">
        <v>480</v>
      </c>
      <c r="Q279">
        <v>751</v>
      </c>
      <c r="R279">
        <v>278</v>
      </c>
    </row>
    <row r="280" spans="1:18">
      <c r="A280" s="1" t="s">
        <v>341</v>
      </c>
      <c r="B280">
        <v>35</v>
      </c>
      <c r="C280">
        <v>18</v>
      </c>
      <c r="D280">
        <v>17</v>
      </c>
      <c r="E280">
        <v>-0.66</v>
      </c>
      <c r="F280">
        <v>2683</v>
      </c>
      <c r="G280">
        <v>881</v>
      </c>
      <c r="H280">
        <v>1938</v>
      </c>
      <c r="I280">
        <v>603</v>
      </c>
      <c r="J280">
        <v>782</v>
      </c>
      <c r="K280">
        <v>316</v>
      </c>
      <c r="L280">
        <v>1229</v>
      </c>
      <c r="M280">
        <v>459</v>
      </c>
      <c r="N280">
        <v>180</v>
      </c>
      <c r="O280">
        <v>83</v>
      </c>
      <c r="P280">
        <v>453</v>
      </c>
      <c r="Q280">
        <v>584</v>
      </c>
      <c r="R280">
        <v>279</v>
      </c>
    </row>
    <row r="281" spans="1:18">
      <c r="A281" s="1" t="s">
        <v>359</v>
      </c>
      <c r="B281">
        <v>34</v>
      </c>
      <c r="C281">
        <v>22</v>
      </c>
      <c r="D281">
        <v>12</v>
      </c>
      <c r="E281">
        <v>-2.08</v>
      </c>
      <c r="F281">
        <v>2639</v>
      </c>
      <c r="G281">
        <v>907</v>
      </c>
      <c r="H281">
        <v>2044</v>
      </c>
      <c r="I281">
        <v>601</v>
      </c>
      <c r="J281">
        <v>852</v>
      </c>
      <c r="K281">
        <v>355</v>
      </c>
      <c r="L281">
        <v>1268</v>
      </c>
      <c r="M281">
        <v>415</v>
      </c>
      <c r="N281">
        <v>231</v>
      </c>
      <c r="O281">
        <v>115</v>
      </c>
      <c r="P281">
        <v>402</v>
      </c>
      <c r="Q281">
        <v>657</v>
      </c>
      <c r="R281">
        <v>280</v>
      </c>
    </row>
    <row r="282" spans="1:18">
      <c r="A282" s="1" t="s">
        <v>218</v>
      </c>
      <c r="B282">
        <v>30</v>
      </c>
      <c r="C282">
        <v>7</v>
      </c>
      <c r="D282">
        <v>23</v>
      </c>
      <c r="E282">
        <v>2.39</v>
      </c>
      <c r="F282">
        <v>1945</v>
      </c>
      <c r="G282">
        <v>716</v>
      </c>
      <c r="H282">
        <v>1684</v>
      </c>
      <c r="I282">
        <v>339</v>
      </c>
      <c r="J282">
        <v>516</v>
      </c>
      <c r="K282">
        <v>328</v>
      </c>
      <c r="L282">
        <v>1053</v>
      </c>
      <c r="M282">
        <v>365</v>
      </c>
      <c r="N282">
        <v>183</v>
      </c>
      <c r="O282">
        <v>115</v>
      </c>
      <c r="P282">
        <v>489</v>
      </c>
      <c r="Q282">
        <v>579</v>
      </c>
      <c r="R282">
        <v>281</v>
      </c>
    </row>
    <row r="283" spans="1:18">
      <c r="A283" s="1" t="s">
        <v>296</v>
      </c>
      <c r="B283">
        <v>33</v>
      </c>
      <c r="C283">
        <v>15</v>
      </c>
      <c r="D283">
        <v>18</v>
      </c>
      <c r="E283">
        <v>-4.28</v>
      </c>
      <c r="F283">
        <v>2460</v>
      </c>
      <c r="G283">
        <v>852</v>
      </c>
      <c r="H283">
        <v>1897</v>
      </c>
      <c r="I283">
        <v>493</v>
      </c>
      <c r="J283">
        <v>664</v>
      </c>
      <c r="K283">
        <v>289</v>
      </c>
      <c r="L283">
        <v>1024</v>
      </c>
      <c r="M283">
        <v>454</v>
      </c>
      <c r="N283">
        <v>248</v>
      </c>
      <c r="O283">
        <v>63</v>
      </c>
      <c r="P283">
        <v>410</v>
      </c>
      <c r="Q283">
        <v>644</v>
      </c>
      <c r="R283">
        <v>282</v>
      </c>
    </row>
    <row r="284" spans="1:18">
      <c r="A284" s="1" t="s">
        <v>219</v>
      </c>
      <c r="B284">
        <v>32</v>
      </c>
      <c r="C284">
        <v>16</v>
      </c>
      <c r="D284">
        <v>16</v>
      </c>
      <c r="E284">
        <v>-8.1300000000000008</v>
      </c>
      <c r="F284">
        <v>2268</v>
      </c>
      <c r="G284">
        <v>796</v>
      </c>
      <c r="H284">
        <v>1770</v>
      </c>
      <c r="I284">
        <v>461</v>
      </c>
      <c r="J284">
        <v>675</v>
      </c>
      <c r="K284">
        <v>384</v>
      </c>
      <c r="L284">
        <v>1154</v>
      </c>
      <c r="M284">
        <v>455</v>
      </c>
      <c r="N284">
        <v>218</v>
      </c>
      <c r="O284">
        <v>106</v>
      </c>
      <c r="P284">
        <v>512</v>
      </c>
      <c r="Q284">
        <v>619</v>
      </c>
      <c r="R284">
        <v>283</v>
      </c>
    </row>
    <row r="285" spans="1:18">
      <c r="A285" s="1" t="s">
        <v>220</v>
      </c>
      <c r="B285">
        <v>36</v>
      </c>
      <c r="C285">
        <v>26</v>
      </c>
      <c r="D285">
        <v>10</v>
      </c>
      <c r="E285">
        <v>6.4</v>
      </c>
      <c r="F285">
        <v>2816</v>
      </c>
      <c r="G285">
        <v>975</v>
      </c>
      <c r="H285">
        <v>2139</v>
      </c>
      <c r="I285">
        <v>583</v>
      </c>
      <c r="J285">
        <v>787</v>
      </c>
      <c r="K285">
        <v>387</v>
      </c>
      <c r="L285">
        <v>1286</v>
      </c>
      <c r="M285">
        <v>550</v>
      </c>
      <c r="N285">
        <v>252</v>
      </c>
      <c r="O285">
        <v>190</v>
      </c>
      <c r="P285">
        <v>398</v>
      </c>
      <c r="Q285">
        <v>571</v>
      </c>
      <c r="R285">
        <v>284</v>
      </c>
    </row>
    <row r="286" spans="1:18">
      <c r="A286" s="1" t="s">
        <v>355</v>
      </c>
      <c r="B286">
        <v>30</v>
      </c>
      <c r="C286">
        <v>6</v>
      </c>
      <c r="D286">
        <v>24</v>
      </c>
      <c r="E286">
        <v>-3.29</v>
      </c>
      <c r="F286">
        <v>2044</v>
      </c>
      <c r="G286">
        <v>687</v>
      </c>
      <c r="H286">
        <v>1686</v>
      </c>
      <c r="I286">
        <v>528</v>
      </c>
      <c r="J286">
        <v>780</v>
      </c>
      <c r="K286">
        <v>353</v>
      </c>
      <c r="L286">
        <v>1073</v>
      </c>
      <c r="M286">
        <v>305</v>
      </c>
      <c r="N286">
        <v>142</v>
      </c>
      <c r="O286">
        <v>85</v>
      </c>
      <c r="P286">
        <v>436</v>
      </c>
      <c r="Q286">
        <v>657</v>
      </c>
      <c r="R286">
        <v>285</v>
      </c>
    </row>
    <row r="287" spans="1:18">
      <c r="A287" s="1" t="s">
        <v>221</v>
      </c>
      <c r="B287">
        <v>33</v>
      </c>
      <c r="C287">
        <v>17</v>
      </c>
      <c r="D287">
        <v>16</v>
      </c>
      <c r="E287">
        <v>2.65</v>
      </c>
      <c r="F287">
        <v>2260</v>
      </c>
      <c r="G287">
        <v>808</v>
      </c>
      <c r="H287">
        <v>1866</v>
      </c>
      <c r="I287">
        <v>469</v>
      </c>
      <c r="J287">
        <v>674</v>
      </c>
      <c r="K287">
        <v>348</v>
      </c>
      <c r="L287">
        <v>1114</v>
      </c>
      <c r="M287">
        <v>375</v>
      </c>
      <c r="N287">
        <v>225</v>
      </c>
      <c r="O287">
        <v>128</v>
      </c>
      <c r="P287">
        <v>398</v>
      </c>
      <c r="Q287">
        <v>594</v>
      </c>
      <c r="R287">
        <v>286</v>
      </c>
    </row>
    <row r="288" spans="1:18">
      <c r="A288" s="1" t="s">
        <v>222</v>
      </c>
      <c r="B288">
        <v>35</v>
      </c>
      <c r="C288">
        <v>30</v>
      </c>
      <c r="D288">
        <v>5</v>
      </c>
      <c r="E288">
        <v>4.45</v>
      </c>
      <c r="F288">
        <v>2599</v>
      </c>
      <c r="G288">
        <v>914</v>
      </c>
      <c r="H288">
        <v>1934</v>
      </c>
      <c r="I288">
        <v>485</v>
      </c>
      <c r="J288">
        <v>696</v>
      </c>
      <c r="K288">
        <v>416</v>
      </c>
      <c r="L288">
        <v>1335</v>
      </c>
      <c r="M288">
        <v>566</v>
      </c>
      <c r="N288">
        <v>200</v>
      </c>
      <c r="O288">
        <v>117</v>
      </c>
      <c r="P288">
        <v>377</v>
      </c>
      <c r="Q288">
        <v>506</v>
      </c>
      <c r="R288">
        <v>287</v>
      </c>
    </row>
    <row r="289" spans="1:18">
      <c r="A289" s="1" t="s">
        <v>223</v>
      </c>
      <c r="B289">
        <v>31</v>
      </c>
      <c r="C289">
        <v>9</v>
      </c>
      <c r="D289">
        <v>22</v>
      </c>
      <c r="E289">
        <v>-2.78</v>
      </c>
      <c r="F289">
        <v>1952</v>
      </c>
      <c r="G289">
        <v>690</v>
      </c>
      <c r="H289">
        <v>1728</v>
      </c>
      <c r="I289">
        <v>372</v>
      </c>
      <c r="J289">
        <v>526</v>
      </c>
      <c r="K289">
        <v>258</v>
      </c>
      <c r="L289">
        <v>1058</v>
      </c>
      <c r="M289">
        <v>376</v>
      </c>
      <c r="N289">
        <v>145</v>
      </c>
      <c r="O289">
        <v>64</v>
      </c>
      <c r="P289">
        <v>405</v>
      </c>
      <c r="Q289">
        <v>527</v>
      </c>
      <c r="R289">
        <v>288</v>
      </c>
    </row>
    <row r="290" spans="1:18">
      <c r="A290" s="1" t="s">
        <v>224</v>
      </c>
      <c r="B290">
        <v>33</v>
      </c>
      <c r="C290">
        <v>6</v>
      </c>
      <c r="D290">
        <v>27</v>
      </c>
      <c r="E290">
        <v>-5.39</v>
      </c>
      <c r="F290">
        <v>2559</v>
      </c>
      <c r="G290">
        <v>815</v>
      </c>
      <c r="H290">
        <v>2004</v>
      </c>
      <c r="I290">
        <v>638</v>
      </c>
      <c r="J290">
        <v>861</v>
      </c>
      <c r="K290">
        <v>383</v>
      </c>
      <c r="L290">
        <v>1218</v>
      </c>
      <c r="M290">
        <v>381</v>
      </c>
      <c r="N290">
        <v>185</v>
      </c>
      <c r="O290">
        <v>107</v>
      </c>
      <c r="P290">
        <v>452</v>
      </c>
      <c r="Q290">
        <v>803</v>
      </c>
      <c r="R290">
        <v>289</v>
      </c>
    </row>
    <row r="291" spans="1:18">
      <c r="A291" s="1" t="s">
        <v>225</v>
      </c>
      <c r="B291">
        <v>33</v>
      </c>
      <c r="C291">
        <v>15</v>
      </c>
      <c r="D291">
        <v>18</v>
      </c>
      <c r="E291">
        <v>-11.68</v>
      </c>
      <c r="F291">
        <v>2360</v>
      </c>
      <c r="G291">
        <v>825</v>
      </c>
      <c r="H291">
        <v>1887</v>
      </c>
      <c r="I291">
        <v>547</v>
      </c>
      <c r="J291">
        <v>786</v>
      </c>
      <c r="K291">
        <v>405</v>
      </c>
      <c r="L291">
        <v>1247</v>
      </c>
      <c r="M291">
        <v>384</v>
      </c>
      <c r="N291">
        <v>184</v>
      </c>
      <c r="O291">
        <v>121</v>
      </c>
      <c r="P291">
        <v>453</v>
      </c>
      <c r="Q291">
        <v>635</v>
      </c>
      <c r="R291">
        <v>290</v>
      </c>
    </row>
    <row r="292" spans="1:18">
      <c r="A292" s="1" t="s">
        <v>297</v>
      </c>
      <c r="B292">
        <v>32</v>
      </c>
      <c r="C292">
        <v>20</v>
      </c>
      <c r="D292">
        <v>12</v>
      </c>
      <c r="E292">
        <v>1.48</v>
      </c>
      <c r="F292">
        <v>2459</v>
      </c>
      <c r="G292">
        <v>825</v>
      </c>
      <c r="H292">
        <v>1864</v>
      </c>
      <c r="I292">
        <v>608</v>
      </c>
      <c r="J292">
        <v>791</v>
      </c>
      <c r="K292">
        <v>369</v>
      </c>
      <c r="L292">
        <v>1153</v>
      </c>
      <c r="M292">
        <v>423</v>
      </c>
      <c r="N292">
        <v>230</v>
      </c>
      <c r="O292">
        <v>138</v>
      </c>
      <c r="P292">
        <v>401</v>
      </c>
      <c r="Q292">
        <v>668</v>
      </c>
      <c r="R292">
        <v>291</v>
      </c>
    </row>
    <row r="293" spans="1:18">
      <c r="A293" s="1" t="s">
        <v>226</v>
      </c>
      <c r="B293">
        <v>31</v>
      </c>
      <c r="C293">
        <v>4</v>
      </c>
      <c r="D293">
        <v>27</v>
      </c>
      <c r="E293">
        <v>-6.54</v>
      </c>
      <c r="F293">
        <v>1921</v>
      </c>
      <c r="G293">
        <v>650</v>
      </c>
      <c r="H293">
        <v>1871</v>
      </c>
      <c r="I293">
        <v>400</v>
      </c>
      <c r="J293">
        <v>616</v>
      </c>
      <c r="K293">
        <v>390</v>
      </c>
      <c r="L293">
        <v>1078</v>
      </c>
      <c r="M293">
        <v>287</v>
      </c>
      <c r="N293">
        <v>208</v>
      </c>
      <c r="O293">
        <v>89</v>
      </c>
      <c r="P293">
        <v>379</v>
      </c>
      <c r="Q293">
        <v>672</v>
      </c>
      <c r="R293">
        <v>292</v>
      </c>
    </row>
    <row r="294" spans="1:18">
      <c r="A294" s="1" t="s">
        <v>298</v>
      </c>
      <c r="B294">
        <v>33</v>
      </c>
      <c r="C294">
        <v>14</v>
      </c>
      <c r="D294">
        <v>19</v>
      </c>
      <c r="E294">
        <v>8.39</v>
      </c>
      <c r="F294">
        <v>2534</v>
      </c>
      <c r="G294">
        <v>866</v>
      </c>
      <c r="H294">
        <v>2000</v>
      </c>
      <c r="I294">
        <v>524</v>
      </c>
      <c r="J294">
        <v>724</v>
      </c>
      <c r="K294">
        <v>337</v>
      </c>
      <c r="L294">
        <v>1136</v>
      </c>
      <c r="M294">
        <v>446</v>
      </c>
      <c r="N294">
        <v>224</v>
      </c>
      <c r="O294">
        <v>197</v>
      </c>
      <c r="P294">
        <v>433</v>
      </c>
      <c r="Q294">
        <v>688</v>
      </c>
      <c r="R294">
        <v>293</v>
      </c>
    </row>
    <row r="295" spans="1:18">
      <c r="A295" s="1" t="s">
        <v>342</v>
      </c>
      <c r="B295">
        <v>31</v>
      </c>
      <c r="C295">
        <v>14</v>
      </c>
      <c r="D295">
        <v>17</v>
      </c>
      <c r="E295">
        <v>8.59</v>
      </c>
      <c r="F295">
        <v>2162</v>
      </c>
      <c r="G295">
        <v>772</v>
      </c>
      <c r="H295">
        <v>1753</v>
      </c>
      <c r="I295">
        <v>461</v>
      </c>
      <c r="J295">
        <v>676</v>
      </c>
      <c r="K295">
        <v>316</v>
      </c>
      <c r="L295">
        <v>1067</v>
      </c>
      <c r="M295">
        <v>421</v>
      </c>
      <c r="N295">
        <v>211</v>
      </c>
      <c r="O295">
        <v>79</v>
      </c>
      <c r="P295">
        <v>399</v>
      </c>
      <c r="Q295">
        <v>604</v>
      </c>
      <c r="R295">
        <v>294</v>
      </c>
    </row>
    <row r="296" spans="1:18">
      <c r="A296" s="1" t="s">
        <v>227</v>
      </c>
      <c r="B296">
        <v>33</v>
      </c>
      <c r="C296">
        <v>18</v>
      </c>
      <c r="D296">
        <v>15</v>
      </c>
      <c r="E296">
        <v>-5.75</v>
      </c>
      <c r="F296">
        <v>2289</v>
      </c>
      <c r="G296">
        <v>783</v>
      </c>
      <c r="H296">
        <v>1754</v>
      </c>
      <c r="I296">
        <v>530</v>
      </c>
      <c r="J296">
        <v>735</v>
      </c>
      <c r="K296">
        <v>378</v>
      </c>
      <c r="L296">
        <v>1147</v>
      </c>
      <c r="M296">
        <v>409</v>
      </c>
      <c r="N296">
        <v>223</v>
      </c>
      <c r="O296">
        <v>100</v>
      </c>
      <c r="P296">
        <v>578</v>
      </c>
      <c r="Q296">
        <v>716</v>
      </c>
      <c r="R296">
        <v>295</v>
      </c>
    </row>
    <row r="297" spans="1:18">
      <c r="A297" s="1" t="s">
        <v>228</v>
      </c>
      <c r="B297">
        <v>32</v>
      </c>
      <c r="C297">
        <v>11</v>
      </c>
      <c r="D297">
        <v>21</v>
      </c>
      <c r="E297">
        <v>-5.45</v>
      </c>
      <c r="F297">
        <v>2471</v>
      </c>
      <c r="G297">
        <v>886</v>
      </c>
      <c r="H297">
        <v>2007</v>
      </c>
      <c r="I297">
        <v>438</v>
      </c>
      <c r="J297">
        <v>665</v>
      </c>
      <c r="K297">
        <v>274</v>
      </c>
      <c r="L297">
        <v>1128</v>
      </c>
      <c r="M297">
        <v>436</v>
      </c>
      <c r="N297">
        <v>155</v>
      </c>
      <c r="O297">
        <v>71</v>
      </c>
      <c r="P297">
        <v>362</v>
      </c>
      <c r="Q297">
        <v>608</v>
      </c>
      <c r="R297">
        <v>296</v>
      </c>
    </row>
    <row r="298" spans="1:18">
      <c r="A298" s="1" t="s">
        <v>229</v>
      </c>
      <c r="B298">
        <v>32</v>
      </c>
      <c r="C298">
        <v>18</v>
      </c>
      <c r="D298">
        <v>14</v>
      </c>
      <c r="E298">
        <v>-5.05</v>
      </c>
      <c r="F298">
        <v>2215</v>
      </c>
      <c r="G298">
        <v>759</v>
      </c>
      <c r="H298">
        <v>1878</v>
      </c>
      <c r="I298">
        <v>445</v>
      </c>
      <c r="J298">
        <v>617</v>
      </c>
      <c r="K298">
        <v>358</v>
      </c>
      <c r="L298">
        <v>1108</v>
      </c>
      <c r="M298">
        <v>391</v>
      </c>
      <c r="N298">
        <v>174</v>
      </c>
      <c r="O298">
        <v>102</v>
      </c>
      <c r="P298">
        <v>325</v>
      </c>
      <c r="Q298">
        <v>622</v>
      </c>
      <c r="R298">
        <v>297</v>
      </c>
    </row>
    <row r="299" spans="1:18">
      <c r="A299" s="1" t="s">
        <v>313</v>
      </c>
      <c r="B299">
        <v>34</v>
      </c>
      <c r="C299">
        <v>19</v>
      </c>
      <c r="D299">
        <v>15</v>
      </c>
      <c r="E299">
        <v>8.4700000000000006</v>
      </c>
      <c r="F299">
        <v>2594</v>
      </c>
      <c r="G299">
        <v>894</v>
      </c>
      <c r="H299">
        <v>1950</v>
      </c>
      <c r="I299">
        <v>506</v>
      </c>
      <c r="J299">
        <v>685</v>
      </c>
      <c r="K299">
        <v>363</v>
      </c>
      <c r="L299">
        <v>1183</v>
      </c>
      <c r="M299">
        <v>532</v>
      </c>
      <c r="N299">
        <v>275</v>
      </c>
      <c r="O299">
        <v>159</v>
      </c>
      <c r="P299">
        <v>418</v>
      </c>
      <c r="Q299">
        <v>542</v>
      </c>
      <c r="R299">
        <v>298</v>
      </c>
    </row>
    <row r="300" spans="1:18">
      <c r="A300" s="1" t="s">
        <v>314</v>
      </c>
      <c r="B300">
        <v>32</v>
      </c>
      <c r="C300">
        <v>16</v>
      </c>
      <c r="D300">
        <v>16</v>
      </c>
      <c r="E300">
        <v>5.09</v>
      </c>
      <c r="F300">
        <v>2269</v>
      </c>
      <c r="G300">
        <v>808</v>
      </c>
      <c r="H300">
        <v>1916</v>
      </c>
      <c r="I300">
        <v>366</v>
      </c>
      <c r="J300">
        <v>506</v>
      </c>
      <c r="K300">
        <v>320</v>
      </c>
      <c r="L300">
        <v>1096</v>
      </c>
      <c r="M300">
        <v>464</v>
      </c>
      <c r="N300">
        <v>208</v>
      </c>
      <c r="O300">
        <v>128</v>
      </c>
      <c r="P300">
        <v>365</v>
      </c>
      <c r="Q300">
        <v>584</v>
      </c>
      <c r="R300">
        <v>299</v>
      </c>
    </row>
    <row r="301" spans="1:18">
      <c r="A301" s="1" t="s">
        <v>230</v>
      </c>
      <c r="B301">
        <v>35</v>
      </c>
      <c r="C301">
        <v>22</v>
      </c>
      <c r="D301">
        <v>13</v>
      </c>
      <c r="E301">
        <v>-4.34</v>
      </c>
      <c r="F301">
        <v>2693</v>
      </c>
      <c r="G301">
        <v>966</v>
      </c>
      <c r="H301">
        <v>2066</v>
      </c>
      <c r="I301">
        <v>474</v>
      </c>
      <c r="J301">
        <v>689</v>
      </c>
      <c r="K301">
        <v>453</v>
      </c>
      <c r="L301">
        <v>1312</v>
      </c>
      <c r="M301">
        <v>555</v>
      </c>
      <c r="N301">
        <v>228</v>
      </c>
      <c r="O301">
        <v>123</v>
      </c>
      <c r="P301">
        <v>528</v>
      </c>
      <c r="Q301">
        <v>606</v>
      </c>
      <c r="R301">
        <v>300</v>
      </c>
    </row>
    <row r="302" spans="1:18">
      <c r="A302" s="1" t="s">
        <v>231</v>
      </c>
      <c r="B302">
        <v>30</v>
      </c>
      <c r="C302">
        <v>17</v>
      </c>
      <c r="D302">
        <v>13</v>
      </c>
      <c r="E302">
        <v>-2.96</v>
      </c>
      <c r="F302">
        <v>2134</v>
      </c>
      <c r="G302">
        <v>744</v>
      </c>
      <c r="H302">
        <v>1680</v>
      </c>
      <c r="I302">
        <v>476</v>
      </c>
      <c r="J302">
        <v>688</v>
      </c>
      <c r="K302">
        <v>366</v>
      </c>
      <c r="L302">
        <v>1117</v>
      </c>
      <c r="M302">
        <v>339</v>
      </c>
      <c r="N302">
        <v>201</v>
      </c>
      <c r="O302">
        <v>102</v>
      </c>
      <c r="P302">
        <v>452</v>
      </c>
      <c r="Q302">
        <v>633</v>
      </c>
      <c r="R302">
        <v>301</v>
      </c>
    </row>
    <row r="303" spans="1:18">
      <c r="A303" s="1" t="s">
        <v>232</v>
      </c>
      <c r="B303">
        <v>32</v>
      </c>
      <c r="C303">
        <v>12</v>
      </c>
      <c r="D303">
        <v>20</v>
      </c>
      <c r="E303">
        <v>-4.17</v>
      </c>
      <c r="F303">
        <v>2317</v>
      </c>
      <c r="G303">
        <v>785</v>
      </c>
      <c r="H303">
        <v>1860</v>
      </c>
      <c r="I303">
        <v>506</v>
      </c>
      <c r="J303">
        <v>715</v>
      </c>
      <c r="K303">
        <v>356</v>
      </c>
      <c r="L303">
        <v>1144</v>
      </c>
      <c r="M303">
        <v>435</v>
      </c>
      <c r="N303">
        <v>213</v>
      </c>
      <c r="O303">
        <v>115</v>
      </c>
      <c r="P303">
        <v>434</v>
      </c>
      <c r="Q303">
        <v>675</v>
      </c>
      <c r="R303">
        <v>302</v>
      </c>
    </row>
    <row r="304" spans="1:18">
      <c r="A304" s="1" t="s">
        <v>315</v>
      </c>
      <c r="B304">
        <v>32</v>
      </c>
      <c r="C304">
        <v>16</v>
      </c>
      <c r="D304">
        <v>16</v>
      </c>
      <c r="E304">
        <v>10.18</v>
      </c>
      <c r="F304">
        <v>2383</v>
      </c>
      <c r="G304">
        <v>803</v>
      </c>
      <c r="H304">
        <v>1903</v>
      </c>
      <c r="I304">
        <v>588</v>
      </c>
      <c r="J304">
        <v>807</v>
      </c>
      <c r="K304">
        <v>388</v>
      </c>
      <c r="L304">
        <v>1206</v>
      </c>
      <c r="M304">
        <v>441</v>
      </c>
      <c r="N304">
        <v>175</v>
      </c>
      <c r="O304">
        <v>146</v>
      </c>
      <c r="P304">
        <v>399</v>
      </c>
      <c r="Q304">
        <v>670</v>
      </c>
      <c r="R304">
        <v>303</v>
      </c>
    </row>
    <row r="305" spans="1:18">
      <c r="A305" s="1" t="s">
        <v>323</v>
      </c>
      <c r="B305">
        <v>36</v>
      </c>
      <c r="C305">
        <v>24</v>
      </c>
      <c r="D305">
        <v>12</v>
      </c>
      <c r="E305">
        <v>-5.79</v>
      </c>
      <c r="F305">
        <v>2715</v>
      </c>
      <c r="G305">
        <v>974</v>
      </c>
      <c r="H305">
        <v>2071</v>
      </c>
      <c r="I305">
        <v>572</v>
      </c>
      <c r="J305">
        <v>792</v>
      </c>
      <c r="K305">
        <v>368</v>
      </c>
      <c r="L305">
        <v>1227</v>
      </c>
      <c r="M305">
        <v>486</v>
      </c>
      <c r="N305">
        <v>337</v>
      </c>
      <c r="O305">
        <v>142</v>
      </c>
      <c r="P305">
        <v>485</v>
      </c>
      <c r="Q305">
        <v>703</v>
      </c>
      <c r="R305">
        <v>304</v>
      </c>
    </row>
    <row r="306" spans="1:18">
      <c r="A306" s="1" t="s">
        <v>233</v>
      </c>
      <c r="B306">
        <v>31</v>
      </c>
      <c r="C306">
        <v>16</v>
      </c>
      <c r="D306">
        <v>15</v>
      </c>
      <c r="E306">
        <v>7.97</v>
      </c>
      <c r="F306">
        <v>2176</v>
      </c>
      <c r="G306">
        <v>804</v>
      </c>
      <c r="H306">
        <v>1754</v>
      </c>
      <c r="I306">
        <v>379</v>
      </c>
      <c r="J306">
        <v>584</v>
      </c>
      <c r="K306">
        <v>401</v>
      </c>
      <c r="L306">
        <v>1193</v>
      </c>
      <c r="M306">
        <v>489</v>
      </c>
      <c r="N306">
        <v>186</v>
      </c>
      <c r="O306">
        <v>173</v>
      </c>
      <c r="P306">
        <v>439</v>
      </c>
      <c r="Q306">
        <v>511</v>
      </c>
      <c r="R306">
        <v>305</v>
      </c>
    </row>
    <row r="307" spans="1:18">
      <c r="A307" s="1" t="s">
        <v>234</v>
      </c>
      <c r="B307">
        <v>36</v>
      </c>
      <c r="C307">
        <v>27</v>
      </c>
      <c r="D307">
        <v>9</v>
      </c>
      <c r="E307">
        <v>-0.87</v>
      </c>
      <c r="F307">
        <v>2818</v>
      </c>
      <c r="G307">
        <v>999</v>
      </c>
      <c r="H307">
        <v>2168</v>
      </c>
      <c r="I307">
        <v>510</v>
      </c>
      <c r="J307">
        <v>749</v>
      </c>
      <c r="K307">
        <v>430</v>
      </c>
      <c r="L307">
        <v>1384</v>
      </c>
      <c r="M307">
        <v>566</v>
      </c>
      <c r="N307">
        <v>266</v>
      </c>
      <c r="O307">
        <v>81</v>
      </c>
      <c r="P307">
        <v>472</v>
      </c>
      <c r="Q307">
        <v>691</v>
      </c>
      <c r="R307">
        <v>306</v>
      </c>
    </row>
    <row r="308" spans="1:18">
      <c r="A308" s="1" t="s">
        <v>235</v>
      </c>
      <c r="B308">
        <v>39</v>
      </c>
      <c r="C308">
        <v>24</v>
      </c>
      <c r="D308">
        <v>15</v>
      </c>
      <c r="E308">
        <v>10.95</v>
      </c>
      <c r="F308">
        <v>2914</v>
      </c>
      <c r="G308">
        <v>1064</v>
      </c>
      <c r="H308">
        <v>2284</v>
      </c>
      <c r="I308">
        <v>506</v>
      </c>
      <c r="J308">
        <v>738</v>
      </c>
      <c r="K308">
        <v>453</v>
      </c>
      <c r="L308">
        <v>1404</v>
      </c>
      <c r="M308">
        <v>661</v>
      </c>
      <c r="N308">
        <v>256</v>
      </c>
      <c r="O308">
        <v>175</v>
      </c>
      <c r="P308">
        <v>504</v>
      </c>
      <c r="Q308">
        <v>676</v>
      </c>
      <c r="R308">
        <v>307</v>
      </c>
    </row>
    <row r="309" spans="1:18">
      <c r="A309" s="1" t="s">
        <v>236</v>
      </c>
      <c r="B309">
        <v>32</v>
      </c>
      <c r="C309">
        <v>15</v>
      </c>
      <c r="D309">
        <v>17</v>
      </c>
      <c r="E309">
        <v>-2.5099999999999998</v>
      </c>
      <c r="F309">
        <v>2217</v>
      </c>
      <c r="G309">
        <v>812</v>
      </c>
      <c r="H309">
        <v>1731</v>
      </c>
      <c r="I309">
        <v>413</v>
      </c>
      <c r="J309">
        <v>624</v>
      </c>
      <c r="K309">
        <v>235</v>
      </c>
      <c r="L309">
        <v>1101</v>
      </c>
      <c r="M309">
        <v>463</v>
      </c>
      <c r="N309">
        <v>172</v>
      </c>
      <c r="O309">
        <v>99</v>
      </c>
      <c r="P309">
        <v>427</v>
      </c>
      <c r="Q309">
        <v>618</v>
      </c>
      <c r="R309">
        <v>308</v>
      </c>
    </row>
    <row r="310" spans="1:18">
      <c r="A310" s="1" t="s">
        <v>237</v>
      </c>
      <c r="B310">
        <v>32</v>
      </c>
      <c r="C310">
        <v>10</v>
      </c>
      <c r="D310">
        <v>22</v>
      </c>
      <c r="E310">
        <v>-3.68</v>
      </c>
      <c r="F310">
        <v>2505</v>
      </c>
      <c r="G310">
        <v>869</v>
      </c>
      <c r="H310">
        <v>2050</v>
      </c>
      <c r="I310">
        <v>491</v>
      </c>
      <c r="J310">
        <v>685</v>
      </c>
      <c r="K310">
        <v>382</v>
      </c>
      <c r="L310">
        <v>1180</v>
      </c>
      <c r="M310">
        <v>484</v>
      </c>
      <c r="N310">
        <v>246</v>
      </c>
      <c r="O310">
        <v>82</v>
      </c>
      <c r="P310">
        <v>507</v>
      </c>
      <c r="Q310">
        <v>780</v>
      </c>
      <c r="R310">
        <v>309</v>
      </c>
    </row>
    <row r="311" spans="1:18">
      <c r="A311" s="1" t="s">
        <v>238</v>
      </c>
      <c r="B311">
        <v>33</v>
      </c>
      <c r="C311">
        <v>14</v>
      </c>
      <c r="D311">
        <v>19</v>
      </c>
      <c r="E311">
        <v>-3.03</v>
      </c>
      <c r="F311">
        <v>2178</v>
      </c>
      <c r="G311">
        <v>769</v>
      </c>
      <c r="H311">
        <v>1959</v>
      </c>
      <c r="I311">
        <v>468</v>
      </c>
      <c r="J311">
        <v>703</v>
      </c>
      <c r="K311">
        <v>425</v>
      </c>
      <c r="L311">
        <v>1293</v>
      </c>
      <c r="M311">
        <v>357</v>
      </c>
      <c r="N311">
        <v>183</v>
      </c>
      <c r="O311">
        <v>62</v>
      </c>
      <c r="P311">
        <v>418</v>
      </c>
      <c r="Q311">
        <v>642</v>
      </c>
      <c r="R311">
        <v>310</v>
      </c>
    </row>
    <row r="312" spans="1:18">
      <c r="A312" s="1" t="s">
        <v>239</v>
      </c>
      <c r="B312">
        <v>35</v>
      </c>
      <c r="C312">
        <v>23</v>
      </c>
      <c r="D312">
        <v>12</v>
      </c>
      <c r="E312">
        <v>-7.81</v>
      </c>
      <c r="F312">
        <v>2593</v>
      </c>
      <c r="G312">
        <v>866</v>
      </c>
      <c r="H312">
        <v>2017</v>
      </c>
      <c r="I312">
        <v>656</v>
      </c>
      <c r="J312">
        <v>892</v>
      </c>
      <c r="K312">
        <v>401</v>
      </c>
      <c r="L312">
        <v>1228</v>
      </c>
      <c r="M312">
        <v>411</v>
      </c>
      <c r="N312">
        <v>251</v>
      </c>
      <c r="O312">
        <v>110</v>
      </c>
      <c r="P312">
        <v>407</v>
      </c>
      <c r="Q312">
        <v>607</v>
      </c>
      <c r="R312">
        <v>311</v>
      </c>
    </row>
    <row r="313" spans="1:18">
      <c r="A313" s="1" t="s">
        <v>240</v>
      </c>
      <c r="B313">
        <v>36</v>
      </c>
      <c r="C313">
        <v>22</v>
      </c>
      <c r="D313">
        <v>14</v>
      </c>
      <c r="E313">
        <v>-4.29</v>
      </c>
      <c r="F313">
        <v>2407</v>
      </c>
      <c r="G313">
        <v>865</v>
      </c>
      <c r="H313">
        <v>1933</v>
      </c>
      <c r="I313">
        <v>460</v>
      </c>
      <c r="J313">
        <v>696</v>
      </c>
      <c r="K313">
        <v>344</v>
      </c>
      <c r="L313">
        <v>1211</v>
      </c>
      <c r="M313">
        <v>526</v>
      </c>
      <c r="N313">
        <v>237</v>
      </c>
      <c r="O313">
        <v>160</v>
      </c>
      <c r="P313">
        <v>423</v>
      </c>
      <c r="Q313">
        <v>642</v>
      </c>
      <c r="R313">
        <v>312</v>
      </c>
    </row>
    <row r="314" spans="1:18">
      <c r="A314" s="1" t="s">
        <v>241</v>
      </c>
      <c r="B314">
        <v>32</v>
      </c>
      <c r="C314">
        <v>18</v>
      </c>
      <c r="D314">
        <v>14</v>
      </c>
      <c r="E314">
        <v>7.86</v>
      </c>
      <c r="F314">
        <v>2346</v>
      </c>
      <c r="G314">
        <v>835</v>
      </c>
      <c r="H314">
        <v>1776</v>
      </c>
      <c r="I314">
        <v>464</v>
      </c>
      <c r="J314">
        <v>633</v>
      </c>
      <c r="K314">
        <v>299</v>
      </c>
      <c r="L314">
        <v>1050</v>
      </c>
      <c r="M314">
        <v>427</v>
      </c>
      <c r="N314">
        <v>169</v>
      </c>
      <c r="O314">
        <v>98</v>
      </c>
      <c r="P314">
        <v>354</v>
      </c>
      <c r="Q314">
        <v>562</v>
      </c>
      <c r="R314">
        <v>313</v>
      </c>
    </row>
    <row r="315" spans="1:18">
      <c r="A315" s="1" t="s">
        <v>362</v>
      </c>
      <c r="B315">
        <v>33</v>
      </c>
      <c r="C315">
        <v>11</v>
      </c>
      <c r="D315">
        <v>22</v>
      </c>
      <c r="E315">
        <v>12.75</v>
      </c>
      <c r="F315">
        <v>2215</v>
      </c>
      <c r="G315">
        <v>810</v>
      </c>
      <c r="H315">
        <v>1846</v>
      </c>
      <c r="I315">
        <v>414</v>
      </c>
      <c r="J315">
        <v>637</v>
      </c>
      <c r="K315">
        <v>323</v>
      </c>
      <c r="L315">
        <v>1133</v>
      </c>
      <c r="M315">
        <v>376</v>
      </c>
      <c r="N315">
        <v>190</v>
      </c>
      <c r="O315">
        <v>149</v>
      </c>
      <c r="P315">
        <v>443</v>
      </c>
      <c r="Q315">
        <v>588</v>
      </c>
      <c r="R315">
        <v>314</v>
      </c>
    </row>
    <row r="316" spans="1:18">
      <c r="A316" s="1" t="s">
        <v>242</v>
      </c>
      <c r="B316">
        <v>34</v>
      </c>
      <c r="C316">
        <v>17</v>
      </c>
      <c r="D316">
        <v>17</v>
      </c>
      <c r="E316">
        <v>-0.9</v>
      </c>
      <c r="F316">
        <v>2675</v>
      </c>
      <c r="G316">
        <v>944</v>
      </c>
      <c r="H316">
        <v>1966</v>
      </c>
      <c r="I316">
        <v>525</v>
      </c>
      <c r="J316">
        <v>755</v>
      </c>
      <c r="K316">
        <v>339</v>
      </c>
      <c r="L316">
        <v>1274</v>
      </c>
      <c r="M316">
        <v>551</v>
      </c>
      <c r="N316">
        <v>135</v>
      </c>
      <c r="O316">
        <v>92</v>
      </c>
      <c r="P316">
        <v>447</v>
      </c>
      <c r="Q316">
        <v>574</v>
      </c>
      <c r="R316">
        <v>315</v>
      </c>
    </row>
    <row r="317" spans="1:18">
      <c r="A317" s="1" t="s">
        <v>243</v>
      </c>
      <c r="B317">
        <v>33</v>
      </c>
      <c r="C317">
        <v>20</v>
      </c>
      <c r="D317">
        <v>13</v>
      </c>
      <c r="E317">
        <v>-1.28</v>
      </c>
      <c r="F317">
        <v>2447</v>
      </c>
      <c r="G317">
        <v>850</v>
      </c>
      <c r="H317">
        <v>1900</v>
      </c>
      <c r="I317">
        <v>592</v>
      </c>
      <c r="J317">
        <v>868</v>
      </c>
      <c r="K317">
        <v>445</v>
      </c>
      <c r="L317">
        <v>1305</v>
      </c>
      <c r="M317">
        <v>348</v>
      </c>
      <c r="N317">
        <v>226</v>
      </c>
      <c r="O317">
        <v>118</v>
      </c>
      <c r="P317">
        <v>426</v>
      </c>
      <c r="Q317">
        <v>686</v>
      </c>
      <c r="R317">
        <v>316</v>
      </c>
    </row>
    <row r="318" spans="1:18">
      <c r="A318" s="1" t="s">
        <v>244</v>
      </c>
      <c r="B318">
        <v>37</v>
      </c>
      <c r="C318">
        <v>22</v>
      </c>
      <c r="D318">
        <v>15</v>
      </c>
      <c r="E318">
        <v>-3.36</v>
      </c>
      <c r="F318">
        <v>2889</v>
      </c>
      <c r="G318">
        <v>982</v>
      </c>
      <c r="H318">
        <v>2153</v>
      </c>
      <c r="I318">
        <v>614</v>
      </c>
      <c r="J318">
        <v>847</v>
      </c>
      <c r="K318">
        <v>409</v>
      </c>
      <c r="L318">
        <v>1362</v>
      </c>
      <c r="M318">
        <v>484</v>
      </c>
      <c r="N318">
        <v>221</v>
      </c>
      <c r="O318">
        <v>129</v>
      </c>
      <c r="P318">
        <v>462</v>
      </c>
      <c r="Q318">
        <v>654</v>
      </c>
      <c r="R318">
        <v>317</v>
      </c>
    </row>
    <row r="319" spans="1:18">
      <c r="A319" s="1" t="s">
        <v>245</v>
      </c>
      <c r="B319">
        <v>31</v>
      </c>
      <c r="C319">
        <v>6</v>
      </c>
      <c r="D319">
        <v>25</v>
      </c>
      <c r="E319">
        <v>4.25</v>
      </c>
      <c r="F319">
        <v>2179</v>
      </c>
      <c r="G319">
        <v>751</v>
      </c>
      <c r="H319">
        <v>1856</v>
      </c>
      <c r="I319">
        <v>456</v>
      </c>
      <c r="J319">
        <v>636</v>
      </c>
      <c r="K319">
        <v>349</v>
      </c>
      <c r="L319">
        <v>1062</v>
      </c>
      <c r="M319">
        <v>398</v>
      </c>
      <c r="N319">
        <v>192</v>
      </c>
      <c r="O319">
        <v>119</v>
      </c>
      <c r="P319">
        <v>420</v>
      </c>
      <c r="Q319">
        <v>646</v>
      </c>
      <c r="R319">
        <v>318</v>
      </c>
    </row>
    <row r="320" spans="1:18">
      <c r="A320" s="1" t="s">
        <v>299</v>
      </c>
      <c r="B320">
        <v>32</v>
      </c>
      <c r="C320">
        <v>15</v>
      </c>
      <c r="D320">
        <v>17</v>
      </c>
      <c r="E320">
        <v>5.29</v>
      </c>
      <c r="F320">
        <v>2158</v>
      </c>
      <c r="G320">
        <v>701</v>
      </c>
      <c r="H320">
        <v>1673</v>
      </c>
      <c r="I320">
        <v>522</v>
      </c>
      <c r="J320">
        <v>716</v>
      </c>
      <c r="K320">
        <v>311</v>
      </c>
      <c r="L320">
        <v>1112</v>
      </c>
      <c r="M320">
        <v>362</v>
      </c>
      <c r="N320">
        <v>145</v>
      </c>
      <c r="O320">
        <v>80</v>
      </c>
      <c r="P320">
        <v>473</v>
      </c>
      <c r="Q320">
        <v>579</v>
      </c>
      <c r="R320">
        <v>319</v>
      </c>
    </row>
    <row r="321" spans="1:18">
      <c r="A321" s="1" t="s">
        <v>324</v>
      </c>
      <c r="B321">
        <v>36</v>
      </c>
      <c r="C321">
        <v>31</v>
      </c>
      <c r="D321">
        <v>5</v>
      </c>
      <c r="E321">
        <v>6.39</v>
      </c>
      <c r="F321">
        <v>3233</v>
      </c>
      <c r="G321">
        <v>1210</v>
      </c>
      <c r="H321">
        <v>2320</v>
      </c>
      <c r="I321">
        <v>459</v>
      </c>
      <c r="J321">
        <v>622</v>
      </c>
      <c r="K321">
        <v>343</v>
      </c>
      <c r="L321">
        <v>1386</v>
      </c>
      <c r="M321">
        <v>771</v>
      </c>
      <c r="N321">
        <v>212</v>
      </c>
      <c r="O321">
        <v>191</v>
      </c>
      <c r="P321">
        <v>404</v>
      </c>
      <c r="Q321">
        <v>583</v>
      </c>
      <c r="R321">
        <v>320</v>
      </c>
    </row>
    <row r="322" spans="1:18">
      <c r="A322" s="1" t="s">
        <v>316</v>
      </c>
      <c r="B322">
        <v>32</v>
      </c>
      <c r="C322">
        <v>15</v>
      </c>
      <c r="D322">
        <v>17</v>
      </c>
      <c r="E322">
        <v>2.46</v>
      </c>
      <c r="F322">
        <v>2241</v>
      </c>
      <c r="G322">
        <v>790</v>
      </c>
      <c r="H322">
        <v>1713</v>
      </c>
      <c r="I322">
        <v>427</v>
      </c>
      <c r="J322">
        <v>609</v>
      </c>
      <c r="K322">
        <v>256</v>
      </c>
      <c r="L322">
        <v>1144</v>
      </c>
      <c r="M322">
        <v>466</v>
      </c>
      <c r="N322">
        <v>153</v>
      </c>
      <c r="O322">
        <v>91</v>
      </c>
      <c r="P322">
        <v>391</v>
      </c>
      <c r="Q322">
        <v>589</v>
      </c>
      <c r="R322">
        <v>321</v>
      </c>
    </row>
    <row r="323" spans="1:18">
      <c r="A323" s="1" t="s">
        <v>334</v>
      </c>
      <c r="B323">
        <v>34</v>
      </c>
      <c r="C323">
        <v>17</v>
      </c>
      <c r="D323">
        <v>17</v>
      </c>
      <c r="E323">
        <v>-2.44</v>
      </c>
      <c r="F323">
        <v>2615</v>
      </c>
      <c r="G323">
        <v>886</v>
      </c>
      <c r="H323">
        <v>2028</v>
      </c>
      <c r="I323">
        <v>543</v>
      </c>
      <c r="J323">
        <v>767</v>
      </c>
      <c r="K323">
        <v>306</v>
      </c>
      <c r="L323">
        <v>1350</v>
      </c>
      <c r="M323">
        <v>530</v>
      </c>
      <c r="N323">
        <v>216</v>
      </c>
      <c r="O323">
        <v>123</v>
      </c>
      <c r="P323">
        <v>522</v>
      </c>
      <c r="Q323">
        <v>667</v>
      </c>
      <c r="R323">
        <v>322</v>
      </c>
    </row>
    <row r="324" spans="1:18">
      <c r="A324" s="1" t="s">
        <v>300</v>
      </c>
      <c r="B324">
        <v>32</v>
      </c>
      <c r="C324">
        <v>20</v>
      </c>
      <c r="D324">
        <v>12</v>
      </c>
      <c r="E324">
        <v>4.32</v>
      </c>
      <c r="F324">
        <v>2511</v>
      </c>
      <c r="G324">
        <v>936</v>
      </c>
      <c r="H324">
        <v>1856</v>
      </c>
      <c r="I324">
        <v>424</v>
      </c>
      <c r="J324">
        <v>622</v>
      </c>
      <c r="K324">
        <v>321</v>
      </c>
      <c r="L324">
        <v>1217</v>
      </c>
      <c r="M324">
        <v>476</v>
      </c>
      <c r="N324">
        <v>195</v>
      </c>
      <c r="O324">
        <v>113</v>
      </c>
      <c r="P324">
        <v>431</v>
      </c>
      <c r="Q324">
        <v>539</v>
      </c>
      <c r="R324">
        <v>323</v>
      </c>
    </row>
    <row r="325" spans="1:18">
      <c r="A325" s="1" t="s">
        <v>301</v>
      </c>
      <c r="B325">
        <v>33</v>
      </c>
      <c r="C325">
        <v>24</v>
      </c>
      <c r="D325">
        <v>9</v>
      </c>
      <c r="E325">
        <v>-1.59</v>
      </c>
      <c r="F325">
        <v>2465</v>
      </c>
      <c r="G325">
        <v>848</v>
      </c>
      <c r="H325">
        <v>1912</v>
      </c>
      <c r="I325">
        <v>552</v>
      </c>
      <c r="J325">
        <v>712</v>
      </c>
      <c r="K325">
        <v>351</v>
      </c>
      <c r="L325">
        <v>1251</v>
      </c>
      <c r="M325">
        <v>422</v>
      </c>
      <c r="N325">
        <v>211</v>
      </c>
      <c r="O325">
        <v>96</v>
      </c>
      <c r="P325">
        <v>425</v>
      </c>
      <c r="Q325">
        <v>621</v>
      </c>
      <c r="R325">
        <v>324</v>
      </c>
    </row>
    <row r="326" spans="1:18">
      <c r="A326" s="1" t="s">
        <v>246</v>
      </c>
      <c r="B326">
        <v>35</v>
      </c>
      <c r="C326">
        <v>19</v>
      </c>
      <c r="D326">
        <v>16</v>
      </c>
      <c r="E326">
        <v>10.72</v>
      </c>
      <c r="F326">
        <v>2489</v>
      </c>
      <c r="G326">
        <v>815</v>
      </c>
      <c r="H326">
        <v>1896</v>
      </c>
      <c r="I326">
        <v>513</v>
      </c>
      <c r="J326">
        <v>660</v>
      </c>
      <c r="K326">
        <v>286</v>
      </c>
      <c r="L326">
        <v>1208</v>
      </c>
      <c r="M326">
        <v>450</v>
      </c>
      <c r="N326">
        <v>147</v>
      </c>
      <c r="O326">
        <v>133</v>
      </c>
      <c r="P326">
        <v>430</v>
      </c>
      <c r="Q326">
        <v>581</v>
      </c>
      <c r="R326">
        <v>325</v>
      </c>
    </row>
    <row r="327" spans="1:18">
      <c r="A327" s="1" t="s">
        <v>247</v>
      </c>
      <c r="B327">
        <v>35</v>
      </c>
      <c r="C327">
        <v>29</v>
      </c>
      <c r="D327">
        <v>6</v>
      </c>
      <c r="E327">
        <v>-3.27</v>
      </c>
      <c r="F327">
        <v>2571</v>
      </c>
      <c r="G327">
        <v>943</v>
      </c>
      <c r="H327">
        <v>1909</v>
      </c>
      <c r="I327">
        <v>456</v>
      </c>
      <c r="J327">
        <v>651</v>
      </c>
      <c r="K327">
        <v>326</v>
      </c>
      <c r="L327">
        <v>1192</v>
      </c>
      <c r="M327">
        <v>476</v>
      </c>
      <c r="N327">
        <v>199</v>
      </c>
      <c r="O327">
        <v>151</v>
      </c>
      <c r="P327">
        <v>392</v>
      </c>
      <c r="Q327">
        <v>555</v>
      </c>
      <c r="R327">
        <v>326</v>
      </c>
    </row>
    <row r="328" spans="1:18">
      <c r="A328" s="1" t="s">
        <v>248</v>
      </c>
      <c r="B328">
        <v>36</v>
      </c>
      <c r="C328">
        <v>32</v>
      </c>
      <c r="D328">
        <v>4</v>
      </c>
      <c r="E328">
        <v>9.2799999999999994</v>
      </c>
      <c r="F328">
        <v>2779</v>
      </c>
      <c r="G328">
        <v>965</v>
      </c>
      <c r="H328">
        <v>1948</v>
      </c>
      <c r="I328">
        <v>538</v>
      </c>
      <c r="J328">
        <v>681</v>
      </c>
      <c r="K328">
        <v>316</v>
      </c>
      <c r="L328">
        <v>1208</v>
      </c>
      <c r="M328">
        <v>505</v>
      </c>
      <c r="N328">
        <v>259</v>
      </c>
      <c r="O328">
        <v>109</v>
      </c>
      <c r="P328">
        <v>402</v>
      </c>
      <c r="Q328">
        <v>515</v>
      </c>
      <c r="R328">
        <v>327</v>
      </c>
    </row>
    <row r="329" spans="1:18">
      <c r="A329" s="1" t="s">
        <v>249</v>
      </c>
      <c r="B329">
        <v>35</v>
      </c>
      <c r="C329">
        <v>26</v>
      </c>
      <c r="D329">
        <v>9</v>
      </c>
      <c r="E329">
        <v>3.77</v>
      </c>
      <c r="F329">
        <v>2616</v>
      </c>
      <c r="G329">
        <v>945</v>
      </c>
      <c r="H329">
        <v>2050</v>
      </c>
      <c r="I329">
        <v>527</v>
      </c>
      <c r="J329">
        <v>747</v>
      </c>
      <c r="K329">
        <v>386</v>
      </c>
      <c r="L329">
        <v>1275</v>
      </c>
      <c r="M329">
        <v>525</v>
      </c>
      <c r="N329">
        <v>263</v>
      </c>
      <c r="O329">
        <v>138</v>
      </c>
      <c r="P329">
        <v>435</v>
      </c>
      <c r="Q329">
        <v>728</v>
      </c>
      <c r="R329">
        <v>328</v>
      </c>
    </row>
    <row r="330" spans="1:18">
      <c r="A330" s="1" t="s">
        <v>250</v>
      </c>
      <c r="B330">
        <v>30</v>
      </c>
      <c r="C330">
        <v>6</v>
      </c>
      <c r="D330">
        <v>24</v>
      </c>
      <c r="E330">
        <v>-1.8</v>
      </c>
      <c r="F330">
        <v>2057</v>
      </c>
      <c r="G330">
        <v>732</v>
      </c>
      <c r="H330">
        <v>1778</v>
      </c>
      <c r="I330">
        <v>345</v>
      </c>
      <c r="J330">
        <v>500</v>
      </c>
      <c r="K330">
        <v>306</v>
      </c>
      <c r="L330">
        <v>992</v>
      </c>
      <c r="M330">
        <v>356</v>
      </c>
      <c r="N330">
        <v>188</v>
      </c>
      <c r="O330">
        <v>114</v>
      </c>
      <c r="P330">
        <v>395</v>
      </c>
      <c r="Q330">
        <v>594</v>
      </c>
      <c r="R330">
        <v>329</v>
      </c>
    </row>
    <row r="331" spans="1:18">
      <c r="A331" s="1" t="s">
        <v>251</v>
      </c>
      <c r="B331">
        <v>33</v>
      </c>
      <c r="C331">
        <v>22</v>
      </c>
      <c r="D331">
        <v>11</v>
      </c>
      <c r="E331">
        <v>8.3800000000000008</v>
      </c>
      <c r="F331">
        <v>2610</v>
      </c>
      <c r="G331">
        <v>887</v>
      </c>
      <c r="H331">
        <v>1813</v>
      </c>
      <c r="I331">
        <v>546</v>
      </c>
      <c r="J331">
        <v>741</v>
      </c>
      <c r="K331">
        <v>240</v>
      </c>
      <c r="L331">
        <v>1068</v>
      </c>
      <c r="M331">
        <v>497</v>
      </c>
      <c r="N331">
        <v>131</v>
      </c>
      <c r="O331">
        <v>91</v>
      </c>
      <c r="P331">
        <v>398</v>
      </c>
      <c r="Q331">
        <v>543</v>
      </c>
      <c r="R331">
        <v>330</v>
      </c>
    </row>
    <row r="332" spans="1:18">
      <c r="A332" s="1" t="s">
        <v>252</v>
      </c>
      <c r="B332">
        <v>34</v>
      </c>
      <c r="C332">
        <v>23</v>
      </c>
      <c r="D332">
        <v>11</v>
      </c>
      <c r="E332">
        <v>10.93</v>
      </c>
      <c r="F332">
        <v>2246</v>
      </c>
      <c r="G332">
        <v>839</v>
      </c>
      <c r="H332">
        <v>1823</v>
      </c>
      <c r="I332">
        <v>336</v>
      </c>
      <c r="J332">
        <v>474</v>
      </c>
      <c r="K332">
        <v>297</v>
      </c>
      <c r="L332">
        <v>1119</v>
      </c>
      <c r="M332">
        <v>473</v>
      </c>
      <c r="N332">
        <v>190</v>
      </c>
      <c r="O332">
        <v>138</v>
      </c>
      <c r="P332">
        <v>324</v>
      </c>
      <c r="Q332">
        <v>556</v>
      </c>
      <c r="R332">
        <v>331</v>
      </c>
    </row>
    <row r="333" spans="1:18">
      <c r="A333" s="1" t="s">
        <v>253</v>
      </c>
      <c r="B333">
        <v>30</v>
      </c>
      <c r="C333">
        <v>16</v>
      </c>
      <c r="D333">
        <v>14</v>
      </c>
      <c r="E333">
        <v>-7.89</v>
      </c>
      <c r="F333">
        <v>2047</v>
      </c>
      <c r="G333">
        <v>727</v>
      </c>
      <c r="H333">
        <v>1700</v>
      </c>
      <c r="I333">
        <v>410</v>
      </c>
      <c r="J333">
        <v>593</v>
      </c>
      <c r="K333">
        <v>434</v>
      </c>
      <c r="L333">
        <v>1184</v>
      </c>
      <c r="M333">
        <v>326</v>
      </c>
      <c r="N333">
        <v>146</v>
      </c>
      <c r="O333">
        <v>108</v>
      </c>
      <c r="P333">
        <v>422</v>
      </c>
      <c r="Q333">
        <v>616</v>
      </c>
      <c r="R333">
        <v>332</v>
      </c>
    </row>
    <row r="334" spans="1:18">
      <c r="A334" s="1" t="s">
        <v>254</v>
      </c>
      <c r="B334">
        <v>33</v>
      </c>
      <c r="C334">
        <v>19</v>
      </c>
      <c r="D334">
        <v>14</v>
      </c>
      <c r="E334">
        <v>9.8000000000000007</v>
      </c>
      <c r="F334">
        <v>2733</v>
      </c>
      <c r="G334">
        <v>923</v>
      </c>
      <c r="H334">
        <v>1955</v>
      </c>
      <c r="I334">
        <v>619</v>
      </c>
      <c r="J334">
        <v>795</v>
      </c>
      <c r="K334">
        <v>349</v>
      </c>
      <c r="L334">
        <v>1199</v>
      </c>
      <c r="M334">
        <v>512</v>
      </c>
      <c r="N334">
        <v>183</v>
      </c>
      <c r="O334">
        <v>121</v>
      </c>
      <c r="P334">
        <v>389</v>
      </c>
      <c r="Q334">
        <v>668</v>
      </c>
      <c r="R334">
        <v>333</v>
      </c>
    </row>
    <row r="335" spans="1:18">
      <c r="A335" s="1" t="s">
        <v>255</v>
      </c>
      <c r="B335">
        <v>31</v>
      </c>
      <c r="C335">
        <v>13</v>
      </c>
      <c r="D335">
        <v>18</v>
      </c>
      <c r="E335">
        <v>6.87</v>
      </c>
      <c r="F335">
        <v>2179</v>
      </c>
      <c r="G335">
        <v>801</v>
      </c>
      <c r="H335">
        <v>1739</v>
      </c>
      <c r="I335">
        <v>368</v>
      </c>
      <c r="J335">
        <v>487</v>
      </c>
      <c r="K335">
        <v>199</v>
      </c>
      <c r="L335">
        <v>993</v>
      </c>
      <c r="M335">
        <v>453</v>
      </c>
      <c r="N335">
        <v>130</v>
      </c>
      <c r="O335">
        <v>85</v>
      </c>
      <c r="P335">
        <v>389</v>
      </c>
      <c r="Q335">
        <v>502</v>
      </c>
      <c r="R335">
        <v>334</v>
      </c>
    </row>
    <row r="336" spans="1:18">
      <c r="A336" s="1" t="s">
        <v>256</v>
      </c>
      <c r="B336">
        <v>31</v>
      </c>
      <c r="C336">
        <v>9</v>
      </c>
      <c r="D336">
        <v>22</v>
      </c>
      <c r="E336">
        <v>6.82</v>
      </c>
      <c r="F336">
        <v>2368</v>
      </c>
      <c r="G336">
        <v>874</v>
      </c>
      <c r="H336">
        <v>1949</v>
      </c>
      <c r="I336">
        <v>394</v>
      </c>
      <c r="J336">
        <v>602</v>
      </c>
      <c r="K336">
        <v>401</v>
      </c>
      <c r="L336">
        <v>1161</v>
      </c>
      <c r="M336">
        <v>408</v>
      </c>
      <c r="N336">
        <v>187</v>
      </c>
      <c r="O336">
        <v>171</v>
      </c>
      <c r="P336">
        <v>425</v>
      </c>
      <c r="Q336">
        <v>628</v>
      </c>
      <c r="R336">
        <v>335</v>
      </c>
    </row>
    <row r="337" spans="1:18">
      <c r="A337" s="1" t="s">
        <v>257</v>
      </c>
      <c r="B337">
        <v>34</v>
      </c>
      <c r="C337">
        <v>20</v>
      </c>
      <c r="D337">
        <v>14</v>
      </c>
      <c r="E337">
        <v>-5.13</v>
      </c>
      <c r="F337">
        <v>2714</v>
      </c>
      <c r="G337">
        <v>908</v>
      </c>
      <c r="H337">
        <v>1866</v>
      </c>
      <c r="I337">
        <v>584</v>
      </c>
      <c r="J337">
        <v>788</v>
      </c>
      <c r="K337">
        <v>243</v>
      </c>
      <c r="L337">
        <v>1103</v>
      </c>
      <c r="M337">
        <v>443</v>
      </c>
      <c r="N337">
        <v>176</v>
      </c>
      <c r="O337">
        <v>117</v>
      </c>
      <c r="P337">
        <v>380</v>
      </c>
      <c r="Q337">
        <v>596</v>
      </c>
      <c r="R337">
        <v>336</v>
      </c>
    </row>
    <row r="338" spans="1:18">
      <c r="A338" s="1" t="s">
        <v>258</v>
      </c>
      <c r="B338">
        <v>37</v>
      </c>
      <c r="C338">
        <v>28</v>
      </c>
      <c r="D338">
        <v>9</v>
      </c>
      <c r="E338">
        <v>9.67</v>
      </c>
      <c r="F338">
        <v>3014</v>
      </c>
      <c r="G338">
        <v>1059</v>
      </c>
      <c r="H338">
        <v>2333</v>
      </c>
      <c r="I338">
        <v>621</v>
      </c>
      <c r="J338">
        <v>907</v>
      </c>
      <c r="K338">
        <v>534</v>
      </c>
      <c r="L338">
        <v>1387</v>
      </c>
      <c r="M338">
        <v>607</v>
      </c>
      <c r="N338">
        <v>371</v>
      </c>
      <c r="O338">
        <v>176</v>
      </c>
      <c r="P338">
        <v>455</v>
      </c>
      <c r="Q338">
        <v>756</v>
      </c>
      <c r="R338">
        <v>337</v>
      </c>
    </row>
    <row r="339" spans="1:18">
      <c r="A339" s="1" t="s">
        <v>259</v>
      </c>
      <c r="B339">
        <v>32</v>
      </c>
      <c r="C339">
        <v>9</v>
      </c>
      <c r="D339">
        <v>23</v>
      </c>
      <c r="E339">
        <v>-0.7</v>
      </c>
      <c r="F339">
        <v>1965</v>
      </c>
      <c r="G339">
        <v>719</v>
      </c>
      <c r="H339">
        <v>1843</v>
      </c>
      <c r="I339">
        <v>345</v>
      </c>
      <c r="J339">
        <v>528</v>
      </c>
      <c r="K339">
        <v>397</v>
      </c>
      <c r="L339">
        <v>1158</v>
      </c>
      <c r="M339">
        <v>363</v>
      </c>
      <c r="N339">
        <v>198</v>
      </c>
      <c r="O339">
        <v>75</v>
      </c>
      <c r="P339">
        <v>516</v>
      </c>
      <c r="Q339">
        <v>661</v>
      </c>
      <c r="R339">
        <v>338</v>
      </c>
    </row>
    <row r="340" spans="1:18">
      <c r="A340" s="1" t="s">
        <v>260</v>
      </c>
      <c r="B340">
        <v>28</v>
      </c>
      <c r="C340">
        <v>8</v>
      </c>
      <c r="D340">
        <v>20</v>
      </c>
      <c r="E340">
        <v>-2.38</v>
      </c>
      <c r="F340">
        <v>2012</v>
      </c>
      <c r="G340">
        <v>711</v>
      </c>
      <c r="H340">
        <v>1633</v>
      </c>
      <c r="I340">
        <v>336</v>
      </c>
      <c r="J340">
        <v>475</v>
      </c>
      <c r="K340">
        <v>194</v>
      </c>
      <c r="L340">
        <v>968</v>
      </c>
      <c r="M340">
        <v>375</v>
      </c>
      <c r="N340">
        <v>130</v>
      </c>
      <c r="O340">
        <v>124</v>
      </c>
      <c r="P340">
        <v>358</v>
      </c>
      <c r="Q340">
        <v>546</v>
      </c>
      <c r="R340">
        <v>339</v>
      </c>
    </row>
    <row r="341" spans="1:18">
      <c r="A341" s="1" t="s">
        <v>261</v>
      </c>
      <c r="B341">
        <v>32</v>
      </c>
      <c r="C341">
        <v>15</v>
      </c>
      <c r="D341">
        <v>17</v>
      </c>
      <c r="E341">
        <v>-2.89</v>
      </c>
      <c r="F341">
        <v>2209</v>
      </c>
      <c r="G341">
        <v>777</v>
      </c>
      <c r="H341">
        <v>1767</v>
      </c>
      <c r="I341">
        <v>441</v>
      </c>
      <c r="J341">
        <v>657</v>
      </c>
      <c r="K341">
        <v>302</v>
      </c>
      <c r="L341">
        <v>1119</v>
      </c>
      <c r="M341">
        <v>397</v>
      </c>
      <c r="N341">
        <v>143</v>
      </c>
      <c r="O341">
        <v>105</v>
      </c>
      <c r="P341">
        <v>388</v>
      </c>
      <c r="Q341">
        <v>475</v>
      </c>
      <c r="R341">
        <v>340</v>
      </c>
    </row>
    <row r="342" spans="1:18">
      <c r="A342" s="1" t="s">
        <v>262</v>
      </c>
      <c r="B342">
        <v>32</v>
      </c>
      <c r="C342">
        <v>16</v>
      </c>
      <c r="D342">
        <v>16</v>
      </c>
      <c r="E342">
        <v>-0.55000000000000004</v>
      </c>
      <c r="F342">
        <v>2417</v>
      </c>
      <c r="G342">
        <v>863</v>
      </c>
      <c r="H342">
        <v>1915</v>
      </c>
      <c r="I342">
        <v>482</v>
      </c>
      <c r="J342">
        <v>685</v>
      </c>
      <c r="K342">
        <v>370</v>
      </c>
      <c r="L342">
        <v>1155</v>
      </c>
      <c r="M342">
        <v>414</v>
      </c>
      <c r="N342">
        <v>183</v>
      </c>
      <c r="O342">
        <v>91</v>
      </c>
      <c r="P342">
        <v>399</v>
      </c>
      <c r="Q342">
        <v>600</v>
      </c>
      <c r="R342">
        <v>341</v>
      </c>
    </row>
    <row r="343" spans="1:18">
      <c r="A343" s="1" t="s">
        <v>263</v>
      </c>
      <c r="B343">
        <v>36</v>
      </c>
      <c r="C343">
        <v>31</v>
      </c>
      <c r="D343">
        <v>5</v>
      </c>
      <c r="E343">
        <v>2.96</v>
      </c>
      <c r="F343">
        <v>2916</v>
      </c>
      <c r="G343">
        <v>992</v>
      </c>
      <c r="H343">
        <v>2114</v>
      </c>
      <c r="I343">
        <v>622</v>
      </c>
      <c r="J343">
        <v>848</v>
      </c>
      <c r="K343">
        <v>434</v>
      </c>
      <c r="L343">
        <v>1472</v>
      </c>
      <c r="M343">
        <v>586</v>
      </c>
      <c r="N343">
        <v>235</v>
      </c>
      <c r="O343">
        <v>140</v>
      </c>
      <c r="P343">
        <v>406</v>
      </c>
      <c r="Q343">
        <v>676</v>
      </c>
      <c r="R343">
        <v>342</v>
      </c>
    </row>
    <row r="344" spans="1:18">
      <c r="A344" s="1" t="s">
        <v>264</v>
      </c>
      <c r="B344">
        <v>31</v>
      </c>
      <c r="C344">
        <v>17</v>
      </c>
      <c r="D344">
        <v>14</v>
      </c>
      <c r="E344">
        <v>-0.73</v>
      </c>
      <c r="F344">
        <v>2534</v>
      </c>
      <c r="G344">
        <v>887</v>
      </c>
      <c r="H344">
        <v>1808</v>
      </c>
      <c r="I344">
        <v>477</v>
      </c>
      <c r="J344">
        <v>689</v>
      </c>
      <c r="K344">
        <v>271</v>
      </c>
      <c r="L344">
        <v>1123</v>
      </c>
      <c r="M344">
        <v>543</v>
      </c>
      <c r="N344">
        <v>167</v>
      </c>
      <c r="O344">
        <v>152</v>
      </c>
      <c r="P344">
        <v>388</v>
      </c>
      <c r="Q344">
        <v>566</v>
      </c>
      <c r="R344">
        <v>343</v>
      </c>
    </row>
    <row r="345" spans="1:18">
      <c r="A345" s="1" t="s">
        <v>325</v>
      </c>
      <c r="B345">
        <v>33</v>
      </c>
      <c r="C345">
        <v>26</v>
      </c>
      <c r="D345">
        <v>7</v>
      </c>
      <c r="E345">
        <v>-6.12</v>
      </c>
      <c r="F345">
        <v>2615</v>
      </c>
      <c r="G345">
        <v>891</v>
      </c>
      <c r="H345">
        <v>1957</v>
      </c>
      <c r="I345">
        <v>520</v>
      </c>
      <c r="J345">
        <v>725</v>
      </c>
      <c r="K345">
        <v>316</v>
      </c>
      <c r="L345">
        <v>1224</v>
      </c>
      <c r="M345">
        <v>423</v>
      </c>
      <c r="N345">
        <v>216</v>
      </c>
      <c r="O345">
        <v>169</v>
      </c>
      <c r="P345">
        <v>430</v>
      </c>
      <c r="Q345">
        <v>605</v>
      </c>
      <c r="R345">
        <v>344</v>
      </c>
    </row>
    <row r="346" spans="1:18">
      <c r="A346" s="1" t="s">
        <v>367</v>
      </c>
      <c r="B346">
        <v>37</v>
      </c>
      <c r="C346">
        <v>27</v>
      </c>
      <c r="D346">
        <v>10</v>
      </c>
      <c r="E346">
        <v>9.4</v>
      </c>
      <c r="F346">
        <v>2678</v>
      </c>
      <c r="G346">
        <v>971</v>
      </c>
      <c r="H346">
        <v>2135</v>
      </c>
      <c r="I346">
        <v>453</v>
      </c>
      <c r="J346">
        <v>703</v>
      </c>
      <c r="K346">
        <v>460</v>
      </c>
      <c r="L346">
        <v>1377</v>
      </c>
      <c r="M346">
        <v>504</v>
      </c>
      <c r="N346">
        <v>250</v>
      </c>
      <c r="O346">
        <v>130</v>
      </c>
      <c r="P346">
        <v>411</v>
      </c>
      <c r="Q346">
        <v>602</v>
      </c>
      <c r="R346">
        <v>345</v>
      </c>
    </row>
    <row r="347" spans="1:18">
      <c r="A347" s="1" t="s">
        <v>265</v>
      </c>
      <c r="B347">
        <v>33</v>
      </c>
      <c r="C347">
        <v>16</v>
      </c>
      <c r="D347">
        <v>17</v>
      </c>
      <c r="E347">
        <v>-1.08</v>
      </c>
      <c r="F347">
        <v>2593</v>
      </c>
      <c r="G347">
        <v>900</v>
      </c>
      <c r="H347">
        <v>1926</v>
      </c>
      <c r="I347">
        <v>482</v>
      </c>
      <c r="J347">
        <v>619</v>
      </c>
      <c r="K347">
        <v>323</v>
      </c>
      <c r="L347">
        <v>1105</v>
      </c>
      <c r="M347">
        <v>552</v>
      </c>
      <c r="N347">
        <v>185</v>
      </c>
      <c r="O347">
        <v>71</v>
      </c>
      <c r="P347">
        <v>405</v>
      </c>
      <c r="Q347">
        <v>614</v>
      </c>
      <c r="R347">
        <v>346</v>
      </c>
    </row>
    <row r="348" spans="1:18">
      <c r="A348" s="1" t="s">
        <v>266</v>
      </c>
      <c r="B348">
        <v>32</v>
      </c>
      <c r="C348">
        <v>20</v>
      </c>
      <c r="D348">
        <v>12</v>
      </c>
      <c r="E348">
        <v>-2.42</v>
      </c>
      <c r="F348">
        <v>2465</v>
      </c>
      <c r="G348">
        <v>817</v>
      </c>
      <c r="H348">
        <v>1819</v>
      </c>
      <c r="I348">
        <v>546</v>
      </c>
      <c r="J348">
        <v>715</v>
      </c>
      <c r="K348">
        <v>326</v>
      </c>
      <c r="L348">
        <v>1136</v>
      </c>
      <c r="M348">
        <v>472</v>
      </c>
      <c r="N348">
        <v>181</v>
      </c>
      <c r="O348">
        <v>75</v>
      </c>
      <c r="P348">
        <v>474</v>
      </c>
      <c r="Q348">
        <v>594</v>
      </c>
      <c r="R348">
        <v>347</v>
      </c>
    </row>
    <row r="349" spans="1:18">
      <c r="A349" s="1" t="s">
        <v>267</v>
      </c>
      <c r="B349">
        <v>38</v>
      </c>
      <c r="C349">
        <v>23</v>
      </c>
      <c r="D349">
        <v>15</v>
      </c>
      <c r="E349">
        <v>0.55000000000000004</v>
      </c>
      <c r="F349">
        <v>2961</v>
      </c>
      <c r="G349">
        <v>986</v>
      </c>
      <c r="H349">
        <v>2265</v>
      </c>
      <c r="I349">
        <v>620</v>
      </c>
      <c r="J349">
        <v>849</v>
      </c>
      <c r="K349">
        <v>322</v>
      </c>
      <c r="L349">
        <v>1446</v>
      </c>
      <c r="M349">
        <v>561</v>
      </c>
      <c r="N349">
        <v>195</v>
      </c>
      <c r="O349">
        <v>172</v>
      </c>
      <c r="P349">
        <v>502</v>
      </c>
      <c r="Q349">
        <v>783</v>
      </c>
      <c r="R349">
        <v>348</v>
      </c>
    </row>
    <row r="350" spans="1:18">
      <c r="A350" s="1" t="s">
        <v>268</v>
      </c>
      <c r="B350">
        <v>38</v>
      </c>
      <c r="C350">
        <v>24</v>
      </c>
      <c r="D350">
        <v>14</v>
      </c>
      <c r="E350">
        <v>11.51</v>
      </c>
      <c r="F350">
        <v>2836</v>
      </c>
      <c r="G350">
        <v>981</v>
      </c>
      <c r="H350">
        <v>2148</v>
      </c>
      <c r="I350">
        <v>607</v>
      </c>
      <c r="J350">
        <v>882</v>
      </c>
      <c r="K350">
        <v>451</v>
      </c>
      <c r="L350">
        <v>1416</v>
      </c>
      <c r="M350">
        <v>560</v>
      </c>
      <c r="N350">
        <v>228</v>
      </c>
      <c r="O350">
        <v>100</v>
      </c>
      <c r="P350">
        <v>478</v>
      </c>
      <c r="Q350">
        <v>711</v>
      </c>
      <c r="R350">
        <v>349</v>
      </c>
    </row>
    <row r="351" spans="1:18">
      <c r="A351" s="1" t="s">
        <v>269</v>
      </c>
      <c r="B351">
        <v>29</v>
      </c>
      <c r="C351">
        <v>18</v>
      </c>
      <c r="D351">
        <v>11</v>
      </c>
      <c r="E351">
        <v>-2.19</v>
      </c>
      <c r="F351">
        <v>2151</v>
      </c>
      <c r="G351">
        <v>769</v>
      </c>
      <c r="H351">
        <v>1644</v>
      </c>
      <c r="I351">
        <v>405</v>
      </c>
      <c r="J351">
        <v>553</v>
      </c>
      <c r="K351">
        <v>301</v>
      </c>
      <c r="L351">
        <v>1056</v>
      </c>
      <c r="M351">
        <v>452</v>
      </c>
      <c r="N351">
        <v>162</v>
      </c>
      <c r="O351">
        <v>123</v>
      </c>
      <c r="P351">
        <v>377</v>
      </c>
      <c r="Q351">
        <v>454</v>
      </c>
      <c r="R351">
        <v>350</v>
      </c>
    </row>
    <row r="352" spans="1:18">
      <c r="A352" s="1" t="s">
        <v>270</v>
      </c>
      <c r="B352">
        <v>34</v>
      </c>
      <c r="C352">
        <v>13</v>
      </c>
      <c r="D352">
        <v>21</v>
      </c>
      <c r="E352">
        <v>-2.56</v>
      </c>
      <c r="F352">
        <v>2616</v>
      </c>
      <c r="G352">
        <v>981</v>
      </c>
      <c r="H352">
        <v>2230</v>
      </c>
      <c r="I352">
        <v>404</v>
      </c>
      <c r="J352">
        <v>601</v>
      </c>
      <c r="K352">
        <v>355</v>
      </c>
      <c r="L352">
        <v>1246</v>
      </c>
      <c r="M352">
        <v>513</v>
      </c>
      <c r="N352">
        <v>187</v>
      </c>
      <c r="O352">
        <v>107</v>
      </c>
      <c r="P352">
        <v>406</v>
      </c>
      <c r="Q352">
        <v>566</v>
      </c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3ECFD-9C68-4E56-AC47-76E759BC1AF1}">
  <sheetPr codeName="Sheet19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31.710937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363</v>
      </c>
      <c r="B2">
        <v>32</v>
      </c>
      <c r="C2">
        <v>16</v>
      </c>
      <c r="D2">
        <v>16</v>
      </c>
      <c r="E2">
        <v>-6.82</v>
      </c>
      <c r="F2">
        <v>2359</v>
      </c>
      <c r="G2">
        <v>870</v>
      </c>
      <c r="H2">
        <v>1874</v>
      </c>
      <c r="I2">
        <v>406</v>
      </c>
      <c r="J2">
        <v>579</v>
      </c>
      <c r="K2">
        <v>309</v>
      </c>
      <c r="L2">
        <v>1093</v>
      </c>
      <c r="M2">
        <v>482</v>
      </c>
      <c r="N2">
        <v>260</v>
      </c>
      <c r="O2">
        <v>128</v>
      </c>
      <c r="P2">
        <v>461</v>
      </c>
      <c r="Q2">
        <v>671</v>
      </c>
      <c r="R2">
        <v>1</v>
      </c>
    </row>
    <row r="3" spans="1:18">
      <c r="A3" s="1" t="s">
        <v>17</v>
      </c>
      <c r="B3">
        <v>31</v>
      </c>
      <c r="C3">
        <v>12</v>
      </c>
      <c r="D3">
        <v>19</v>
      </c>
      <c r="E3">
        <v>1.72</v>
      </c>
      <c r="F3">
        <v>2124</v>
      </c>
      <c r="G3">
        <v>733</v>
      </c>
      <c r="H3">
        <v>1751</v>
      </c>
      <c r="I3">
        <v>408</v>
      </c>
      <c r="J3">
        <v>556</v>
      </c>
      <c r="K3">
        <v>302</v>
      </c>
      <c r="L3">
        <v>1014</v>
      </c>
      <c r="M3">
        <v>445</v>
      </c>
      <c r="N3">
        <v>201</v>
      </c>
      <c r="O3">
        <v>78</v>
      </c>
      <c r="P3">
        <v>391</v>
      </c>
      <c r="Q3">
        <v>557</v>
      </c>
      <c r="R3">
        <v>2</v>
      </c>
    </row>
    <row r="4" spans="1:18">
      <c r="A4" s="1" t="s">
        <v>18</v>
      </c>
      <c r="B4">
        <v>32</v>
      </c>
      <c r="C4">
        <v>14</v>
      </c>
      <c r="D4">
        <v>18</v>
      </c>
      <c r="E4">
        <v>-1.92</v>
      </c>
      <c r="F4">
        <v>2296</v>
      </c>
      <c r="G4">
        <v>793</v>
      </c>
      <c r="H4">
        <v>1824</v>
      </c>
      <c r="I4">
        <v>405</v>
      </c>
      <c r="J4">
        <v>582</v>
      </c>
      <c r="K4">
        <v>306</v>
      </c>
      <c r="L4">
        <v>1071</v>
      </c>
      <c r="M4">
        <v>418</v>
      </c>
      <c r="N4">
        <v>189</v>
      </c>
      <c r="O4">
        <v>81</v>
      </c>
      <c r="P4">
        <v>440</v>
      </c>
      <c r="Q4">
        <v>637</v>
      </c>
      <c r="R4">
        <v>3</v>
      </c>
    </row>
    <row r="5" spans="1:18">
      <c r="A5" s="1" t="s">
        <v>19</v>
      </c>
      <c r="B5">
        <v>31</v>
      </c>
      <c r="C5">
        <v>3</v>
      </c>
      <c r="D5">
        <v>28</v>
      </c>
      <c r="E5">
        <v>-8.0399999999999991</v>
      </c>
      <c r="F5">
        <v>1873</v>
      </c>
      <c r="G5">
        <v>673</v>
      </c>
      <c r="H5">
        <v>1697</v>
      </c>
      <c r="I5">
        <v>345</v>
      </c>
      <c r="J5">
        <v>533</v>
      </c>
      <c r="K5">
        <v>335</v>
      </c>
      <c r="L5">
        <v>1046</v>
      </c>
      <c r="M5">
        <v>340</v>
      </c>
      <c r="N5">
        <v>123</v>
      </c>
      <c r="O5">
        <v>49</v>
      </c>
      <c r="P5">
        <v>514</v>
      </c>
      <c r="Q5">
        <v>506</v>
      </c>
      <c r="R5">
        <v>4</v>
      </c>
    </row>
    <row r="6" spans="1:18">
      <c r="A6" s="1" t="s">
        <v>20</v>
      </c>
      <c r="B6">
        <v>33</v>
      </c>
      <c r="C6">
        <v>20</v>
      </c>
      <c r="D6">
        <v>13</v>
      </c>
      <c r="E6">
        <v>-0.65</v>
      </c>
      <c r="F6">
        <v>2536</v>
      </c>
      <c r="G6">
        <v>945</v>
      </c>
      <c r="H6">
        <v>1937</v>
      </c>
      <c r="I6">
        <v>423</v>
      </c>
      <c r="J6">
        <v>564</v>
      </c>
      <c r="K6">
        <v>333</v>
      </c>
      <c r="L6">
        <v>1255</v>
      </c>
      <c r="M6">
        <v>560</v>
      </c>
      <c r="N6">
        <v>178</v>
      </c>
      <c r="O6">
        <v>127</v>
      </c>
      <c r="P6">
        <v>437</v>
      </c>
      <c r="Q6">
        <v>490</v>
      </c>
      <c r="R6">
        <v>5</v>
      </c>
    </row>
    <row r="7" spans="1:18">
      <c r="A7" s="1" t="s">
        <v>21</v>
      </c>
      <c r="B7">
        <v>31</v>
      </c>
      <c r="C7">
        <v>8</v>
      </c>
      <c r="D7">
        <v>23</v>
      </c>
      <c r="E7">
        <v>-8.6199999999999992</v>
      </c>
      <c r="F7">
        <v>2129</v>
      </c>
      <c r="G7">
        <v>751</v>
      </c>
      <c r="H7">
        <v>1839</v>
      </c>
      <c r="I7">
        <v>418</v>
      </c>
      <c r="J7">
        <v>647</v>
      </c>
      <c r="K7">
        <v>394</v>
      </c>
      <c r="L7">
        <v>1131</v>
      </c>
      <c r="M7">
        <v>313</v>
      </c>
      <c r="N7">
        <v>169</v>
      </c>
      <c r="O7">
        <v>130</v>
      </c>
      <c r="P7">
        <v>437</v>
      </c>
      <c r="Q7">
        <v>648</v>
      </c>
      <c r="R7">
        <v>6</v>
      </c>
    </row>
    <row r="8" spans="1:18">
      <c r="A8" s="1" t="s">
        <v>22</v>
      </c>
      <c r="B8">
        <v>36</v>
      </c>
      <c r="C8">
        <v>20</v>
      </c>
      <c r="D8">
        <v>16</v>
      </c>
      <c r="E8">
        <v>10.64</v>
      </c>
      <c r="F8">
        <v>2604</v>
      </c>
      <c r="G8">
        <v>910</v>
      </c>
      <c r="H8">
        <v>1975</v>
      </c>
      <c r="I8">
        <v>555</v>
      </c>
      <c r="J8">
        <v>828</v>
      </c>
      <c r="K8">
        <v>360</v>
      </c>
      <c r="L8">
        <v>1290</v>
      </c>
      <c r="M8">
        <v>458</v>
      </c>
      <c r="N8">
        <v>228</v>
      </c>
      <c r="O8">
        <v>192</v>
      </c>
      <c r="P8">
        <v>513</v>
      </c>
      <c r="Q8">
        <v>676</v>
      </c>
      <c r="R8">
        <v>7</v>
      </c>
    </row>
    <row r="9" spans="1:18">
      <c r="A9" s="1" t="s">
        <v>23</v>
      </c>
      <c r="B9">
        <v>32</v>
      </c>
      <c r="C9">
        <v>22</v>
      </c>
      <c r="D9">
        <v>10</v>
      </c>
      <c r="E9">
        <v>-5.41</v>
      </c>
      <c r="F9">
        <v>2375</v>
      </c>
      <c r="G9">
        <v>839</v>
      </c>
      <c r="H9">
        <v>1836</v>
      </c>
      <c r="I9">
        <v>513</v>
      </c>
      <c r="J9">
        <v>680</v>
      </c>
      <c r="K9">
        <v>377</v>
      </c>
      <c r="L9">
        <v>1191</v>
      </c>
      <c r="M9">
        <v>405</v>
      </c>
      <c r="N9">
        <v>150</v>
      </c>
      <c r="O9">
        <v>91</v>
      </c>
      <c r="P9">
        <v>371</v>
      </c>
      <c r="Q9">
        <v>528</v>
      </c>
      <c r="R9">
        <v>8</v>
      </c>
    </row>
    <row r="10" spans="1:18">
      <c r="A10" s="1" t="s">
        <v>24</v>
      </c>
      <c r="B10">
        <v>32</v>
      </c>
      <c r="C10">
        <v>11</v>
      </c>
      <c r="D10">
        <v>21</v>
      </c>
      <c r="E10">
        <v>-8.6</v>
      </c>
      <c r="F10">
        <v>2244</v>
      </c>
      <c r="G10">
        <v>791</v>
      </c>
      <c r="H10">
        <v>1824</v>
      </c>
      <c r="I10">
        <v>423</v>
      </c>
      <c r="J10">
        <v>598</v>
      </c>
      <c r="K10">
        <v>305</v>
      </c>
      <c r="L10">
        <v>1104</v>
      </c>
      <c r="M10">
        <v>419</v>
      </c>
      <c r="N10">
        <v>200</v>
      </c>
      <c r="O10">
        <v>85</v>
      </c>
      <c r="P10">
        <v>459</v>
      </c>
      <c r="Q10">
        <v>613</v>
      </c>
      <c r="R10">
        <v>9</v>
      </c>
    </row>
    <row r="11" spans="1:18">
      <c r="A11" s="1" t="s">
        <v>25</v>
      </c>
      <c r="B11">
        <v>30</v>
      </c>
      <c r="C11">
        <v>6</v>
      </c>
      <c r="D11">
        <v>24</v>
      </c>
      <c r="E11">
        <v>-6.17</v>
      </c>
      <c r="F11">
        <v>1961</v>
      </c>
      <c r="G11">
        <v>698</v>
      </c>
      <c r="H11">
        <v>1615</v>
      </c>
      <c r="I11">
        <v>326</v>
      </c>
      <c r="J11">
        <v>491</v>
      </c>
      <c r="K11">
        <v>242</v>
      </c>
      <c r="L11">
        <v>869</v>
      </c>
      <c r="M11">
        <v>367</v>
      </c>
      <c r="N11">
        <v>217</v>
      </c>
      <c r="O11">
        <v>98</v>
      </c>
      <c r="P11">
        <v>413</v>
      </c>
      <c r="Q11">
        <v>550</v>
      </c>
      <c r="R11">
        <v>10</v>
      </c>
    </row>
    <row r="12" spans="1:18">
      <c r="A12" s="1" t="s">
        <v>271</v>
      </c>
      <c r="B12">
        <v>33</v>
      </c>
      <c r="C12">
        <v>15</v>
      </c>
      <c r="D12">
        <v>18</v>
      </c>
      <c r="E12">
        <v>-2.65</v>
      </c>
      <c r="F12">
        <v>2520</v>
      </c>
      <c r="G12">
        <v>864</v>
      </c>
      <c r="H12">
        <v>1983</v>
      </c>
      <c r="I12">
        <v>500</v>
      </c>
      <c r="J12">
        <v>749</v>
      </c>
      <c r="K12">
        <v>389</v>
      </c>
      <c r="L12">
        <v>1292</v>
      </c>
      <c r="M12">
        <v>411</v>
      </c>
      <c r="N12">
        <v>198</v>
      </c>
      <c r="O12">
        <v>117</v>
      </c>
      <c r="P12">
        <v>457</v>
      </c>
      <c r="Q12">
        <v>627</v>
      </c>
      <c r="R12">
        <v>11</v>
      </c>
    </row>
    <row r="13" spans="1:18">
      <c r="A13" s="1" t="s">
        <v>26</v>
      </c>
      <c r="B13">
        <v>32</v>
      </c>
      <c r="C13">
        <v>20</v>
      </c>
      <c r="D13">
        <v>12</v>
      </c>
      <c r="E13">
        <v>6.56</v>
      </c>
      <c r="F13">
        <v>2645</v>
      </c>
      <c r="G13">
        <v>888</v>
      </c>
      <c r="H13">
        <v>1920</v>
      </c>
      <c r="I13">
        <v>581</v>
      </c>
      <c r="J13">
        <v>793</v>
      </c>
      <c r="K13">
        <v>315</v>
      </c>
      <c r="L13">
        <v>1126</v>
      </c>
      <c r="M13">
        <v>458</v>
      </c>
      <c r="N13">
        <v>209</v>
      </c>
      <c r="O13">
        <v>114</v>
      </c>
      <c r="P13">
        <v>343</v>
      </c>
      <c r="Q13">
        <v>604</v>
      </c>
      <c r="R13">
        <v>12</v>
      </c>
    </row>
    <row r="14" spans="1:18">
      <c r="A14" s="1" t="s">
        <v>356</v>
      </c>
      <c r="B14">
        <v>35</v>
      </c>
      <c r="C14">
        <v>27</v>
      </c>
      <c r="D14">
        <v>8</v>
      </c>
      <c r="E14">
        <v>6.84</v>
      </c>
      <c r="F14">
        <v>2818</v>
      </c>
      <c r="G14">
        <v>1009</v>
      </c>
      <c r="H14">
        <v>2003</v>
      </c>
      <c r="I14">
        <v>563</v>
      </c>
      <c r="J14">
        <v>741</v>
      </c>
      <c r="K14">
        <v>353</v>
      </c>
      <c r="L14">
        <v>1277</v>
      </c>
      <c r="M14">
        <v>531</v>
      </c>
      <c r="N14">
        <v>173</v>
      </c>
      <c r="O14">
        <v>158</v>
      </c>
      <c r="P14">
        <v>426</v>
      </c>
      <c r="Q14">
        <v>603</v>
      </c>
      <c r="R14">
        <v>13</v>
      </c>
    </row>
    <row r="15" spans="1:18">
      <c r="A15" s="1" t="s">
        <v>27</v>
      </c>
      <c r="B15">
        <v>32</v>
      </c>
      <c r="C15">
        <v>7</v>
      </c>
      <c r="D15">
        <v>25</v>
      </c>
      <c r="E15">
        <v>-2.21</v>
      </c>
      <c r="F15">
        <v>2038</v>
      </c>
      <c r="G15">
        <v>750</v>
      </c>
      <c r="H15">
        <v>1756</v>
      </c>
      <c r="I15">
        <v>338</v>
      </c>
      <c r="J15">
        <v>554</v>
      </c>
      <c r="K15">
        <v>322</v>
      </c>
      <c r="L15">
        <v>1089</v>
      </c>
      <c r="M15">
        <v>391</v>
      </c>
      <c r="N15">
        <v>159</v>
      </c>
      <c r="O15">
        <v>93</v>
      </c>
      <c r="P15">
        <v>459</v>
      </c>
      <c r="Q15">
        <v>612</v>
      </c>
      <c r="R15">
        <v>14</v>
      </c>
    </row>
    <row r="16" spans="1:18">
      <c r="A16" s="1" t="s">
        <v>28</v>
      </c>
      <c r="B16">
        <v>35</v>
      </c>
      <c r="C16">
        <v>14</v>
      </c>
      <c r="D16">
        <v>21</v>
      </c>
      <c r="E16">
        <v>-9.36</v>
      </c>
      <c r="F16">
        <v>2307</v>
      </c>
      <c r="G16">
        <v>815</v>
      </c>
      <c r="H16">
        <v>1863</v>
      </c>
      <c r="I16">
        <v>460</v>
      </c>
      <c r="J16">
        <v>681</v>
      </c>
      <c r="K16">
        <v>279</v>
      </c>
      <c r="L16">
        <v>1024</v>
      </c>
      <c r="M16">
        <v>427</v>
      </c>
      <c r="N16">
        <v>275</v>
      </c>
      <c r="O16">
        <v>144</v>
      </c>
      <c r="P16">
        <v>500</v>
      </c>
      <c r="Q16">
        <v>684</v>
      </c>
      <c r="R16">
        <v>15</v>
      </c>
    </row>
    <row r="17" spans="1:18">
      <c r="A17" s="1" t="s">
        <v>29</v>
      </c>
      <c r="B17">
        <v>32</v>
      </c>
      <c r="C17">
        <v>11</v>
      </c>
      <c r="D17">
        <v>21</v>
      </c>
      <c r="E17">
        <v>-3.02</v>
      </c>
      <c r="F17">
        <v>2369</v>
      </c>
      <c r="G17">
        <v>841</v>
      </c>
      <c r="H17">
        <v>1910</v>
      </c>
      <c r="I17">
        <v>451</v>
      </c>
      <c r="J17">
        <v>628</v>
      </c>
      <c r="K17">
        <v>359</v>
      </c>
      <c r="L17">
        <v>1072</v>
      </c>
      <c r="M17">
        <v>344</v>
      </c>
      <c r="N17">
        <v>215</v>
      </c>
      <c r="O17">
        <v>95</v>
      </c>
      <c r="P17">
        <v>419</v>
      </c>
      <c r="Q17">
        <v>589</v>
      </c>
      <c r="R17">
        <v>16</v>
      </c>
    </row>
    <row r="18" spans="1:18">
      <c r="A18" s="1" t="s">
        <v>302</v>
      </c>
      <c r="B18">
        <v>35</v>
      </c>
      <c r="C18">
        <v>23</v>
      </c>
      <c r="D18">
        <v>12</v>
      </c>
      <c r="E18">
        <v>9.85</v>
      </c>
      <c r="F18">
        <v>2819</v>
      </c>
      <c r="G18">
        <v>1005</v>
      </c>
      <c r="H18">
        <v>2119</v>
      </c>
      <c r="I18">
        <v>540</v>
      </c>
      <c r="J18">
        <v>793</v>
      </c>
      <c r="K18">
        <v>351</v>
      </c>
      <c r="L18">
        <v>1208</v>
      </c>
      <c r="M18">
        <v>501</v>
      </c>
      <c r="N18">
        <v>218</v>
      </c>
      <c r="O18">
        <v>163</v>
      </c>
      <c r="P18">
        <v>381</v>
      </c>
      <c r="Q18">
        <v>700</v>
      </c>
      <c r="R18">
        <v>17</v>
      </c>
    </row>
    <row r="19" spans="1:18">
      <c r="A19" s="1" t="s">
        <v>30</v>
      </c>
      <c r="B19">
        <v>30</v>
      </c>
      <c r="C19">
        <v>13</v>
      </c>
      <c r="D19">
        <v>17</v>
      </c>
      <c r="E19">
        <v>-7.17</v>
      </c>
      <c r="F19">
        <v>2230</v>
      </c>
      <c r="G19">
        <v>820</v>
      </c>
      <c r="H19">
        <v>1845</v>
      </c>
      <c r="I19">
        <v>295</v>
      </c>
      <c r="J19">
        <v>448</v>
      </c>
      <c r="K19">
        <v>302</v>
      </c>
      <c r="L19">
        <v>1073</v>
      </c>
      <c r="M19">
        <v>501</v>
      </c>
      <c r="N19">
        <v>170</v>
      </c>
      <c r="O19">
        <v>83</v>
      </c>
      <c r="P19">
        <v>403</v>
      </c>
      <c r="Q19">
        <v>593</v>
      </c>
      <c r="R19">
        <v>18</v>
      </c>
    </row>
    <row r="20" spans="1:18">
      <c r="A20" s="1" t="s">
        <v>272</v>
      </c>
      <c r="B20">
        <v>34</v>
      </c>
      <c r="C20">
        <v>26</v>
      </c>
      <c r="D20">
        <v>8</v>
      </c>
      <c r="E20">
        <v>7.29</v>
      </c>
      <c r="F20">
        <v>2783</v>
      </c>
      <c r="G20">
        <v>906</v>
      </c>
      <c r="H20">
        <v>2102</v>
      </c>
      <c r="I20">
        <v>647</v>
      </c>
      <c r="J20">
        <v>836</v>
      </c>
      <c r="K20">
        <v>407</v>
      </c>
      <c r="L20">
        <v>1290</v>
      </c>
      <c r="M20">
        <v>481</v>
      </c>
      <c r="N20">
        <v>252</v>
      </c>
      <c r="O20">
        <v>180</v>
      </c>
      <c r="P20">
        <v>411</v>
      </c>
      <c r="Q20">
        <v>672</v>
      </c>
      <c r="R20">
        <v>19</v>
      </c>
    </row>
    <row r="21" spans="1:18">
      <c r="A21" s="1" t="s">
        <v>31</v>
      </c>
      <c r="B21">
        <v>34</v>
      </c>
      <c r="C21">
        <v>19</v>
      </c>
      <c r="D21">
        <v>15</v>
      </c>
      <c r="E21">
        <v>-2.4900000000000002</v>
      </c>
      <c r="F21">
        <v>2512</v>
      </c>
      <c r="G21">
        <v>915</v>
      </c>
      <c r="H21">
        <v>2012</v>
      </c>
      <c r="I21">
        <v>480</v>
      </c>
      <c r="J21">
        <v>737</v>
      </c>
      <c r="K21">
        <v>444</v>
      </c>
      <c r="L21">
        <v>1209</v>
      </c>
      <c r="M21">
        <v>453</v>
      </c>
      <c r="N21">
        <v>225</v>
      </c>
      <c r="O21">
        <v>103</v>
      </c>
      <c r="P21">
        <v>478</v>
      </c>
      <c r="Q21">
        <v>671</v>
      </c>
      <c r="R21">
        <v>20</v>
      </c>
    </row>
    <row r="22" spans="1:18">
      <c r="A22" s="1" t="s">
        <v>273</v>
      </c>
      <c r="B22">
        <v>32</v>
      </c>
      <c r="C22">
        <v>19</v>
      </c>
      <c r="D22">
        <v>13</v>
      </c>
      <c r="E22">
        <v>-1.99</v>
      </c>
      <c r="F22">
        <v>2410</v>
      </c>
      <c r="G22">
        <v>856</v>
      </c>
      <c r="H22">
        <v>1895</v>
      </c>
      <c r="I22">
        <v>453</v>
      </c>
      <c r="J22">
        <v>643</v>
      </c>
      <c r="K22">
        <v>320</v>
      </c>
      <c r="L22">
        <v>1210</v>
      </c>
      <c r="M22">
        <v>453</v>
      </c>
      <c r="N22">
        <v>170</v>
      </c>
      <c r="O22">
        <v>112</v>
      </c>
      <c r="P22">
        <v>423</v>
      </c>
      <c r="Q22">
        <v>547</v>
      </c>
      <c r="R22">
        <v>21</v>
      </c>
    </row>
    <row r="23" spans="1:18">
      <c r="A23" s="1" t="s">
        <v>32</v>
      </c>
      <c r="B23">
        <v>34</v>
      </c>
      <c r="C23">
        <v>19</v>
      </c>
      <c r="D23">
        <v>15</v>
      </c>
      <c r="E23">
        <v>9.17</v>
      </c>
      <c r="F23">
        <v>2571</v>
      </c>
      <c r="G23">
        <v>941</v>
      </c>
      <c r="H23">
        <v>2007</v>
      </c>
      <c r="I23">
        <v>470</v>
      </c>
      <c r="J23">
        <v>640</v>
      </c>
      <c r="K23">
        <v>400</v>
      </c>
      <c r="L23">
        <v>1292</v>
      </c>
      <c r="M23">
        <v>516</v>
      </c>
      <c r="N23">
        <v>185</v>
      </c>
      <c r="O23">
        <v>152</v>
      </c>
      <c r="P23">
        <v>463</v>
      </c>
      <c r="Q23">
        <v>608</v>
      </c>
      <c r="R23">
        <v>22</v>
      </c>
    </row>
    <row r="24" spans="1:18">
      <c r="A24" s="1" t="s">
        <v>33</v>
      </c>
      <c r="B24">
        <v>33</v>
      </c>
      <c r="C24">
        <v>24</v>
      </c>
      <c r="D24">
        <v>9</v>
      </c>
      <c r="E24">
        <v>-2.88</v>
      </c>
      <c r="F24">
        <v>2562</v>
      </c>
      <c r="G24">
        <v>901</v>
      </c>
      <c r="H24">
        <v>1853</v>
      </c>
      <c r="I24">
        <v>382</v>
      </c>
      <c r="J24">
        <v>517</v>
      </c>
      <c r="K24">
        <v>258</v>
      </c>
      <c r="L24">
        <v>1133</v>
      </c>
      <c r="M24">
        <v>529</v>
      </c>
      <c r="N24">
        <v>161</v>
      </c>
      <c r="O24">
        <v>82</v>
      </c>
      <c r="P24">
        <v>410</v>
      </c>
      <c r="Q24">
        <v>531</v>
      </c>
      <c r="R24">
        <v>23</v>
      </c>
    </row>
    <row r="25" spans="1:18">
      <c r="A25" s="1" t="s">
        <v>34</v>
      </c>
      <c r="B25">
        <v>32</v>
      </c>
      <c r="C25">
        <v>18</v>
      </c>
      <c r="D25">
        <v>14</v>
      </c>
      <c r="E25">
        <v>-12.48</v>
      </c>
      <c r="F25">
        <v>2621</v>
      </c>
      <c r="G25">
        <v>903</v>
      </c>
      <c r="H25">
        <v>2039</v>
      </c>
      <c r="I25">
        <v>575</v>
      </c>
      <c r="J25">
        <v>820</v>
      </c>
      <c r="K25">
        <v>424</v>
      </c>
      <c r="L25">
        <v>1346</v>
      </c>
      <c r="M25">
        <v>501</v>
      </c>
      <c r="N25">
        <v>202</v>
      </c>
      <c r="O25">
        <v>123</v>
      </c>
      <c r="P25">
        <v>507</v>
      </c>
      <c r="Q25">
        <v>670</v>
      </c>
      <c r="R25">
        <v>24</v>
      </c>
    </row>
    <row r="26" spans="1:18">
      <c r="A26" s="1" t="s">
        <v>303</v>
      </c>
      <c r="B26">
        <v>31</v>
      </c>
      <c r="C26">
        <v>11</v>
      </c>
      <c r="D26">
        <v>20</v>
      </c>
      <c r="E26">
        <v>-6.36</v>
      </c>
      <c r="F26">
        <v>2147</v>
      </c>
      <c r="G26">
        <v>787</v>
      </c>
      <c r="H26">
        <v>1775</v>
      </c>
      <c r="I26">
        <v>338</v>
      </c>
      <c r="J26">
        <v>528</v>
      </c>
      <c r="K26">
        <v>283</v>
      </c>
      <c r="L26">
        <v>1066</v>
      </c>
      <c r="M26">
        <v>376</v>
      </c>
      <c r="N26">
        <v>170</v>
      </c>
      <c r="O26">
        <v>131</v>
      </c>
      <c r="P26">
        <v>381</v>
      </c>
      <c r="Q26">
        <v>522</v>
      </c>
      <c r="R26">
        <v>25</v>
      </c>
    </row>
    <row r="27" spans="1:18">
      <c r="A27" s="1" t="s">
        <v>35</v>
      </c>
      <c r="B27">
        <v>32</v>
      </c>
      <c r="C27">
        <v>23</v>
      </c>
      <c r="D27">
        <v>9</v>
      </c>
      <c r="E27">
        <v>3.05</v>
      </c>
      <c r="F27">
        <v>2502</v>
      </c>
      <c r="G27">
        <v>878</v>
      </c>
      <c r="H27">
        <v>1903</v>
      </c>
      <c r="I27">
        <v>439</v>
      </c>
      <c r="J27">
        <v>595</v>
      </c>
      <c r="K27">
        <v>321</v>
      </c>
      <c r="L27">
        <v>1232</v>
      </c>
      <c r="M27">
        <v>427</v>
      </c>
      <c r="N27">
        <v>183</v>
      </c>
      <c r="O27">
        <v>70</v>
      </c>
      <c r="P27">
        <v>433</v>
      </c>
      <c r="Q27">
        <v>573</v>
      </c>
      <c r="R27">
        <v>26</v>
      </c>
    </row>
    <row r="28" spans="1:18">
      <c r="A28" s="1" t="s">
        <v>36</v>
      </c>
      <c r="B28">
        <v>35</v>
      </c>
      <c r="C28">
        <v>19</v>
      </c>
      <c r="D28">
        <v>16</v>
      </c>
      <c r="E28">
        <v>7.2</v>
      </c>
      <c r="F28">
        <v>2673</v>
      </c>
      <c r="G28">
        <v>948</v>
      </c>
      <c r="H28">
        <v>2105</v>
      </c>
      <c r="I28">
        <v>479</v>
      </c>
      <c r="J28">
        <v>646</v>
      </c>
      <c r="K28">
        <v>369</v>
      </c>
      <c r="L28">
        <v>1293</v>
      </c>
      <c r="M28">
        <v>492</v>
      </c>
      <c r="N28">
        <v>175</v>
      </c>
      <c r="O28">
        <v>110</v>
      </c>
      <c r="P28">
        <v>441</v>
      </c>
      <c r="Q28">
        <v>570</v>
      </c>
      <c r="R28">
        <v>27</v>
      </c>
    </row>
    <row r="29" spans="1:18">
      <c r="A29" s="1" t="s">
        <v>37</v>
      </c>
      <c r="B29">
        <v>31</v>
      </c>
      <c r="C29">
        <v>15</v>
      </c>
      <c r="D29">
        <v>16</v>
      </c>
      <c r="E29">
        <v>-5.84</v>
      </c>
      <c r="F29">
        <v>2186</v>
      </c>
      <c r="G29">
        <v>800</v>
      </c>
      <c r="H29">
        <v>1730</v>
      </c>
      <c r="I29">
        <v>357</v>
      </c>
      <c r="J29">
        <v>559</v>
      </c>
      <c r="K29">
        <v>301</v>
      </c>
      <c r="L29">
        <v>1044</v>
      </c>
      <c r="M29">
        <v>420</v>
      </c>
      <c r="N29">
        <v>229</v>
      </c>
      <c r="O29">
        <v>103</v>
      </c>
      <c r="P29">
        <v>427</v>
      </c>
      <c r="Q29">
        <v>531</v>
      </c>
      <c r="R29">
        <v>28</v>
      </c>
    </row>
    <row r="30" spans="1:18">
      <c r="A30" s="1" t="s">
        <v>38</v>
      </c>
      <c r="B30">
        <v>32</v>
      </c>
      <c r="C30">
        <v>16</v>
      </c>
      <c r="D30">
        <v>16</v>
      </c>
      <c r="E30">
        <v>-2.88</v>
      </c>
      <c r="F30">
        <v>2429</v>
      </c>
      <c r="G30">
        <v>827</v>
      </c>
      <c r="H30">
        <v>1963</v>
      </c>
      <c r="I30">
        <v>534</v>
      </c>
      <c r="J30">
        <v>730</v>
      </c>
      <c r="K30">
        <v>372</v>
      </c>
      <c r="L30">
        <v>1226</v>
      </c>
      <c r="M30">
        <v>425</v>
      </c>
      <c r="N30">
        <v>189</v>
      </c>
      <c r="O30">
        <v>82</v>
      </c>
      <c r="P30">
        <v>408</v>
      </c>
      <c r="Q30">
        <v>569</v>
      </c>
      <c r="R30">
        <v>29</v>
      </c>
    </row>
    <row r="31" spans="1:18">
      <c r="A31" s="1" t="s">
        <v>39</v>
      </c>
      <c r="B31">
        <v>33</v>
      </c>
      <c r="C31">
        <v>20</v>
      </c>
      <c r="D31">
        <v>13</v>
      </c>
      <c r="E31">
        <v>0.36</v>
      </c>
      <c r="F31">
        <v>2223</v>
      </c>
      <c r="G31">
        <v>768</v>
      </c>
      <c r="H31">
        <v>1788</v>
      </c>
      <c r="I31">
        <v>470</v>
      </c>
      <c r="J31">
        <v>665</v>
      </c>
      <c r="K31">
        <v>359</v>
      </c>
      <c r="L31">
        <v>1178</v>
      </c>
      <c r="M31">
        <v>447</v>
      </c>
      <c r="N31">
        <v>214</v>
      </c>
      <c r="O31">
        <v>133</v>
      </c>
      <c r="P31">
        <v>441</v>
      </c>
      <c r="Q31">
        <v>626</v>
      </c>
      <c r="R31">
        <v>30</v>
      </c>
    </row>
    <row r="32" spans="1:18">
      <c r="A32" s="1" t="s">
        <v>40</v>
      </c>
      <c r="B32">
        <v>35</v>
      </c>
      <c r="C32">
        <v>24</v>
      </c>
      <c r="D32">
        <v>11</v>
      </c>
      <c r="E32">
        <v>1.53</v>
      </c>
      <c r="F32">
        <v>2600</v>
      </c>
      <c r="G32">
        <v>919</v>
      </c>
      <c r="H32">
        <v>1905</v>
      </c>
      <c r="I32">
        <v>537</v>
      </c>
      <c r="J32">
        <v>716</v>
      </c>
      <c r="K32">
        <v>242</v>
      </c>
      <c r="L32">
        <v>1146</v>
      </c>
      <c r="M32">
        <v>533</v>
      </c>
      <c r="N32">
        <v>224</v>
      </c>
      <c r="O32">
        <v>133</v>
      </c>
      <c r="P32">
        <v>403</v>
      </c>
      <c r="Q32">
        <v>596</v>
      </c>
      <c r="R32">
        <v>31</v>
      </c>
    </row>
    <row r="33" spans="1:18">
      <c r="A33" s="1" t="s">
        <v>41</v>
      </c>
      <c r="B33">
        <v>27</v>
      </c>
      <c r="C33">
        <v>11</v>
      </c>
      <c r="D33">
        <v>16</v>
      </c>
      <c r="E33">
        <v>-4.67</v>
      </c>
      <c r="F33">
        <v>2080</v>
      </c>
      <c r="G33">
        <v>695</v>
      </c>
      <c r="H33">
        <v>1631</v>
      </c>
      <c r="I33">
        <v>504</v>
      </c>
      <c r="J33">
        <v>667</v>
      </c>
      <c r="K33">
        <v>310</v>
      </c>
      <c r="L33">
        <v>988</v>
      </c>
      <c r="M33">
        <v>338</v>
      </c>
      <c r="N33">
        <v>174</v>
      </c>
      <c r="O33">
        <v>81</v>
      </c>
      <c r="P33">
        <v>364</v>
      </c>
      <c r="Q33">
        <v>565</v>
      </c>
      <c r="R33">
        <v>32</v>
      </c>
    </row>
    <row r="34" spans="1:18">
      <c r="A34" s="1" t="s">
        <v>352</v>
      </c>
      <c r="B34">
        <v>31</v>
      </c>
      <c r="C34">
        <v>3</v>
      </c>
      <c r="D34">
        <v>28</v>
      </c>
      <c r="E34">
        <v>-5.43</v>
      </c>
      <c r="F34">
        <v>2169</v>
      </c>
      <c r="G34">
        <v>771</v>
      </c>
      <c r="H34">
        <v>1881</v>
      </c>
      <c r="I34">
        <v>368</v>
      </c>
      <c r="J34">
        <v>522</v>
      </c>
      <c r="K34">
        <v>312</v>
      </c>
      <c r="L34">
        <v>1000</v>
      </c>
      <c r="M34">
        <v>417</v>
      </c>
      <c r="N34">
        <v>190</v>
      </c>
      <c r="O34">
        <v>43</v>
      </c>
      <c r="P34">
        <v>401</v>
      </c>
      <c r="Q34">
        <v>600</v>
      </c>
      <c r="R34">
        <v>33</v>
      </c>
    </row>
    <row r="35" spans="1:18">
      <c r="A35" s="1" t="s">
        <v>42</v>
      </c>
      <c r="B35">
        <v>35</v>
      </c>
      <c r="C35">
        <v>25</v>
      </c>
      <c r="D35">
        <v>10</v>
      </c>
      <c r="E35">
        <v>-3.46</v>
      </c>
      <c r="F35">
        <v>2837</v>
      </c>
      <c r="G35">
        <v>965</v>
      </c>
      <c r="H35">
        <v>2050</v>
      </c>
      <c r="I35">
        <v>627</v>
      </c>
      <c r="J35">
        <v>872</v>
      </c>
      <c r="K35">
        <v>325</v>
      </c>
      <c r="L35">
        <v>1281</v>
      </c>
      <c r="M35">
        <v>505</v>
      </c>
      <c r="N35">
        <v>194</v>
      </c>
      <c r="O35">
        <v>152</v>
      </c>
      <c r="P35">
        <v>437</v>
      </c>
      <c r="Q35">
        <v>655</v>
      </c>
      <c r="R35">
        <v>34</v>
      </c>
    </row>
    <row r="36" spans="1:18">
      <c r="A36" s="1" t="s">
        <v>43</v>
      </c>
      <c r="B36">
        <v>36</v>
      </c>
      <c r="C36">
        <v>27</v>
      </c>
      <c r="D36">
        <v>9</v>
      </c>
      <c r="E36">
        <v>0.25</v>
      </c>
      <c r="F36">
        <v>3047</v>
      </c>
      <c r="G36">
        <v>1105</v>
      </c>
      <c r="H36">
        <v>2334</v>
      </c>
      <c r="I36">
        <v>486</v>
      </c>
      <c r="J36">
        <v>695</v>
      </c>
      <c r="K36">
        <v>430</v>
      </c>
      <c r="L36">
        <v>1388</v>
      </c>
      <c r="M36">
        <v>597</v>
      </c>
      <c r="N36">
        <v>225</v>
      </c>
      <c r="O36">
        <v>146</v>
      </c>
      <c r="P36">
        <v>446</v>
      </c>
      <c r="Q36">
        <v>755</v>
      </c>
      <c r="R36">
        <v>35</v>
      </c>
    </row>
    <row r="37" spans="1:18">
      <c r="A37" s="1" t="s">
        <v>304</v>
      </c>
      <c r="B37">
        <v>35</v>
      </c>
      <c r="C37">
        <v>21</v>
      </c>
      <c r="D37">
        <v>14</v>
      </c>
      <c r="E37">
        <v>10.55</v>
      </c>
      <c r="F37">
        <v>2763</v>
      </c>
      <c r="G37">
        <v>1020</v>
      </c>
      <c r="H37">
        <v>2155</v>
      </c>
      <c r="I37">
        <v>436</v>
      </c>
      <c r="J37">
        <v>562</v>
      </c>
      <c r="K37">
        <v>324</v>
      </c>
      <c r="L37">
        <v>1198</v>
      </c>
      <c r="M37">
        <v>489</v>
      </c>
      <c r="N37">
        <v>232</v>
      </c>
      <c r="O37">
        <v>100</v>
      </c>
      <c r="P37">
        <v>391</v>
      </c>
      <c r="Q37">
        <v>642</v>
      </c>
      <c r="R37">
        <v>36</v>
      </c>
    </row>
    <row r="38" spans="1:18">
      <c r="A38" s="1" t="s">
        <v>44</v>
      </c>
      <c r="B38">
        <v>31</v>
      </c>
      <c r="C38">
        <v>9</v>
      </c>
      <c r="D38">
        <v>22</v>
      </c>
      <c r="E38">
        <v>-1.83</v>
      </c>
      <c r="F38">
        <v>2082</v>
      </c>
      <c r="G38">
        <v>721</v>
      </c>
      <c r="H38">
        <v>1817</v>
      </c>
      <c r="I38">
        <v>373</v>
      </c>
      <c r="J38">
        <v>478</v>
      </c>
      <c r="K38">
        <v>291</v>
      </c>
      <c r="L38">
        <v>1034</v>
      </c>
      <c r="M38">
        <v>372</v>
      </c>
      <c r="N38">
        <v>154</v>
      </c>
      <c r="O38">
        <v>122</v>
      </c>
      <c r="P38">
        <v>366</v>
      </c>
      <c r="Q38">
        <v>565</v>
      </c>
      <c r="R38">
        <v>37</v>
      </c>
    </row>
    <row r="39" spans="1:18">
      <c r="A39" s="1" t="s">
        <v>343</v>
      </c>
      <c r="B39">
        <v>30</v>
      </c>
      <c r="C39">
        <v>12</v>
      </c>
      <c r="D39">
        <v>18</v>
      </c>
      <c r="E39">
        <v>-0.73</v>
      </c>
      <c r="F39">
        <v>1981</v>
      </c>
      <c r="G39">
        <v>697</v>
      </c>
      <c r="H39">
        <v>1670</v>
      </c>
      <c r="I39">
        <v>402</v>
      </c>
      <c r="J39">
        <v>578</v>
      </c>
      <c r="K39">
        <v>343</v>
      </c>
      <c r="L39">
        <v>1068</v>
      </c>
      <c r="M39">
        <v>387</v>
      </c>
      <c r="N39">
        <v>182</v>
      </c>
      <c r="O39">
        <v>87</v>
      </c>
      <c r="P39">
        <v>416</v>
      </c>
      <c r="Q39">
        <v>597</v>
      </c>
      <c r="R39">
        <v>38</v>
      </c>
    </row>
    <row r="40" spans="1:18">
      <c r="A40" s="1" t="s">
        <v>45</v>
      </c>
      <c r="B40">
        <v>32</v>
      </c>
      <c r="C40">
        <v>20</v>
      </c>
      <c r="D40">
        <v>12</v>
      </c>
      <c r="E40">
        <v>-1.02</v>
      </c>
      <c r="F40">
        <v>2318</v>
      </c>
      <c r="G40">
        <v>804</v>
      </c>
      <c r="H40">
        <v>1721</v>
      </c>
      <c r="I40">
        <v>543</v>
      </c>
      <c r="J40">
        <v>745</v>
      </c>
      <c r="K40">
        <v>280</v>
      </c>
      <c r="L40">
        <v>1123</v>
      </c>
      <c r="M40">
        <v>403</v>
      </c>
      <c r="N40">
        <v>201</v>
      </c>
      <c r="O40">
        <v>106</v>
      </c>
      <c r="P40">
        <v>455</v>
      </c>
      <c r="Q40">
        <v>578</v>
      </c>
      <c r="R40">
        <v>39</v>
      </c>
    </row>
    <row r="41" spans="1:18">
      <c r="A41" s="1" t="s">
        <v>46</v>
      </c>
      <c r="B41">
        <v>30</v>
      </c>
      <c r="C41">
        <v>6</v>
      </c>
      <c r="D41">
        <v>24</v>
      </c>
      <c r="E41">
        <v>-3.55</v>
      </c>
      <c r="F41">
        <v>1983</v>
      </c>
      <c r="G41">
        <v>731</v>
      </c>
      <c r="H41">
        <v>1689</v>
      </c>
      <c r="I41">
        <v>335</v>
      </c>
      <c r="J41">
        <v>473</v>
      </c>
      <c r="K41">
        <v>247</v>
      </c>
      <c r="L41">
        <v>940</v>
      </c>
      <c r="M41">
        <v>366</v>
      </c>
      <c r="N41">
        <v>149</v>
      </c>
      <c r="O41">
        <v>74</v>
      </c>
      <c r="P41">
        <v>365</v>
      </c>
      <c r="Q41">
        <v>533</v>
      </c>
      <c r="R41">
        <v>40</v>
      </c>
    </row>
    <row r="42" spans="1:18">
      <c r="A42" s="1" t="s">
        <v>330</v>
      </c>
      <c r="B42">
        <v>33</v>
      </c>
      <c r="C42">
        <v>22</v>
      </c>
      <c r="D42">
        <v>11</v>
      </c>
      <c r="E42">
        <v>-1.84</v>
      </c>
      <c r="F42">
        <v>2388</v>
      </c>
      <c r="G42">
        <v>834</v>
      </c>
      <c r="H42">
        <v>1792</v>
      </c>
      <c r="I42">
        <v>505</v>
      </c>
      <c r="J42">
        <v>705</v>
      </c>
      <c r="K42">
        <v>267</v>
      </c>
      <c r="L42">
        <v>1064</v>
      </c>
      <c r="M42">
        <v>409</v>
      </c>
      <c r="N42">
        <v>233</v>
      </c>
      <c r="O42">
        <v>77</v>
      </c>
      <c r="P42">
        <v>425</v>
      </c>
      <c r="Q42">
        <v>644</v>
      </c>
      <c r="R42">
        <v>41</v>
      </c>
    </row>
    <row r="43" spans="1:18">
      <c r="A43" s="1" t="s">
        <v>47</v>
      </c>
      <c r="B43">
        <v>35</v>
      </c>
      <c r="C43">
        <v>18</v>
      </c>
      <c r="D43">
        <v>17</v>
      </c>
      <c r="E43">
        <v>-0.33</v>
      </c>
      <c r="F43">
        <v>2440</v>
      </c>
      <c r="G43">
        <v>900</v>
      </c>
      <c r="H43">
        <v>2061</v>
      </c>
      <c r="I43">
        <v>420</v>
      </c>
      <c r="J43">
        <v>593</v>
      </c>
      <c r="K43">
        <v>420</v>
      </c>
      <c r="L43">
        <v>1443</v>
      </c>
      <c r="M43">
        <v>430</v>
      </c>
      <c r="N43">
        <v>178</v>
      </c>
      <c r="O43">
        <v>140</v>
      </c>
      <c r="P43">
        <v>487</v>
      </c>
      <c r="Q43">
        <v>719</v>
      </c>
      <c r="R43">
        <v>42</v>
      </c>
    </row>
    <row r="44" spans="1:18">
      <c r="A44" s="1" t="s">
        <v>305</v>
      </c>
      <c r="B44">
        <v>31</v>
      </c>
      <c r="C44">
        <v>9</v>
      </c>
      <c r="D44">
        <v>22</v>
      </c>
      <c r="E44">
        <v>-1.53</v>
      </c>
      <c r="F44">
        <v>2024</v>
      </c>
      <c r="G44">
        <v>716</v>
      </c>
      <c r="H44">
        <v>1779</v>
      </c>
      <c r="I44">
        <v>407</v>
      </c>
      <c r="J44">
        <v>580</v>
      </c>
      <c r="K44">
        <v>310</v>
      </c>
      <c r="L44">
        <v>1089</v>
      </c>
      <c r="M44">
        <v>389</v>
      </c>
      <c r="N44">
        <v>190</v>
      </c>
      <c r="O44">
        <v>95</v>
      </c>
      <c r="P44">
        <v>428</v>
      </c>
      <c r="Q44">
        <v>617</v>
      </c>
      <c r="R44">
        <v>43</v>
      </c>
    </row>
    <row r="45" spans="1:18">
      <c r="A45" s="1" t="s">
        <v>48</v>
      </c>
      <c r="B45">
        <v>32</v>
      </c>
      <c r="C45">
        <v>23</v>
      </c>
      <c r="D45">
        <v>9</v>
      </c>
      <c r="E45">
        <v>-3.36</v>
      </c>
      <c r="F45">
        <v>2425</v>
      </c>
      <c r="G45">
        <v>877</v>
      </c>
      <c r="H45">
        <v>1891</v>
      </c>
      <c r="I45">
        <v>414</v>
      </c>
      <c r="J45">
        <v>594</v>
      </c>
      <c r="K45">
        <v>326</v>
      </c>
      <c r="L45">
        <v>1176</v>
      </c>
      <c r="M45">
        <v>481</v>
      </c>
      <c r="N45">
        <v>154</v>
      </c>
      <c r="O45">
        <v>118</v>
      </c>
      <c r="P45">
        <v>337</v>
      </c>
      <c r="Q45">
        <v>536</v>
      </c>
      <c r="R45">
        <v>44</v>
      </c>
    </row>
    <row r="46" spans="1:18">
      <c r="A46" s="1" t="s">
        <v>49</v>
      </c>
      <c r="B46">
        <v>32</v>
      </c>
      <c r="C46">
        <v>8</v>
      </c>
      <c r="D46">
        <v>24</v>
      </c>
      <c r="E46">
        <v>6.06</v>
      </c>
      <c r="F46">
        <v>2166</v>
      </c>
      <c r="G46">
        <v>767</v>
      </c>
      <c r="H46">
        <v>1887</v>
      </c>
      <c r="I46">
        <v>484</v>
      </c>
      <c r="J46">
        <v>717</v>
      </c>
      <c r="K46">
        <v>426</v>
      </c>
      <c r="L46">
        <v>1140</v>
      </c>
      <c r="M46">
        <v>313</v>
      </c>
      <c r="N46">
        <v>220</v>
      </c>
      <c r="O46">
        <v>154</v>
      </c>
      <c r="P46">
        <v>470</v>
      </c>
      <c r="Q46">
        <v>648</v>
      </c>
      <c r="R46">
        <v>45</v>
      </c>
    </row>
    <row r="47" spans="1:18">
      <c r="A47" s="1" t="s">
        <v>50</v>
      </c>
      <c r="B47">
        <v>34</v>
      </c>
      <c r="C47">
        <v>18</v>
      </c>
      <c r="D47">
        <v>16</v>
      </c>
      <c r="E47">
        <v>-6.68</v>
      </c>
      <c r="F47">
        <v>2581</v>
      </c>
      <c r="G47">
        <v>891</v>
      </c>
      <c r="H47">
        <v>1867</v>
      </c>
      <c r="I47">
        <v>486</v>
      </c>
      <c r="J47">
        <v>648</v>
      </c>
      <c r="K47">
        <v>231</v>
      </c>
      <c r="L47">
        <v>1085</v>
      </c>
      <c r="M47">
        <v>482</v>
      </c>
      <c r="N47">
        <v>228</v>
      </c>
      <c r="O47">
        <v>137</v>
      </c>
      <c r="P47">
        <v>403</v>
      </c>
      <c r="Q47">
        <v>579</v>
      </c>
      <c r="R47">
        <v>46</v>
      </c>
    </row>
    <row r="48" spans="1:18">
      <c r="A48" s="1" t="s">
        <v>51</v>
      </c>
      <c r="B48">
        <v>33</v>
      </c>
      <c r="C48">
        <v>21</v>
      </c>
      <c r="D48">
        <v>12</v>
      </c>
      <c r="E48">
        <v>-4.8</v>
      </c>
      <c r="F48">
        <v>2519</v>
      </c>
      <c r="G48">
        <v>901</v>
      </c>
      <c r="H48">
        <v>1942</v>
      </c>
      <c r="I48">
        <v>413</v>
      </c>
      <c r="J48">
        <v>581</v>
      </c>
      <c r="K48">
        <v>336</v>
      </c>
      <c r="L48">
        <v>1101</v>
      </c>
      <c r="M48">
        <v>553</v>
      </c>
      <c r="N48">
        <v>232</v>
      </c>
      <c r="O48">
        <v>95</v>
      </c>
      <c r="P48">
        <v>430</v>
      </c>
      <c r="Q48">
        <v>624</v>
      </c>
      <c r="R48">
        <v>47</v>
      </c>
    </row>
    <row r="49" spans="1:18">
      <c r="A49" s="1" t="s">
        <v>344</v>
      </c>
      <c r="B49">
        <v>35</v>
      </c>
      <c r="C49">
        <v>18</v>
      </c>
      <c r="D49">
        <v>17</v>
      </c>
      <c r="E49">
        <v>-5.97</v>
      </c>
      <c r="F49">
        <v>2819</v>
      </c>
      <c r="G49">
        <v>980</v>
      </c>
      <c r="H49">
        <v>2162</v>
      </c>
      <c r="I49">
        <v>573</v>
      </c>
      <c r="J49">
        <v>780</v>
      </c>
      <c r="K49">
        <v>359</v>
      </c>
      <c r="L49">
        <v>1271</v>
      </c>
      <c r="M49">
        <v>566</v>
      </c>
      <c r="N49">
        <v>233</v>
      </c>
      <c r="O49">
        <v>180</v>
      </c>
      <c r="P49">
        <v>480</v>
      </c>
      <c r="Q49">
        <v>690</v>
      </c>
      <c r="R49">
        <v>48</v>
      </c>
    </row>
    <row r="50" spans="1:18">
      <c r="A50" s="1" t="s">
        <v>274</v>
      </c>
      <c r="B50">
        <v>32</v>
      </c>
      <c r="C50">
        <v>14</v>
      </c>
      <c r="D50">
        <v>18</v>
      </c>
      <c r="E50">
        <v>-7.59</v>
      </c>
      <c r="F50">
        <v>2171</v>
      </c>
      <c r="G50">
        <v>788</v>
      </c>
      <c r="H50">
        <v>1740</v>
      </c>
      <c r="I50">
        <v>397</v>
      </c>
      <c r="J50">
        <v>568</v>
      </c>
      <c r="K50">
        <v>321</v>
      </c>
      <c r="L50">
        <v>1130</v>
      </c>
      <c r="M50">
        <v>397</v>
      </c>
      <c r="N50">
        <v>161</v>
      </c>
      <c r="O50">
        <v>107</v>
      </c>
      <c r="P50">
        <v>473</v>
      </c>
      <c r="Q50">
        <v>549</v>
      </c>
      <c r="R50">
        <v>49</v>
      </c>
    </row>
    <row r="51" spans="1:18">
      <c r="A51" s="1" t="s">
        <v>53</v>
      </c>
      <c r="B51">
        <v>32</v>
      </c>
      <c r="C51">
        <v>19</v>
      </c>
      <c r="D51">
        <v>13</v>
      </c>
      <c r="E51">
        <v>3.75</v>
      </c>
      <c r="F51">
        <v>2007</v>
      </c>
      <c r="G51">
        <v>690</v>
      </c>
      <c r="H51">
        <v>1627</v>
      </c>
      <c r="I51">
        <v>450</v>
      </c>
      <c r="J51">
        <v>702</v>
      </c>
      <c r="K51">
        <v>305</v>
      </c>
      <c r="L51">
        <v>1108</v>
      </c>
      <c r="M51">
        <v>339</v>
      </c>
      <c r="N51">
        <v>169</v>
      </c>
      <c r="O51">
        <v>111</v>
      </c>
      <c r="P51">
        <v>431</v>
      </c>
      <c r="Q51">
        <v>488</v>
      </c>
      <c r="R51">
        <v>50</v>
      </c>
    </row>
    <row r="52" spans="1:18">
      <c r="A52" s="1" t="s">
        <v>54</v>
      </c>
      <c r="B52">
        <v>36</v>
      </c>
      <c r="C52">
        <v>21</v>
      </c>
      <c r="D52">
        <v>15</v>
      </c>
      <c r="E52">
        <v>-3.24</v>
      </c>
      <c r="F52">
        <v>2835</v>
      </c>
      <c r="G52">
        <v>953</v>
      </c>
      <c r="H52">
        <v>2187</v>
      </c>
      <c r="I52">
        <v>573</v>
      </c>
      <c r="J52">
        <v>711</v>
      </c>
      <c r="K52">
        <v>408</v>
      </c>
      <c r="L52">
        <v>1305</v>
      </c>
      <c r="M52">
        <v>492</v>
      </c>
      <c r="N52">
        <v>228</v>
      </c>
      <c r="O52">
        <v>119</v>
      </c>
      <c r="P52">
        <v>417</v>
      </c>
      <c r="Q52">
        <v>573</v>
      </c>
      <c r="R52">
        <v>51</v>
      </c>
    </row>
    <row r="53" spans="1:18">
      <c r="A53" s="1" t="s">
        <v>55</v>
      </c>
      <c r="B53">
        <v>31</v>
      </c>
      <c r="C53">
        <v>15</v>
      </c>
      <c r="D53">
        <v>16</v>
      </c>
      <c r="E53">
        <v>-6.15</v>
      </c>
      <c r="F53">
        <v>2232</v>
      </c>
      <c r="G53">
        <v>802</v>
      </c>
      <c r="H53">
        <v>1793</v>
      </c>
      <c r="I53">
        <v>420</v>
      </c>
      <c r="J53">
        <v>581</v>
      </c>
      <c r="K53">
        <v>345</v>
      </c>
      <c r="L53">
        <v>1071</v>
      </c>
      <c r="M53">
        <v>368</v>
      </c>
      <c r="N53">
        <v>224</v>
      </c>
      <c r="O53">
        <v>106</v>
      </c>
      <c r="P53">
        <v>408</v>
      </c>
      <c r="Q53">
        <v>517</v>
      </c>
      <c r="R53">
        <v>52</v>
      </c>
    </row>
    <row r="54" spans="1:18">
      <c r="A54" s="1" t="s">
        <v>56</v>
      </c>
      <c r="B54">
        <v>29</v>
      </c>
      <c r="C54">
        <v>6</v>
      </c>
      <c r="D54">
        <v>23</v>
      </c>
      <c r="E54">
        <v>0.27</v>
      </c>
      <c r="F54">
        <v>2066</v>
      </c>
      <c r="G54">
        <v>706</v>
      </c>
      <c r="H54">
        <v>1634</v>
      </c>
      <c r="I54">
        <v>456</v>
      </c>
      <c r="J54">
        <v>637</v>
      </c>
      <c r="K54">
        <v>270</v>
      </c>
      <c r="L54">
        <v>990</v>
      </c>
      <c r="M54">
        <v>319</v>
      </c>
      <c r="N54">
        <v>165</v>
      </c>
      <c r="O54">
        <v>65</v>
      </c>
      <c r="P54">
        <v>428</v>
      </c>
      <c r="Q54">
        <v>524</v>
      </c>
      <c r="R54">
        <v>53</v>
      </c>
    </row>
    <row r="55" spans="1:18">
      <c r="A55" s="1" t="s">
        <v>57</v>
      </c>
      <c r="B55">
        <v>33</v>
      </c>
      <c r="C55">
        <v>10</v>
      </c>
      <c r="D55">
        <v>23</v>
      </c>
      <c r="E55">
        <v>-4.05</v>
      </c>
      <c r="F55">
        <v>2289</v>
      </c>
      <c r="G55">
        <v>784</v>
      </c>
      <c r="H55">
        <v>1804</v>
      </c>
      <c r="I55">
        <v>445</v>
      </c>
      <c r="J55">
        <v>626</v>
      </c>
      <c r="K55">
        <v>307</v>
      </c>
      <c r="L55">
        <v>1072</v>
      </c>
      <c r="M55">
        <v>421</v>
      </c>
      <c r="N55">
        <v>166</v>
      </c>
      <c r="O55">
        <v>69</v>
      </c>
      <c r="P55">
        <v>460</v>
      </c>
      <c r="Q55">
        <v>507</v>
      </c>
      <c r="R55">
        <v>54</v>
      </c>
    </row>
    <row r="56" spans="1:18">
      <c r="A56" s="1" t="s">
        <v>58</v>
      </c>
      <c r="B56">
        <v>32</v>
      </c>
      <c r="C56">
        <v>3</v>
      </c>
      <c r="D56">
        <v>29</v>
      </c>
      <c r="E56">
        <v>1.17</v>
      </c>
      <c r="F56">
        <v>2171</v>
      </c>
      <c r="G56">
        <v>774</v>
      </c>
      <c r="H56">
        <v>1898</v>
      </c>
      <c r="I56">
        <v>454</v>
      </c>
      <c r="J56">
        <v>627</v>
      </c>
      <c r="K56">
        <v>323</v>
      </c>
      <c r="L56">
        <v>1042</v>
      </c>
      <c r="M56">
        <v>367</v>
      </c>
      <c r="N56">
        <v>232</v>
      </c>
      <c r="O56">
        <v>81</v>
      </c>
      <c r="P56">
        <v>483</v>
      </c>
      <c r="Q56">
        <v>697</v>
      </c>
      <c r="R56">
        <v>55</v>
      </c>
    </row>
    <row r="57" spans="1:18">
      <c r="A57" s="1" t="s">
        <v>335</v>
      </c>
      <c r="B57">
        <v>36</v>
      </c>
      <c r="C57">
        <v>31</v>
      </c>
      <c r="D57">
        <v>5</v>
      </c>
      <c r="E57">
        <v>3.53</v>
      </c>
      <c r="F57">
        <v>2673</v>
      </c>
      <c r="G57">
        <v>944</v>
      </c>
      <c r="H57">
        <v>2100</v>
      </c>
      <c r="I57">
        <v>523</v>
      </c>
      <c r="J57">
        <v>756</v>
      </c>
      <c r="K57">
        <v>479</v>
      </c>
      <c r="L57">
        <v>1413</v>
      </c>
      <c r="M57">
        <v>570</v>
      </c>
      <c r="N57">
        <v>256</v>
      </c>
      <c r="O57">
        <v>194</v>
      </c>
      <c r="P57">
        <v>404</v>
      </c>
      <c r="Q57">
        <v>561</v>
      </c>
      <c r="R57">
        <v>56</v>
      </c>
    </row>
    <row r="58" spans="1:18">
      <c r="A58" s="1" t="s">
        <v>59</v>
      </c>
      <c r="B58">
        <v>32</v>
      </c>
      <c r="C58">
        <v>11</v>
      </c>
      <c r="D58">
        <v>21</v>
      </c>
      <c r="E58">
        <v>-2.94</v>
      </c>
      <c r="F58">
        <v>2639</v>
      </c>
      <c r="G58">
        <v>889</v>
      </c>
      <c r="H58">
        <v>2148</v>
      </c>
      <c r="I58">
        <v>475</v>
      </c>
      <c r="J58">
        <v>673</v>
      </c>
      <c r="K58">
        <v>376</v>
      </c>
      <c r="L58">
        <v>1183</v>
      </c>
      <c r="M58">
        <v>528</v>
      </c>
      <c r="N58">
        <v>301</v>
      </c>
      <c r="O58">
        <v>99</v>
      </c>
      <c r="P58">
        <v>477</v>
      </c>
      <c r="Q58">
        <v>586</v>
      </c>
      <c r="R58">
        <v>57</v>
      </c>
    </row>
    <row r="59" spans="1:18">
      <c r="A59" s="1" t="s">
        <v>60</v>
      </c>
      <c r="B59">
        <v>35</v>
      </c>
      <c r="C59">
        <v>25</v>
      </c>
      <c r="D59">
        <v>10</v>
      </c>
      <c r="E59">
        <v>9.25</v>
      </c>
      <c r="F59">
        <v>2584</v>
      </c>
      <c r="G59">
        <v>899</v>
      </c>
      <c r="H59">
        <v>1971</v>
      </c>
      <c r="I59">
        <v>498</v>
      </c>
      <c r="J59">
        <v>660</v>
      </c>
      <c r="K59">
        <v>313</v>
      </c>
      <c r="L59">
        <v>1256</v>
      </c>
      <c r="M59">
        <v>463</v>
      </c>
      <c r="N59">
        <v>198</v>
      </c>
      <c r="O59">
        <v>169</v>
      </c>
      <c r="P59">
        <v>414</v>
      </c>
      <c r="Q59">
        <v>564</v>
      </c>
      <c r="R59">
        <v>58</v>
      </c>
    </row>
    <row r="60" spans="1:18">
      <c r="A60" s="1" t="s">
        <v>61</v>
      </c>
      <c r="B60">
        <v>35</v>
      </c>
      <c r="C60">
        <v>12</v>
      </c>
      <c r="D60">
        <v>23</v>
      </c>
      <c r="E60">
        <v>-3.64</v>
      </c>
      <c r="F60">
        <v>2402</v>
      </c>
      <c r="G60">
        <v>853</v>
      </c>
      <c r="H60">
        <v>1965</v>
      </c>
      <c r="I60">
        <v>402</v>
      </c>
      <c r="J60">
        <v>572</v>
      </c>
      <c r="K60">
        <v>270</v>
      </c>
      <c r="L60">
        <v>1063</v>
      </c>
      <c r="M60">
        <v>456</v>
      </c>
      <c r="N60">
        <v>231</v>
      </c>
      <c r="O60">
        <v>90</v>
      </c>
      <c r="P60">
        <v>458</v>
      </c>
      <c r="Q60">
        <v>595</v>
      </c>
      <c r="R60">
        <v>59</v>
      </c>
    </row>
    <row r="61" spans="1:18">
      <c r="A61" s="1" t="s">
        <v>62</v>
      </c>
      <c r="B61">
        <v>32</v>
      </c>
      <c r="C61">
        <v>14</v>
      </c>
      <c r="D61">
        <v>18</v>
      </c>
      <c r="E61">
        <v>-2.4</v>
      </c>
      <c r="F61">
        <v>2298</v>
      </c>
      <c r="G61">
        <v>787</v>
      </c>
      <c r="H61">
        <v>1813</v>
      </c>
      <c r="I61">
        <v>506</v>
      </c>
      <c r="J61">
        <v>702</v>
      </c>
      <c r="K61">
        <v>388</v>
      </c>
      <c r="L61">
        <v>1244</v>
      </c>
      <c r="M61">
        <v>418</v>
      </c>
      <c r="N61">
        <v>171</v>
      </c>
      <c r="O61">
        <v>116</v>
      </c>
      <c r="P61">
        <v>479</v>
      </c>
      <c r="Q61">
        <v>608</v>
      </c>
      <c r="R61">
        <v>60</v>
      </c>
    </row>
    <row r="62" spans="1:18">
      <c r="A62" s="1" t="s">
        <v>63</v>
      </c>
      <c r="B62">
        <v>33</v>
      </c>
      <c r="C62">
        <v>19</v>
      </c>
      <c r="D62">
        <v>14</v>
      </c>
      <c r="E62">
        <v>-5.73</v>
      </c>
      <c r="F62">
        <v>2394</v>
      </c>
      <c r="G62">
        <v>829</v>
      </c>
      <c r="H62">
        <v>1897</v>
      </c>
      <c r="I62">
        <v>427</v>
      </c>
      <c r="J62">
        <v>552</v>
      </c>
      <c r="K62">
        <v>299</v>
      </c>
      <c r="L62">
        <v>1083</v>
      </c>
      <c r="M62">
        <v>426</v>
      </c>
      <c r="N62">
        <v>201</v>
      </c>
      <c r="O62">
        <v>110</v>
      </c>
      <c r="P62">
        <v>363</v>
      </c>
      <c r="Q62">
        <v>542</v>
      </c>
      <c r="R62">
        <v>61</v>
      </c>
    </row>
    <row r="63" spans="1:18">
      <c r="A63" s="1" t="s">
        <v>64</v>
      </c>
      <c r="B63">
        <v>34</v>
      </c>
      <c r="C63">
        <v>26</v>
      </c>
      <c r="D63">
        <v>8</v>
      </c>
      <c r="E63">
        <v>-3.29</v>
      </c>
      <c r="F63">
        <v>2536</v>
      </c>
      <c r="G63">
        <v>875</v>
      </c>
      <c r="H63">
        <v>1905</v>
      </c>
      <c r="I63">
        <v>527</v>
      </c>
      <c r="J63">
        <v>699</v>
      </c>
      <c r="K63">
        <v>286</v>
      </c>
      <c r="L63">
        <v>1129</v>
      </c>
      <c r="M63">
        <v>387</v>
      </c>
      <c r="N63">
        <v>177</v>
      </c>
      <c r="O63">
        <v>119</v>
      </c>
      <c r="P63">
        <v>339</v>
      </c>
      <c r="Q63">
        <v>563</v>
      </c>
      <c r="R63">
        <v>62</v>
      </c>
    </row>
    <row r="64" spans="1:18">
      <c r="A64" s="1" t="s">
        <v>65</v>
      </c>
      <c r="B64">
        <v>32</v>
      </c>
      <c r="C64">
        <v>11</v>
      </c>
      <c r="D64">
        <v>21</v>
      </c>
      <c r="E64">
        <v>3.79</v>
      </c>
      <c r="F64">
        <v>2314</v>
      </c>
      <c r="G64">
        <v>811</v>
      </c>
      <c r="H64">
        <v>1941</v>
      </c>
      <c r="I64">
        <v>467</v>
      </c>
      <c r="J64">
        <v>651</v>
      </c>
      <c r="K64">
        <v>375</v>
      </c>
      <c r="L64">
        <v>1200</v>
      </c>
      <c r="M64">
        <v>409</v>
      </c>
      <c r="N64">
        <v>190</v>
      </c>
      <c r="O64">
        <v>102</v>
      </c>
      <c r="P64">
        <v>426</v>
      </c>
      <c r="Q64">
        <v>624</v>
      </c>
      <c r="R64">
        <v>63</v>
      </c>
    </row>
    <row r="65" spans="1:18">
      <c r="A65" s="1" t="s">
        <v>66</v>
      </c>
      <c r="B65">
        <v>32</v>
      </c>
      <c r="C65">
        <v>17</v>
      </c>
      <c r="D65">
        <v>15</v>
      </c>
      <c r="E65">
        <v>7</v>
      </c>
      <c r="F65">
        <v>2307</v>
      </c>
      <c r="G65">
        <v>810</v>
      </c>
      <c r="H65">
        <v>1839</v>
      </c>
      <c r="I65">
        <v>446</v>
      </c>
      <c r="J65">
        <v>612</v>
      </c>
      <c r="K65">
        <v>324</v>
      </c>
      <c r="L65">
        <v>1200</v>
      </c>
      <c r="M65">
        <v>409</v>
      </c>
      <c r="N65">
        <v>140</v>
      </c>
      <c r="O65">
        <v>122</v>
      </c>
      <c r="P65">
        <v>451</v>
      </c>
      <c r="Q65">
        <v>619</v>
      </c>
      <c r="R65">
        <v>64</v>
      </c>
    </row>
    <row r="66" spans="1:18">
      <c r="A66" s="1" t="s">
        <v>67</v>
      </c>
      <c r="B66">
        <v>27</v>
      </c>
      <c r="C66">
        <v>8</v>
      </c>
      <c r="D66">
        <v>19</v>
      </c>
      <c r="E66">
        <v>-3.02</v>
      </c>
      <c r="F66">
        <v>2062</v>
      </c>
      <c r="G66">
        <v>746</v>
      </c>
      <c r="H66">
        <v>1686</v>
      </c>
      <c r="I66">
        <v>301</v>
      </c>
      <c r="J66">
        <v>407</v>
      </c>
      <c r="K66">
        <v>277</v>
      </c>
      <c r="L66">
        <v>962</v>
      </c>
      <c r="M66">
        <v>384</v>
      </c>
      <c r="N66">
        <v>177</v>
      </c>
      <c r="O66">
        <v>93</v>
      </c>
      <c r="P66">
        <v>338</v>
      </c>
      <c r="Q66">
        <v>504</v>
      </c>
      <c r="R66">
        <v>65</v>
      </c>
    </row>
    <row r="67" spans="1:18">
      <c r="A67" s="1" t="s">
        <v>275</v>
      </c>
      <c r="B67">
        <v>32</v>
      </c>
      <c r="C67">
        <v>14</v>
      </c>
      <c r="D67">
        <v>18</v>
      </c>
      <c r="E67">
        <v>6.05</v>
      </c>
      <c r="F67">
        <v>2181</v>
      </c>
      <c r="G67">
        <v>762</v>
      </c>
      <c r="H67">
        <v>1832</v>
      </c>
      <c r="I67">
        <v>442</v>
      </c>
      <c r="J67">
        <v>593</v>
      </c>
      <c r="K67">
        <v>336</v>
      </c>
      <c r="L67">
        <v>1096</v>
      </c>
      <c r="M67">
        <v>334</v>
      </c>
      <c r="N67">
        <v>190</v>
      </c>
      <c r="O67">
        <v>119</v>
      </c>
      <c r="P67">
        <v>403</v>
      </c>
      <c r="Q67">
        <v>592</v>
      </c>
      <c r="R67">
        <v>66</v>
      </c>
    </row>
    <row r="68" spans="1:18">
      <c r="A68" s="1" t="s">
        <v>68</v>
      </c>
      <c r="B68">
        <v>32</v>
      </c>
      <c r="C68">
        <v>5</v>
      </c>
      <c r="D68">
        <v>27</v>
      </c>
      <c r="E68">
        <v>-7.25</v>
      </c>
      <c r="F68">
        <v>1945</v>
      </c>
      <c r="G68">
        <v>657</v>
      </c>
      <c r="H68">
        <v>1824</v>
      </c>
      <c r="I68">
        <v>366</v>
      </c>
      <c r="J68">
        <v>497</v>
      </c>
      <c r="K68">
        <v>273</v>
      </c>
      <c r="L68">
        <v>1082</v>
      </c>
      <c r="M68">
        <v>338</v>
      </c>
      <c r="N68">
        <v>172</v>
      </c>
      <c r="O68">
        <v>82</v>
      </c>
      <c r="P68">
        <v>462</v>
      </c>
      <c r="Q68">
        <v>649</v>
      </c>
      <c r="R68">
        <v>67</v>
      </c>
    </row>
    <row r="69" spans="1:18">
      <c r="A69" s="1" t="s">
        <v>69</v>
      </c>
      <c r="B69">
        <v>28</v>
      </c>
      <c r="C69">
        <v>12</v>
      </c>
      <c r="D69">
        <v>16</v>
      </c>
      <c r="E69">
        <v>-3.24</v>
      </c>
      <c r="F69">
        <v>2124</v>
      </c>
      <c r="G69">
        <v>744</v>
      </c>
      <c r="H69">
        <v>1613</v>
      </c>
      <c r="I69">
        <v>419</v>
      </c>
      <c r="J69">
        <v>574</v>
      </c>
      <c r="K69">
        <v>232</v>
      </c>
      <c r="L69">
        <v>961</v>
      </c>
      <c r="M69">
        <v>449</v>
      </c>
      <c r="N69">
        <v>144</v>
      </c>
      <c r="O69">
        <v>98</v>
      </c>
      <c r="P69">
        <v>376</v>
      </c>
      <c r="Q69">
        <v>499</v>
      </c>
      <c r="R69">
        <v>68</v>
      </c>
    </row>
    <row r="70" spans="1:18">
      <c r="A70" s="1" t="s">
        <v>326</v>
      </c>
      <c r="B70">
        <v>33</v>
      </c>
      <c r="C70">
        <v>21</v>
      </c>
      <c r="D70">
        <v>12</v>
      </c>
      <c r="E70">
        <v>8.1</v>
      </c>
      <c r="F70">
        <v>2756</v>
      </c>
      <c r="G70">
        <v>1008</v>
      </c>
      <c r="H70">
        <v>2050</v>
      </c>
      <c r="I70">
        <v>397</v>
      </c>
      <c r="J70">
        <v>531</v>
      </c>
      <c r="K70">
        <v>249</v>
      </c>
      <c r="L70">
        <v>1206</v>
      </c>
      <c r="M70">
        <v>588</v>
      </c>
      <c r="N70">
        <v>187</v>
      </c>
      <c r="O70">
        <v>88</v>
      </c>
      <c r="P70">
        <v>371</v>
      </c>
      <c r="Q70">
        <v>501</v>
      </c>
      <c r="R70">
        <v>69</v>
      </c>
    </row>
    <row r="71" spans="1:18">
      <c r="A71" s="1" t="s">
        <v>70</v>
      </c>
      <c r="B71">
        <v>27</v>
      </c>
      <c r="C71">
        <v>7</v>
      </c>
      <c r="D71">
        <v>20</v>
      </c>
      <c r="E71">
        <v>-4</v>
      </c>
      <c r="F71">
        <v>1841</v>
      </c>
      <c r="G71">
        <v>651</v>
      </c>
      <c r="H71">
        <v>1454</v>
      </c>
      <c r="I71">
        <v>339</v>
      </c>
      <c r="J71">
        <v>475</v>
      </c>
      <c r="K71">
        <v>208</v>
      </c>
      <c r="L71">
        <v>847</v>
      </c>
      <c r="M71">
        <v>359</v>
      </c>
      <c r="N71">
        <v>152</v>
      </c>
      <c r="O71">
        <v>86</v>
      </c>
      <c r="P71">
        <v>365</v>
      </c>
      <c r="Q71">
        <v>421</v>
      </c>
      <c r="R71">
        <v>70</v>
      </c>
    </row>
    <row r="72" spans="1:18">
      <c r="A72" s="1" t="s">
        <v>71</v>
      </c>
      <c r="B72">
        <v>33</v>
      </c>
      <c r="C72">
        <v>21</v>
      </c>
      <c r="D72">
        <v>12</v>
      </c>
      <c r="E72">
        <v>2.57</v>
      </c>
      <c r="F72">
        <v>2519</v>
      </c>
      <c r="G72">
        <v>899</v>
      </c>
      <c r="H72">
        <v>1874</v>
      </c>
      <c r="I72">
        <v>368</v>
      </c>
      <c r="J72">
        <v>461</v>
      </c>
      <c r="K72">
        <v>229</v>
      </c>
      <c r="L72">
        <v>1078</v>
      </c>
      <c r="M72">
        <v>551</v>
      </c>
      <c r="N72">
        <v>155</v>
      </c>
      <c r="O72">
        <v>65</v>
      </c>
      <c r="P72">
        <v>315</v>
      </c>
      <c r="Q72">
        <v>503</v>
      </c>
      <c r="R72">
        <v>71</v>
      </c>
    </row>
    <row r="73" spans="1:18">
      <c r="A73" s="1" t="s">
        <v>276</v>
      </c>
      <c r="B73">
        <v>31</v>
      </c>
      <c r="C73">
        <v>14</v>
      </c>
      <c r="D73">
        <v>17</v>
      </c>
      <c r="E73">
        <v>2.7</v>
      </c>
      <c r="F73">
        <v>2244</v>
      </c>
      <c r="G73">
        <v>804</v>
      </c>
      <c r="H73">
        <v>1671</v>
      </c>
      <c r="I73">
        <v>388</v>
      </c>
      <c r="J73">
        <v>531</v>
      </c>
      <c r="K73">
        <v>240</v>
      </c>
      <c r="L73">
        <v>968</v>
      </c>
      <c r="M73">
        <v>488</v>
      </c>
      <c r="N73">
        <v>162</v>
      </c>
      <c r="O73">
        <v>78</v>
      </c>
      <c r="P73">
        <v>426</v>
      </c>
      <c r="Q73">
        <v>510</v>
      </c>
      <c r="R73">
        <v>72</v>
      </c>
    </row>
    <row r="74" spans="1:18">
      <c r="A74" s="1" t="s">
        <v>72</v>
      </c>
      <c r="B74">
        <v>32</v>
      </c>
      <c r="C74">
        <v>4</v>
      </c>
      <c r="D74">
        <v>28</v>
      </c>
      <c r="E74">
        <v>-9.32</v>
      </c>
      <c r="F74">
        <v>2034</v>
      </c>
      <c r="G74">
        <v>742</v>
      </c>
      <c r="H74">
        <v>1781</v>
      </c>
      <c r="I74">
        <v>358</v>
      </c>
      <c r="J74">
        <v>516</v>
      </c>
      <c r="K74">
        <v>340</v>
      </c>
      <c r="L74">
        <v>1066</v>
      </c>
      <c r="M74">
        <v>348</v>
      </c>
      <c r="N74">
        <v>189</v>
      </c>
      <c r="O74">
        <v>83</v>
      </c>
      <c r="P74">
        <v>489</v>
      </c>
      <c r="Q74">
        <v>560</v>
      </c>
      <c r="R74">
        <v>73</v>
      </c>
    </row>
    <row r="75" spans="1:18">
      <c r="A75" s="1" t="s">
        <v>73</v>
      </c>
      <c r="B75">
        <v>33</v>
      </c>
      <c r="C75">
        <v>14</v>
      </c>
      <c r="D75">
        <v>19</v>
      </c>
      <c r="E75">
        <v>-2.96</v>
      </c>
      <c r="F75">
        <v>2338</v>
      </c>
      <c r="G75">
        <v>859</v>
      </c>
      <c r="H75">
        <v>1880</v>
      </c>
      <c r="I75">
        <v>428</v>
      </c>
      <c r="J75">
        <v>657</v>
      </c>
      <c r="K75">
        <v>314</v>
      </c>
      <c r="L75">
        <v>1150</v>
      </c>
      <c r="M75">
        <v>386</v>
      </c>
      <c r="N75">
        <v>164</v>
      </c>
      <c r="O75">
        <v>75</v>
      </c>
      <c r="P75">
        <v>354</v>
      </c>
      <c r="Q75">
        <v>554</v>
      </c>
      <c r="R75">
        <v>74</v>
      </c>
    </row>
    <row r="76" spans="1:18">
      <c r="A76" s="1" t="s">
        <v>74</v>
      </c>
      <c r="B76">
        <v>30</v>
      </c>
      <c r="C76">
        <v>15</v>
      </c>
      <c r="D76">
        <v>15</v>
      </c>
      <c r="E76">
        <v>-2.54</v>
      </c>
      <c r="F76">
        <v>2192</v>
      </c>
      <c r="G76">
        <v>803</v>
      </c>
      <c r="H76">
        <v>1699</v>
      </c>
      <c r="I76">
        <v>375</v>
      </c>
      <c r="J76">
        <v>540</v>
      </c>
      <c r="K76">
        <v>311</v>
      </c>
      <c r="L76">
        <v>1107</v>
      </c>
      <c r="M76">
        <v>452</v>
      </c>
      <c r="N76">
        <v>129</v>
      </c>
      <c r="O76">
        <v>72</v>
      </c>
      <c r="P76">
        <v>451</v>
      </c>
      <c r="Q76">
        <v>561</v>
      </c>
      <c r="R76">
        <v>75</v>
      </c>
    </row>
    <row r="77" spans="1:18">
      <c r="A77" s="1" t="s">
        <v>277</v>
      </c>
      <c r="B77">
        <v>31</v>
      </c>
      <c r="C77">
        <v>11</v>
      </c>
      <c r="D77">
        <v>20</v>
      </c>
      <c r="E77">
        <v>8.4499999999999993</v>
      </c>
      <c r="F77">
        <v>2230</v>
      </c>
      <c r="G77">
        <v>819</v>
      </c>
      <c r="H77">
        <v>1912</v>
      </c>
      <c r="I77">
        <v>398</v>
      </c>
      <c r="J77">
        <v>562</v>
      </c>
      <c r="K77">
        <v>383</v>
      </c>
      <c r="L77">
        <v>1160</v>
      </c>
      <c r="M77">
        <v>465</v>
      </c>
      <c r="N77">
        <v>200</v>
      </c>
      <c r="O77">
        <v>94</v>
      </c>
      <c r="P77">
        <v>430</v>
      </c>
      <c r="Q77">
        <v>553</v>
      </c>
      <c r="R77">
        <v>76</v>
      </c>
    </row>
    <row r="78" spans="1:18">
      <c r="A78" s="1" t="s">
        <v>75</v>
      </c>
      <c r="B78">
        <v>32</v>
      </c>
      <c r="C78">
        <v>8</v>
      </c>
      <c r="D78">
        <v>24</v>
      </c>
      <c r="E78">
        <v>-2.0699999999999998</v>
      </c>
      <c r="F78">
        <v>2516</v>
      </c>
      <c r="G78">
        <v>883</v>
      </c>
      <c r="H78">
        <v>2031</v>
      </c>
      <c r="I78">
        <v>469</v>
      </c>
      <c r="J78">
        <v>621</v>
      </c>
      <c r="K78">
        <v>337</v>
      </c>
      <c r="L78">
        <v>1114</v>
      </c>
      <c r="M78">
        <v>437</v>
      </c>
      <c r="N78">
        <v>212</v>
      </c>
      <c r="O78">
        <v>88</v>
      </c>
      <c r="P78">
        <v>435</v>
      </c>
      <c r="Q78">
        <v>649</v>
      </c>
      <c r="R78">
        <v>77</v>
      </c>
    </row>
    <row r="79" spans="1:18">
      <c r="A79" s="1" t="s">
        <v>76</v>
      </c>
      <c r="B79">
        <v>34</v>
      </c>
      <c r="C79">
        <v>17</v>
      </c>
      <c r="D79">
        <v>17</v>
      </c>
      <c r="E79">
        <v>0.59</v>
      </c>
      <c r="F79">
        <v>2506</v>
      </c>
      <c r="G79">
        <v>862</v>
      </c>
      <c r="H79">
        <v>1972</v>
      </c>
      <c r="I79">
        <v>493</v>
      </c>
      <c r="J79">
        <v>640</v>
      </c>
      <c r="K79">
        <v>279</v>
      </c>
      <c r="L79">
        <v>1158</v>
      </c>
      <c r="M79">
        <v>504</v>
      </c>
      <c r="N79">
        <v>204</v>
      </c>
      <c r="O79">
        <v>86</v>
      </c>
      <c r="P79">
        <v>412</v>
      </c>
      <c r="Q79">
        <v>530</v>
      </c>
      <c r="R79">
        <v>78</v>
      </c>
    </row>
    <row r="80" spans="1:18">
      <c r="A80" s="1" t="s">
        <v>77</v>
      </c>
      <c r="B80">
        <v>33</v>
      </c>
      <c r="C80">
        <v>13</v>
      </c>
      <c r="D80">
        <v>20</v>
      </c>
      <c r="E80">
        <v>-2.48</v>
      </c>
      <c r="F80">
        <v>2454</v>
      </c>
      <c r="G80">
        <v>880</v>
      </c>
      <c r="H80">
        <v>1994</v>
      </c>
      <c r="I80">
        <v>467</v>
      </c>
      <c r="J80">
        <v>646</v>
      </c>
      <c r="K80">
        <v>369</v>
      </c>
      <c r="L80">
        <v>1197</v>
      </c>
      <c r="M80">
        <v>380</v>
      </c>
      <c r="N80">
        <v>176</v>
      </c>
      <c r="O80">
        <v>138</v>
      </c>
      <c r="P80">
        <v>409</v>
      </c>
      <c r="Q80">
        <v>583</v>
      </c>
      <c r="R80">
        <v>79</v>
      </c>
    </row>
    <row r="81" spans="1:18">
      <c r="A81" s="1" t="s">
        <v>373</v>
      </c>
      <c r="B81">
        <v>37</v>
      </c>
      <c r="C81">
        <v>29</v>
      </c>
      <c r="D81">
        <v>8</v>
      </c>
      <c r="E81">
        <v>9.7100000000000009</v>
      </c>
      <c r="F81">
        <v>3121</v>
      </c>
      <c r="G81">
        <v>1125</v>
      </c>
      <c r="H81">
        <v>2288</v>
      </c>
      <c r="I81">
        <v>562</v>
      </c>
      <c r="J81">
        <v>791</v>
      </c>
      <c r="K81">
        <v>496</v>
      </c>
      <c r="L81">
        <v>1519</v>
      </c>
      <c r="M81">
        <v>648</v>
      </c>
      <c r="N81">
        <v>275</v>
      </c>
      <c r="O81">
        <v>185</v>
      </c>
      <c r="P81">
        <v>460</v>
      </c>
      <c r="Q81">
        <v>574</v>
      </c>
      <c r="R81">
        <v>80</v>
      </c>
    </row>
    <row r="82" spans="1:18">
      <c r="A82" s="1" t="s">
        <v>78</v>
      </c>
      <c r="B82">
        <v>32</v>
      </c>
      <c r="C82">
        <v>16</v>
      </c>
      <c r="D82">
        <v>16</v>
      </c>
      <c r="E82">
        <v>-3.33</v>
      </c>
      <c r="F82">
        <v>2317</v>
      </c>
      <c r="G82">
        <v>801</v>
      </c>
      <c r="H82">
        <v>1874</v>
      </c>
      <c r="I82">
        <v>454</v>
      </c>
      <c r="J82">
        <v>663</v>
      </c>
      <c r="K82">
        <v>387</v>
      </c>
      <c r="L82">
        <v>1148</v>
      </c>
      <c r="M82">
        <v>382</v>
      </c>
      <c r="N82">
        <v>186</v>
      </c>
      <c r="O82">
        <v>140</v>
      </c>
      <c r="P82">
        <v>383</v>
      </c>
      <c r="Q82">
        <v>598</v>
      </c>
      <c r="R82">
        <v>81</v>
      </c>
    </row>
    <row r="83" spans="1:18">
      <c r="A83" s="1" t="s">
        <v>79</v>
      </c>
      <c r="B83">
        <v>30</v>
      </c>
      <c r="C83">
        <v>10</v>
      </c>
      <c r="D83">
        <v>20</v>
      </c>
      <c r="E83">
        <v>-0.22</v>
      </c>
      <c r="F83">
        <v>1993</v>
      </c>
      <c r="G83">
        <v>741</v>
      </c>
      <c r="H83">
        <v>1723</v>
      </c>
      <c r="I83">
        <v>329</v>
      </c>
      <c r="J83">
        <v>494</v>
      </c>
      <c r="K83">
        <v>292</v>
      </c>
      <c r="L83">
        <v>1020</v>
      </c>
      <c r="M83">
        <v>388</v>
      </c>
      <c r="N83">
        <v>148</v>
      </c>
      <c r="O83">
        <v>93</v>
      </c>
      <c r="P83">
        <v>431</v>
      </c>
      <c r="Q83">
        <v>530</v>
      </c>
      <c r="R83">
        <v>82</v>
      </c>
    </row>
    <row r="84" spans="1:18">
      <c r="A84" s="1" t="s">
        <v>80</v>
      </c>
      <c r="B84">
        <v>34</v>
      </c>
      <c r="C84">
        <v>25</v>
      </c>
      <c r="D84">
        <v>9</v>
      </c>
      <c r="E84">
        <v>-4.09</v>
      </c>
      <c r="F84">
        <v>2556</v>
      </c>
      <c r="G84">
        <v>926</v>
      </c>
      <c r="H84">
        <v>1957</v>
      </c>
      <c r="I84">
        <v>460</v>
      </c>
      <c r="J84">
        <v>648</v>
      </c>
      <c r="K84">
        <v>352</v>
      </c>
      <c r="L84">
        <v>1265</v>
      </c>
      <c r="M84">
        <v>500</v>
      </c>
      <c r="N84">
        <v>265</v>
      </c>
      <c r="O84">
        <v>146</v>
      </c>
      <c r="P84">
        <v>454</v>
      </c>
      <c r="Q84">
        <v>613</v>
      </c>
      <c r="R84">
        <v>83</v>
      </c>
    </row>
    <row r="85" spans="1:18">
      <c r="A85" s="1" t="s">
        <v>81</v>
      </c>
      <c r="B85">
        <v>31</v>
      </c>
      <c r="C85">
        <v>12</v>
      </c>
      <c r="D85">
        <v>19</v>
      </c>
      <c r="E85">
        <v>-3.4</v>
      </c>
      <c r="F85">
        <v>2065</v>
      </c>
      <c r="G85">
        <v>732</v>
      </c>
      <c r="H85">
        <v>1726</v>
      </c>
      <c r="I85">
        <v>377</v>
      </c>
      <c r="J85">
        <v>551</v>
      </c>
      <c r="K85">
        <v>332</v>
      </c>
      <c r="L85">
        <v>1064</v>
      </c>
      <c r="M85">
        <v>392</v>
      </c>
      <c r="N85">
        <v>182</v>
      </c>
      <c r="O85">
        <v>138</v>
      </c>
      <c r="P85">
        <v>417</v>
      </c>
      <c r="Q85">
        <v>509</v>
      </c>
      <c r="R85">
        <v>84</v>
      </c>
    </row>
    <row r="86" spans="1:18">
      <c r="A86" s="1" t="s">
        <v>82</v>
      </c>
      <c r="B86">
        <v>31</v>
      </c>
      <c r="C86">
        <v>11</v>
      </c>
      <c r="D86">
        <v>20</v>
      </c>
      <c r="E86">
        <v>-3.68</v>
      </c>
      <c r="F86">
        <v>2230</v>
      </c>
      <c r="G86">
        <v>778</v>
      </c>
      <c r="H86">
        <v>1779</v>
      </c>
      <c r="I86">
        <v>448</v>
      </c>
      <c r="J86">
        <v>600</v>
      </c>
      <c r="K86">
        <v>297</v>
      </c>
      <c r="L86">
        <v>1022</v>
      </c>
      <c r="M86">
        <v>405</v>
      </c>
      <c r="N86">
        <v>193</v>
      </c>
      <c r="O86">
        <v>113</v>
      </c>
      <c r="P86">
        <v>401</v>
      </c>
      <c r="Q86">
        <v>542</v>
      </c>
      <c r="R86">
        <v>85</v>
      </c>
    </row>
    <row r="87" spans="1:18">
      <c r="A87" s="1" t="s">
        <v>83</v>
      </c>
      <c r="B87">
        <v>35</v>
      </c>
      <c r="C87">
        <v>22</v>
      </c>
      <c r="D87">
        <v>13</v>
      </c>
      <c r="E87">
        <v>-2.81</v>
      </c>
      <c r="F87">
        <v>2509</v>
      </c>
      <c r="G87">
        <v>933</v>
      </c>
      <c r="H87">
        <v>2010</v>
      </c>
      <c r="I87">
        <v>409</v>
      </c>
      <c r="J87">
        <v>599</v>
      </c>
      <c r="K87">
        <v>357</v>
      </c>
      <c r="L87">
        <v>1230</v>
      </c>
      <c r="M87">
        <v>450</v>
      </c>
      <c r="N87">
        <v>303</v>
      </c>
      <c r="O87">
        <v>227</v>
      </c>
      <c r="P87">
        <v>447</v>
      </c>
      <c r="Q87">
        <v>559</v>
      </c>
      <c r="R87">
        <v>86</v>
      </c>
    </row>
    <row r="88" spans="1:18">
      <c r="A88" s="1" t="s">
        <v>84</v>
      </c>
      <c r="B88">
        <v>35</v>
      </c>
      <c r="C88">
        <v>20</v>
      </c>
      <c r="D88">
        <v>15</v>
      </c>
      <c r="E88">
        <v>-1.55</v>
      </c>
      <c r="F88">
        <v>2619</v>
      </c>
      <c r="G88">
        <v>936</v>
      </c>
      <c r="H88">
        <v>2017</v>
      </c>
      <c r="I88">
        <v>437</v>
      </c>
      <c r="J88">
        <v>572</v>
      </c>
      <c r="K88">
        <v>258</v>
      </c>
      <c r="L88">
        <v>1163</v>
      </c>
      <c r="M88">
        <v>440</v>
      </c>
      <c r="N88">
        <v>185</v>
      </c>
      <c r="O88">
        <v>106</v>
      </c>
      <c r="P88">
        <v>402</v>
      </c>
      <c r="Q88">
        <v>667</v>
      </c>
      <c r="R88">
        <v>87</v>
      </c>
    </row>
    <row r="89" spans="1:18">
      <c r="A89" s="1" t="s">
        <v>85</v>
      </c>
      <c r="B89">
        <v>32</v>
      </c>
      <c r="C89">
        <v>14</v>
      </c>
      <c r="D89">
        <v>18</v>
      </c>
      <c r="E89">
        <v>-1.69</v>
      </c>
      <c r="F89">
        <v>2346</v>
      </c>
      <c r="G89">
        <v>842</v>
      </c>
      <c r="H89">
        <v>1916</v>
      </c>
      <c r="I89">
        <v>325</v>
      </c>
      <c r="J89">
        <v>457</v>
      </c>
      <c r="K89">
        <v>258</v>
      </c>
      <c r="L89">
        <v>1140</v>
      </c>
      <c r="M89">
        <v>507</v>
      </c>
      <c r="N89">
        <v>140</v>
      </c>
      <c r="O89">
        <v>66</v>
      </c>
      <c r="P89">
        <v>373</v>
      </c>
      <c r="Q89">
        <v>494</v>
      </c>
      <c r="R89">
        <v>88</v>
      </c>
    </row>
    <row r="90" spans="1:18">
      <c r="A90" s="1" t="s">
        <v>86</v>
      </c>
      <c r="B90">
        <v>32</v>
      </c>
      <c r="C90">
        <v>17</v>
      </c>
      <c r="D90">
        <v>15</v>
      </c>
      <c r="E90">
        <v>1.35</v>
      </c>
      <c r="F90">
        <v>2094</v>
      </c>
      <c r="G90">
        <v>731</v>
      </c>
      <c r="H90">
        <v>1652</v>
      </c>
      <c r="I90">
        <v>448</v>
      </c>
      <c r="J90">
        <v>578</v>
      </c>
      <c r="K90">
        <v>247</v>
      </c>
      <c r="L90">
        <v>1058</v>
      </c>
      <c r="M90">
        <v>417</v>
      </c>
      <c r="N90">
        <v>190</v>
      </c>
      <c r="O90">
        <v>92</v>
      </c>
      <c r="P90">
        <v>431</v>
      </c>
      <c r="Q90">
        <v>568</v>
      </c>
      <c r="R90">
        <v>89</v>
      </c>
    </row>
    <row r="91" spans="1:18">
      <c r="A91" s="1" t="s">
        <v>87</v>
      </c>
      <c r="B91">
        <v>33</v>
      </c>
      <c r="C91">
        <v>17</v>
      </c>
      <c r="D91">
        <v>16</v>
      </c>
      <c r="E91">
        <v>-3.68</v>
      </c>
      <c r="F91">
        <v>2506</v>
      </c>
      <c r="G91">
        <v>881</v>
      </c>
      <c r="H91">
        <v>2009</v>
      </c>
      <c r="I91">
        <v>441</v>
      </c>
      <c r="J91">
        <v>621</v>
      </c>
      <c r="K91">
        <v>299</v>
      </c>
      <c r="L91">
        <v>1159</v>
      </c>
      <c r="M91">
        <v>487</v>
      </c>
      <c r="N91">
        <v>211</v>
      </c>
      <c r="O91">
        <v>95</v>
      </c>
      <c r="P91">
        <v>421</v>
      </c>
      <c r="Q91">
        <v>663</v>
      </c>
      <c r="R91">
        <v>90</v>
      </c>
    </row>
    <row r="92" spans="1:18">
      <c r="A92" s="1" t="s">
        <v>88</v>
      </c>
      <c r="B92">
        <v>31</v>
      </c>
      <c r="C92">
        <v>13</v>
      </c>
      <c r="D92">
        <v>18</v>
      </c>
      <c r="E92">
        <v>-5.66</v>
      </c>
      <c r="F92">
        <v>2313</v>
      </c>
      <c r="G92">
        <v>842</v>
      </c>
      <c r="H92">
        <v>1868</v>
      </c>
      <c r="I92">
        <v>416</v>
      </c>
      <c r="J92">
        <v>573</v>
      </c>
      <c r="K92">
        <v>339</v>
      </c>
      <c r="L92">
        <v>1067</v>
      </c>
      <c r="M92">
        <v>416</v>
      </c>
      <c r="N92">
        <v>220</v>
      </c>
      <c r="O92">
        <v>100</v>
      </c>
      <c r="P92">
        <v>426</v>
      </c>
      <c r="Q92">
        <v>561</v>
      </c>
      <c r="R92">
        <v>91</v>
      </c>
    </row>
    <row r="93" spans="1:18">
      <c r="A93" s="1" t="s">
        <v>89</v>
      </c>
      <c r="B93">
        <v>34</v>
      </c>
      <c r="C93">
        <v>9</v>
      </c>
      <c r="D93">
        <v>25</v>
      </c>
      <c r="E93">
        <v>-8.34</v>
      </c>
      <c r="F93">
        <v>2343</v>
      </c>
      <c r="G93">
        <v>831</v>
      </c>
      <c r="H93">
        <v>1981</v>
      </c>
      <c r="I93">
        <v>464</v>
      </c>
      <c r="J93">
        <v>641</v>
      </c>
      <c r="K93">
        <v>348</v>
      </c>
      <c r="L93">
        <v>1094</v>
      </c>
      <c r="M93">
        <v>370</v>
      </c>
      <c r="N93">
        <v>194</v>
      </c>
      <c r="O93">
        <v>104</v>
      </c>
      <c r="P93">
        <v>471</v>
      </c>
      <c r="Q93">
        <v>612</v>
      </c>
      <c r="R93">
        <v>92</v>
      </c>
    </row>
    <row r="94" spans="1:18">
      <c r="A94" s="1" t="s">
        <v>90</v>
      </c>
      <c r="B94">
        <v>31</v>
      </c>
      <c r="C94">
        <v>12</v>
      </c>
      <c r="D94">
        <v>19</v>
      </c>
      <c r="E94">
        <v>-0.14000000000000001</v>
      </c>
      <c r="F94">
        <v>2155</v>
      </c>
      <c r="G94">
        <v>790</v>
      </c>
      <c r="H94">
        <v>1929</v>
      </c>
      <c r="I94">
        <v>396</v>
      </c>
      <c r="J94">
        <v>536</v>
      </c>
      <c r="K94">
        <v>357</v>
      </c>
      <c r="L94">
        <v>1194</v>
      </c>
      <c r="M94">
        <v>376</v>
      </c>
      <c r="N94">
        <v>182</v>
      </c>
      <c r="O94">
        <v>124</v>
      </c>
      <c r="P94">
        <v>393</v>
      </c>
      <c r="Q94">
        <v>557</v>
      </c>
      <c r="R94">
        <v>93</v>
      </c>
    </row>
    <row r="95" spans="1:18">
      <c r="A95" s="1" t="s">
        <v>346</v>
      </c>
      <c r="B95">
        <v>35</v>
      </c>
      <c r="C95">
        <v>23</v>
      </c>
      <c r="D95">
        <v>12</v>
      </c>
      <c r="E95">
        <v>-5.44</v>
      </c>
      <c r="F95">
        <v>2847</v>
      </c>
      <c r="G95">
        <v>1045</v>
      </c>
      <c r="H95">
        <v>2117</v>
      </c>
      <c r="I95">
        <v>503</v>
      </c>
      <c r="J95">
        <v>680</v>
      </c>
      <c r="K95">
        <v>368</v>
      </c>
      <c r="L95">
        <v>1338</v>
      </c>
      <c r="M95">
        <v>535</v>
      </c>
      <c r="N95">
        <v>256</v>
      </c>
      <c r="O95">
        <v>97</v>
      </c>
      <c r="P95">
        <v>494</v>
      </c>
      <c r="Q95">
        <v>653</v>
      </c>
      <c r="R95">
        <v>94</v>
      </c>
    </row>
    <row r="96" spans="1:18">
      <c r="A96" s="1" t="s">
        <v>91</v>
      </c>
      <c r="B96">
        <v>32</v>
      </c>
      <c r="C96">
        <v>14</v>
      </c>
      <c r="D96">
        <v>18</v>
      </c>
      <c r="E96">
        <v>-1.99</v>
      </c>
      <c r="F96">
        <v>2262</v>
      </c>
      <c r="G96">
        <v>815</v>
      </c>
      <c r="H96">
        <v>1912</v>
      </c>
      <c r="I96">
        <v>429</v>
      </c>
      <c r="J96">
        <v>704</v>
      </c>
      <c r="K96">
        <v>319</v>
      </c>
      <c r="L96">
        <v>1150</v>
      </c>
      <c r="M96">
        <v>378</v>
      </c>
      <c r="N96">
        <v>242</v>
      </c>
      <c r="O96">
        <v>102</v>
      </c>
      <c r="P96">
        <v>354</v>
      </c>
      <c r="Q96">
        <v>585</v>
      </c>
      <c r="R96">
        <v>95</v>
      </c>
    </row>
    <row r="97" spans="1:18">
      <c r="A97" s="1" t="s">
        <v>92</v>
      </c>
      <c r="B97">
        <v>35</v>
      </c>
      <c r="C97">
        <v>23</v>
      </c>
      <c r="D97">
        <v>12</v>
      </c>
      <c r="E97">
        <v>8.5</v>
      </c>
      <c r="F97">
        <v>2806</v>
      </c>
      <c r="G97">
        <v>994</v>
      </c>
      <c r="H97">
        <v>2125</v>
      </c>
      <c r="I97">
        <v>543</v>
      </c>
      <c r="J97">
        <v>786</v>
      </c>
      <c r="K97">
        <v>398</v>
      </c>
      <c r="L97">
        <v>1322</v>
      </c>
      <c r="M97">
        <v>523</v>
      </c>
      <c r="N97">
        <v>241</v>
      </c>
      <c r="O97">
        <v>186</v>
      </c>
      <c r="P97">
        <v>456</v>
      </c>
      <c r="Q97">
        <v>652</v>
      </c>
      <c r="R97">
        <v>96</v>
      </c>
    </row>
    <row r="98" spans="1:18">
      <c r="A98" s="1" t="s">
        <v>347</v>
      </c>
      <c r="B98">
        <v>34</v>
      </c>
      <c r="C98">
        <v>21</v>
      </c>
      <c r="D98">
        <v>13</v>
      </c>
      <c r="E98">
        <v>10.08</v>
      </c>
      <c r="F98">
        <v>2577</v>
      </c>
      <c r="G98">
        <v>893</v>
      </c>
      <c r="H98">
        <v>2065</v>
      </c>
      <c r="I98">
        <v>483</v>
      </c>
      <c r="J98">
        <v>673</v>
      </c>
      <c r="K98">
        <v>367</v>
      </c>
      <c r="L98">
        <v>1198</v>
      </c>
      <c r="M98">
        <v>445</v>
      </c>
      <c r="N98">
        <v>237</v>
      </c>
      <c r="O98">
        <v>164</v>
      </c>
      <c r="P98">
        <v>335</v>
      </c>
      <c r="Q98">
        <v>591</v>
      </c>
      <c r="R98">
        <v>97</v>
      </c>
    </row>
    <row r="99" spans="1:18">
      <c r="A99" s="1" t="s">
        <v>93</v>
      </c>
      <c r="B99">
        <v>31</v>
      </c>
      <c r="C99">
        <v>9</v>
      </c>
      <c r="D99">
        <v>22</v>
      </c>
      <c r="E99">
        <v>1.26</v>
      </c>
      <c r="F99">
        <v>1931</v>
      </c>
      <c r="G99">
        <v>692</v>
      </c>
      <c r="H99">
        <v>1680</v>
      </c>
      <c r="I99">
        <v>320</v>
      </c>
      <c r="J99">
        <v>452</v>
      </c>
      <c r="K99">
        <v>199</v>
      </c>
      <c r="L99">
        <v>884</v>
      </c>
      <c r="M99">
        <v>419</v>
      </c>
      <c r="N99">
        <v>283</v>
      </c>
      <c r="O99">
        <v>74</v>
      </c>
      <c r="P99">
        <v>386</v>
      </c>
      <c r="Q99">
        <v>491</v>
      </c>
      <c r="R99">
        <v>98</v>
      </c>
    </row>
    <row r="100" spans="1:18">
      <c r="A100" s="1" t="s">
        <v>306</v>
      </c>
      <c r="B100">
        <v>32</v>
      </c>
      <c r="C100">
        <v>21</v>
      </c>
      <c r="D100">
        <v>11</v>
      </c>
      <c r="E100">
        <v>1.84</v>
      </c>
      <c r="F100">
        <v>2459</v>
      </c>
      <c r="G100">
        <v>885</v>
      </c>
      <c r="H100">
        <v>1805</v>
      </c>
      <c r="I100">
        <v>473</v>
      </c>
      <c r="J100">
        <v>682</v>
      </c>
      <c r="K100">
        <v>293</v>
      </c>
      <c r="L100">
        <v>1082</v>
      </c>
      <c r="M100">
        <v>415</v>
      </c>
      <c r="N100">
        <v>217</v>
      </c>
      <c r="O100">
        <v>104</v>
      </c>
      <c r="P100">
        <v>384</v>
      </c>
      <c r="Q100">
        <v>626</v>
      </c>
      <c r="R100">
        <v>99</v>
      </c>
    </row>
    <row r="101" spans="1:18">
      <c r="A101" s="1" t="s">
        <v>94</v>
      </c>
      <c r="B101">
        <v>33</v>
      </c>
      <c r="C101">
        <v>23</v>
      </c>
      <c r="D101">
        <v>10</v>
      </c>
      <c r="E101">
        <v>-3.64</v>
      </c>
      <c r="F101">
        <v>2619</v>
      </c>
      <c r="G101">
        <v>942</v>
      </c>
      <c r="H101">
        <v>2006</v>
      </c>
      <c r="I101">
        <v>397</v>
      </c>
      <c r="J101">
        <v>557</v>
      </c>
      <c r="K101">
        <v>317</v>
      </c>
      <c r="L101">
        <v>1157</v>
      </c>
      <c r="M101">
        <v>526</v>
      </c>
      <c r="N101">
        <v>265</v>
      </c>
      <c r="O101">
        <v>72</v>
      </c>
      <c r="P101">
        <v>382</v>
      </c>
      <c r="Q101">
        <v>531</v>
      </c>
      <c r="R101">
        <v>100</v>
      </c>
    </row>
    <row r="102" spans="1:18">
      <c r="A102" s="1" t="s">
        <v>318</v>
      </c>
      <c r="B102">
        <v>32</v>
      </c>
      <c r="C102">
        <v>14</v>
      </c>
      <c r="D102">
        <v>18</v>
      </c>
      <c r="E102">
        <v>-3.79</v>
      </c>
      <c r="F102">
        <v>2258</v>
      </c>
      <c r="G102">
        <v>822</v>
      </c>
      <c r="H102">
        <v>1850</v>
      </c>
      <c r="I102">
        <v>378</v>
      </c>
      <c r="J102">
        <v>526</v>
      </c>
      <c r="K102">
        <v>300</v>
      </c>
      <c r="L102">
        <v>1141</v>
      </c>
      <c r="M102">
        <v>415</v>
      </c>
      <c r="N102">
        <v>195</v>
      </c>
      <c r="O102">
        <v>92</v>
      </c>
      <c r="P102">
        <v>437</v>
      </c>
      <c r="Q102">
        <v>568</v>
      </c>
      <c r="R102">
        <v>101</v>
      </c>
    </row>
    <row r="103" spans="1:18">
      <c r="A103" s="1" t="s">
        <v>95</v>
      </c>
      <c r="B103">
        <v>33</v>
      </c>
      <c r="C103">
        <v>16</v>
      </c>
      <c r="D103">
        <v>17</v>
      </c>
      <c r="E103">
        <v>0.83</v>
      </c>
      <c r="F103">
        <v>2371</v>
      </c>
      <c r="G103">
        <v>841</v>
      </c>
      <c r="H103">
        <v>1949</v>
      </c>
      <c r="I103">
        <v>459</v>
      </c>
      <c r="J103">
        <v>619</v>
      </c>
      <c r="K103">
        <v>329</v>
      </c>
      <c r="L103">
        <v>1213</v>
      </c>
      <c r="M103">
        <v>378</v>
      </c>
      <c r="N103">
        <v>200</v>
      </c>
      <c r="O103">
        <v>96</v>
      </c>
      <c r="P103">
        <v>425</v>
      </c>
      <c r="Q103">
        <v>541</v>
      </c>
      <c r="R103">
        <v>102</v>
      </c>
    </row>
    <row r="104" spans="1:18">
      <c r="A104" s="1" t="s">
        <v>96</v>
      </c>
      <c r="B104">
        <v>33</v>
      </c>
      <c r="C104">
        <v>15</v>
      </c>
      <c r="D104">
        <v>18</v>
      </c>
      <c r="E104">
        <v>2.13</v>
      </c>
      <c r="F104">
        <v>2225</v>
      </c>
      <c r="G104">
        <v>832</v>
      </c>
      <c r="H104">
        <v>1861</v>
      </c>
      <c r="I104">
        <v>381</v>
      </c>
      <c r="J104">
        <v>537</v>
      </c>
      <c r="K104">
        <v>350</v>
      </c>
      <c r="L104">
        <v>1120</v>
      </c>
      <c r="M104">
        <v>440</v>
      </c>
      <c r="N104">
        <v>189</v>
      </c>
      <c r="O104">
        <v>163</v>
      </c>
      <c r="P104">
        <v>419</v>
      </c>
      <c r="Q104">
        <v>486</v>
      </c>
      <c r="R104">
        <v>103</v>
      </c>
    </row>
    <row r="105" spans="1:18">
      <c r="A105" s="1" t="s">
        <v>97</v>
      </c>
      <c r="B105">
        <v>30</v>
      </c>
      <c r="C105">
        <v>15</v>
      </c>
      <c r="D105">
        <v>15</v>
      </c>
      <c r="E105">
        <v>5.29</v>
      </c>
      <c r="F105">
        <v>2350</v>
      </c>
      <c r="G105">
        <v>800</v>
      </c>
      <c r="H105">
        <v>1763</v>
      </c>
      <c r="I105">
        <v>524</v>
      </c>
      <c r="J105">
        <v>676</v>
      </c>
      <c r="K105">
        <v>327</v>
      </c>
      <c r="L105">
        <v>1151</v>
      </c>
      <c r="M105">
        <v>522</v>
      </c>
      <c r="N105">
        <v>164</v>
      </c>
      <c r="O105">
        <v>110</v>
      </c>
      <c r="P105">
        <v>458</v>
      </c>
      <c r="Q105">
        <v>531</v>
      </c>
      <c r="R105">
        <v>104</v>
      </c>
    </row>
    <row r="106" spans="1:18">
      <c r="A106" s="1" t="s">
        <v>98</v>
      </c>
      <c r="B106">
        <v>33</v>
      </c>
      <c r="C106">
        <v>21</v>
      </c>
      <c r="D106">
        <v>12</v>
      </c>
      <c r="E106">
        <v>-3.28</v>
      </c>
      <c r="F106">
        <v>2504</v>
      </c>
      <c r="G106">
        <v>857</v>
      </c>
      <c r="H106">
        <v>1992</v>
      </c>
      <c r="I106">
        <v>523</v>
      </c>
      <c r="J106">
        <v>789</v>
      </c>
      <c r="K106">
        <v>401</v>
      </c>
      <c r="L106">
        <v>1248</v>
      </c>
      <c r="M106">
        <v>333</v>
      </c>
      <c r="N106">
        <v>227</v>
      </c>
      <c r="O106">
        <v>120</v>
      </c>
      <c r="P106">
        <v>372</v>
      </c>
      <c r="Q106">
        <v>633</v>
      </c>
      <c r="R106">
        <v>105</v>
      </c>
    </row>
    <row r="107" spans="1:18">
      <c r="A107" s="1" t="s">
        <v>99</v>
      </c>
      <c r="B107">
        <v>35</v>
      </c>
      <c r="C107">
        <v>24</v>
      </c>
      <c r="D107">
        <v>11</v>
      </c>
      <c r="E107">
        <v>-2.78</v>
      </c>
      <c r="F107">
        <v>2614</v>
      </c>
      <c r="G107">
        <v>937</v>
      </c>
      <c r="H107">
        <v>2033</v>
      </c>
      <c r="I107">
        <v>417</v>
      </c>
      <c r="J107">
        <v>615</v>
      </c>
      <c r="K107">
        <v>309</v>
      </c>
      <c r="L107">
        <v>1182</v>
      </c>
      <c r="M107">
        <v>455</v>
      </c>
      <c r="N107">
        <v>256</v>
      </c>
      <c r="O107">
        <v>160</v>
      </c>
      <c r="P107">
        <v>395</v>
      </c>
      <c r="Q107">
        <v>639</v>
      </c>
      <c r="R107">
        <v>106</v>
      </c>
    </row>
    <row r="108" spans="1:18">
      <c r="A108" s="1" t="s">
        <v>100</v>
      </c>
      <c r="B108">
        <v>32</v>
      </c>
      <c r="C108">
        <v>13</v>
      </c>
      <c r="D108">
        <v>19</v>
      </c>
      <c r="E108">
        <v>7.47</v>
      </c>
      <c r="F108">
        <v>2101</v>
      </c>
      <c r="G108">
        <v>753</v>
      </c>
      <c r="H108">
        <v>1770</v>
      </c>
      <c r="I108">
        <v>439</v>
      </c>
      <c r="J108">
        <v>616</v>
      </c>
      <c r="K108">
        <v>334</v>
      </c>
      <c r="L108">
        <v>1084</v>
      </c>
      <c r="M108">
        <v>409</v>
      </c>
      <c r="N108">
        <v>221</v>
      </c>
      <c r="O108">
        <v>171</v>
      </c>
      <c r="P108">
        <v>411</v>
      </c>
      <c r="Q108">
        <v>533</v>
      </c>
      <c r="R108">
        <v>107</v>
      </c>
    </row>
    <row r="109" spans="1:18">
      <c r="A109" s="1" t="s">
        <v>101</v>
      </c>
      <c r="B109">
        <v>33</v>
      </c>
      <c r="C109">
        <v>18</v>
      </c>
      <c r="D109">
        <v>15</v>
      </c>
      <c r="E109">
        <v>8.8699999999999992</v>
      </c>
      <c r="F109">
        <v>2247</v>
      </c>
      <c r="G109">
        <v>767</v>
      </c>
      <c r="H109">
        <v>1825</v>
      </c>
      <c r="I109">
        <v>512</v>
      </c>
      <c r="J109">
        <v>732</v>
      </c>
      <c r="K109">
        <v>406</v>
      </c>
      <c r="L109">
        <v>1301</v>
      </c>
      <c r="M109">
        <v>402</v>
      </c>
      <c r="N109">
        <v>126</v>
      </c>
      <c r="O109">
        <v>156</v>
      </c>
      <c r="P109">
        <v>420</v>
      </c>
      <c r="Q109">
        <v>533</v>
      </c>
      <c r="R109">
        <v>108</v>
      </c>
    </row>
    <row r="110" spans="1:18">
      <c r="A110" s="1" t="s">
        <v>374</v>
      </c>
      <c r="B110">
        <v>37</v>
      </c>
      <c r="C110">
        <v>32</v>
      </c>
      <c r="D110">
        <v>5</v>
      </c>
      <c r="E110">
        <v>2.59</v>
      </c>
      <c r="F110">
        <v>3091</v>
      </c>
      <c r="G110">
        <v>1125</v>
      </c>
      <c r="H110">
        <v>2261</v>
      </c>
      <c r="I110">
        <v>513</v>
      </c>
      <c r="J110">
        <v>725</v>
      </c>
      <c r="K110">
        <v>413</v>
      </c>
      <c r="L110">
        <v>1477</v>
      </c>
      <c r="M110">
        <v>564</v>
      </c>
      <c r="N110">
        <v>234</v>
      </c>
      <c r="O110">
        <v>134</v>
      </c>
      <c r="P110">
        <v>420</v>
      </c>
      <c r="Q110">
        <v>631</v>
      </c>
      <c r="R110">
        <v>109</v>
      </c>
    </row>
    <row r="111" spans="1:18">
      <c r="A111" s="1" t="s">
        <v>102</v>
      </c>
      <c r="B111">
        <v>31</v>
      </c>
      <c r="C111">
        <v>17</v>
      </c>
      <c r="D111">
        <v>14</v>
      </c>
      <c r="E111">
        <v>-10.3</v>
      </c>
      <c r="F111">
        <v>2257</v>
      </c>
      <c r="G111">
        <v>777</v>
      </c>
      <c r="H111">
        <v>1852</v>
      </c>
      <c r="I111">
        <v>547</v>
      </c>
      <c r="J111">
        <v>769</v>
      </c>
      <c r="K111">
        <v>378</v>
      </c>
      <c r="L111">
        <v>1193</v>
      </c>
      <c r="M111">
        <v>342</v>
      </c>
      <c r="N111">
        <v>239</v>
      </c>
      <c r="O111">
        <v>113</v>
      </c>
      <c r="P111">
        <v>477</v>
      </c>
      <c r="Q111">
        <v>674</v>
      </c>
      <c r="R111">
        <v>110</v>
      </c>
    </row>
    <row r="112" spans="1:18">
      <c r="A112" s="1" t="s">
        <v>364</v>
      </c>
      <c r="B112">
        <v>34</v>
      </c>
      <c r="C112">
        <v>22</v>
      </c>
      <c r="D112">
        <v>12</v>
      </c>
      <c r="E112">
        <v>-4.8099999999999996</v>
      </c>
      <c r="F112">
        <v>2512</v>
      </c>
      <c r="G112">
        <v>855</v>
      </c>
      <c r="H112">
        <v>1992</v>
      </c>
      <c r="I112">
        <v>551</v>
      </c>
      <c r="J112">
        <v>785</v>
      </c>
      <c r="K112">
        <v>405</v>
      </c>
      <c r="L112">
        <v>1310</v>
      </c>
      <c r="M112">
        <v>540</v>
      </c>
      <c r="N112">
        <v>211</v>
      </c>
      <c r="O112">
        <v>134</v>
      </c>
      <c r="P112">
        <v>450</v>
      </c>
      <c r="Q112">
        <v>685</v>
      </c>
      <c r="R112">
        <v>111</v>
      </c>
    </row>
    <row r="113" spans="1:18">
      <c r="A113" s="1" t="s">
        <v>103</v>
      </c>
      <c r="B113">
        <v>33</v>
      </c>
      <c r="C113">
        <v>13</v>
      </c>
      <c r="D113">
        <v>20</v>
      </c>
      <c r="E113">
        <v>-4.08</v>
      </c>
      <c r="F113">
        <v>2517</v>
      </c>
      <c r="G113">
        <v>859</v>
      </c>
      <c r="H113">
        <v>2027</v>
      </c>
      <c r="I113">
        <v>504</v>
      </c>
      <c r="J113">
        <v>670</v>
      </c>
      <c r="K113">
        <v>334</v>
      </c>
      <c r="L113">
        <v>1241</v>
      </c>
      <c r="M113">
        <v>459</v>
      </c>
      <c r="N113">
        <v>226</v>
      </c>
      <c r="O113">
        <v>100</v>
      </c>
      <c r="P113">
        <v>453</v>
      </c>
      <c r="Q113">
        <v>635</v>
      </c>
      <c r="R113">
        <v>112</v>
      </c>
    </row>
    <row r="114" spans="1:18">
      <c r="A114" s="1" t="s">
        <v>104</v>
      </c>
      <c r="B114">
        <v>34</v>
      </c>
      <c r="C114">
        <v>18</v>
      </c>
      <c r="D114">
        <v>16</v>
      </c>
      <c r="E114">
        <v>-9.57</v>
      </c>
      <c r="F114">
        <v>2703</v>
      </c>
      <c r="G114">
        <v>970</v>
      </c>
      <c r="H114">
        <v>2173</v>
      </c>
      <c r="I114">
        <v>565</v>
      </c>
      <c r="J114">
        <v>727</v>
      </c>
      <c r="K114">
        <v>385</v>
      </c>
      <c r="L114">
        <v>1372</v>
      </c>
      <c r="M114">
        <v>518</v>
      </c>
      <c r="N114">
        <v>183</v>
      </c>
      <c r="O114">
        <v>123</v>
      </c>
      <c r="P114">
        <v>440</v>
      </c>
      <c r="Q114">
        <v>672</v>
      </c>
      <c r="R114">
        <v>113</v>
      </c>
    </row>
    <row r="115" spans="1:18">
      <c r="A115" s="1" t="s">
        <v>105</v>
      </c>
      <c r="B115">
        <v>33</v>
      </c>
      <c r="C115">
        <v>19</v>
      </c>
      <c r="D115">
        <v>14</v>
      </c>
      <c r="E115">
        <v>-5.26</v>
      </c>
      <c r="F115">
        <v>2326</v>
      </c>
      <c r="G115">
        <v>835</v>
      </c>
      <c r="H115">
        <v>1840</v>
      </c>
      <c r="I115">
        <v>386</v>
      </c>
      <c r="J115">
        <v>569</v>
      </c>
      <c r="K115">
        <v>278</v>
      </c>
      <c r="L115">
        <v>1100</v>
      </c>
      <c r="M115">
        <v>433</v>
      </c>
      <c r="N115">
        <v>200</v>
      </c>
      <c r="O115">
        <v>123</v>
      </c>
      <c r="P115">
        <v>402</v>
      </c>
      <c r="Q115">
        <v>601</v>
      </c>
      <c r="R115">
        <v>114</v>
      </c>
    </row>
    <row r="116" spans="1:18">
      <c r="A116" s="1" t="s">
        <v>106</v>
      </c>
      <c r="B116">
        <v>32</v>
      </c>
      <c r="C116">
        <v>18</v>
      </c>
      <c r="D116">
        <v>14</v>
      </c>
      <c r="E116">
        <v>-1.7</v>
      </c>
      <c r="F116">
        <v>2182</v>
      </c>
      <c r="G116">
        <v>764</v>
      </c>
      <c r="H116">
        <v>1775</v>
      </c>
      <c r="I116">
        <v>397</v>
      </c>
      <c r="J116">
        <v>512</v>
      </c>
      <c r="K116">
        <v>284</v>
      </c>
      <c r="L116">
        <v>1115</v>
      </c>
      <c r="M116">
        <v>406</v>
      </c>
      <c r="N116">
        <v>173</v>
      </c>
      <c r="O116">
        <v>118</v>
      </c>
      <c r="P116">
        <v>445</v>
      </c>
      <c r="Q116">
        <v>575</v>
      </c>
      <c r="R116">
        <v>115</v>
      </c>
    </row>
    <row r="117" spans="1:18">
      <c r="A117" s="1" t="s">
        <v>107</v>
      </c>
      <c r="B117">
        <v>30</v>
      </c>
      <c r="C117">
        <v>17</v>
      </c>
      <c r="D117">
        <v>13</v>
      </c>
      <c r="E117">
        <v>-2.5</v>
      </c>
      <c r="F117">
        <v>2104</v>
      </c>
      <c r="G117">
        <v>721</v>
      </c>
      <c r="H117">
        <v>1630</v>
      </c>
      <c r="I117">
        <v>460</v>
      </c>
      <c r="J117">
        <v>670</v>
      </c>
      <c r="K117">
        <v>266</v>
      </c>
      <c r="L117">
        <v>995</v>
      </c>
      <c r="M117">
        <v>428</v>
      </c>
      <c r="N117">
        <v>169</v>
      </c>
      <c r="O117">
        <v>59</v>
      </c>
      <c r="P117">
        <v>402</v>
      </c>
      <c r="Q117">
        <v>584</v>
      </c>
      <c r="R117">
        <v>116</v>
      </c>
    </row>
    <row r="118" spans="1:18">
      <c r="A118" s="1" t="s">
        <v>108</v>
      </c>
      <c r="B118">
        <v>30</v>
      </c>
      <c r="C118">
        <v>14</v>
      </c>
      <c r="D118">
        <v>16</v>
      </c>
      <c r="E118">
        <v>-6.37</v>
      </c>
      <c r="F118">
        <v>2126</v>
      </c>
      <c r="G118">
        <v>775</v>
      </c>
      <c r="H118">
        <v>1691</v>
      </c>
      <c r="I118">
        <v>413</v>
      </c>
      <c r="J118">
        <v>588</v>
      </c>
      <c r="K118">
        <v>324</v>
      </c>
      <c r="L118">
        <v>1039</v>
      </c>
      <c r="M118">
        <v>353</v>
      </c>
      <c r="N118">
        <v>222</v>
      </c>
      <c r="O118">
        <v>82</v>
      </c>
      <c r="P118">
        <v>375</v>
      </c>
      <c r="Q118">
        <v>545</v>
      </c>
      <c r="R118">
        <v>117</v>
      </c>
    </row>
    <row r="119" spans="1:18">
      <c r="A119" s="1" t="s">
        <v>307</v>
      </c>
      <c r="B119">
        <v>31</v>
      </c>
      <c r="C119">
        <v>19</v>
      </c>
      <c r="D119">
        <v>12</v>
      </c>
      <c r="E119">
        <v>-1.6</v>
      </c>
      <c r="F119">
        <v>2464</v>
      </c>
      <c r="G119">
        <v>868</v>
      </c>
      <c r="H119">
        <v>1868</v>
      </c>
      <c r="I119">
        <v>468</v>
      </c>
      <c r="J119">
        <v>686</v>
      </c>
      <c r="K119">
        <v>341</v>
      </c>
      <c r="L119">
        <v>1103</v>
      </c>
      <c r="M119">
        <v>413</v>
      </c>
      <c r="N119">
        <v>156</v>
      </c>
      <c r="O119">
        <v>83</v>
      </c>
      <c r="P119">
        <v>334</v>
      </c>
      <c r="Q119">
        <v>576</v>
      </c>
      <c r="R119">
        <v>118</v>
      </c>
    </row>
    <row r="120" spans="1:18">
      <c r="A120" s="1" t="s">
        <v>109</v>
      </c>
      <c r="B120">
        <v>31</v>
      </c>
      <c r="C120">
        <v>12</v>
      </c>
      <c r="D120">
        <v>19</v>
      </c>
      <c r="E120">
        <v>-5.83</v>
      </c>
      <c r="F120">
        <v>1972</v>
      </c>
      <c r="G120">
        <v>724</v>
      </c>
      <c r="H120">
        <v>1569</v>
      </c>
      <c r="I120">
        <v>321</v>
      </c>
      <c r="J120">
        <v>465</v>
      </c>
      <c r="K120">
        <v>178</v>
      </c>
      <c r="L120">
        <v>880</v>
      </c>
      <c r="M120">
        <v>421</v>
      </c>
      <c r="N120">
        <v>193</v>
      </c>
      <c r="O120">
        <v>105</v>
      </c>
      <c r="P120">
        <v>381</v>
      </c>
      <c r="Q120">
        <v>537</v>
      </c>
      <c r="R120">
        <v>119</v>
      </c>
    </row>
    <row r="121" spans="1:18">
      <c r="A121" s="1" t="s">
        <v>353</v>
      </c>
      <c r="B121">
        <v>31</v>
      </c>
      <c r="C121">
        <v>6</v>
      </c>
      <c r="D121">
        <v>25</v>
      </c>
      <c r="E121">
        <v>-3.96</v>
      </c>
      <c r="F121">
        <v>2382</v>
      </c>
      <c r="G121">
        <v>860</v>
      </c>
      <c r="H121">
        <v>2058</v>
      </c>
      <c r="I121">
        <v>443</v>
      </c>
      <c r="J121">
        <v>710</v>
      </c>
      <c r="K121">
        <v>477</v>
      </c>
      <c r="L121">
        <v>1219</v>
      </c>
      <c r="M121">
        <v>432</v>
      </c>
      <c r="N121">
        <v>206</v>
      </c>
      <c r="O121">
        <v>90</v>
      </c>
      <c r="P121">
        <v>438</v>
      </c>
      <c r="Q121">
        <v>605</v>
      </c>
      <c r="R121">
        <v>120</v>
      </c>
    </row>
    <row r="122" spans="1:18">
      <c r="A122" s="1" t="s">
        <v>110</v>
      </c>
      <c r="B122">
        <v>35</v>
      </c>
      <c r="C122">
        <v>27</v>
      </c>
      <c r="D122">
        <v>8</v>
      </c>
      <c r="E122">
        <v>4.16</v>
      </c>
      <c r="F122">
        <v>2685</v>
      </c>
      <c r="G122">
        <v>952</v>
      </c>
      <c r="H122">
        <v>2066</v>
      </c>
      <c r="I122">
        <v>484</v>
      </c>
      <c r="J122">
        <v>674</v>
      </c>
      <c r="K122">
        <v>408</v>
      </c>
      <c r="L122">
        <v>1352</v>
      </c>
      <c r="M122">
        <v>505</v>
      </c>
      <c r="N122">
        <v>218</v>
      </c>
      <c r="O122">
        <v>106</v>
      </c>
      <c r="P122">
        <v>418</v>
      </c>
      <c r="Q122">
        <v>737</v>
      </c>
      <c r="R122">
        <v>121</v>
      </c>
    </row>
    <row r="123" spans="1:18">
      <c r="A123" s="1" t="s">
        <v>111</v>
      </c>
      <c r="B123">
        <v>33</v>
      </c>
      <c r="C123">
        <v>10</v>
      </c>
      <c r="D123">
        <v>23</v>
      </c>
      <c r="E123">
        <v>-9.75</v>
      </c>
      <c r="F123">
        <v>2449</v>
      </c>
      <c r="G123">
        <v>847</v>
      </c>
      <c r="H123">
        <v>1997</v>
      </c>
      <c r="I123">
        <v>487</v>
      </c>
      <c r="J123">
        <v>688</v>
      </c>
      <c r="K123">
        <v>372</v>
      </c>
      <c r="L123">
        <v>1153</v>
      </c>
      <c r="M123">
        <v>407</v>
      </c>
      <c r="N123">
        <v>178</v>
      </c>
      <c r="O123">
        <v>93</v>
      </c>
      <c r="P123">
        <v>442</v>
      </c>
      <c r="Q123">
        <v>676</v>
      </c>
      <c r="R123">
        <v>122</v>
      </c>
    </row>
    <row r="124" spans="1:18">
      <c r="A124" s="1" t="s">
        <v>112</v>
      </c>
      <c r="B124">
        <v>30</v>
      </c>
      <c r="C124">
        <v>14</v>
      </c>
      <c r="D124">
        <v>16</v>
      </c>
      <c r="E124">
        <v>-3.7</v>
      </c>
      <c r="F124">
        <v>2211</v>
      </c>
      <c r="G124">
        <v>778</v>
      </c>
      <c r="H124">
        <v>1639</v>
      </c>
      <c r="I124">
        <v>403</v>
      </c>
      <c r="J124">
        <v>594</v>
      </c>
      <c r="K124">
        <v>204</v>
      </c>
      <c r="L124">
        <v>962</v>
      </c>
      <c r="M124">
        <v>354</v>
      </c>
      <c r="N124">
        <v>169</v>
      </c>
      <c r="O124">
        <v>72</v>
      </c>
      <c r="P124">
        <v>408</v>
      </c>
      <c r="Q124">
        <v>525</v>
      </c>
      <c r="R124">
        <v>123</v>
      </c>
    </row>
    <row r="125" spans="1:18">
      <c r="A125" s="1" t="s">
        <v>113</v>
      </c>
      <c r="B125">
        <v>31</v>
      </c>
      <c r="C125">
        <v>22</v>
      </c>
      <c r="D125">
        <v>9</v>
      </c>
      <c r="E125">
        <v>-3.94</v>
      </c>
      <c r="F125">
        <v>2330</v>
      </c>
      <c r="G125">
        <v>819</v>
      </c>
      <c r="H125">
        <v>1749</v>
      </c>
      <c r="I125">
        <v>415</v>
      </c>
      <c r="J125">
        <v>565</v>
      </c>
      <c r="K125">
        <v>309</v>
      </c>
      <c r="L125">
        <v>1138</v>
      </c>
      <c r="M125">
        <v>459</v>
      </c>
      <c r="N125">
        <v>135</v>
      </c>
      <c r="O125">
        <v>80</v>
      </c>
      <c r="P125">
        <v>411</v>
      </c>
      <c r="Q125">
        <v>553</v>
      </c>
      <c r="R125">
        <v>124</v>
      </c>
    </row>
    <row r="126" spans="1:18">
      <c r="A126" s="1" t="s">
        <v>114</v>
      </c>
      <c r="B126">
        <v>36</v>
      </c>
      <c r="C126">
        <v>20</v>
      </c>
      <c r="D126">
        <v>16</v>
      </c>
      <c r="E126">
        <v>-4.21</v>
      </c>
      <c r="F126">
        <v>2708</v>
      </c>
      <c r="G126">
        <v>951</v>
      </c>
      <c r="H126">
        <v>2115</v>
      </c>
      <c r="I126">
        <v>564</v>
      </c>
      <c r="J126">
        <v>768</v>
      </c>
      <c r="K126">
        <v>371</v>
      </c>
      <c r="L126">
        <v>1384</v>
      </c>
      <c r="M126">
        <v>451</v>
      </c>
      <c r="N126">
        <v>244</v>
      </c>
      <c r="O126">
        <v>242</v>
      </c>
      <c r="P126">
        <v>544</v>
      </c>
      <c r="Q126">
        <v>687</v>
      </c>
      <c r="R126">
        <v>125</v>
      </c>
    </row>
    <row r="127" spans="1:18">
      <c r="A127" s="1" t="s">
        <v>115</v>
      </c>
      <c r="B127">
        <v>33</v>
      </c>
      <c r="C127">
        <v>18</v>
      </c>
      <c r="D127">
        <v>15</v>
      </c>
      <c r="E127">
        <v>3.67</v>
      </c>
      <c r="F127">
        <v>2364</v>
      </c>
      <c r="G127">
        <v>813</v>
      </c>
      <c r="H127">
        <v>1917</v>
      </c>
      <c r="I127">
        <v>437</v>
      </c>
      <c r="J127">
        <v>640</v>
      </c>
      <c r="K127">
        <v>317</v>
      </c>
      <c r="L127">
        <v>1171</v>
      </c>
      <c r="M127">
        <v>468</v>
      </c>
      <c r="N127">
        <v>216</v>
      </c>
      <c r="O127">
        <v>131</v>
      </c>
      <c r="P127">
        <v>438</v>
      </c>
      <c r="Q127">
        <v>677</v>
      </c>
      <c r="R127">
        <v>126</v>
      </c>
    </row>
    <row r="128" spans="1:18">
      <c r="A128" s="1" t="s">
        <v>348</v>
      </c>
      <c r="B128">
        <v>32</v>
      </c>
      <c r="C128">
        <v>14</v>
      </c>
      <c r="D128">
        <v>18</v>
      </c>
      <c r="E128">
        <v>7.53</v>
      </c>
      <c r="F128">
        <v>2426</v>
      </c>
      <c r="G128">
        <v>856</v>
      </c>
      <c r="H128">
        <v>1949</v>
      </c>
      <c r="I128">
        <v>478</v>
      </c>
      <c r="J128">
        <v>653</v>
      </c>
      <c r="K128">
        <v>398</v>
      </c>
      <c r="L128">
        <v>1053</v>
      </c>
      <c r="M128">
        <v>442</v>
      </c>
      <c r="N128">
        <v>240</v>
      </c>
      <c r="O128">
        <v>69</v>
      </c>
      <c r="P128">
        <v>425</v>
      </c>
      <c r="Q128">
        <v>720</v>
      </c>
      <c r="R128">
        <v>127</v>
      </c>
    </row>
    <row r="129" spans="1:18">
      <c r="A129" s="1" t="s">
        <v>365</v>
      </c>
      <c r="B129">
        <v>28</v>
      </c>
      <c r="C129">
        <v>7</v>
      </c>
      <c r="D129">
        <v>21</v>
      </c>
      <c r="E129">
        <v>-5.04</v>
      </c>
      <c r="F129">
        <v>1978</v>
      </c>
      <c r="G129">
        <v>671</v>
      </c>
      <c r="H129">
        <v>1566</v>
      </c>
      <c r="I129">
        <v>470</v>
      </c>
      <c r="J129">
        <v>630</v>
      </c>
      <c r="K129">
        <v>280</v>
      </c>
      <c r="L129">
        <v>976</v>
      </c>
      <c r="M129">
        <v>311</v>
      </c>
      <c r="N129">
        <v>169</v>
      </c>
      <c r="O129">
        <v>143</v>
      </c>
      <c r="P129">
        <v>442</v>
      </c>
      <c r="Q129">
        <v>521</v>
      </c>
      <c r="R129">
        <v>128</v>
      </c>
    </row>
    <row r="130" spans="1:18">
      <c r="A130" s="1" t="s">
        <v>308</v>
      </c>
      <c r="B130">
        <v>31</v>
      </c>
      <c r="C130">
        <v>13</v>
      </c>
      <c r="D130">
        <v>18</v>
      </c>
      <c r="E130">
        <v>2.4300000000000002</v>
      </c>
      <c r="F130">
        <v>2248</v>
      </c>
      <c r="G130">
        <v>762</v>
      </c>
      <c r="H130">
        <v>1803</v>
      </c>
      <c r="I130">
        <v>454</v>
      </c>
      <c r="J130">
        <v>644</v>
      </c>
      <c r="K130">
        <v>322</v>
      </c>
      <c r="L130">
        <v>1124</v>
      </c>
      <c r="M130">
        <v>360</v>
      </c>
      <c r="N130">
        <v>233</v>
      </c>
      <c r="O130">
        <v>105</v>
      </c>
      <c r="P130">
        <v>445</v>
      </c>
      <c r="Q130">
        <v>614</v>
      </c>
      <c r="R130">
        <v>129</v>
      </c>
    </row>
    <row r="131" spans="1:18">
      <c r="A131" s="1" t="s">
        <v>327</v>
      </c>
      <c r="B131">
        <v>31</v>
      </c>
      <c r="C131">
        <v>16</v>
      </c>
      <c r="D131">
        <v>15</v>
      </c>
      <c r="E131">
        <v>8.25</v>
      </c>
      <c r="F131">
        <v>2229</v>
      </c>
      <c r="G131">
        <v>806</v>
      </c>
      <c r="H131">
        <v>1767</v>
      </c>
      <c r="I131">
        <v>423</v>
      </c>
      <c r="J131">
        <v>644</v>
      </c>
      <c r="K131">
        <v>345</v>
      </c>
      <c r="L131">
        <v>1099</v>
      </c>
      <c r="M131">
        <v>435</v>
      </c>
      <c r="N131">
        <v>199</v>
      </c>
      <c r="O131">
        <v>134</v>
      </c>
      <c r="P131">
        <v>386</v>
      </c>
      <c r="Q131">
        <v>561</v>
      </c>
      <c r="R131">
        <v>130</v>
      </c>
    </row>
    <row r="132" spans="1:18">
      <c r="A132" s="1" t="s">
        <v>309</v>
      </c>
      <c r="B132">
        <v>34</v>
      </c>
      <c r="C132">
        <v>20</v>
      </c>
      <c r="D132">
        <v>14</v>
      </c>
      <c r="E132">
        <v>-2.19</v>
      </c>
      <c r="F132">
        <v>2702</v>
      </c>
      <c r="G132">
        <v>957</v>
      </c>
      <c r="H132">
        <v>2076</v>
      </c>
      <c r="I132">
        <v>462</v>
      </c>
      <c r="J132">
        <v>626</v>
      </c>
      <c r="K132">
        <v>291</v>
      </c>
      <c r="L132">
        <v>1146</v>
      </c>
      <c r="M132">
        <v>542</v>
      </c>
      <c r="N132">
        <v>229</v>
      </c>
      <c r="O132">
        <v>103</v>
      </c>
      <c r="P132">
        <v>395</v>
      </c>
      <c r="Q132">
        <v>587</v>
      </c>
      <c r="R132">
        <v>131</v>
      </c>
    </row>
    <row r="133" spans="1:18">
      <c r="A133" s="1" t="s">
        <v>310</v>
      </c>
      <c r="B133">
        <v>31</v>
      </c>
      <c r="C133">
        <v>13</v>
      </c>
      <c r="D133">
        <v>18</v>
      </c>
      <c r="E133">
        <v>9.49</v>
      </c>
      <c r="F133">
        <v>2258</v>
      </c>
      <c r="G133">
        <v>817</v>
      </c>
      <c r="H133">
        <v>1870</v>
      </c>
      <c r="I133">
        <v>390</v>
      </c>
      <c r="J133">
        <v>557</v>
      </c>
      <c r="K133">
        <v>338</v>
      </c>
      <c r="L133">
        <v>1134</v>
      </c>
      <c r="M133">
        <v>423</v>
      </c>
      <c r="N133">
        <v>149</v>
      </c>
      <c r="O133">
        <v>129</v>
      </c>
      <c r="P133">
        <v>369</v>
      </c>
      <c r="Q133">
        <v>508</v>
      </c>
      <c r="R133">
        <v>132</v>
      </c>
    </row>
    <row r="134" spans="1:18">
      <c r="A134" s="1" t="s">
        <v>116</v>
      </c>
      <c r="B134">
        <v>33</v>
      </c>
      <c r="C134">
        <v>14</v>
      </c>
      <c r="D134">
        <v>19</v>
      </c>
      <c r="E134">
        <v>7.13</v>
      </c>
      <c r="F134">
        <v>2630</v>
      </c>
      <c r="G134">
        <v>946</v>
      </c>
      <c r="H134">
        <v>1975</v>
      </c>
      <c r="I134">
        <v>486</v>
      </c>
      <c r="J134">
        <v>699</v>
      </c>
      <c r="K134">
        <v>391</v>
      </c>
      <c r="L134">
        <v>1258</v>
      </c>
      <c r="M134">
        <v>602</v>
      </c>
      <c r="N134">
        <v>172</v>
      </c>
      <c r="O134">
        <v>134</v>
      </c>
      <c r="P134">
        <v>441</v>
      </c>
      <c r="Q134">
        <v>548</v>
      </c>
      <c r="R134">
        <v>133</v>
      </c>
    </row>
    <row r="135" spans="1:18">
      <c r="A135" s="1" t="s">
        <v>319</v>
      </c>
      <c r="B135">
        <v>33</v>
      </c>
      <c r="C135">
        <v>18</v>
      </c>
      <c r="D135">
        <v>15</v>
      </c>
      <c r="E135">
        <v>-3.24</v>
      </c>
      <c r="F135">
        <v>2716</v>
      </c>
      <c r="G135">
        <v>953</v>
      </c>
      <c r="H135">
        <v>2073</v>
      </c>
      <c r="I135">
        <v>471</v>
      </c>
      <c r="J135">
        <v>654</v>
      </c>
      <c r="K135">
        <v>316</v>
      </c>
      <c r="L135">
        <v>1157</v>
      </c>
      <c r="M135">
        <v>484</v>
      </c>
      <c r="N135">
        <v>264</v>
      </c>
      <c r="O135">
        <v>110</v>
      </c>
      <c r="P135">
        <v>391</v>
      </c>
      <c r="Q135">
        <v>538</v>
      </c>
      <c r="R135">
        <v>134</v>
      </c>
    </row>
    <row r="136" spans="1:18">
      <c r="A136" s="1" t="s">
        <v>117</v>
      </c>
      <c r="B136">
        <v>30</v>
      </c>
      <c r="C136">
        <v>11</v>
      </c>
      <c r="D136">
        <v>19</v>
      </c>
      <c r="E136">
        <v>-3.53</v>
      </c>
      <c r="F136">
        <v>2047</v>
      </c>
      <c r="G136">
        <v>731</v>
      </c>
      <c r="H136">
        <v>1723</v>
      </c>
      <c r="I136">
        <v>372</v>
      </c>
      <c r="J136">
        <v>559</v>
      </c>
      <c r="K136">
        <v>346</v>
      </c>
      <c r="L136">
        <v>1022</v>
      </c>
      <c r="M136">
        <v>385</v>
      </c>
      <c r="N136">
        <v>205</v>
      </c>
      <c r="O136">
        <v>103</v>
      </c>
      <c r="P136">
        <v>427</v>
      </c>
      <c r="Q136">
        <v>562</v>
      </c>
      <c r="R136">
        <v>135</v>
      </c>
    </row>
    <row r="137" spans="1:18">
      <c r="A137" s="1" t="s">
        <v>278</v>
      </c>
      <c r="B137">
        <v>32</v>
      </c>
      <c r="C137">
        <v>12</v>
      </c>
      <c r="D137">
        <v>20</v>
      </c>
      <c r="E137">
        <v>-10.49</v>
      </c>
      <c r="F137">
        <v>1991</v>
      </c>
      <c r="G137">
        <v>714</v>
      </c>
      <c r="H137">
        <v>1921</v>
      </c>
      <c r="I137">
        <v>325</v>
      </c>
      <c r="J137">
        <v>497</v>
      </c>
      <c r="K137">
        <v>401</v>
      </c>
      <c r="L137">
        <v>1087</v>
      </c>
      <c r="M137">
        <v>350</v>
      </c>
      <c r="N137">
        <v>235</v>
      </c>
      <c r="O137">
        <v>89</v>
      </c>
      <c r="P137">
        <v>368</v>
      </c>
      <c r="Q137">
        <v>651</v>
      </c>
      <c r="R137">
        <v>136</v>
      </c>
    </row>
    <row r="138" spans="1:18">
      <c r="A138" s="1" t="s">
        <v>118</v>
      </c>
      <c r="B138">
        <v>36</v>
      </c>
      <c r="C138">
        <v>23</v>
      </c>
      <c r="D138">
        <v>13</v>
      </c>
      <c r="E138">
        <v>-4.87</v>
      </c>
      <c r="F138">
        <v>2587</v>
      </c>
      <c r="G138">
        <v>954</v>
      </c>
      <c r="H138">
        <v>2091</v>
      </c>
      <c r="I138">
        <v>468</v>
      </c>
      <c r="J138">
        <v>657</v>
      </c>
      <c r="K138">
        <v>412</v>
      </c>
      <c r="L138">
        <v>1371</v>
      </c>
      <c r="M138">
        <v>542</v>
      </c>
      <c r="N138">
        <v>220</v>
      </c>
      <c r="O138">
        <v>176</v>
      </c>
      <c r="P138">
        <v>469</v>
      </c>
      <c r="Q138">
        <v>624</v>
      </c>
      <c r="R138">
        <v>137</v>
      </c>
    </row>
    <row r="139" spans="1:18">
      <c r="A139" s="1" t="s">
        <v>119</v>
      </c>
      <c r="B139">
        <v>33</v>
      </c>
      <c r="C139">
        <v>15</v>
      </c>
      <c r="D139">
        <v>18</v>
      </c>
      <c r="E139">
        <v>-6.12</v>
      </c>
      <c r="F139">
        <v>2405</v>
      </c>
      <c r="G139">
        <v>897</v>
      </c>
      <c r="H139">
        <v>1993</v>
      </c>
      <c r="I139">
        <v>409</v>
      </c>
      <c r="J139">
        <v>622</v>
      </c>
      <c r="K139">
        <v>330</v>
      </c>
      <c r="L139">
        <v>1180</v>
      </c>
      <c r="M139">
        <v>415</v>
      </c>
      <c r="N139">
        <v>226</v>
      </c>
      <c r="O139">
        <v>112</v>
      </c>
      <c r="P139">
        <v>472</v>
      </c>
      <c r="Q139">
        <v>536</v>
      </c>
      <c r="R139">
        <v>138</v>
      </c>
    </row>
    <row r="140" spans="1:18">
      <c r="A140" s="1" t="s">
        <v>120</v>
      </c>
      <c r="B140">
        <v>32</v>
      </c>
      <c r="C140">
        <v>10</v>
      </c>
      <c r="D140">
        <v>22</v>
      </c>
      <c r="E140">
        <v>-2.15</v>
      </c>
      <c r="F140">
        <v>2341</v>
      </c>
      <c r="G140">
        <v>812</v>
      </c>
      <c r="H140">
        <v>1933</v>
      </c>
      <c r="I140">
        <v>486</v>
      </c>
      <c r="J140">
        <v>667</v>
      </c>
      <c r="K140">
        <v>361</v>
      </c>
      <c r="L140">
        <v>1148</v>
      </c>
      <c r="M140">
        <v>388</v>
      </c>
      <c r="N140">
        <v>228</v>
      </c>
      <c r="O140">
        <v>104</v>
      </c>
      <c r="P140">
        <v>383</v>
      </c>
      <c r="Q140">
        <v>670</v>
      </c>
      <c r="R140">
        <v>139</v>
      </c>
    </row>
    <row r="141" spans="1:18">
      <c r="A141" s="1" t="s">
        <v>121</v>
      </c>
      <c r="B141">
        <v>37</v>
      </c>
      <c r="C141">
        <v>25</v>
      </c>
      <c r="D141">
        <v>12</v>
      </c>
      <c r="E141">
        <v>8.74</v>
      </c>
      <c r="F141">
        <v>2630</v>
      </c>
      <c r="G141">
        <v>937</v>
      </c>
      <c r="H141">
        <v>2025</v>
      </c>
      <c r="I141">
        <v>502</v>
      </c>
      <c r="J141">
        <v>684</v>
      </c>
      <c r="K141">
        <v>304</v>
      </c>
      <c r="L141">
        <v>1136</v>
      </c>
      <c r="M141">
        <v>510</v>
      </c>
      <c r="N141">
        <v>294</v>
      </c>
      <c r="O141">
        <v>110</v>
      </c>
      <c r="P141">
        <v>423</v>
      </c>
      <c r="Q141">
        <v>684</v>
      </c>
      <c r="R141">
        <v>140</v>
      </c>
    </row>
    <row r="142" spans="1:18">
      <c r="A142" s="1" t="s">
        <v>375</v>
      </c>
      <c r="B142">
        <v>39</v>
      </c>
      <c r="C142">
        <v>31</v>
      </c>
      <c r="D142">
        <v>8</v>
      </c>
      <c r="E142">
        <v>11.87</v>
      </c>
      <c r="F142">
        <v>3174</v>
      </c>
      <c r="G142">
        <v>1165</v>
      </c>
      <c r="H142">
        <v>2366</v>
      </c>
      <c r="I142">
        <v>453</v>
      </c>
      <c r="J142">
        <v>640</v>
      </c>
      <c r="K142">
        <v>381</v>
      </c>
      <c r="L142">
        <v>1388</v>
      </c>
      <c r="M142">
        <v>649</v>
      </c>
      <c r="N142">
        <v>254</v>
      </c>
      <c r="O142">
        <v>160</v>
      </c>
      <c r="P142">
        <v>456</v>
      </c>
      <c r="Q142">
        <v>597</v>
      </c>
      <c r="R142">
        <v>141</v>
      </c>
    </row>
    <row r="143" spans="1:18">
      <c r="A143" s="1" t="s">
        <v>336</v>
      </c>
      <c r="B143">
        <v>30</v>
      </c>
      <c r="C143">
        <v>10</v>
      </c>
      <c r="D143">
        <v>20</v>
      </c>
      <c r="E143">
        <v>-4.3099999999999996</v>
      </c>
      <c r="F143">
        <v>2182</v>
      </c>
      <c r="G143">
        <v>805</v>
      </c>
      <c r="H143">
        <v>1771</v>
      </c>
      <c r="I143">
        <v>412</v>
      </c>
      <c r="J143">
        <v>597</v>
      </c>
      <c r="K143">
        <v>307</v>
      </c>
      <c r="L143">
        <v>987</v>
      </c>
      <c r="M143">
        <v>446</v>
      </c>
      <c r="N143">
        <v>216</v>
      </c>
      <c r="O143">
        <v>93</v>
      </c>
      <c r="P143">
        <v>409</v>
      </c>
      <c r="Q143">
        <v>540</v>
      </c>
      <c r="R143">
        <v>142</v>
      </c>
    </row>
    <row r="144" spans="1:18">
      <c r="A144" s="1" t="s">
        <v>122</v>
      </c>
      <c r="B144">
        <v>34</v>
      </c>
      <c r="C144">
        <v>17</v>
      </c>
      <c r="D144">
        <v>17</v>
      </c>
      <c r="E144">
        <v>-1.75</v>
      </c>
      <c r="F144">
        <v>2482</v>
      </c>
      <c r="G144">
        <v>871</v>
      </c>
      <c r="H144">
        <v>2049</v>
      </c>
      <c r="I144">
        <v>485</v>
      </c>
      <c r="J144">
        <v>666</v>
      </c>
      <c r="K144">
        <v>390</v>
      </c>
      <c r="L144">
        <v>1220</v>
      </c>
      <c r="M144">
        <v>393</v>
      </c>
      <c r="N144">
        <v>201</v>
      </c>
      <c r="O144">
        <v>122</v>
      </c>
      <c r="P144">
        <v>442</v>
      </c>
      <c r="Q144">
        <v>638</v>
      </c>
      <c r="R144">
        <v>143</v>
      </c>
    </row>
    <row r="145" spans="1:18">
      <c r="A145" s="1" t="s">
        <v>354</v>
      </c>
      <c r="B145">
        <v>37</v>
      </c>
      <c r="C145">
        <v>26</v>
      </c>
      <c r="D145">
        <v>11</v>
      </c>
      <c r="E145">
        <v>10.73</v>
      </c>
      <c r="F145">
        <v>2840</v>
      </c>
      <c r="G145">
        <v>998</v>
      </c>
      <c r="H145">
        <v>2115</v>
      </c>
      <c r="I145">
        <v>649</v>
      </c>
      <c r="J145">
        <v>930</v>
      </c>
      <c r="K145">
        <v>441</v>
      </c>
      <c r="L145">
        <v>1431</v>
      </c>
      <c r="M145">
        <v>489</v>
      </c>
      <c r="N145">
        <v>208</v>
      </c>
      <c r="O145">
        <v>176</v>
      </c>
      <c r="P145">
        <v>480</v>
      </c>
      <c r="Q145">
        <v>702</v>
      </c>
      <c r="R145">
        <v>144</v>
      </c>
    </row>
    <row r="146" spans="1:18">
      <c r="A146" s="1" t="s">
        <v>123</v>
      </c>
      <c r="B146">
        <v>32</v>
      </c>
      <c r="C146">
        <v>13</v>
      </c>
      <c r="D146">
        <v>19</v>
      </c>
      <c r="E146">
        <v>2.54</v>
      </c>
      <c r="F146">
        <v>2333</v>
      </c>
      <c r="G146">
        <v>817</v>
      </c>
      <c r="H146">
        <v>1905</v>
      </c>
      <c r="I146">
        <v>465</v>
      </c>
      <c r="J146">
        <v>591</v>
      </c>
      <c r="K146">
        <v>293</v>
      </c>
      <c r="L146">
        <v>1124</v>
      </c>
      <c r="M146">
        <v>410</v>
      </c>
      <c r="N146">
        <v>189</v>
      </c>
      <c r="O146">
        <v>90</v>
      </c>
      <c r="P146">
        <v>374</v>
      </c>
      <c r="Q146">
        <v>546</v>
      </c>
      <c r="R146">
        <v>145</v>
      </c>
    </row>
    <row r="147" spans="1:18">
      <c r="A147" s="1" t="s">
        <v>279</v>
      </c>
      <c r="B147">
        <v>31</v>
      </c>
      <c r="C147">
        <v>10</v>
      </c>
      <c r="D147">
        <v>21</v>
      </c>
      <c r="E147">
        <v>-6.04</v>
      </c>
      <c r="F147">
        <v>2207</v>
      </c>
      <c r="G147">
        <v>777</v>
      </c>
      <c r="H147">
        <v>1709</v>
      </c>
      <c r="I147">
        <v>390</v>
      </c>
      <c r="J147">
        <v>507</v>
      </c>
      <c r="K147">
        <v>210</v>
      </c>
      <c r="L147">
        <v>1026</v>
      </c>
      <c r="M147">
        <v>386</v>
      </c>
      <c r="N147">
        <v>131</v>
      </c>
      <c r="O147">
        <v>103</v>
      </c>
      <c r="P147">
        <v>411</v>
      </c>
      <c r="Q147">
        <v>515</v>
      </c>
      <c r="R147">
        <v>146</v>
      </c>
    </row>
    <row r="148" spans="1:18">
      <c r="A148" s="1" t="s">
        <v>280</v>
      </c>
      <c r="B148">
        <v>33</v>
      </c>
      <c r="C148">
        <v>19</v>
      </c>
      <c r="D148">
        <v>14</v>
      </c>
      <c r="E148">
        <v>-7.22</v>
      </c>
      <c r="F148">
        <v>2500</v>
      </c>
      <c r="G148">
        <v>873</v>
      </c>
      <c r="H148">
        <v>2026</v>
      </c>
      <c r="I148">
        <v>497</v>
      </c>
      <c r="J148">
        <v>757</v>
      </c>
      <c r="K148">
        <v>426</v>
      </c>
      <c r="L148">
        <v>1246</v>
      </c>
      <c r="M148">
        <v>449</v>
      </c>
      <c r="N148">
        <v>281</v>
      </c>
      <c r="O148">
        <v>75</v>
      </c>
      <c r="P148">
        <v>430</v>
      </c>
      <c r="Q148">
        <v>654</v>
      </c>
      <c r="R148">
        <v>147</v>
      </c>
    </row>
    <row r="149" spans="1:18">
      <c r="A149" s="1" t="s">
        <v>124</v>
      </c>
      <c r="B149">
        <v>30</v>
      </c>
      <c r="C149">
        <v>16</v>
      </c>
      <c r="D149">
        <v>14</v>
      </c>
      <c r="E149">
        <v>-5.66</v>
      </c>
      <c r="F149">
        <v>2336</v>
      </c>
      <c r="G149">
        <v>835</v>
      </c>
      <c r="H149">
        <v>1845</v>
      </c>
      <c r="I149">
        <v>373</v>
      </c>
      <c r="J149">
        <v>480</v>
      </c>
      <c r="K149">
        <v>269</v>
      </c>
      <c r="L149">
        <v>1074</v>
      </c>
      <c r="M149">
        <v>428</v>
      </c>
      <c r="N149">
        <v>184</v>
      </c>
      <c r="O149">
        <v>53</v>
      </c>
      <c r="P149">
        <v>380</v>
      </c>
      <c r="Q149">
        <v>553</v>
      </c>
      <c r="R149">
        <v>148</v>
      </c>
    </row>
    <row r="150" spans="1:18">
      <c r="A150" s="1" t="s">
        <v>125</v>
      </c>
      <c r="B150">
        <v>37</v>
      </c>
      <c r="C150">
        <v>22</v>
      </c>
      <c r="D150">
        <v>15</v>
      </c>
      <c r="E150">
        <v>-6.23</v>
      </c>
      <c r="F150">
        <v>2621</v>
      </c>
      <c r="G150">
        <v>899</v>
      </c>
      <c r="H150">
        <v>1948</v>
      </c>
      <c r="I150">
        <v>523</v>
      </c>
      <c r="J150">
        <v>660</v>
      </c>
      <c r="K150">
        <v>271</v>
      </c>
      <c r="L150">
        <v>1239</v>
      </c>
      <c r="M150">
        <v>521</v>
      </c>
      <c r="N150">
        <v>218</v>
      </c>
      <c r="O150">
        <v>94</v>
      </c>
      <c r="P150">
        <v>438</v>
      </c>
      <c r="Q150">
        <v>613</v>
      </c>
      <c r="R150">
        <v>149</v>
      </c>
    </row>
    <row r="151" spans="1:18">
      <c r="A151" s="1" t="s">
        <v>320</v>
      </c>
      <c r="B151">
        <v>33</v>
      </c>
      <c r="C151">
        <v>23</v>
      </c>
      <c r="D151">
        <v>10</v>
      </c>
      <c r="E151">
        <v>-3.8</v>
      </c>
      <c r="F151">
        <v>2708</v>
      </c>
      <c r="G151">
        <v>924</v>
      </c>
      <c r="H151">
        <v>2040</v>
      </c>
      <c r="I151">
        <v>593</v>
      </c>
      <c r="J151">
        <v>826</v>
      </c>
      <c r="K151">
        <v>346</v>
      </c>
      <c r="L151">
        <v>1276</v>
      </c>
      <c r="M151">
        <v>517</v>
      </c>
      <c r="N151">
        <v>216</v>
      </c>
      <c r="O151">
        <v>102</v>
      </c>
      <c r="P151">
        <v>493</v>
      </c>
      <c r="Q151">
        <v>656</v>
      </c>
      <c r="R151">
        <v>150</v>
      </c>
    </row>
    <row r="152" spans="1:18">
      <c r="A152" s="1" t="s">
        <v>126</v>
      </c>
      <c r="B152">
        <v>33</v>
      </c>
      <c r="C152">
        <v>15</v>
      </c>
      <c r="D152">
        <v>18</v>
      </c>
      <c r="E152">
        <v>0.89</v>
      </c>
      <c r="F152">
        <v>2485</v>
      </c>
      <c r="G152">
        <v>866</v>
      </c>
      <c r="H152">
        <v>1917</v>
      </c>
      <c r="I152">
        <v>557</v>
      </c>
      <c r="J152">
        <v>765</v>
      </c>
      <c r="K152">
        <v>381</v>
      </c>
      <c r="L152">
        <v>1195</v>
      </c>
      <c r="M152">
        <v>419</v>
      </c>
      <c r="N152">
        <v>218</v>
      </c>
      <c r="O152">
        <v>119</v>
      </c>
      <c r="P152">
        <v>501</v>
      </c>
      <c r="Q152">
        <v>592</v>
      </c>
      <c r="R152">
        <v>151</v>
      </c>
    </row>
    <row r="153" spans="1:18">
      <c r="A153" s="1" t="s">
        <v>127</v>
      </c>
      <c r="B153">
        <v>35</v>
      </c>
      <c r="C153">
        <v>18</v>
      </c>
      <c r="D153">
        <v>17</v>
      </c>
      <c r="E153">
        <v>-8.19</v>
      </c>
      <c r="F153">
        <v>2696</v>
      </c>
      <c r="G153">
        <v>935</v>
      </c>
      <c r="H153">
        <v>2055</v>
      </c>
      <c r="I153">
        <v>547</v>
      </c>
      <c r="J153">
        <v>786</v>
      </c>
      <c r="K153">
        <v>370</v>
      </c>
      <c r="L153">
        <v>1327</v>
      </c>
      <c r="M153">
        <v>442</v>
      </c>
      <c r="N153">
        <v>194</v>
      </c>
      <c r="O153">
        <v>111</v>
      </c>
      <c r="P153">
        <v>496</v>
      </c>
      <c r="Q153">
        <v>687</v>
      </c>
      <c r="R153">
        <v>152</v>
      </c>
    </row>
    <row r="154" spans="1:18">
      <c r="A154" s="1" t="s">
        <v>331</v>
      </c>
      <c r="B154">
        <v>33</v>
      </c>
      <c r="C154">
        <v>7</v>
      </c>
      <c r="D154">
        <v>26</v>
      </c>
      <c r="E154">
        <v>-4.3099999999999996</v>
      </c>
      <c r="F154">
        <v>2088</v>
      </c>
      <c r="G154">
        <v>728</v>
      </c>
      <c r="H154">
        <v>1764</v>
      </c>
      <c r="I154">
        <v>406</v>
      </c>
      <c r="J154">
        <v>591</v>
      </c>
      <c r="K154">
        <v>262</v>
      </c>
      <c r="L154">
        <v>1070</v>
      </c>
      <c r="M154">
        <v>327</v>
      </c>
      <c r="N154">
        <v>218</v>
      </c>
      <c r="O154">
        <v>103</v>
      </c>
      <c r="P154">
        <v>516</v>
      </c>
      <c r="Q154">
        <v>575</v>
      </c>
      <c r="R154">
        <v>153</v>
      </c>
    </row>
    <row r="155" spans="1:18">
      <c r="A155" s="1" t="s">
        <v>281</v>
      </c>
      <c r="B155">
        <v>34</v>
      </c>
      <c r="C155">
        <v>27</v>
      </c>
      <c r="D155">
        <v>7</v>
      </c>
      <c r="E155">
        <v>-2.54</v>
      </c>
      <c r="F155">
        <v>2829</v>
      </c>
      <c r="G155">
        <v>971</v>
      </c>
      <c r="H155">
        <v>2093</v>
      </c>
      <c r="I155">
        <v>590</v>
      </c>
      <c r="J155">
        <v>775</v>
      </c>
      <c r="K155">
        <v>435</v>
      </c>
      <c r="L155">
        <v>1325</v>
      </c>
      <c r="M155">
        <v>591</v>
      </c>
      <c r="N155">
        <v>255</v>
      </c>
      <c r="O155">
        <v>147</v>
      </c>
      <c r="P155">
        <v>455</v>
      </c>
      <c r="Q155">
        <v>648</v>
      </c>
      <c r="R155">
        <v>154</v>
      </c>
    </row>
    <row r="156" spans="1:18">
      <c r="A156" s="1" t="s">
        <v>128</v>
      </c>
      <c r="B156">
        <v>32</v>
      </c>
      <c r="C156">
        <v>16</v>
      </c>
      <c r="D156">
        <v>16</v>
      </c>
      <c r="E156">
        <v>-3.31</v>
      </c>
      <c r="F156">
        <v>2235</v>
      </c>
      <c r="G156">
        <v>811</v>
      </c>
      <c r="H156">
        <v>1863</v>
      </c>
      <c r="I156">
        <v>325</v>
      </c>
      <c r="J156">
        <v>453</v>
      </c>
      <c r="K156">
        <v>297</v>
      </c>
      <c r="L156">
        <v>1077</v>
      </c>
      <c r="M156">
        <v>446</v>
      </c>
      <c r="N156">
        <v>207</v>
      </c>
      <c r="O156">
        <v>42</v>
      </c>
      <c r="P156">
        <v>380</v>
      </c>
      <c r="Q156">
        <v>535</v>
      </c>
      <c r="R156">
        <v>155</v>
      </c>
    </row>
    <row r="157" spans="1:18">
      <c r="A157" s="1" t="s">
        <v>282</v>
      </c>
      <c r="B157">
        <v>33</v>
      </c>
      <c r="C157">
        <v>18</v>
      </c>
      <c r="D157">
        <v>15</v>
      </c>
      <c r="E157">
        <v>8.0299999999999994</v>
      </c>
      <c r="F157">
        <v>2559</v>
      </c>
      <c r="G157">
        <v>916</v>
      </c>
      <c r="H157">
        <v>1926</v>
      </c>
      <c r="I157">
        <v>459</v>
      </c>
      <c r="J157">
        <v>628</v>
      </c>
      <c r="K157">
        <v>317</v>
      </c>
      <c r="L157">
        <v>1101</v>
      </c>
      <c r="M157">
        <v>467</v>
      </c>
      <c r="N157">
        <v>252</v>
      </c>
      <c r="O157">
        <v>110</v>
      </c>
      <c r="P157">
        <v>382</v>
      </c>
      <c r="Q157">
        <v>585</v>
      </c>
      <c r="R157">
        <v>156</v>
      </c>
    </row>
    <row r="158" spans="1:18">
      <c r="A158" s="1" t="s">
        <v>129</v>
      </c>
      <c r="B158">
        <v>33</v>
      </c>
      <c r="C158">
        <v>17</v>
      </c>
      <c r="D158">
        <v>16</v>
      </c>
      <c r="E158">
        <v>-0.12</v>
      </c>
      <c r="F158">
        <v>2468</v>
      </c>
      <c r="G158">
        <v>838</v>
      </c>
      <c r="H158">
        <v>1877</v>
      </c>
      <c r="I158">
        <v>505</v>
      </c>
      <c r="J158">
        <v>697</v>
      </c>
      <c r="K158">
        <v>314</v>
      </c>
      <c r="L158">
        <v>1137</v>
      </c>
      <c r="M158">
        <v>470</v>
      </c>
      <c r="N158">
        <v>196</v>
      </c>
      <c r="O158">
        <v>132</v>
      </c>
      <c r="P158">
        <v>405</v>
      </c>
      <c r="Q158">
        <v>568</v>
      </c>
      <c r="R158">
        <v>157</v>
      </c>
    </row>
    <row r="159" spans="1:18">
      <c r="A159" s="1" t="s">
        <v>283</v>
      </c>
      <c r="B159">
        <v>36</v>
      </c>
      <c r="C159">
        <v>22</v>
      </c>
      <c r="D159">
        <v>14</v>
      </c>
      <c r="E159">
        <v>9.08</v>
      </c>
      <c r="F159">
        <v>2721</v>
      </c>
      <c r="G159">
        <v>969</v>
      </c>
      <c r="H159">
        <v>2140</v>
      </c>
      <c r="I159">
        <v>503</v>
      </c>
      <c r="J159">
        <v>683</v>
      </c>
      <c r="K159">
        <v>358</v>
      </c>
      <c r="L159">
        <v>1317</v>
      </c>
      <c r="M159">
        <v>489</v>
      </c>
      <c r="N159">
        <v>251</v>
      </c>
      <c r="O159">
        <v>217</v>
      </c>
      <c r="P159">
        <v>425</v>
      </c>
      <c r="Q159">
        <v>585</v>
      </c>
      <c r="R159">
        <v>158</v>
      </c>
    </row>
    <row r="160" spans="1:18">
      <c r="A160" s="1" t="s">
        <v>130</v>
      </c>
      <c r="B160">
        <v>38</v>
      </c>
      <c r="C160">
        <v>32</v>
      </c>
      <c r="D160">
        <v>6</v>
      </c>
      <c r="E160">
        <v>1.81</v>
      </c>
      <c r="F160">
        <v>2721</v>
      </c>
      <c r="G160">
        <v>995</v>
      </c>
      <c r="H160">
        <v>1963</v>
      </c>
      <c r="I160">
        <v>454</v>
      </c>
      <c r="J160">
        <v>626</v>
      </c>
      <c r="K160">
        <v>238</v>
      </c>
      <c r="L160">
        <v>1222</v>
      </c>
      <c r="M160">
        <v>594</v>
      </c>
      <c r="N160">
        <v>241</v>
      </c>
      <c r="O160">
        <v>90</v>
      </c>
      <c r="P160">
        <v>472</v>
      </c>
      <c r="Q160">
        <v>528</v>
      </c>
      <c r="R160">
        <v>159</v>
      </c>
    </row>
    <row r="161" spans="1:18">
      <c r="A161" s="1" t="s">
        <v>131</v>
      </c>
      <c r="B161">
        <v>31</v>
      </c>
      <c r="C161">
        <v>11</v>
      </c>
      <c r="D161">
        <v>20</v>
      </c>
      <c r="E161">
        <v>1.0900000000000001</v>
      </c>
      <c r="F161">
        <v>2226</v>
      </c>
      <c r="G161">
        <v>803</v>
      </c>
      <c r="H161">
        <v>1813</v>
      </c>
      <c r="I161">
        <v>421</v>
      </c>
      <c r="J161">
        <v>593</v>
      </c>
      <c r="K161">
        <v>375</v>
      </c>
      <c r="L161">
        <v>1011</v>
      </c>
      <c r="M161">
        <v>439</v>
      </c>
      <c r="N161">
        <v>216</v>
      </c>
      <c r="O161">
        <v>72</v>
      </c>
      <c r="P161">
        <v>407</v>
      </c>
      <c r="Q161">
        <v>607</v>
      </c>
      <c r="R161">
        <v>160</v>
      </c>
    </row>
    <row r="162" spans="1:18">
      <c r="A162" s="1" t="s">
        <v>132</v>
      </c>
      <c r="B162">
        <v>31</v>
      </c>
      <c r="C162">
        <v>9</v>
      </c>
      <c r="D162">
        <v>22</v>
      </c>
      <c r="E162">
        <v>-5.25</v>
      </c>
      <c r="F162">
        <v>2154</v>
      </c>
      <c r="G162">
        <v>797</v>
      </c>
      <c r="H162">
        <v>1820</v>
      </c>
      <c r="I162">
        <v>397</v>
      </c>
      <c r="J162">
        <v>608</v>
      </c>
      <c r="K162">
        <v>332</v>
      </c>
      <c r="L162">
        <v>1076</v>
      </c>
      <c r="M162">
        <v>360</v>
      </c>
      <c r="N162">
        <v>218</v>
      </c>
      <c r="O162">
        <v>97</v>
      </c>
      <c r="P162">
        <v>414</v>
      </c>
      <c r="Q162">
        <v>614</v>
      </c>
      <c r="R162">
        <v>161</v>
      </c>
    </row>
    <row r="163" spans="1:18">
      <c r="A163" s="1" t="s">
        <v>133</v>
      </c>
      <c r="B163">
        <v>32</v>
      </c>
      <c r="C163">
        <v>6</v>
      </c>
      <c r="D163">
        <v>26</v>
      </c>
      <c r="E163">
        <v>-3.28</v>
      </c>
      <c r="F163">
        <v>2140</v>
      </c>
      <c r="G163">
        <v>765</v>
      </c>
      <c r="H163">
        <v>1873</v>
      </c>
      <c r="I163">
        <v>385</v>
      </c>
      <c r="J163">
        <v>559</v>
      </c>
      <c r="K163">
        <v>306</v>
      </c>
      <c r="L163">
        <v>1131</v>
      </c>
      <c r="M163">
        <v>378</v>
      </c>
      <c r="N163">
        <v>206</v>
      </c>
      <c r="O163">
        <v>94</v>
      </c>
      <c r="P163">
        <v>496</v>
      </c>
      <c r="Q163">
        <v>624</v>
      </c>
      <c r="R163">
        <v>162</v>
      </c>
    </row>
    <row r="164" spans="1:18">
      <c r="A164" s="1" t="s">
        <v>134</v>
      </c>
      <c r="B164">
        <v>31</v>
      </c>
      <c r="C164">
        <v>14</v>
      </c>
      <c r="D164">
        <v>17</v>
      </c>
      <c r="E164">
        <v>-4.1500000000000004</v>
      </c>
      <c r="F164">
        <v>2147</v>
      </c>
      <c r="G164">
        <v>737</v>
      </c>
      <c r="H164">
        <v>1661</v>
      </c>
      <c r="I164">
        <v>434</v>
      </c>
      <c r="J164">
        <v>625</v>
      </c>
      <c r="K164">
        <v>319</v>
      </c>
      <c r="L164">
        <v>1030</v>
      </c>
      <c r="M164">
        <v>433</v>
      </c>
      <c r="N164">
        <v>186</v>
      </c>
      <c r="O164">
        <v>121</v>
      </c>
      <c r="P164">
        <v>482</v>
      </c>
      <c r="Q164">
        <v>616</v>
      </c>
      <c r="R164">
        <v>163</v>
      </c>
    </row>
    <row r="165" spans="1:18">
      <c r="A165" s="1" t="s">
        <v>135</v>
      </c>
      <c r="B165">
        <v>31</v>
      </c>
      <c r="C165">
        <v>6</v>
      </c>
      <c r="D165">
        <v>25</v>
      </c>
      <c r="E165">
        <v>-3.57</v>
      </c>
      <c r="F165">
        <v>2239</v>
      </c>
      <c r="G165">
        <v>761</v>
      </c>
      <c r="H165">
        <v>1710</v>
      </c>
      <c r="I165">
        <v>437</v>
      </c>
      <c r="J165">
        <v>612</v>
      </c>
      <c r="K165">
        <v>233</v>
      </c>
      <c r="L165">
        <v>1041</v>
      </c>
      <c r="M165">
        <v>369</v>
      </c>
      <c r="N165">
        <v>130</v>
      </c>
      <c r="O165">
        <v>77</v>
      </c>
      <c r="P165">
        <v>488</v>
      </c>
      <c r="Q165">
        <v>547</v>
      </c>
      <c r="R165">
        <v>164</v>
      </c>
    </row>
    <row r="166" spans="1:18">
      <c r="A166" s="1" t="s">
        <v>136</v>
      </c>
      <c r="B166">
        <v>35</v>
      </c>
      <c r="C166">
        <v>21</v>
      </c>
      <c r="D166">
        <v>14</v>
      </c>
      <c r="E166">
        <v>9.6999999999999993</v>
      </c>
      <c r="F166">
        <v>2846</v>
      </c>
      <c r="G166">
        <v>989</v>
      </c>
      <c r="H166">
        <v>2081</v>
      </c>
      <c r="I166">
        <v>483</v>
      </c>
      <c r="J166">
        <v>600</v>
      </c>
      <c r="K166">
        <v>315</v>
      </c>
      <c r="L166">
        <v>1114</v>
      </c>
      <c r="M166">
        <v>551</v>
      </c>
      <c r="N166">
        <v>214</v>
      </c>
      <c r="O166">
        <v>128</v>
      </c>
      <c r="P166">
        <v>431</v>
      </c>
      <c r="Q166">
        <v>679</v>
      </c>
      <c r="R166">
        <v>165</v>
      </c>
    </row>
    <row r="167" spans="1:18">
      <c r="A167" s="1" t="s">
        <v>137</v>
      </c>
      <c r="B167">
        <v>36</v>
      </c>
      <c r="C167">
        <v>25</v>
      </c>
      <c r="D167">
        <v>11</v>
      </c>
      <c r="E167">
        <v>0.44</v>
      </c>
      <c r="F167">
        <v>3017</v>
      </c>
      <c r="G167">
        <v>1042</v>
      </c>
      <c r="H167">
        <v>2232</v>
      </c>
      <c r="I167">
        <v>571</v>
      </c>
      <c r="J167">
        <v>747</v>
      </c>
      <c r="K167">
        <v>293</v>
      </c>
      <c r="L167">
        <v>1287</v>
      </c>
      <c r="M167">
        <v>615</v>
      </c>
      <c r="N167">
        <v>252</v>
      </c>
      <c r="O167">
        <v>209</v>
      </c>
      <c r="P167">
        <v>476</v>
      </c>
      <c r="Q167">
        <v>617</v>
      </c>
      <c r="R167">
        <v>166</v>
      </c>
    </row>
    <row r="168" spans="1:18">
      <c r="A168" s="1" t="s">
        <v>138</v>
      </c>
      <c r="B168">
        <v>36</v>
      </c>
      <c r="C168">
        <v>25</v>
      </c>
      <c r="D168">
        <v>11</v>
      </c>
      <c r="E168">
        <v>-3.84</v>
      </c>
      <c r="F168">
        <v>2630</v>
      </c>
      <c r="G168">
        <v>926</v>
      </c>
      <c r="H168">
        <v>2088</v>
      </c>
      <c r="I168">
        <v>414</v>
      </c>
      <c r="J168">
        <v>641</v>
      </c>
      <c r="K168">
        <v>348</v>
      </c>
      <c r="L168">
        <v>1245</v>
      </c>
      <c r="M168">
        <v>547</v>
      </c>
      <c r="N168">
        <v>269</v>
      </c>
      <c r="O168">
        <v>87</v>
      </c>
      <c r="P168">
        <v>440</v>
      </c>
      <c r="Q168">
        <v>592</v>
      </c>
      <c r="R168">
        <v>167</v>
      </c>
    </row>
    <row r="169" spans="1:18">
      <c r="A169" s="1" t="s">
        <v>139</v>
      </c>
      <c r="B169">
        <v>32</v>
      </c>
      <c r="C169">
        <v>7</v>
      </c>
      <c r="D169">
        <v>25</v>
      </c>
      <c r="E169">
        <v>-7.57</v>
      </c>
      <c r="F169">
        <v>1992</v>
      </c>
      <c r="G169">
        <v>710</v>
      </c>
      <c r="H169">
        <v>1844</v>
      </c>
      <c r="I169">
        <v>366</v>
      </c>
      <c r="J169">
        <v>542</v>
      </c>
      <c r="K169">
        <v>348</v>
      </c>
      <c r="L169">
        <v>1065</v>
      </c>
      <c r="M169">
        <v>347</v>
      </c>
      <c r="N169">
        <v>151</v>
      </c>
      <c r="O169">
        <v>57</v>
      </c>
      <c r="P169">
        <v>417</v>
      </c>
      <c r="Q169">
        <v>548</v>
      </c>
      <c r="R169">
        <v>168</v>
      </c>
    </row>
    <row r="170" spans="1:18">
      <c r="A170" s="1" t="s">
        <v>332</v>
      </c>
      <c r="B170">
        <v>32</v>
      </c>
      <c r="C170">
        <v>19</v>
      </c>
      <c r="D170">
        <v>13</v>
      </c>
      <c r="E170">
        <v>7.94</v>
      </c>
      <c r="F170">
        <v>2338</v>
      </c>
      <c r="G170">
        <v>811</v>
      </c>
      <c r="H170">
        <v>1696</v>
      </c>
      <c r="I170">
        <v>487</v>
      </c>
      <c r="J170">
        <v>645</v>
      </c>
      <c r="K170">
        <v>305</v>
      </c>
      <c r="L170">
        <v>1149</v>
      </c>
      <c r="M170">
        <v>452</v>
      </c>
      <c r="N170">
        <v>138</v>
      </c>
      <c r="O170">
        <v>137</v>
      </c>
      <c r="P170">
        <v>438</v>
      </c>
      <c r="Q170">
        <v>512</v>
      </c>
      <c r="R170">
        <v>169</v>
      </c>
    </row>
    <row r="171" spans="1:18">
      <c r="A171" s="1" t="s">
        <v>366</v>
      </c>
      <c r="B171">
        <v>30</v>
      </c>
      <c r="C171">
        <v>12</v>
      </c>
      <c r="D171">
        <v>18</v>
      </c>
      <c r="E171">
        <v>-5.78</v>
      </c>
      <c r="F171">
        <v>2286</v>
      </c>
      <c r="G171">
        <v>791</v>
      </c>
      <c r="H171">
        <v>1719</v>
      </c>
      <c r="I171">
        <v>489</v>
      </c>
      <c r="J171">
        <v>690</v>
      </c>
      <c r="K171">
        <v>281</v>
      </c>
      <c r="L171">
        <v>969</v>
      </c>
      <c r="M171">
        <v>435</v>
      </c>
      <c r="N171">
        <v>210</v>
      </c>
      <c r="O171">
        <v>86</v>
      </c>
      <c r="P171">
        <v>405</v>
      </c>
      <c r="Q171">
        <v>538</v>
      </c>
      <c r="R171">
        <v>170</v>
      </c>
    </row>
    <row r="172" spans="1:18">
      <c r="A172" s="1" t="s">
        <v>140</v>
      </c>
      <c r="B172">
        <v>33</v>
      </c>
      <c r="C172">
        <v>13</v>
      </c>
      <c r="D172">
        <v>20</v>
      </c>
      <c r="E172">
        <v>1.1000000000000001</v>
      </c>
      <c r="F172">
        <v>2374</v>
      </c>
      <c r="G172">
        <v>861</v>
      </c>
      <c r="H172">
        <v>1918</v>
      </c>
      <c r="I172">
        <v>359</v>
      </c>
      <c r="J172">
        <v>481</v>
      </c>
      <c r="K172">
        <v>300</v>
      </c>
      <c r="L172">
        <v>1084</v>
      </c>
      <c r="M172">
        <v>505</v>
      </c>
      <c r="N172">
        <v>159</v>
      </c>
      <c r="O172">
        <v>98</v>
      </c>
      <c r="P172">
        <v>423</v>
      </c>
      <c r="Q172">
        <v>595</v>
      </c>
      <c r="R172">
        <v>171</v>
      </c>
    </row>
    <row r="173" spans="1:18">
      <c r="A173" s="1" t="s">
        <v>141</v>
      </c>
      <c r="B173">
        <v>29</v>
      </c>
      <c r="C173">
        <v>12</v>
      </c>
      <c r="D173">
        <v>17</v>
      </c>
      <c r="E173">
        <v>-6.1</v>
      </c>
      <c r="F173">
        <v>2184</v>
      </c>
      <c r="G173">
        <v>780</v>
      </c>
      <c r="H173">
        <v>1787</v>
      </c>
      <c r="I173">
        <v>419</v>
      </c>
      <c r="J173">
        <v>590</v>
      </c>
      <c r="K173">
        <v>326</v>
      </c>
      <c r="L173">
        <v>1144</v>
      </c>
      <c r="M173">
        <v>327</v>
      </c>
      <c r="N173">
        <v>156</v>
      </c>
      <c r="O173">
        <v>133</v>
      </c>
      <c r="P173">
        <v>416</v>
      </c>
      <c r="Q173">
        <v>505</v>
      </c>
      <c r="R173">
        <v>172</v>
      </c>
    </row>
    <row r="174" spans="1:18">
      <c r="A174" s="1" t="s">
        <v>142</v>
      </c>
      <c r="B174">
        <v>34</v>
      </c>
      <c r="C174">
        <v>21</v>
      </c>
      <c r="D174">
        <v>13</v>
      </c>
      <c r="E174">
        <v>2.16</v>
      </c>
      <c r="F174">
        <v>2408</v>
      </c>
      <c r="G174">
        <v>828</v>
      </c>
      <c r="H174">
        <v>1832</v>
      </c>
      <c r="I174">
        <v>551</v>
      </c>
      <c r="J174">
        <v>798</v>
      </c>
      <c r="K174">
        <v>391</v>
      </c>
      <c r="L174">
        <v>1166</v>
      </c>
      <c r="M174">
        <v>443</v>
      </c>
      <c r="N174">
        <v>201</v>
      </c>
      <c r="O174">
        <v>129</v>
      </c>
      <c r="P174">
        <v>467</v>
      </c>
      <c r="Q174">
        <v>583</v>
      </c>
      <c r="R174">
        <v>173</v>
      </c>
    </row>
    <row r="175" spans="1:18">
      <c r="A175" s="1" t="s">
        <v>143</v>
      </c>
      <c r="B175">
        <v>34</v>
      </c>
      <c r="C175">
        <v>19</v>
      </c>
      <c r="D175">
        <v>15</v>
      </c>
      <c r="E175">
        <v>-3.5</v>
      </c>
      <c r="F175">
        <v>2561</v>
      </c>
      <c r="G175">
        <v>878</v>
      </c>
      <c r="H175">
        <v>1854</v>
      </c>
      <c r="I175">
        <v>517</v>
      </c>
      <c r="J175">
        <v>680</v>
      </c>
      <c r="K175">
        <v>330</v>
      </c>
      <c r="L175">
        <v>1176</v>
      </c>
      <c r="M175">
        <v>490</v>
      </c>
      <c r="N175">
        <v>182</v>
      </c>
      <c r="O175">
        <v>55</v>
      </c>
      <c r="P175">
        <v>424</v>
      </c>
      <c r="Q175">
        <v>582</v>
      </c>
      <c r="R175">
        <v>174</v>
      </c>
    </row>
    <row r="176" spans="1:18">
      <c r="A176" s="1" t="s">
        <v>284</v>
      </c>
      <c r="B176">
        <v>32</v>
      </c>
      <c r="C176">
        <v>22</v>
      </c>
      <c r="D176">
        <v>10</v>
      </c>
      <c r="E176">
        <v>6.96</v>
      </c>
      <c r="F176">
        <v>2361</v>
      </c>
      <c r="G176">
        <v>875</v>
      </c>
      <c r="H176">
        <v>1881</v>
      </c>
      <c r="I176">
        <v>362</v>
      </c>
      <c r="J176">
        <v>547</v>
      </c>
      <c r="K176">
        <v>318</v>
      </c>
      <c r="L176">
        <v>1113</v>
      </c>
      <c r="M176">
        <v>424</v>
      </c>
      <c r="N176">
        <v>210</v>
      </c>
      <c r="O176">
        <v>130</v>
      </c>
      <c r="P176">
        <v>367</v>
      </c>
      <c r="Q176">
        <v>518</v>
      </c>
      <c r="R176">
        <v>175</v>
      </c>
    </row>
    <row r="177" spans="1:18">
      <c r="A177" s="1" t="s">
        <v>144</v>
      </c>
      <c r="B177">
        <v>34</v>
      </c>
      <c r="C177">
        <v>16</v>
      </c>
      <c r="D177">
        <v>18</v>
      </c>
      <c r="E177">
        <v>-1.1499999999999999</v>
      </c>
      <c r="F177">
        <v>2449</v>
      </c>
      <c r="G177">
        <v>886</v>
      </c>
      <c r="H177">
        <v>2006</v>
      </c>
      <c r="I177">
        <v>376</v>
      </c>
      <c r="J177">
        <v>548</v>
      </c>
      <c r="K177">
        <v>339</v>
      </c>
      <c r="L177">
        <v>1232</v>
      </c>
      <c r="M177">
        <v>453</v>
      </c>
      <c r="N177">
        <v>257</v>
      </c>
      <c r="O177">
        <v>88</v>
      </c>
      <c r="P177">
        <v>453</v>
      </c>
      <c r="Q177">
        <v>569</v>
      </c>
      <c r="R177">
        <v>176</v>
      </c>
    </row>
    <row r="178" spans="1:18">
      <c r="A178" s="1" t="s">
        <v>377</v>
      </c>
      <c r="B178">
        <v>35</v>
      </c>
      <c r="C178">
        <v>30</v>
      </c>
      <c r="D178">
        <v>5</v>
      </c>
      <c r="E178">
        <v>7.1</v>
      </c>
      <c r="F178">
        <v>2807</v>
      </c>
      <c r="G178">
        <v>991</v>
      </c>
      <c r="H178">
        <v>1996</v>
      </c>
      <c r="I178">
        <v>535</v>
      </c>
      <c r="J178">
        <v>716</v>
      </c>
      <c r="K178">
        <v>405</v>
      </c>
      <c r="L178">
        <v>1439</v>
      </c>
      <c r="M178">
        <v>670</v>
      </c>
      <c r="N178">
        <v>143</v>
      </c>
      <c r="O178">
        <v>251</v>
      </c>
      <c r="P178">
        <v>459</v>
      </c>
      <c r="Q178">
        <v>640</v>
      </c>
      <c r="R178">
        <v>177</v>
      </c>
    </row>
    <row r="179" spans="1:18">
      <c r="A179" s="1" t="s">
        <v>145</v>
      </c>
      <c r="B179">
        <v>41</v>
      </c>
      <c r="C179">
        <v>33</v>
      </c>
      <c r="D179">
        <v>8</v>
      </c>
      <c r="E179">
        <v>9.41</v>
      </c>
      <c r="F179">
        <v>3019</v>
      </c>
      <c r="G179">
        <v>1092</v>
      </c>
      <c r="H179">
        <v>2335</v>
      </c>
      <c r="I179">
        <v>474</v>
      </c>
      <c r="J179">
        <v>717</v>
      </c>
      <c r="K179">
        <v>345</v>
      </c>
      <c r="L179">
        <v>1367</v>
      </c>
      <c r="M179">
        <v>585</v>
      </c>
      <c r="N179">
        <v>261</v>
      </c>
      <c r="O179">
        <v>126</v>
      </c>
      <c r="P179">
        <v>379</v>
      </c>
      <c r="Q179">
        <v>643</v>
      </c>
      <c r="R179">
        <v>178</v>
      </c>
    </row>
    <row r="180" spans="1:18">
      <c r="A180" s="1" t="s">
        <v>146</v>
      </c>
      <c r="B180">
        <v>33</v>
      </c>
      <c r="C180">
        <v>25</v>
      </c>
      <c r="D180">
        <v>8</v>
      </c>
      <c r="E180">
        <v>2.83</v>
      </c>
      <c r="F180">
        <v>2479</v>
      </c>
      <c r="G180">
        <v>902</v>
      </c>
      <c r="H180">
        <v>1914</v>
      </c>
      <c r="I180">
        <v>434</v>
      </c>
      <c r="J180">
        <v>585</v>
      </c>
      <c r="K180">
        <v>346</v>
      </c>
      <c r="L180">
        <v>1182</v>
      </c>
      <c r="M180">
        <v>468</v>
      </c>
      <c r="N180">
        <v>201</v>
      </c>
      <c r="O180">
        <v>76</v>
      </c>
      <c r="P180">
        <v>413</v>
      </c>
      <c r="Q180">
        <v>651</v>
      </c>
      <c r="R180">
        <v>179</v>
      </c>
    </row>
    <row r="181" spans="1:18">
      <c r="A181" s="1" t="s">
        <v>147</v>
      </c>
      <c r="B181">
        <v>33</v>
      </c>
      <c r="C181">
        <v>16</v>
      </c>
      <c r="D181">
        <v>17</v>
      </c>
      <c r="E181">
        <v>-4.25</v>
      </c>
      <c r="F181">
        <v>2259</v>
      </c>
      <c r="G181">
        <v>834</v>
      </c>
      <c r="H181">
        <v>1872</v>
      </c>
      <c r="I181">
        <v>356</v>
      </c>
      <c r="J181">
        <v>528</v>
      </c>
      <c r="K181">
        <v>291</v>
      </c>
      <c r="L181">
        <v>1146</v>
      </c>
      <c r="M181">
        <v>429</v>
      </c>
      <c r="N181">
        <v>196</v>
      </c>
      <c r="O181">
        <v>125</v>
      </c>
      <c r="P181">
        <v>412</v>
      </c>
      <c r="Q181">
        <v>545</v>
      </c>
      <c r="R181">
        <v>180</v>
      </c>
    </row>
    <row r="182" spans="1:18">
      <c r="A182" s="1" t="s">
        <v>148</v>
      </c>
      <c r="B182">
        <v>32</v>
      </c>
      <c r="C182">
        <v>15</v>
      </c>
      <c r="D182">
        <v>17</v>
      </c>
      <c r="E182">
        <v>6.91</v>
      </c>
      <c r="F182">
        <v>2405</v>
      </c>
      <c r="G182">
        <v>850</v>
      </c>
      <c r="H182">
        <v>1971</v>
      </c>
      <c r="I182">
        <v>487</v>
      </c>
      <c r="J182">
        <v>692</v>
      </c>
      <c r="K182">
        <v>371</v>
      </c>
      <c r="L182">
        <v>1221</v>
      </c>
      <c r="M182">
        <v>467</v>
      </c>
      <c r="N182">
        <v>181</v>
      </c>
      <c r="O182">
        <v>163</v>
      </c>
      <c r="P182">
        <v>352</v>
      </c>
      <c r="Q182">
        <v>492</v>
      </c>
      <c r="R182">
        <v>181</v>
      </c>
    </row>
    <row r="183" spans="1:18">
      <c r="A183" s="1" t="s">
        <v>149</v>
      </c>
      <c r="B183">
        <v>37</v>
      </c>
      <c r="C183">
        <v>25</v>
      </c>
      <c r="D183">
        <v>12</v>
      </c>
      <c r="E183">
        <v>6.82</v>
      </c>
      <c r="F183">
        <v>2716</v>
      </c>
      <c r="G183">
        <v>1000</v>
      </c>
      <c r="H183">
        <v>2151</v>
      </c>
      <c r="I183">
        <v>460</v>
      </c>
      <c r="J183">
        <v>666</v>
      </c>
      <c r="K183">
        <v>398</v>
      </c>
      <c r="L183">
        <v>1335</v>
      </c>
      <c r="M183">
        <v>491</v>
      </c>
      <c r="N183">
        <v>243</v>
      </c>
      <c r="O183">
        <v>198</v>
      </c>
      <c r="P183">
        <v>483</v>
      </c>
      <c r="Q183">
        <v>614</v>
      </c>
      <c r="R183">
        <v>182</v>
      </c>
    </row>
    <row r="184" spans="1:18">
      <c r="A184" s="1" t="s">
        <v>150</v>
      </c>
      <c r="B184">
        <v>32</v>
      </c>
      <c r="C184">
        <v>4</v>
      </c>
      <c r="D184">
        <v>28</v>
      </c>
      <c r="E184">
        <v>-8.1300000000000008</v>
      </c>
      <c r="F184">
        <v>2075</v>
      </c>
      <c r="G184">
        <v>758</v>
      </c>
      <c r="H184">
        <v>1979</v>
      </c>
      <c r="I184">
        <v>388</v>
      </c>
      <c r="J184">
        <v>575</v>
      </c>
      <c r="K184">
        <v>395</v>
      </c>
      <c r="L184">
        <v>1138</v>
      </c>
      <c r="M184">
        <v>327</v>
      </c>
      <c r="N184">
        <v>186</v>
      </c>
      <c r="O184">
        <v>56</v>
      </c>
      <c r="P184">
        <v>421</v>
      </c>
      <c r="Q184">
        <v>658</v>
      </c>
      <c r="R184">
        <v>183</v>
      </c>
    </row>
    <row r="185" spans="1:18">
      <c r="A185" s="1" t="s">
        <v>151</v>
      </c>
      <c r="B185">
        <v>32</v>
      </c>
      <c r="C185">
        <v>12</v>
      </c>
      <c r="D185">
        <v>20</v>
      </c>
      <c r="E185">
        <v>9.16</v>
      </c>
      <c r="F185">
        <v>2426</v>
      </c>
      <c r="G185">
        <v>841</v>
      </c>
      <c r="H185">
        <v>1999</v>
      </c>
      <c r="I185">
        <v>493</v>
      </c>
      <c r="J185">
        <v>675</v>
      </c>
      <c r="K185">
        <v>395</v>
      </c>
      <c r="L185">
        <v>1215</v>
      </c>
      <c r="M185">
        <v>468</v>
      </c>
      <c r="N185">
        <v>200</v>
      </c>
      <c r="O185">
        <v>131</v>
      </c>
      <c r="P185">
        <v>365</v>
      </c>
      <c r="Q185">
        <v>609</v>
      </c>
      <c r="R185">
        <v>184</v>
      </c>
    </row>
    <row r="186" spans="1:18">
      <c r="A186" s="1" t="s">
        <v>152</v>
      </c>
      <c r="B186">
        <v>32</v>
      </c>
      <c r="C186">
        <v>10</v>
      </c>
      <c r="D186">
        <v>22</v>
      </c>
      <c r="E186">
        <v>-1.02</v>
      </c>
      <c r="F186">
        <v>2251</v>
      </c>
      <c r="G186">
        <v>756</v>
      </c>
      <c r="H186">
        <v>1859</v>
      </c>
      <c r="I186">
        <v>455</v>
      </c>
      <c r="J186">
        <v>640</v>
      </c>
      <c r="K186">
        <v>260</v>
      </c>
      <c r="L186">
        <v>1018</v>
      </c>
      <c r="M186">
        <v>354</v>
      </c>
      <c r="N186">
        <v>202</v>
      </c>
      <c r="O186">
        <v>81</v>
      </c>
      <c r="P186">
        <v>411</v>
      </c>
      <c r="Q186">
        <v>681</v>
      </c>
      <c r="R186">
        <v>185</v>
      </c>
    </row>
    <row r="187" spans="1:18">
      <c r="A187" s="1" t="s">
        <v>153</v>
      </c>
      <c r="B187">
        <v>33</v>
      </c>
      <c r="C187">
        <v>18</v>
      </c>
      <c r="D187">
        <v>15</v>
      </c>
      <c r="E187">
        <v>0.45</v>
      </c>
      <c r="F187">
        <v>2313</v>
      </c>
      <c r="G187">
        <v>851</v>
      </c>
      <c r="H187">
        <v>1953</v>
      </c>
      <c r="I187">
        <v>377</v>
      </c>
      <c r="J187">
        <v>527</v>
      </c>
      <c r="K187">
        <v>390</v>
      </c>
      <c r="L187">
        <v>1276</v>
      </c>
      <c r="M187">
        <v>425</v>
      </c>
      <c r="N187">
        <v>153</v>
      </c>
      <c r="O187">
        <v>134</v>
      </c>
      <c r="P187">
        <v>382</v>
      </c>
      <c r="Q187">
        <v>575</v>
      </c>
      <c r="R187">
        <v>186</v>
      </c>
    </row>
    <row r="188" spans="1:18">
      <c r="A188" s="1" t="s">
        <v>328</v>
      </c>
      <c r="B188">
        <v>33</v>
      </c>
      <c r="C188">
        <v>20</v>
      </c>
      <c r="D188">
        <v>13</v>
      </c>
      <c r="E188">
        <v>9.19</v>
      </c>
      <c r="F188">
        <v>2399</v>
      </c>
      <c r="G188">
        <v>794</v>
      </c>
      <c r="H188">
        <v>1765</v>
      </c>
      <c r="I188">
        <v>505</v>
      </c>
      <c r="J188">
        <v>688</v>
      </c>
      <c r="K188">
        <v>333</v>
      </c>
      <c r="L188">
        <v>1225</v>
      </c>
      <c r="M188">
        <v>443</v>
      </c>
      <c r="N188">
        <v>170</v>
      </c>
      <c r="O188">
        <v>140</v>
      </c>
      <c r="P188">
        <v>469</v>
      </c>
      <c r="Q188">
        <v>594</v>
      </c>
      <c r="R188">
        <v>187</v>
      </c>
    </row>
    <row r="189" spans="1:18">
      <c r="A189" s="1" t="s">
        <v>154</v>
      </c>
      <c r="B189">
        <v>31</v>
      </c>
      <c r="C189">
        <v>11</v>
      </c>
      <c r="D189">
        <v>20</v>
      </c>
      <c r="E189">
        <v>-1.24</v>
      </c>
      <c r="F189">
        <v>2336</v>
      </c>
      <c r="G189">
        <v>787</v>
      </c>
      <c r="H189">
        <v>1718</v>
      </c>
      <c r="I189">
        <v>539</v>
      </c>
      <c r="J189">
        <v>758</v>
      </c>
      <c r="K189">
        <v>276</v>
      </c>
      <c r="L189">
        <v>1115</v>
      </c>
      <c r="M189">
        <v>399</v>
      </c>
      <c r="N189">
        <v>197</v>
      </c>
      <c r="O189">
        <v>73</v>
      </c>
      <c r="P189">
        <v>473</v>
      </c>
      <c r="Q189">
        <v>674</v>
      </c>
      <c r="R189">
        <v>188</v>
      </c>
    </row>
    <row r="190" spans="1:18">
      <c r="A190" s="1" t="s">
        <v>155</v>
      </c>
      <c r="B190">
        <v>32</v>
      </c>
      <c r="C190">
        <v>13</v>
      </c>
      <c r="D190">
        <v>19</v>
      </c>
      <c r="E190">
        <v>-3.53</v>
      </c>
      <c r="F190">
        <v>2434</v>
      </c>
      <c r="G190">
        <v>817</v>
      </c>
      <c r="H190">
        <v>1929</v>
      </c>
      <c r="I190">
        <v>543</v>
      </c>
      <c r="J190">
        <v>746</v>
      </c>
      <c r="K190">
        <v>358</v>
      </c>
      <c r="L190">
        <v>1168</v>
      </c>
      <c r="M190">
        <v>401</v>
      </c>
      <c r="N190">
        <v>176</v>
      </c>
      <c r="O190">
        <v>66</v>
      </c>
      <c r="P190">
        <v>399</v>
      </c>
      <c r="Q190">
        <v>645</v>
      </c>
      <c r="R190">
        <v>189</v>
      </c>
    </row>
    <row r="191" spans="1:18">
      <c r="A191" s="1" t="s">
        <v>156</v>
      </c>
      <c r="B191">
        <v>34</v>
      </c>
      <c r="C191">
        <v>26</v>
      </c>
      <c r="D191">
        <v>8</v>
      </c>
      <c r="E191">
        <v>-2.25</v>
      </c>
      <c r="F191">
        <v>2625</v>
      </c>
      <c r="G191">
        <v>944</v>
      </c>
      <c r="H191">
        <v>2021</v>
      </c>
      <c r="I191">
        <v>551</v>
      </c>
      <c r="J191">
        <v>780</v>
      </c>
      <c r="K191">
        <v>402</v>
      </c>
      <c r="L191">
        <v>1258</v>
      </c>
      <c r="M191">
        <v>428</v>
      </c>
      <c r="N191">
        <v>264</v>
      </c>
      <c r="O191">
        <v>114</v>
      </c>
      <c r="P191">
        <v>422</v>
      </c>
      <c r="Q191">
        <v>716</v>
      </c>
      <c r="R191">
        <v>190</v>
      </c>
    </row>
    <row r="192" spans="1:18">
      <c r="A192" s="1" t="s">
        <v>157</v>
      </c>
      <c r="B192">
        <v>29</v>
      </c>
      <c r="C192">
        <v>8</v>
      </c>
      <c r="D192">
        <v>21</v>
      </c>
      <c r="E192">
        <v>-1.91</v>
      </c>
      <c r="F192">
        <v>2043</v>
      </c>
      <c r="G192">
        <v>712</v>
      </c>
      <c r="H192">
        <v>1655</v>
      </c>
      <c r="I192">
        <v>415</v>
      </c>
      <c r="J192">
        <v>592</v>
      </c>
      <c r="K192">
        <v>339</v>
      </c>
      <c r="L192">
        <v>1041</v>
      </c>
      <c r="M192">
        <v>344</v>
      </c>
      <c r="N192">
        <v>165</v>
      </c>
      <c r="O192">
        <v>86</v>
      </c>
      <c r="P192">
        <v>456</v>
      </c>
      <c r="Q192">
        <v>598</v>
      </c>
      <c r="R192">
        <v>191</v>
      </c>
    </row>
    <row r="193" spans="1:18">
      <c r="A193" s="1" t="s">
        <v>158</v>
      </c>
      <c r="B193">
        <v>31</v>
      </c>
      <c r="C193">
        <v>13</v>
      </c>
      <c r="D193">
        <v>18</v>
      </c>
      <c r="E193">
        <v>-11.97</v>
      </c>
      <c r="F193">
        <v>2273</v>
      </c>
      <c r="G193">
        <v>787</v>
      </c>
      <c r="H193">
        <v>1883</v>
      </c>
      <c r="I193">
        <v>538</v>
      </c>
      <c r="J193">
        <v>742</v>
      </c>
      <c r="K193">
        <v>424</v>
      </c>
      <c r="L193">
        <v>1187</v>
      </c>
      <c r="M193">
        <v>389</v>
      </c>
      <c r="N193">
        <v>222</v>
      </c>
      <c r="O193">
        <v>88</v>
      </c>
      <c r="P193">
        <v>435</v>
      </c>
      <c r="Q193">
        <v>628</v>
      </c>
      <c r="R193">
        <v>192</v>
      </c>
    </row>
    <row r="194" spans="1:18">
      <c r="A194" s="1" t="s">
        <v>159</v>
      </c>
      <c r="B194">
        <v>32</v>
      </c>
      <c r="C194">
        <v>18</v>
      </c>
      <c r="D194">
        <v>14</v>
      </c>
      <c r="E194">
        <v>-8.0500000000000007</v>
      </c>
      <c r="F194">
        <v>2331</v>
      </c>
      <c r="G194">
        <v>809</v>
      </c>
      <c r="H194">
        <v>1778</v>
      </c>
      <c r="I194">
        <v>390</v>
      </c>
      <c r="J194">
        <v>532</v>
      </c>
      <c r="K194">
        <v>214</v>
      </c>
      <c r="L194">
        <v>918</v>
      </c>
      <c r="M194">
        <v>449</v>
      </c>
      <c r="N194">
        <v>221</v>
      </c>
      <c r="O194">
        <v>125</v>
      </c>
      <c r="P194">
        <v>351</v>
      </c>
      <c r="Q194">
        <v>492</v>
      </c>
      <c r="R194">
        <v>193</v>
      </c>
    </row>
    <row r="195" spans="1:18">
      <c r="A195" s="1" t="s">
        <v>160</v>
      </c>
      <c r="B195">
        <v>32</v>
      </c>
      <c r="C195">
        <v>26</v>
      </c>
      <c r="D195">
        <v>6</v>
      </c>
      <c r="E195">
        <v>-3.53</v>
      </c>
      <c r="F195">
        <v>2515</v>
      </c>
      <c r="G195">
        <v>870</v>
      </c>
      <c r="H195">
        <v>1803</v>
      </c>
      <c r="I195">
        <v>504</v>
      </c>
      <c r="J195">
        <v>687</v>
      </c>
      <c r="K195">
        <v>341</v>
      </c>
      <c r="L195">
        <v>1186</v>
      </c>
      <c r="M195">
        <v>471</v>
      </c>
      <c r="N195">
        <v>216</v>
      </c>
      <c r="O195">
        <v>104</v>
      </c>
      <c r="P195">
        <v>384</v>
      </c>
      <c r="Q195">
        <v>559</v>
      </c>
      <c r="R195">
        <v>194</v>
      </c>
    </row>
    <row r="196" spans="1:18">
      <c r="A196" s="1" t="s">
        <v>161</v>
      </c>
      <c r="B196">
        <v>32</v>
      </c>
      <c r="C196">
        <v>20</v>
      </c>
      <c r="D196">
        <v>12</v>
      </c>
      <c r="E196">
        <v>-7.22</v>
      </c>
      <c r="F196">
        <v>2199</v>
      </c>
      <c r="G196">
        <v>771</v>
      </c>
      <c r="H196">
        <v>1737</v>
      </c>
      <c r="I196">
        <v>451</v>
      </c>
      <c r="J196">
        <v>627</v>
      </c>
      <c r="K196">
        <v>346</v>
      </c>
      <c r="L196">
        <v>1113</v>
      </c>
      <c r="M196">
        <v>450</v>
      </c>
      <c r="N196">
        <v>206</v>
      </c>
      <c r="O196">
        <v>41</v>
      </c>
      <c r="P196">
        <v>453</v>
      </c>
      <c r="Q196">
        <v>553</v>
      </c>
      <c r="R196">
        <v>195</v>
      </c>
    </row>
    <row r="197" spans="1:18">
      <c r="A197" s="1" t="s">
        <v>360</v>
      </c>
      <c r="B197">
        <v>31</v>
      </c>
      <c r="C197">
        <v>9</v>
      </c>
      <c r="D197">
        <v>22</v>
      </c>
      <c r="E197">
        <v>0.33</v>
      </c>
      <c r="F197">
        <v>2373</v>
      </c>
      <c r="G197">
        <v>877</v>
      </c>
      <c r="H197">
        <v>1913</v>
      </c>
      <c r="I197">
        <v>365</v>
      </c>
      <c r="J197">
        <v>517</v>
      </c>
      <c r="K197">
        <v>282</v>
      </c>
      <c r="L197">
        <v>1044</v>
      </c>
      <c r="M197">
        <v>405</v>
      </c>
      <c r="N197">
        <v>177</v>
      </c>
      <c r="O197">
        <v>83</v>
      </c>
      <c r="P197">
        <v>409</v>
      </c>
      <c r="Q197">
        <v>498</v>
      </c>
      <c r="R197">
        <v>196</v>
      </c>
    </row>
    <row r="198" spans="1:18">
      <c r="A198" s="1" t="s">
        <v>162</v>
      </c>
      <c r="B198">
        <v>33</v>
      </c>
      <c r="C198">
        <v>22</v>
      </c>
      <c r="D198">
        <v>11</v>
      </c>
      <c r="E198">
        <v>7.32</v>
      </c>
      <c r="F198">
        <v>2386</v>
      </c>
      <c r="G198">
        <v>820</v>
      </c>
      <c r="H198">
        <v>1906</v>
      </c>
      <c r="I198">
        <v>514</v>
      </c>
      <c r="J198">
        <v>716</v>
      </c>
      <c r="K198">
        <v>356</v>
      </c>
      <c r="L198">
        <v>1191</v>
      </c>
      <c r="M198">
        <v>446</v>
      </c>
      <c r="N198">
        <v>200</v>
      </c>
      <c r="O198">
        <v>183</v>
      </c>
      <c r="P198">
        <v>362</v>
      </c>
      <c r="Q198">
        <v>565</v>
      </c>
      <c r="R198">
        <v>197</v>
      </c>
    </row>
    <row r="199" spans="1:18">
      <c r="A199" s="1" t="s">
        <v>285</v>
      </c>
      <c r="B199">
        <v>33</v>
      </c>
      <c r="C199">
        <v>20</v>
      </c>
      <c r="D199">
        <v>13</v>
      </c>
      <c r="E199">
        <v>1.87</v>
      </c>
      <c r="F199">
        <v>2753</v>
      </c>
      <c r="G199">
        <v>978</v>
      </c>
      <c r="H199">
        <v>2000</v>
      </c>
      <c r="I199">
        <v>612</v>
      </c>
      <c r="J199">
        <v>868</v>
      </c>
      <c r="K199">
        <v>395</v>
      </c>
      <c r="L199">
        <v>1333</v>
      </c>
      <c r="M199">
        <v>535</v>
      </c>
      <c r="N199">
        <v>184</v>
      </c>
      <c r="O199">
        <v>146</v>
      </c>
      <c r="P199">
        <v>473</v>
      </c>
      <c r="Q199">
        <v>580</v>
      </c>
      <c r="R199">
        <v>198</v>
      </c>
    </row>
    <row r="200" spans="1:18">
      <c r="A200" s="1" t="s">
        <v>163</v>
      </c>
      <c r="B200">
        <v>37</v>
      </c>
      <c r="C200">
        <v>29</v>
      </c>
      <c r="D200">
        <v>8</v>
      </c>
      <c r="E200">
        <v>4.93</v>
      </c>
      <c r="F200">
        <v>3055</v>
      </c>
      <c r="G200">
        <v>1049</v>
      </c>
      <c r="H200">
        <v>2238</v>
      </c>
      <c r="I200">
        <v>603</v>
      </c>
      <c r="J200">
        <v>812</v>
      </c>
      <c r="K200">
        <v>342</v>
      </c>
      <c r="L200">
        <v>1316</v>
      </c>
      <c r="M200">
        <v>598</v>
      </c>
      <c r="N200">
        <v>230</v>
      </c>
      <c r="O200">
        <v>150</v>
      </c>
      <c r="P200">
        <v>357</v>
      </c>
      <c r="Q200">
        <v>630</v>
      </c>
      <c r="R200">
        <v>199</v>
      </c>
    </row>
    <row r="201" spans="1:18">
      <c r="A201" s="1" t="s">
        <v>164</v>
      </c>
      <c r="B201">
        <v>31</v>
      </c>
      <c r="C201">
        <v>10</v>
      </c>
      <c r="D201">
        <v>21</v>
      </c>
      <c r="E201">
        <v>-4.32</v>
      </c>
      <c r="F201">
        <v>2103</v>
      </c>
      <c r="G201">
        <v>725</v>
      </c>
      <c r="H201">
        <v>1803</v>
      </c>
      <c r="I201">
        <v>401</v>
      </c>
      <c r="J201">
        <v>544</v>
      </c>
      <c r="K201">
        <v>357</v>
      </c>
      <c r="L201">
        <v>1189</v>
      </c>
      <c r="M201">
        <v>368</v>
      </c>
      <c r="N201">
        <v>111</v>
      </c>
      <c r="O201">
        <v>56</v>
      </c>
      <c r="P201">
        <v>362</v>
      </c>
      <c r="Q201">
        <v>555</v>
      </c>
      <c r="R201">
        <v>200</v>
      </c>
    </row>
    <row r="202" spans="1:18">
      <c r="A202" s="1" t="s">
        <v>165</v>
      </c>
      <c r="B202">
        <v>34</v>
      </c>
      <c r="C202">
        <v>28</v>
      </c>
      <c r="D202">
        <v>6</v>
      </c>
      <c r="E202">
        <v>-1.1000000000000001</v>
      </c>
      <c r="F202">
        <v>2572</v>
      </c>
      <c r="G202">
        <v>963</v>
      </c>
      <c r="H202">
        <v>2104</v>
      </c>
      <c r="I202">
        <v>388</v>
      </c>
      <c r="J202">
        <v>603</v>
      </c>
      <c r="K202">
        <v>427</v>
      </c>
      <c r="L202">
        <v>1402</v>
      </c>
      <c r="M202">
        <v>481</v>
      </c>
      <c r="N202">
        <v>189</v>
      </c>
      <c r="O202">
        <v>103</v>
      </c>
      <c r="P202">
        <v>429</v>
      </c>
      <c r="Q202">
        <v>604</v>
      </c>
      <c r="R202">
        <v>201</v>
      </c>
    </row>
    <row r="203" spans="1:18">
      <c r="A203" s="1" t="s">
        <v>166</v>
      </c>
      <c r="B203">
        <v>34</v>
      </c>
      <c r="C203">
        <v>19</v>
      </c>
      <c r="D203">
        <v>15</v>
      </c>
      <c r="E203">
        <v>3.3</v>
      </c>
      <c r="F203">
        <v>2795</v>
      </c>
      <c r="G203">
        <v>939</v>
      </c>
      <c r="H203">
        <v>2065</v>
      </c>
      <c r="I203">
        <v>550</v>
      </c>
      <c r="J203">
        <v>708</v>
      </c>
      <c r="K203">
        <v>317</v>
      </c>
      <c r="L203">
        <v>1073</v>
      </c>
      <c r="M203">
        <v>539</v>
      </c>
      <c r="N203">
        <v>251</v>
      </c>
      <c r="O203">
        <v>96</v>
      </c>
      <c r="P203">
        <v>422</v>
      </c>
      <c r="Q203">
        <v>696</v>
      </c>
      <c r="R203">
        <v>202</v>
      </c>
    </row>
    <row r="204" spans="1:18">
      <c r="A204" s="1" t="s">
        <v>167</v>
      </c>
      <c r="B204">
        <v>33</v>
      </c>
      <c r="C204">
        <v>16</v>
      </c>
      <c r="D204">
        <v>17</v>
      </c>
      <c r="E204">
        <v>-5.78</v>
      </c>
      <c r="F204">
        <v>2297</v>
      </c>
      <c r="G204">
        <v>815</v>
      </c>
      <c r="H204">
        <v>1798</v>
      </c>
      <c r="I204">
        <v>508</v>
      </c>
      <c r="J204">
        <v>755</v>
      </c>
      <c r="K204">
        <v>374</v>
      </c>
      <c r="L204">
        <v>1128</v>
      </c>
      <c r="M204">
        <v>483</v>
      </c>
      <c r="N204">
        <v>238</v>
      </c>
      <c r="O204">
        <v>116</v>
      </c>
      <c r="P204">
        <v>498</v>
      </c>
      <c r="Q204">
        <v>622</v>
      </c>
      <c r="R204">
        <v>203</v>
      </c>
    </row>
    <row r="205" spans="1:18">
      <c r="A205" s="1" t="s">
        <v>168</v>
      </c>
      <c r="B205">
        <v>33</v>
      </c>
      <c r="C205">
        <v>19</v>
      </c>
      <c r="D205">
        <v>14</v>
      </c>
      <c r="E205">
        <v>-4.21</v>
      </c>
      <c r="F205">
        <v>2748</v>
      </c>
      <c r="G205">
        <v>944</v>
      </c>
      <c r="H205">
        <v>2124</v>
      </c>
      <c r="I205">
        <v>588</v>
      </c>
      <c r="J205">
        <v>808</v>
      </c>
      <c r="K205">
        <v>396</v>
      </c>
      <c r="L205">
        <v>1286</v>
      </c>
      <c r="M205">
        <v>397</v>
      </c>
      <c r="N205">
        <v>171</v>
      </c>
      <c r="O205">
        <v>145</v>
      </c>
      <c r="P205">
        <v>373</v>
      </c>
      <c r="Q205">
        <v>579</v>
      </c>
      <c r="R205">
        <v>204</v>
      </c>
    </row>
    <row r="206" spans="1:18">
      <c r="A206" s="1" t="s">
        <v>169</v>
      </c>
      <c r="B206">
        <v>32</v>
      </c>
      <c r="C206">
        <v>21</v>
      </c>
      <c r="D206">
        <v>11</v>
      </c>
      <c r="E206">
        <v>-5.86</v>
      </c>
      <c r="F206">
        <v>2641</v>
      </c>
      <c r="G206">
        <v>941</v>
      </c>
      <c r="H206">
        <v>1994</v>
      </c>
      <c r="I206">
        <v>499</v>
      </c>
      <c r="J206">
        <v>696</v>
      </c>
      <c r="K206">
        <v>353</v>
      </c>
      <c r="L206">
        <v>1189</v>
      </c>
      <c r="M206">
        <v>474</v>
      </c>
      <c r="N206">
        <v>307</v>
      </c>
      <c r="O206">
        <v>126</v>
      </c>
      <c r="P206">
        <v>490</v>
      </c>
      <c r="Q206">
        <v>712</v>
      </c>
      <c r="R206">
        <v>205</v>
      </c>
    </row>
    <row r="207" spans="1:18">
      <c r="A207" s="1" t="s">
        <v>337</v>
      </c>
      <c r="B207">
        <v>30</v>
      </c>
      <c r="C207">
        <v>14</v>
      </c>
      <c r="D207">
        <v>16</v>
      </c>
      <c r="E207">
        <v>-5.53</v>
      </c>
      <c r="F207">
        <v>2248</v>
      </c>
      <c r="G207">
        <v>808</v>
      </c>
      <c r="H207">
        <v>1803</v>
      </c>
      <c r="I207">
        <v>396</v>
      </c>
      <c r="J207">
        <v>579</v>
      </c>
      <c r="K207">
        <v>331</v>
      </c>
      <c r="L207">
        <v>1063</v>
      </c>
      <c r="M207">
        <v>417</v>
      </c>
      <c r="N207">
        <v>246</v>
      </c>
      <c r="O207">
        <v>97</v>
      </c>
      <c r="P207">
        <v>399</v>
      </c>
      <c r="Q207">
        <v>556</v>
      </c>
      <c r="R207">
        <v>206</v>
      </c>
    </row>
    <row r="208" spans="1:18">
      <c r="A208" s="1" t="s">
        <v>170</v>
      </c>
      <c r="B208">
        <v>33</v>
      </c>
      <c r="C208">
        <v>14</v>
      </c>
      <c r="D208">
        <v>19</v>
      </c>
      <c r="E208">
        <v>-10.18</v>
      </c>
      <c r="F208">
        <v>2399</v>
      </c>
      <c r="G208">
        <v>858</v>
      </c>
      <c r="H208">
        <v>1992</v>
      </c>
      <c r="I208">
        <v>429</v>
      </c>
      <c r="J208">
        <v>639</v>
      </c>
      <c r="K208">
        <v>411</v>
      </c>
      <c r="L208">
        <v>1270</v>
      </c>
      <c r="M208">
        <v>450</v>
      </c>
      <c r="N208">
        <v>206</v>
      </c>
      <c r="O208">
        <v>114</v>
      </c>
      <c r="P208">
        <v>507</v>
      </c>
      <c r="Q208">
        <v>693</v>
      </c>
      <c r="R208">
        <v>207</v>
      </c>
    </row>
    <row r="209" spans="1:18">
      <c r="A209" s="1" t="s">
        <v>171</v>
      </c>
      <c r="B209">
        <v>34</v>
      </c>
      <c r="C209">
        <v>21</v>
      </c>
      <c r="D209">
        <v>13</v>
      </c>
      <c r="E209">
        <v>-3.57</v>
      </c>
      <c r="F209">
        <v>2557</v>
      </c>
      <c r="G209">
        <v>912</v>
      </c>
      <c r="H209">
        <v>1921</v>
      </c>
      <c r="I209">
        <v>456</v>
      </c>
      <c r="J209">
        <v>615</v>
      </c>
      <c r="K209">
        <v>280</v>
      </c>
      <c r="L209">
        <v>1152</v>
      </c>
      <c r="M209">
        <v>522</v>
      </c>
      <c r="N209">
        <v>252</v>
      </c>
      <c r="O209">
        <v>114</v>
      </c>
      <c r="P209">
        <v>468</v>
      </c>
      <c r="Q209">
        <v>628</v>
      </c>
      <c r="R209">
        <v>208</v>
      </c>
    </row>
    <row r="210" spans="1:18">
      <c r="A210" s="1" t="s">
        <v>172</v>
      </c>
      <c r="B210">
        <v>35</v>
      </c>
      <c r="C210">
        <v>20</v>
      </c>
      <c r="D210">
        <v>15</v>
      </c>
      <c r="E210">
        <v>-11.2</v>
      </c>
      <c r="F210">
        <v>2623</v>
      </c>
      <c r="G210">
        <v>929</v>
      </c>
      <c r="H210">
        <v>2010</v>
      </c>
      <c r="I210">
        <v>552</v>
      </c>
      <c r="J210">
        <v>776</v>
      </c>
      <c r="K210">
        <v>348</v>
      </c>
      <c r="L210">
        <v>1252</v>
      </c>
      <c r="M210">
        <v>534</v>
      </c>
      <c r="N210">
        <v>212</v>
      </c>
      <c r="O210">
        <v>80</v>
      </c>
      <c r="P210">
        <v>482</v>
      </c>
      <c r="Q210">
        <v>629</v>
      </c>
      <c r="R210">
        <v>209</v>
      </c>
    </row>
    <row r="211" spans="1:18">
      <c r="A211" s="1" t="s">
        <v>349</v>
      </c>
      <c r="B211">
        <v>35</v>
      </c>
      <c r="C211">
        <v>19</v>
      </c>
      <c r="D211">
        <v>16</v>
      </c>
      <c r="E211">
        <v>-12.31</v>
      </c>
      <c r="F211">
        <v>2520</v>
      </c>
      <c r="G211">
        <v>949</v>
      </c>
      <c r="H211">
        <v>2060</v>
      </c>
      <c r="I211">
        <v>410</v>
      </c>
      <c r="J211">
        <v>597</v>
      </c>
      <c r="K211">
        <v>415</v>
      </c>
      <c r="L211">
        <v>1336</v>
      </c>
      <c r="M211">
        <v>545</v>
      </c>
      <c r="N211">
        <v>179</v>
      </c>
      <c r="O211">
        <v>117</v>
      </c>
      <c r="P211">
        <v>495</v>
      </c>
      <c r="Q211">
        <v>650</v>
      </c>
      <c r="R211">
        <v>210</v>
      </c>
    </row>
    <row r="212" spans="1:18">
      <c r="A212" s="1" t="s">
        <v>173</v>
      </c>
      <c r="B212">
        <v>35</v>
      </c>
      <c r="C212">
        <v>27</v>
      </c>
      <c r="D212">
        <v>8</v>
      </c>
      <c r="E212">
        <v>-3.87</v>
      </c>
      <c r="F212">
        <v>2562</v>
      </c>
      <c r="G212">
        <v>924</v>
      </c>
      <c r="H212">
        <v>2075</v>
      </c>
      <c r="I212">
        <v>383</v>
      </c>
      <c r="J212">
        <v>549</v>
      </c>
      <c r="K212">
        <v>418</v>
      </c>
      <c r="L212">
        <v>1307</v>
      </c>
      <c r="M212">
        <v>487</v>
      </c>
      <c r="N212">
        <v>267</v>
      </c>
      <c r="O212">
        <v>132</v>
      </c>
      <c r="P212">
        <v>481</v>
      </c>
      <c r="Q212">
        <v>650</v>
      </c>
      <c r="R212">
        <v>211</v>
      </c>
    </row>
    <row r="213" spans="1:18">
      <c r="A213" s="1" t="s">
        <v>174</v>
      </c>
      <c r="B213">
        <v>33</v>
      </c>
      <c r="C213">
        <v>21</v>
      </c>
      <c r="D213">
        <v>12</v>
      </c>
      <c r="E213">
        <v>6.7</v>
      </c>
      <c r="F213">
        <v>2682</v>
      </c>
      <c r="G213">
        <v>965</v>
      </c>
      <c r="H213">
        <v>2054</v>
      </c>
      <c r="I213">
        <v>489</v>
      </c>
      <c r="J213">
        <v>703</v>
      </c>
      <c r="K213">
        <v>401</v>
      </c>
      <c r="L213">
        <v>1176</v>
      </c>
      <c r="M213">
        <v>531</v>
      </c>
      <c r="N213">
        <v>244</v>
      </c>
      <c r="O213">
        <v>122</v>
      </c>
      <c r="P213">
        <v>400</v>
      </c>
      <c r="Q213">
        <v>609</v>
      </c>
      <c r="R213">
        <v>212</v>
      </c>
    </row>
    <row r="214" spans="1:18">
      <c r="A214" s="1" t="s">
        <v>286</v>
      </c>
      <c r="B214">
        <v>32</v>
      </c>
      <c r="C214">
        <v>11</v>
      </c>
      <c r="D214">
        <v>21</v>
      </c>
      <c r="E214">
        <v>-1.1499999999999999</v>
      </c>
      <c r="F214">
        <v>2542</v>
      </c>
      <c r="G214">
        <v>920</v>
      </c>
      <c r="H214">
        <v>2109</v>
      </c>
      <c r="I214">
        <v>458</v>
      </c>
      <c r="J214">
        <v>664</v>
      </c>
      <c r="K214">
        <v>447</v>
      </c>
      <c r="L214">
        <v>1310</v>
      </c>
      <c r="M214">
        <v>488</v>
      </c>
      <c r="N214">
        <v>164</v>
      </c>
      <c r="O214">
        <v>67</v>
      </c>
      <c r="P214">
        <v>414</v>
      </c>
      <c r="Q214">
        <v>586</v>
      </c>
      <c r="R214">
        <v>213</v>
      </c>
    </row>
    <row r="215" spans="1:18">
      <c r="A215" s="1" t="s">
        <v>312</v>
      </c>
      <c r="B215">
        <v>37</v>
      </c>
      <c r="C215">
        <v>26</v>
      </c>
      <c r="D215">
        <v>11</v>
      </c>
      <c r="E215">
        <v>11.78</v>
      </c>
      <c r="F215">
        <v>3018</v>
      </c>
      <c r="G215">
        <v>1105</v>
      </c>
      <c r="H215">
        <v>2417</v>
      </c>
      <c r="I215">
        <v>503</v>
      </c>
      <c r="J215">
        <v>677</v>
      </c>
      <c r="K215">
        <v>511</v>
      </c>
      <c r="L215">
        <v>1570</v>
      </c>
      <c r="M215">
        <v>674</v>
      </c>
      <c r="N215">
        <v>213</v>
      </c>
      <c r="O215">
        <v>151</v>
      </c>
      <c r="P215">
        <v>445</v>
      </c>
      <c r="Q215">
        <v>587</v>
      </c>
      <c r="R215">
        <v>214</v>
      </c>
    </row>
    <row r="216" spans="1:18">
      <c r="A216" s="1" t="s">
        <v>338</v>
      </c>
      <c r="B216">
        <v>32</v>
      </c>
      <c r="C216">
        <v>15</v>
      </c>
      <c r="D216">
        <v>17</v>
      </c>
      <c r="E216">
        <v>-1.58</v>
      </c>
      <c r="F216">
        <v>2382</v>
      </c>
      <c r="G216">
        <v>837</v>
      </c>
      <c r="H216">
        <v>1783</v>
      </c>
      <c r="I216">
        <v>414</v>
      </c>
      <c r="J216">
        <v>544</v>
      </c>
      <c r="K216">
        <v>232</v>
      </c>
      <c r="L216">
        <v>1102</v>
      </c>
      <c r="M216">
        <v>422</v>
      </c>
      <c r="N216">
        <v>145</v>
      </c>
      <c r="O216">
        <v>76</v>
      </c>
      <c r="P216">
        <v>402</v>
      </c>
      <c r="Q216">
        <v>556</v>
      </c>
      <c r="R216">
        <v>215</v>
      </c>
    </row>
    <row r="217" spans="1:18">
      <c r="A217" s="1" t="s">
        <v>357</v>
      </c>
      <c r="B217">
        <v>32</v>
      </c>
      <c r="C217">
        <v>12</v>
      </c>
      <c r="D217">
        <v>20</v>
      </c>
      <c r="E217">
        <v>-0.2</v>
      </c>
      <c r="F217">
        <v>2427</v>
      </c>
      <c r="G217">
        <v>863</v>
      </c>
      <c r="H217">
        <v>1879</v>
      </c>
      <c r="I217">
        <v>468</v>
      </c>
      <c r="J217">
        <v>663</v>
      </c>
      <c r="K217">
        <v>225</v>
      </c>
      <c r="L217">
        <v>984</v>
      </c>
      <c r="M217">
        <v>411</v>
      </c>
      <c r="N217">
        <v>253</v>
      </c>
      <c r="O217">
        <v>59</v>
      </c>
      <c r="P217">
        <v>417</v>
      </c>
      <c r="Q217">
        <v>605</v>
      </c>
      <c r="R217">
        <v>216</v>
      </c>
    </row>
    <row r="218" spans="1:18">
      <c r="A218" s="1" t="s">
        <v>339</v>
      </c>
      <c r="B218">
        <v>33</v>
      </c>
      <c r="C218">
        <v>14</v>
      </c>
      <c r="D218">
        <v>19</v>
      </c>
      <c r="E218">
        <v>-1.74</v>
      </c>
      <c r="F218">
        <v>2668</v>
      </c>
      <c r="G218">
        <v>939</v>
      </c>
      <c r="H218">
        <v>2058</v>
      </c>
      <c r="I218">
        <v>433</v>
      </c>
      <c r="J218">
        <v>570</v>
      </c>
      <c r="K218">
        <v>312</v>
      </c>
      <c r="L218">
        <v>1159</v>
      </c>
      <c r="M218">
        <v>490</v>
      </c>
      <c r="N218">
        <v>173</v>
      </c>
      <c r="O218">
        <v>126</v>
      </c>
      <c r="P218">
        <v>478</v>
      </c>
      <c r="Q218">
        <v>505</v>
      </c>
      <c r="R218">
        <v>217</v>
      </c>
    </row>
    <row r="219" spans="1:18">
      <c r="A219" s="1" t="s">
        <v>175</v>
      </c>
      <c r="B219">
        <v>38</v>
      </c>
      <c r="C219">
        <v>20</v>
      </c>
      <c r="D219">
        <v>18</v>
      </c>
      <c r="E219">
        <v>-0.4</v>
      </c>
      <c r="F219">
        <v>2828</v>
      </c>
      <c r="G219">
        <v>1012</v>
      </c>
      <c r="H219">
        <v>2243</v>
      </c>
      <c r="I219">
        <v>502</v>
      </c>
      <c r="J219">
        <v>761</v>
      </c>
      <c r="K219">
        <v>422</v>
      </c>
      <c r="L219">
        <v>1451</v>
      </c>
      <c r="M219">
        <v>476</v>
      </c>
      <c r="N219">
        <v>195</v>
      </c>
      <c r="O219">
        <v>112</v>
      </c>
      <c r="P219">
        <v>495</v>
      </c>
      <c r="Q219">
        <v>723</v>
      </c>
      <c r="R219">
        <v>218</v>
      </c>
    </row>
    <row r="220" spans="1:18">
      <c r="A220" s="1" t="s">
        <v>176</v>
      </c>
      <c r="B220">
        <v>33</v>
      </c>
      <c r="C220">
        <v>23</v>
      </c>
      <c r="D220">
        <v>10</v>
      </c>
      <c r="E220">
        <v>-1.61</v>
      </c>
      <c r="F220">
        <v>2472</v>
      </c>
      <c r="G220">
        <v>859</v>
      </c>
      <c r="H220">
        <v>1776</v>
      </c>
      <c r="I220">
        <v>452</v>
      </c>
      <c r="J220">
        <v>617</v>
      </c>
      <c r="K220">
        <v>258</v>
      </c>
      <c r="L220">
        <v>1083</v>
      </c>
      <c r="M220">
        <v>523</v>
      </c>
      <c r="N220">
        <v>220</v>
      </c>
      <c r="O220">
        <v>82</v>
      </c>
      <c r="P220">
        <v>450</v>
      </c>
      <c r="Q220">
        <v>575</v>
      </c>
      <c r="R220">
        <v>219</v>
      </c>
    </row>
    <row r="221" spans="1:18">
      <c r="A221" s="1" t="s">
        <v>287</v>
      </c>
      <c r="B221">
        <v>32</v>
      </c>
      <c r="C221">
        <v>5</v>
      </c>
      <c r="D221">
        <v>27</v>
      </c>
      <c r="E221">
        <v>-1.03</v>
      </c>
      <c r="F221">
        <v>2100</v>
      </c>
      <c r="G221">
        <v>698</v>
      </c>
      <c r="H221">
        <v>1750</v>
      </c>
      <c r="I221">
        <v>526</v>
      </c>
      <c r="J221">
        <v>750</v>
      </c>
      <c r="K221">
        <v>320</v>
      </c>
      <c r="L221">
        <v>1074</v>
      </c>
      <c r="M221">
        <v>314</v>
      </c>
      <c r="N221">
        <v>180</v>
      </c>
      <c r="O221">
        <v>100</v>
      </c>
      <c r="P221">
        <v>497</v>
      </c>
      <c r="Q221">
        <v>632</v>
      </c>
      <c r="R221">
        <v>220</v>
      </c>
    </row>
    <row r="222" spans="1:18">
      <c r="A222" s="1" t="s">
        <v>333</v>
      </c>
      <c r="B222">
        <v>38</v>
      </c>
      <c r="C222">
        <v>26</v>
      </c>
      <c r="D222">
        <v>12</v>
      </c>
      <c r="E222">
        <v>-2.27</v>
      </c>
      <c r="F222">
        <v>3080</v>
      </c>
      <c r="G222">
        <v>1104</v>
      </c>
      <c r="H222">
        <v>2347</v>
      </c>
      <c r="I222">
        <v>540</v>
      </c>
      <c r="J222">
        <v>784</v>
      </c>
      <c r="K222">
        <v>361</v>
      </c>
      <c r="L222">
        <v>1430</v>
      </c>
      <c r="M222">
        <v>454</v>
      </c>
      <c r="N222">
        <v>203</v>
      </c>
      <c r="O222">
        <v>139</v>
      </c>
      <c r="P222">
        <v>465</v>
      </c>
      <c r="Q222">
        <v>722</v>
      </c>
      <c r="R222">
        <v>221</v>
      </c>
    </row>
    <row r="223" spans="1:18">
      <c r="A223" s="1" t="s">
        <v>177</v>
      </c>
      <c r="B223">
        <v>32</v>
      </c>
      <c r="C223">
        <v>13</v>
      </c>
      <c r="D223">
        <v>19</v>
      </c>
      <c r="E223">
        <v>-1.71</v>
      </c>
      <c r="F223">
        <v>2319</v>
      </c>
      <c r="G223">
        <v>849</v>
      </c>
      <c r="H223">
        <v>1860</v>
      </c>
      <c r="I223">
        <v>452</v>
      </c>
      <c r="J223">
        <v>623</v>
      </c>
      <c r="K223">
        <v>315</v>
      </c>
      <c r="L223">
        <v>1102</v>
      </c>
      <c r="M223">
        <v>295</v>
      </c>
      <c r="N223">
        <v>213</v>
      </c>
      <c r="O223">
        <v>58</v>
      </c>
      <c r="P223">
        <v>378</v>
      </c>
      <c r="Q223">
        <v>594</v>
      </c>
      <c r="R223">
        <v>222</v>
      </c>
    </row>
    <row r="224" spans="1:18">
      <c r="A224" s="1" t="s">
        <v>178</v>
      </c>
      <c r="B224">
        <v>32</v>
      </c>
      <c r="C224">
        <v>16</v>
      </c>
      <c r="D224">
        <v>16</v>
      </c>
      <c r="E224">
        <v>3.87</v>
      </c>
      <c r="F224">
        <v>2056</v>
      </c>
      <c r="G224">
        <v>720</v>
      </c>
      <c r="H224">
        <v>1714</v>
      </c>
      <c r="I224">
        <v>387</v>
      </c>
      <c r="J224">
        <v>537</v>
      </c>
      <c r="K224">
        <v>267</v>
      </c>
      <c r="L224">
        <v>1109</v>
      </c>
      <c r="M224">
        <v>345</v>
      </c>
      <c r="N224">
        <v>166</v>
      </c>
      <c r="O224">
        <v>80</v>
      </c>
      <c r="P224">
        <v>364</v>
      </c>
      <c r="Q224">
        <v>482</v>
      </c>
      <c r="R224">
        <v>223</v>
      </c>
    </row>
    <row r="225" spans="1:18">
      <c r="A225" s="1" t="s">
        <v>361</v>
      </c>
      <c r="B225">
        <v>32</v>
      </c>
      <c r="C225">
        <v>22</v>
      </c>
      <c r="D225">
        <v>10</v>
      </c>
      <c r="E225">
        <v>-4.07</v>
      </c>
      <c r="F225">
        <v>2486</v>
      </c>
      <c r="G225">
        <v>898</v>
      </c>
      <c r="H225">
        <v>1892</v>
      </c>
      <c r="I225">
        <v>432</v>
      </c>
      <c r="J225">
        <v>591</v>
      </c>
      <c r="K225">
        <v>308</v>
      </c>
      <c r="L225">
        <v>1176</v>
      </c>
      <c r="M225">
        <v>523</v>
      </c>
      <c r="N225">
        <v>236</v>
      </c>
      <c r="O225">
        <v>103</v>
      </c>
      <c r="P225">
        <v>399</v>
      </c>
      <c r="Q225">
        <v>586</v>
      </c>
      <c r="R225">
        <v>224</v>
      </c>
    </row>
    <row r="226" spans="1:18">
      <c r="A226" s="1" t="s">
        <v>179</v>
      </c>
      <c r="B226">
        <v>29</v>
      </c>
      <c r="C226">
        <v>4</v>
      </c>
      <c r="D226">
        <v>25</v>
      </c>
      <c r="E226">
        <v>-4.18</v>
      </c>
      <c r="F226">
        <v>1868</v>
      </c>
      <c r="G226">
        <v>692</v>
      </c>
      <c r="H226">
        <v>1678</v>
      </c>
      <c r="I226">
        <v>359</v>
      </c>
      <c r="J226">
        <v>588</v>
      </c>
      <c r="K226">
        <v>359</v>
      </c>
      <c r="L226">
        <v>1036</v>
      </c>
      <c r="M226">
        <v>279</v>
      </c>
      <c r="N226">
        <v>180</v>
      </c>
      <c r="O226">
        <v>122</v>
      </c>
      <c r="P226">
        <v>496</v>
      </c>
      <c r="Q226">
        <v>573</v>
      </c>
      <c r="R226">
        <v>225</v>
      </c>
    </row>
    <row r="227" spans="1:18">
      <c r="A227" s="1" t="s">
        <v>180</v>
      </c>
      <c r="B227">
        <v>32</v>
      </c>
      <c r="C227">
        <v>15</v>
      </c>
      <c r="D227">
        <v>17</v>
      </c>
      <c r="E227">
        <v>8.3699999999999992</v>
      </c>
      <c r="F227">
        <v>2203</v>
      </c>
      <c r="G227">
        <v>773</v>
      </c>
      <c r="H227">
        <v>1813</v>
      </c>
      <c r="I227">
        <v>402</v>
      </c>
      <c r="J227">
        <v>538</v>
      </c>
      <c r="K227">
        <v>320</v>
      </c>
      <c r="L227">
        <v>1059</v>
      </c>
      <c r="M227">
        <v>448</v>
      </c>
      <c r="N227">
        <v>156</v>
      </c>
      <c r="O227">
        <v>136</v>
      </c>
      <c r="P227">
        <v>374</v>
      </c>
      <c r="Q227">
        <v>605</v>
      </c>
      <c r="R227">
        <v>226</v>
      </c>
    </row>
    <row r="228" spans="1:18">
      <c r="A228" s="1" t="s">
        <v>181</v>
      </c>
      <c r="B228">
        <v>36</v>
      </c>
      <c r="C228">
        <v>21</v>
      </c>
      <c r="D228">
        <v>15</v>
      </c>
      <c r="E228">
        <v>7.94</v>
      </c>
      <c r="F228">
        <v>2698</v>
      </c>
      <c r="G228">
        <v>945</v>
      </c>
      <c r="H228">
        <v>2131</v>
      </c>
      <c r="I228">
        <v>508</v>
      </c>
      <c r="J228">
        <v>670</v>
      </c>
      <c r="K228">
        <v>384</v>
      </c>
      <c r="L228">
        <v>1324</v>
      </c>
      <c r="M228">
        <v>520</v>
      </c>
      <c r="N228">
        <v>208</v>
      </c>
      <c r="O228">
        <v>131</v>
      </c>
      <c r="P228">
        <v>355</v>
      </c>
      <c r="Q228">
        <v>470</v>
      </c>
      <c r="R228">
        <v>227</v>
      </c>
    </row>
    <row r="229" spans="1:18">
      <c r="A229" s="1" t="s">
        <v>182</v>
      </c>
      <c r="B229">
        <v>33</v>
      </c>
      <c r="C229">
        <v>19</v>
      </c>
      <c r="D229">
        <v>14</v>
      </c>
      <c r="E229">
        <v>-3.76</v>
      </c>
      <c r="F229">
        <v>2580</v>
      </c>
      <c r="G229">
        <v>884</v>
      </c>
      <c r="H229">
        <v>1966</v>
      </c>
      <c r="I229">
        <v>537</v>
      </c>
      <c r="J229">
        <v>697</v>
      </c>
      <c r="K229">
        <v>327</v>
      </c>
      <c r="L229">
        <v>1203</v>
      </c>
      <c r="M229">
        <v>553</v>
      </c>
      <c r="N229">
        <v>200</v>
      </c>
      <c r="O229">
        <v>170</v>
      </c>
      <c r="P229">
        <v>434</v>
      </c>
      <c r="Q229">
        <v>540</v>
      </c>
      <c r="R229">
        <v>228</v>
      </c>
    </row>
    <row r="230" spans="1:18">
      <c r="A230" s="1" t="s">
        <v>321</v>
      </c>
      <c r="B230">
        <v>34</v>
      </c>
      <c r="C230">
        <v>25</v>
      </c>
      <c r="D230">
        <v>9</v>
      </c>
      <c r="E230">
        <v>9.0299999999999994</v>
      </c>
      <c r="F230">
        <v>2591</v>
      </c>
      <c r="G230">
        <v>951</v>
      </c>
      <c r="H230">
        <v>1980</v>
      </c>
      <c r="I230">
        <v>450</v>
      </c>
      <c r="J230">
        <v>616</v>
      </c>
      <c r="K230">
        <v>334</v>
      </c>
      <c r="L230">
        <v>1245</v>
      </c>
      <c r="M230">
        <v>499</v>
      </c>
      <c r="N230">
        <v>209</v>
      </c>
      <c r="O230">
        <v>132</v>
      </c>
      <c r="P230">
        <v>399</v>
      </c>
      <c r="Q230">
        <v>595</v>
      </c>
      <c r="R230">
        <v>229</v>
      </c>
    </row>
    <row r="231" spans="1:18">
      <c r="A231" s="1" t="s">
        <v>183</v>
      </c>
      <c r="B231">
        <v>31</v>
      </c>
      <c r="C231">
        <v>14</v>
      </c>
      <c r="D231">
        <v>17</v>
      </c>
      <c r="E231">
        <v>-1.65</v>
      </c>
      <c r="F231">
        <v>2334</v>
      </c>
      <c r="G231">
        <v>839</v>
      </c>
      <c r="H231">
        <v>1893</v>
      </c>
      <c r="I231">
        <v>412</v>
      </c>
      <c r="J231">
        <v>579</v>
      </c>
      <c r="K231">
        <v>259</v>
      </c>
      <c r="L231">
        <v>1127</v>
      </c>
      <c r="M231">
        <v>443</v>
      </c>
      <c r="N231">
        <v>207</v>
      </c>
      <c r="O231">
        <v>103</v>
      </c>
      <c r="P231">
        <v>412</v>
      </c>
      <c r="Q231">
        <v>500</v>
      </c>
      <c r="R231">
        <v>230</v>
      </c>
    </row>
    <row r="232" spans="1:18">
      <c r="A232" s="1" t="s">
        <v>340</v>
      </c>
      <c r="B232">
        <v>36</v>
      </c>
      <c r="C232">
        <v>21</v>
      </c>
      <c r="D232">
        <v>15</v>
      </c>
      <c r="E232">
        <v>9.1199999999999992</v>
      </c>
      <c r="F232">
        <v>2757</v>
      </c>
      <c r="G232">
        <v>959</v>
      </c>
      <c r="H232">
        <v>2224</v>
      </c>
      <c r="I232">
        <v>543</v>
      </c>
      <c r="J232">
        <v>717</v>
      </c>
      <c r="K232">
        <v>463</v>
      </c>
      <c r="L232">
        <v>1348</v>
      </c>
      <c r="M232">
        <v>514</v>
      </c>
      <c r="N232">
        <v>237</v>
      </c>
      <c r="O232">
        <v>143</v>
      </c>
      <c r="P232">
        <v>466</v>
      </c>
      <c r="Q232">
        <v>692</v>
      </c>
      <c r="R232">
        <v>231</v>
      </c>
    </row>
    <row r="233" spans="1:18">
      <c r="A233" s="1" t="s">
        <v>329</v>
      </c>
      <c r="B233">
        <v>32</v>
      </c>
      <c r="C233">
        <v>18</v>
      </c>
      <c r="D233">
        <v>14</v>
      </c>
      <c r="E233">
        <v>10.56</v>
      </c>
      <c r="F233">
        <v>2718</v>
      </c>
      <c r="G233">
        <v>954</v>
      </c>
      <c r="H233">
        <v>2063</v>
      </c>
      <c r="I233">
        <v>510</v>
      </c>
      <c r="J233">
        <v>684</v>
      </c>
      <c r="K233">
        <v>339</v>
      </c>
      <c r="L233">
        <v>1229</v>
      </c>
      <c r="M233">
        <v>479</v>
      </c>
      <c r="N233">
        <v>208</v>
      </c>
      <c r="O233">
        <v>151</v>
      </c>
      <c r="P233">
        <v>428</v>
      </c>
      <c r="Q233">
        <v>551</v>
      </c>
      <c r="R233">
        <v>232</v>
      </c>
    </row>
    <row r="234" spans="1:18">
      <c r="A234" s="1" t="s">
        <v>184</v>
      </c>
      <c r="B234">
        <v>32</v>
      </c>
      <c r="C234">
        <v>25</v>
      </c>
      <c r="D234">
        <v>7</v>
      </c>
      <c r="E234">
        <v>-1.27</v>
      </c>
      <c r="F234">
        <v>2347</v>
      </c>
      <c r="G234">
        <v>844</v>
      </c>
      <c r="H234">
        <v>1888</v>
      </c>
      <c r="I234">
        <v>431</v>
      </c>
      <c r="J234">
        <v>623</v>
      </c>
      <c r="K234">
        <v>375</v>
      </c>
      <c r="L234">
        <v>1207</v>
      </c>
      <c r="M234">
        <v>483</v>
      </c>
      <c r="N234">
        <v>239</v>
      </c>
      <c r="O234">
        <v>139</v>
      </c>
      <c r="P234">
        <v>332</v>
      </c>
      <c r="Q234">
        <v>509</v>
      </c>
      <c r="R234">
        <v>233</v>
      </c>
    </row>
    <row r="235" spans="1:18">
      <c r="A235" s="1" t="s">
        <v>185</v>
      </c>
      <c r="B235">
        <v>32</v>
      </c>
      <c r="C235">
        <v>11</v>
      </c>
      <c r="D235">
        <v>21</v>
      </c>
      <c r="E235">
        <v>1.05</v>
      </c>
      <c r="F235">
        <v>2332</v>
      </c>
      <c r="G235">
        <v>879</v>
      </c>
      <c r="H235">
        <v>2010</v>
      </c>
      <c r="I235">
        <v>354</v>
      </c>
      <c r="J235">
        <v>517</v>
      </c>
      <c r="K235">
        <v>445</v>
      </c>
      <c r="L235">
        <v>1226</v>
      </c>
      <c r="M235">
        <v>453</v>
      </c>
      <c r="N235">
        <v>174</v>
      </c>
      <c r="O235">
        <v>112</v>
      </c>
      <c r="P235">
        <v>411</v>
      </c>
      <c r="Q235">
        <v>565</v>
      </c>
      <c r="R235">
        <v>234</v>
      </c>
    </row>
    <row r="236" spans="1:18">
      <c r="A236" s="1" t="s">
        <v>186</v>
      </c>
      <c r="B236">
        <v>32</v>
      </c>
      <c r="C236">
        <v>16</v>
      </c>
      <c r="D236">
        <v>16</v>
      </c>
      <c r="E236">
        <v>4.57</v>
      </c>
      <c r="F236">
        <v>2339</v>
      </c>
      <c r="G236">
        <v>830</v>
      </c>
      <c r="H236">
        <v>1779</v>
      </c>
      <c r="I236">
        <v>487</v>
      </c>
      <c r="J236">
        <v>688</v>
      </c>
      <c r="K236">
        <v>332</v>
      </c>
      <c r="L236">
        <v>1119</v>
      </c>
      <c r="M236">
        <v>475</v>
      </c>
      <c r="N236">
        <v>212</v>
      </c>
      <c r="O236">
        <v>116</v>
      </c>
      <c r="P236">
        <v>424</v>
      </c>
      <c r="Q236">
        <v>642</v>
      </c>
      <c r="R236">
        <v>235</v>
      </c>
    </row>
    <row r="237" spans="1:18">
      <c r="A237" s="1" t="s">
        <v>288</v>
      </c>
      <c r="B237">
        <v>36</v>
      </c>
      <c r="C237">
        <v>23</v>
      </c>
      <c r="D237">
        <v>13</v>
      </c>
      <c r="E237">
        <v>4.84</v>
      </c>
      <c r="F237">
        <v>2817</v>
      </c>
      <c r="G237">
        <v>986</v>
      </c>
      <c r="H237">
        <v>2155</v>
      </c>
      <c r="I237">
        <v>521</v>
      </c>
      <c r="J237">
        <v>683</v>
      </c>
      <c r="K237">
        <v>372</v>
      </c>
      <c r="L237">
        <v>1262</v>
      </c>
      <c r="M237">
        <v>556</v>
      </c>
      <c r="N237">
        <v>248</v>
      </c>
      <c r="O237">
        <v>152</v>
      </c>
      <c r="P237">
        <v>434</v>
      </c>
      <c r="Q237">
        <v>712</v>
      </c>
      <c r="R237">
        <v>236</v>
      </c>
    </row>
    <row r="238" spans="1:18">
      <c r="A238" s="1" t="s">
        <v>187</v>
      </c>
      <c r="B238">
        <v>32</v>
      </c>
      <c r="C238">
        <v>14</v>
      </c>
      <c r="D238">
        <v>18</v>
      </c>
      <c r="E238">
        <v>1.8</v>
      </c>
      <c r="F238">
        <v>2280</v>
      </c>
      <c r="G238">
        <v>804</v>
      </c>
      <c r="H238">
        <v>1782</v>
      </c>
      <c r="I238">
        <v>521</v>
      </c>
      <c r="J238">
        <v>715</v>
      </c>
      <c r="K238">
        <v>332</v>
      </c>
      <c r="L238">
        <v>1086</v>
      </c>
      <c r="M238">
        <v>395</v>
      </c>
      <c r="N238">
        <v>197</v>
      </c>
      <c r="O238">
        <v>129</v>
      </c>
      <c r="P238">
        <v>368</v>
      </c>
      <c r="Q238">
        <v>581</v>
      </c>
      <c r="R238">
        <v>237</v>
      </c>
    </row>
    <row r="239" spans="1:18">
      <c r="A239" s="1" t="s">
        <v>188</v>
      </c>
      <c r="B239">
        <v>39</v>
      </c>
      <c r="C239">
        <v>26</v>
      </c>
      <c r="D239">
        <v>13</v>
      </c>
      <c r="E239">
        <v>7.79</v>
      </c>
      <c r="F239">
        <v>2915</v>
      </c>
      <c r="G239">
        <v>1057</v>
      </c>
      <c r="H239">
        <v>2291</v>
      </c>
      <c r="I239">
        <v>507</v>
      </c>
      <c r="J239">
        <v>722</v>
      </c>
      <c r="K239">
        <v>422</v>
      </c>
      <c r="L239">
        <v>1385</v>
      </c>
      <c r="M239">
        <v>541</v>
      </c>
      <c r="N239">
        <v>282</v>
      </c>
      <c r="O239">
        <v>193</v>
      </c>
      <c r="P239">
        <v>463</v>
      </c>
      <c r="Q239">
        <v>685</v>
      </c>
      <c r="R239">
        <v>238</v>
      </c>
    </row>
    <row r="240" spans="1:18">
      <c r="A240" s="1" t="s">
        <v>289</v>
      </c>
      <c r="B240">
        <v>33</v>
      </c>
      <c r="C240">
        <v>24</v>
      </c>
      <c r="D240">
        <v>9</v>
      </c>
      <c r="E240">
        <v>-3.17</v>
      </c>
      <c r="F240">
        <v>2506</v>
      </c>
      <c r="G240">
        <v>893</v>
      </c>
      <c r="H240">
        <v>1948</v>
      </c>
      <c r="I240">
        <v>429</v>
      </c>
      <c r="J240">
        <v>651</v>
      </c>
      <c r="K240">
        <v>283</v>
      </c>
      <c r="L240">
        <v>1239</v>
      </c>
      <c r="M240">
        <v>508</v>
      </c>
      <c r="N240">
        <v>194</v>
      </c>
      <c r="O240">
        <v>92</v>
      </c>
      <c r="P240">
        <v>391</v>
      </c>
      <c r="Q240">
        <v>566</v>
      </c>
      <c r="R240">
        <v>239</v>
      </c>
    </row>
    <row r="241" spans="1:18">
      <c r="A241" s="1" t="s">
        <v>290</v>
      </c>
      <c r="B241">
        <v>32</v>
      </c>
      <c r="C241">
        <v>6</v>
      </c>
      <c r="D241">
        <v>26</v>
      </c>
      <c r="E241">
        <v>1.82</v>
      </c>
      <c r="F241">
        <v>2283</v>
      </c>
      <c r="G241">
        <v>822</v>
      </c>
      <c r="H241">
        <v>1829</v>
      </c>
      <c r="I241">
        <v>453</v>
      </c>
      <c r="J241">
        <v>646</v>
      </c>
      <c r="K241">
        <v>324</v>
      </c>
      <c r="L241">
        <v>1077</v>
      </c>
      <c r="M241">
        <v>449</v>
      </c>
      <c r="N241">
        <v>155</v>
      </c>
      <c r="O241">
        <v>69</v>
      </c>
      <c r="P241">
        <v>376</v>
      </c>
      <c r="Q241">
        <v>575</v>
      </c>
      <c r="R241">
        <v>240</v>
      </c>
    </row>
    <row r="242" spans="1:18">
      <c r="A242" s="1" t="s">
        <v>189</v>
      </c>
      <c r="B242">
        <v>32</v>
      </c>
      <c r="C242">
        <v>8</v>
      </c>
      <c r="D242">
        <v>24</v>
      </c>
      <c r="E242">
        <v>8.4700000000000006</v>
      </c>
      <c r="F242">
        <v>1985</v>
      </c>
      <c r="G242">
        <v>678</v>
      </c>
      <c r="H242">
        <v>1673</v>
      </c>
      <c r="I242">
        <v>371</v>
      </c>
      <c r="J242">
        <v>534</v>
      </c>
      <c r="K242">
        <v>247</v>
      </c>
      <c r="L242">
        <v>1007</v>
      </c>
      <c r="M242">
        <v>398</v>
      </c>
      <c r="N242">
        <v>138</v>
      </c>
      <c r="O242">
        <v>112</v>
      </c>
      <c r="P242">
        <v>443</v>
      </c>
      <c r="Q242">
        <v>553</v>
      </c>
      <c r="R242">
        <v>241</v>
      </c>
    </row>
    <row r="243" spans="1:18">
      <c r="A243" s="1" t="s">
        <v>190</v>
      </c>
      <c r="B243">
        <v>34</v>
      </c>
      <c r="C243">
        <v>20</v>
      </c>
      <c r="D243">
        <v>14</v>
      </c>
      <c r="E243">
        <v>-1.05</v>
      </c>
      <c r="F243">
        <v>2897</v>
      </c>
      <c r="G243">
        <v>1034</v>
      </c>
      <c r="H243">
        <v>2333</v>
      </c>
      <c r="I243">
        <v>529</v>
      </c>
      <c r="J243">
        <v>751</v>
      </c>
      <c r="K243">
        <v>493</v>
      </c>
      <c r="L243">
        <v>1306</v>
      </c>
      <c r="M243">
        <v>548</v>
      </c>
      <c r="N243">
        <v>333</v>
      </c>
      <c r="O243">
        <v>118</v>
      </c>
      <c r="P243">
        <v>431</v>
      </c>
      <c r="Q243">
        <v>746</v>
      </c>
      <c r="R243">
        <v>242</v>
      </c>
    </row>
    <row r="244" spans="1:18">
      <c r="A244" s="1" t="s">
        <v>191</v>
      </c>
      <c r="B244">
        <v>32</v>
      </c>
      <c r="C244">
        <v>10</v>
      </c>
      <c r="D244">
        <v>22</v>
      </c>
      <c r="E244">
        <v>2.4300000000000002</v>
      </c>
      <c r="F244">
        <v>2221</v>
      </c>
      <c r="G244">
        <v>781</v>
      </c>
      <c r="H244">
        <v>1745</v>
      </c>
      <c r="I244">
        <v>404</v>
      </c>
      <c r="J244">
        <v>596</v>
      </c>
      <c r="K244">
        <v>205</v>
      </c>
      <c r="L244">
        <v>1014</v>
      </c>
      <c r="M244">
        <v>387</v>
      </c>
      <c r="N244">
        <v>165</v>
      </c>
      <c r="O244">
        <v>127</v>
      </c>
      <c r="P244">
        <v>383</v>
      </c>
      <c r="Q244">
        <v>576</v>
      </c>
      <c r="R244">
        <v>243</v>
      </c>
    </row>
    <row r="245" spans="1:18">
      <c r="A245" s="1" t="s">
        <v>192</v>
      </c>
      <c r="B245">
        <v>34</v>
      </c>
      <c r="C245">
        <v>16</v>
      </c>
      <c r="D245">
        <v>18</v>
      </c>
      <c r="E245">
        <v>-7.71</v>
      </c>
      <c r="F245">
        <v>2559</v>
      </c>
      <c r="G245">
        <v>890</v>
      </c>
      <c r="H245">
        <v>2043</v>
      </c>
      <c r="I245">
        <v>532</v>
      </c>
      <c r="J245">
        <v>793</v>
      </c>
      <c r="K245">
        <v>403</v>
      </c>
      <c r="L245">
        <v>1182</v>
      </c>
      <c r="M245">
        <v>439</v>
      </c>
      <c r="N245">
        <v>257</v>
      </c>
      <c r="O245">
        <v>103</v>
      </c>
      <c r="P245">
        <v>460</v>
      </c>
      <c r="Q245">
        <v>748</v>
      </c>
      <c r="R245">
        <v>244</v>
      </c>
    </row>
    <row r="246" spans="1:18">
      <c r="A246" s="1" t="s">
        <v>350</v>
      </c>
      <c r="B246">
        <v>32</v>
      </c>
      <c r="C246">
        <v>11</v>
      </c>
      <c r="D246">
        <v>21</v>
      </c>
      <c r="E246">
        <v>-5.53</v>
      </c>
      <c r="F246">
        <v>2124</v>
      </c>
      <c r="G246">
        <v>749</v>
      </c>
      <c r="H246">
        <v>1760</v>
      </c>
      <c r="I246">
        <v>350</v>
      </c>
      <c r="J246">
        <v>510</v>
      </c>
      <c r="K246">
        <v>291</v>
      </c>
      <c r="L246">
        <v>1003</v>
      </c>
      <c r="M246">
        <v>368</v>
      </c>
      <c r="N246">
        <v>175</v>
      </c>
      <c r="O246">
        <v>63</v>
      </c>
      <c r="P246">
        <v>368</v>
      </c>
      <c r="Q246">
        <v>461</v>
      </c>
      <c r="R246">
        <v>245</v>
      </c>
    </row>
    <row r="247" spans="1:18">
      <c r="A247" s="1" t="s">
        <v>193</v>
      </c>
      <c r="B247">
        <v>29</v>
      </c>
      <c r="C247">
        <v>13</v>
      </c>
      <c r="D247">
        <v>16</v>
      </c>
      <c r="E247">
        <v>-1.97</v>
      </c>
      <c r="F247">
        <v>2106</v>
      </c>
      <c r="G247">
        <v>753</v>
      </c>
      <c r="H247">
        <v>1661</v>
      </c>
      <c r="I247">
        <v>313</v>
      </c>
      <c r="J247">
        <v>443</v>
      </c>
      <c r="K247">
        <v>220</v>
      </c>
      <c r="L247">
        <v>949</v>
      </c>
      <c r="M247">
        <v>367</v>
      </c>
      <c r="N247">
        <v>137</v>
      </c>
      <c r="O247">
        <v>90</v>
      </c>
      <c r="P247">
        <v>334</v>
      </c>
      <c r="Q247">
        <v>504</v>
      </c>
      <c r="R247">
        <v>246</v>
      </c>
    </row>
    <row r="248" spans="1:18">
      <c r="A248" s="1" t="s">
        <v>194</v>
      </c>
      <c r="B248">
        <v>35</v>
      </c>
      <c r="C248">
        <v>21</v>
      </c>
      <c r="D248">
        <v>14</v>
      </c>
      <c r="E248">
        <v>10.23</v>
      </c>
      <c r="F248">
        <v>2575</v>
      </c>
      <c r="G248">
        <v>899</v>
      </c>
      <c r="H248">
        <v>2037</v>
      </c>
      <c r="I248">
        <v>554</v>
      </c>
      <c r="J248">
        <v>787</v>
      </c>
      <c r="K248">
        <v>369</v>
      </c>
      <c r="L248">
        <v>1247</v>
      </c>
      <c r="M248">
        <v>485</v>
      </c>
      <c r="N248">
        <v>238</v>
      </c>
      <c r="O248">
        <v>128</v>
      </c>
      <c r="P248">
        <v>430</v>
      </c>
      <c r="Q248">
        <v>624</v>
      </c>
      <c r="R248">
        <v>247</v>
      </c>
    </row>
    <row r="249" spans="1:18">
      <c r="A249" s="1" t="s">
        <v>291</v>
      </c>
      <c r="B249">
        <v>37</v>
      </c>
      <c r="C249">
        <v>30</v>
      </c>
      <c r="D249">
        <v>7</v>
      </c>
      <c r="E249">
        <v>8.74</v>
      </c>
      <c r="F249">
        <v>2974</v>
      </c>
      <c r="G249">
        <v>1033</v>
      </c>
      <c r="H249">
        <v>2097</v>
      </c>
      <c r="I249">
        <v>555</v>
      </c>
      <c r="J249">
        <v>747</v>
      </c>
      <c r="K249">
        <v>319</v>
      </c>
      <c r="L249">
        <v>1295</v>
      </c>
      <c r="M249">
        <v>598</v>
      </c>
      <c r="N249">
        <v>211</v>
      </c>
      <c r="O249">
        <v>180</v>
      </c>
      <c r="P249">
        <v>399</v>
      </c>
      <c r="Q249">
        <v>580</v>
      </c>
      <c r="R249">
        <v>248</v>
      </c>
    </row>
    <row r="250" spans="1:18">
      <c r="A250" s="1" t="s">
        <v>195</v>
      </c>
      <c r="B250">
        <v>33</v>
      </c>
      <c r="C250">
        <v>12</v>
      </c>
      <c r="D250">
        <v>21</v>
      </c>
      <c r="E250">
        <v>-4.4400000000000004</v>
      </c>
      <c r="F250">
        <v>2364</v>
      </c>
      <c r="G250">
        <v>787</v>
      </c>
      <c r="H250">
        <v>1864</v>
      </c>
      <c r="I250">
        <v>487</v>
      </c>
      <c r="J250">
        <v>690</v>
      </c>
      <c r="K250">
        <v>330</v>
      </c>
      <c r="L250">
        <v>1142</v>
      </c>
      <c r="M250">
        <v>404</v>
      </c>
      <c r="N250">
        <v>182</v>
      </c>
      <c r="O250">
        <v>86</v>
      </c>
      <c r="P250">
        <v>446</v>
      </c>
      <c r="Q250">
        <v>566</v>
      </c>
      <c r="R250">
        <v>249</v>
      </c>
    </row>
    <row r="251" spans="1:18">
      <c r="A251" s="1" t="s">
        <v>196</v>
      </c>
      <c r="B251">
        <v>36</v>
      </c>
      <c r="C251">
        <v>23</v>
      </c>
      <c r="D251">
        <v>13</v>
      </c>
      <c r="E251">
        <v>-4.08</v>
      </c>
      <c r="F251">
        <v>2422</v>
      </c>
      <c r="G251">
        <v>850</v>
      </c>
      <c r="H251">
        <v>2000</v>
      </c>
      <c r="I251">
        <v>445</v>
      </c>
      <c r="J251">
        <v>614</v>
      </c>
      <c r="K251">
        <v>415</v>
      </c>
      <c r="L251">
        <v>1244</v>
      </c>
      <c r="M251">
        <v>442</v>
      </c>
      <c r="N251">
        <v>226</v>
      </c>
      <c r="O251">
        <v>105</v>
      </c>
      <c r="P251">
        <v>441</v>
      </c>
      <c r="Q251">
        <v>596</v>
      </c>
      <c r="R251">
        <v>250</v>
      </c>
    </row>
    <row r="252" spans="1:18">
      <c r="A252" s="1" t="s">
        <v>197</v>
      </c>
      <c r="B252">
        <v>34</v>
      </c>
      <c r="C252">
        <v>26</v>
      </c>
      <c r="D252">
        <v>8</v>
      </c>
      <c r="E252">
        <v>4.6100000000000003</v>
      </c>
      <c r="F252">
        <v>2583</v>
      </c>
      <c r="G252">
        <v>954</v>
      </c>
      <c r="H252">
        <v>2096</v>
      </c>
      <c r="I252">
        <v>439</v>
      </c>
      <c r="J252">
        <v>630</v>
      </c>
      <c r="K252">
        <v>389</v>
      </c>
      <c r="L252">
        <v>1170</v>
      </c>
      <c r="M252">
        <v>520</v>
      </c>
      <c r="N252">
        <v>249</v>
      </c>
      <c r="O252">
        <v>118</v>
      </c>
      <c r="P252">
        <v>362</v>
      </c>
      <c r="Q252">
        <v>645</v>
      </c>
      <c r="R252">
        <v>251</v>
      </c>
    </row>
    <row r="253" spans="1:18">
      <c r="A253" s="1" t="s">
        <v>198</v>
      </c>
      <c r="B253">
        <v>31</v>
      </c>
      <c r="C253">
        <v>7</v>
      </c>
      <c r="D253">
        <v>24</v>
      </c>
      <c r="E253">
        <v>-0.04</v>
      </c>
      <c r="F253">
        <v>2114</v>
      </c>
      <c r="G253">
        <v>711</v>
      </c>
      <c r="H253">
        <v>1751</v>
      </c>
      <c r="I253">
        <v>432</v>
      </c>
      <c r="J253">
        <v>646</v>
      </c>
      <c r="K253">
        <v>327</v>
      </c>
      <c r="L253">
        <v>1140</v>
      </c>
      <c r="M253">
        <v>378</v>
      </c>
      <c r="N253">
        <v>166</v>
      </c>
      <c r="O253">
        <v>66</v>
      </c>
      <c r="P253">
        <v>460</v>
      </c>
      <c r="Q253">
        <v>509</v>
      </c>
      <c r="R253">
        <v>252</v>
      </c>
    </row>
    <row r="254" spans="1:18">
      <c r="A254" s="1" t="s">
        <v>199</v>
      </c>
      <c r="B254">
        <v>32</v>
      </c>
      <c r="C254">
        <v>12</v>
      </c>
      <c r="D254">
        <v>20</v>
      </c>
      <c r="E254">
        <v>3.61</v>
      </c>
      <c r="F254">
        <v>2297</v>
      </c>
      <c r="G254">
        <v>843</v>
      </c>
      <c r="H254">
        <v>1830</v>
      </c>
      <c r="I254">
        <v>389</v>
      </c>
      <c r="J254">
        <v>544</v>
      </c>
      <c r="K254">
        <v>251</v>
      </c>
      <c r="L254">
        <v>972</v>
      </c>
      <c r="M254">
        <v>486</v>
      </c>
      <c r="N254">
        <v>244</v>
      </c>
      <c r="O254">
        <v>77</v>
      </c>
      <c r="P254">
        <v>373</v>
      </c>
      <c r="Q254">
        <v>518</v>
      </c>
      <c r="R254">
        <v>253</v>
      </c>
    </row>
    <row r="255" spans="1:18">
      <c r="A255" s="1" t="s">
        <v>200</v>
      </c>
      <c r="B255">
        <v>32</v>
      </c>
      <c r="C255">
        <v>22</v>
      </c>
      <c r="D255">
        <v>10</v>
      </c>
      <c r="E255">
        <v>-2.62</v>
      </c>
      <c r="F255">
        <v>2620</v>
      </c>
      <c r="G255">
        <v>932</v>
      </c>
      <c r="H255">
        <v>2004</v>
      </c>
      <c r="I255">
        <v>513</v>
      </c>
      <c r="J255">
        <v>844</v>
      </c>
      <c r="K255">
        <v>421</v>
      </c>
      <c r="L255">
        <v>1253</v>
      </c>
      <c r="M255">
        <v>459</v>
      </c>
      <c r="N255">
        <v>241</v>
      </c>
      <c r="O255">
        <v>109</v>
      </c>
      <c r="P255">
        <v>424</v>
      </c>
      <c r="Q255">
        <v>638</v>
      </c>
      <c r="R255">
        <v>254</v>
      </c>
    </row>
    <row r="256" spans="1:18">
      <c r="A256" s="1" t="s">
        <v>201</v>
      </c>
      <c r="B256">
        <v>33</v>
      </c>
      <c r="C256">
        <v>16</v>
      </c>
      <c r="D256">
        <v>17</v>
      </c>
      <c r="E256">
        <v>-6.11</v>
      </c>
      <c r="F256">
        <v>2272</v>
      </c>
      <c r="G256">
        <v>794</v>
      </c>
      <c r="H256">
        <v>1932</v>
      </c>
      <c r="I256">
        <v>442</v>
      </c>
      <c r="J256">
        <v>663</v>
      </c>
      <c r="K256">
        <v>392</v>
      </c>
      <c r="L256">
        <v>1176</v>
      </c>
      <c r="M256">
        <v>382</v>
      </c>
      <c r="N256">
        <v>256</v>
      </c>
      <c r="O256">
        <v>90</v>
      </c>
      <c r="P256">
        <v>489</v>
      </c>
      <c r="Q256">
        <v>663</v>
      </c>
      <c r="R256">
        <v>255</v>
      </c>
    </row>
    <row r="257" spans="1:18">
      <c r="A257" s="1" t="s">
        <v>202</v>
      </c>
      <c r="B257">
        <v>34</v>
      </c>
      <c r="C257">
        <v>15</v>
      </c>
      <c r="D257">
        <v>19</v>
      </c>
      <c r="E257">
        <v>6.83</v>
      </c>
      <c r="F257">
        <v>2216</v>
      </c>
      <c r="G257">
        <v>830</v>
      </c>
      <c r="H257">
        <v>2042</v>
      </c>
      <c r="I257">
        <v>409</v>
      </c>
      <c r="J257">
        <v>635</v>
      </c>
      <c r="K257">
        <v>447</v>
      </c>
      <c r="L257">
        <v>1316</v>
      </c>
      <c r="M257">
        <v>333</v>
      </c>
      <c r="N257">
        <v>240</v>
      </c>
      <c r="O257">
        <v>136</v>
      </c>
      <c r="P257">
        <v>397</v>
      </c>
      <c r="Q257">
        <v>583</v>
      </c>
      <c r="R257">
        <v>256</v>
      </c>
    </row>
    <row r="258" spans="1:18">
      <c r="A258" s="1" t="s">
        <v>203</v>
      </c>
      <c r="B258">
        <v>32</v>
      </c>
      <c r="C258">
        <v>7</v>
      </c>
      <c r="D258">
        <v>25</v>
      </c>
      <c r="E258">
        <v>-0.74</v>
      </c>
      <c r="F258">
        <v>2157</v>
      </c>
      <c r="G258">
        <v>800</v>
      </c>
      <c r="H258">
        <v>1802</v>
      </c>
      <c r="I258">
        <v>355</v>
      </c>
      <c r="J258">
        <v>519</v>
      </c>
      <c r="K258">
        <v>268</v>
      </c>
      <c r="L258">
        <v>1024</v>
      </c>
      <c r="M258">
        <v>420</v>
      </c>
      <c r="N258">
        <v>172</v>
      </c>
      <c r="O258">
        <v>110</v>
      </c>
      <c r="P258">
        <v>385</v>
      </c>
      <c r="Q258">
        <v>586</v>
      </c>
      <c r="R258">
        <v>257</v>
      </c>
    </row>
    <row r="259" spans="1:18">
      <c r="A259" s="1" t="s">
        <v>204</v>
      </c>
      <c r="B259">
        <v>31</v>
      </c>
      <c r="C259">
        <v>10</v>
      </c>
      <c r="D259">
        <v>21</v>
      </c>
      <c r="E259">
        <v>-6.98</v>
      </c>
      <c r="F259">
        <v>2129</v>
      </c>
      <c r="G259">
        <v>796</v>
      </c>
      <c r="H259">
        <v>1823</v>
      </c>
      <c r="I259">
        <v>358</v>
      </c>
      <c r="J259">
        <v>540</v>
      </c>
      <c r="K259">
        <v>374</v>
      </c>
      <c r="L259">
        <v>1238</v>
      </c>
      <c r="M259">
        <v>401</v>
      </c>
      <c r="N259">
        <v>149</v>
      </c>
      <c r="O259">
        <v>72</v>
      </c>
      <c r="P259">
        <v>460</v>
      </c>
      <c r="Q259">
        <v>571</v>
      </c>
      <c r="R259">
        <v>258</v>
      </c>
    </row>
    <row r="260" spans="1:18">
      <c r="A260" s="1" t="s">
        <v>205</v>
      </c>
      <c r="B260">
        <v>31</v>
      </c>
      <c r="C260">
        <v>18</v>
      </c>
      <c r="D260">
        <v>13</v>
      </c>
      <c r="E260">
        <v>-6.71</v>
      </c>
      <c r="F260">
        <v>2450</v>
      </c>
      <c r="G260">
        <v>860</v>
      </c>
      <c r="H260">
        <v>1845</v>
      </c>
      <c r="I260">
        <v>480</v>
      </c>
      <c r="J260">
        <v>630</v>
      </c>
      <c r="K260">
        <v>276</v>
      </c>
      <c r="L260">
        <v>1046</v>
      </c>
      <c r="M260">
        <v>416</v>
      </c>
      <c r="N260">
        <v>209</v>
      </c>
      <c r="O260">
        <v>72</v>
      </c>
      <c r="P260">
        <v>359</v>
      </c>
      <c r="Q260">
        <v>496</v>
      </c>
      <c r="R260">
        <v>259</v>
      </c>
    </row>
    <row r="261" spans="1:18">
      <c r="A261" s="1" t="s">
        <v>206</v>
      </c>
      <c r="B261">
        <v>32</v>
      </c>
      <c r="C261">
        <v>16</v>
      </c>
      <c r="D261">
        <v>16</v>
      </c>
      <c r="E261">
        <v>1.9</v>
      </c>
      <c r="F261">
        <v>2371</v>
      </c>
      <c r="G261">
        <v>826</v>
      </c>
      <c r="H261">
        <v>1953</v>
      </c>
      <c r="I261">
        <v>464</v>
      </c>
      <c r="J261">
        <v>675</v>
      </c>
      <c r="K261">
        <v>289</v>
      </c>
      <c r="L261">
        <v>1201</v>
      </c>
      <c r="M261">
        <v>447</v>
      </c>
      <c r="N261">
        <v>203</v>
      </c>
      <c r="O261">
        <v>91</v>
      </c>
      <c r="P261">
        <v>320</v>
      </c>
      <c r="Q261">
        <v>497</v>
      </c>
      <c r="R261">
        <v>260</v>
      </c>
    </row>
    <row r="262" spans="1:18">
      <c r="A262" s="1" t="s">
        <v>292</v>
      </c>
      <c r="B262">
        <v>33</v>
      </c>
      <c r="C262">
        <v>17</v>
      </c>
      <c r="D262">
        <v>16</v>
      </c>
      <c r="E262">
        <v>2.92</v>
      </c>
      <c r="F262">
        <v>2170</v>
      </c>
      <c r="G262">
        <v>731</v>
      </c>
      <c r="H262">
        <v>1734</v>
      </c>
      <c r="I262">
        <v>523</v>
      </c>
      <c r="J262">
        <v>802</v>
      </c>
      <c r="K262">
        <v>388</v>
      </c>
      <c r="L262">
        <v>1188</v>
      </c>
      <c r="M262">
        <v>393</v>
      </c>
      <c r="N262">
        <v>198</v>
      </c>
      <c r="O262">
        <v>146</v>
      </c>
      <c r="P262">
        <v>420</v>
      </c>
      <c r="Q262">
        <v>596</v>
      </c>
      <c r="R262">
        <v>261</v>
      </c>
    </row>
    <row r="263" spans="1:18">
      <c r="A263" s="1" t="s">
        <v>207</v>
      </c>
      <c r="B263">
        <v>36</v>
      </c>
      <c r="C263">
        <v>30</v>
      </c>
      <c r="D263">
        <v>6</v>
      </c>
      <c r="E263">
        <v>0.33</v>
      </c>
      <c r="F263">
        <v>2772</v>
      </c>
      <c r="G263">
        <v>1014</v>
      </c>
      <c r="H263">
        <v>1970</v>
      </c>
      <c r="I263">
        <v>460</v>
      </c>
      <c r="J263">
        <v>598</v>
      </c>
      <c r="K263">
        <v>298</v>
      </c>
      <c r="L263">
        <v>1213</v>
      </c>
      <c r="M263">
        <v>557</v>
      </c>
      <c r="N263">
        <v>160</v>
      </c>
      <c r="O263">
        <v>94</v>
      </c>
      <c r="P263">
        <v>357</v>
      </c>
      <c r="Q263">
        <v>556</v>
      </c>
      <c r="R263">
        <v>262</v>
      </c>
    </row>
    <row r="264" spans="1:18">
      <c r="A264" s="1" t="s">
        <v>208</v>
      </c>
      <c r="B264">
        <v>32</v>
      </c>
      <c r="C264">
        <v>14</v>
      </c>
      <c r="D264">
        <v>18</v>
      </c>
      <c r="E264">
        <v>-4.3600000000000003</v>
      </c>
      <c r="F264">
        <v>2085</v>
      </c>
      <c r="G264">
        <v>740</v>
      </c>
      <c r="H264">
        <v>1762</v>
      </c>
      <c r="I264">
        <v>352</v>
      </c>
      <c r="J264">
        <v>488</v>
      </c>
      <c r="K264">
        <v>292</v>
      </c>
      <c r="L264">
        <v>1050</v>
      </c>
      <c r="M264">
        <v>379</v>
      </c>
      <c r="N264">
        <v>211</v>
      </c>
      <c r="O264">
        <v>101</v>
      </c>
      <c r="P264">
        <v>416</v>
      </c>
      <c r="Q264">
        <v>601</v>
      </c>
      <c r="R264">
        <v>263</v>
      </c>
    </row>
    <row r="265" spans="1:18">
      <c r="A265" s="1" t="s">
        <v>209</v>
      </c>
      <c r="B265">
        <v>36</v>
      </c>
      <c r="C265">
        <v>21</v>
      </c>
      <c r="D265">
        <v>15</v>
      </c>
      <c r="E265">
        <v>-4.8</v>
      </c>
      <c r="F265">
        <v>2571</v>
      </c>
      <c r="G265">
        <v>900</v>
      </c>
      <c r="H265">
        <v>2115</v>
      </c>
      <c r="I265">
        <v>514</v>
      </c>
      <c r="J265">
        <v>719</v>
      </c>
      <c r="K265">
        <v>436</v>
      </c>
      <c r="L265">
        <v>1356</v>
      </c>
      <c r="M265">
        <v>527</v>
      </c>
      <c r="N265">
        <v>220</v>
      </c>
      <c r="O265">
        <v>62</v>
      </c>
      <c r="P265">
        <v>473</v>
      </c>
      <c r="Q265">
        <v>708</v>
      </c>
      <c r="R265">
        <v>264</v>
      </c>
    </row>
    <row r="266" spans="1:18">
      <c r="A266" s="1" t="s">
        <v>293</v>
      </c>
      <c r="B266">
        <v>32</v>
      </c>
      <c r="C266">
        <v>10</v>
      </c>
      <c r="D266">
        <v>22</v>
      </c>
      <c r="E266">
        <v>-3.37</v>
      </c>
      <c r="F266">
        <v>2483</v>
      </c>
      <c r="G266">
        <v>870</v>
      </c>
      <c r="H266">
        <v>1846</v>
      </c>
      <c r="I266">
        <v>454</v>
      </c>
      <c r="J266">
        <v>594</v>
      </c>
      <c r="K266">
        <v>264</v>
      </c>
      <c r="L266">
        <v>974</v>
      </c>
      <c r="M266">
        <v>530</v>
      </c>
      <c r="N266">
        <v>230</v>
      </c>
      <c r="O266">
        <v>76</v>
      </c>
      <c r="P266">
        <v>435</v>
      </c>
      <c r="Q266">
        <v>527</v>
      </c>
      <c r="R266">
        <v>265</v>
      </c>
    </row>
    <row r="267" spans="1:18">
      <c r="A267" s="1" t="s">
        <v>210</v>
      </c>
      <c r="B267">
        <v>33</v>
      </c>
      <c r="C267">
        <v>22</v>
      </c>
      <c r="D267">
        <v>11</v>
      </c>
      <c r="E267">
        <v>3.91</v>
      </c>
      <c r="F267">
        <v>2545</v>
      </c>
      <c r="G267">
        <v>902</v>
      </c>
      <c r="H267">
        <v>1967</v>
      </c>
      <c r="I267">
        <v>502</v>
      </c>
      <c r="J267">
        <v>702</v>
      </c>
      <c r="K267">
        <v>366</v>
      </c>
      <c r="L267">
        <v>1250</v>
      </c>
      <c r="M267">
        <v>488</v>
      </c>
      <c r="N267">
        <v>206</v>
      </c>
      <c r="O267">
        <v>107</v>
      </c>
      <c r="P267">
        <v>394</v>
      </c>
      <c r="Q267">
        <v>564</v>
      </c>
      <c r="R267">
        <v>266</v>
      </c>
    </row>
    <row r="268" spans="1:18">
      <c r="A268" s="1" t="s">
        <v>211</v>
      </c>
      <c r="B268">
        <v>34</v>
      </c>
      <c r="C268">
        <v>20</v>
      </c>
      <c r="D268">
        <v>14</v>
      </c>
      <c r="E268">
        <v>0.49</v>
      </c>
      <c r="F268">
        <v>2385</v>
      </c>
      <c r="G268">
        <v>802</v>
      </c>
      <c r="H268">
        <v>1775</v>
      </c>
      <c r="I268">
        <v>492</v>
      </c>
      <c r="J268">
        <v>692</v>
      </c>
      <c r="K268">
        <v>253</v>
      </c>
      <c r="L268">
        <v>1117</v>
      </c>
      <c r="M268">
        <v>475</v>
      </c>
      <c r="N268">
        <v>186</v>
      </c>
      <c r="O268">
        <v>138</v>
      </c>
      <c r="P268">
        <v>445</v>
      </c>
      <c r="Q268">
        <v>701</v>
      </c>
      <c r="R268">
        <v>267</v>
      </c>
    </row>
    <row r="269" spans="1:18">
      <c r="A269" s="1" t="s">
        <v>212</v>
      </c>
      <c r="B269">
        <v>39</v>
      </c>
      <c r="C269">
        <v>22</v>
      </c>
      <c r="D269">
        <v>17</v>
      </c>
      <c r="E269">
        <v>1.63</v>
      </c>
      <c r="F269">
        <v>2685</v>
      </c>
      <c r="G269">
        <v>952</v>
      </c>
      <c r="H269">
        <v>2256</v>
      </c>
      <c r="I269">
        <v>448</v>
      </c>
      <c r="J269">
        <v>663</v>
      </c>
      <c r="K269">
        <v>395</v>
      </c>
      <c r="L269">
        <v>1393</v>
      </c>
      <c r="M269">
        <v>526</v>
      </c>
      <c r="N269">
        <v>210</v>
      </c>
      <c r="O269">
        <v>141</v>
      </c>
      <c r="P269">
        <v>464</v>
      </c>
      <c r="Q269">
        <v>745</v>
      </c>
      <c r="R269">
        <v>268</v>
      </c>
    </row>
    <row r="270" spans="1:18">
      <c r="A270" s="1" t="s">
        <v>213</v>
      </c>
      <c r="B270">
        <v>30</v>
      </c>
      <c r="C270">
        <v>4</v>
      </c>
      <c r="D270">
        <v>26</v>
      </c>
      <c r="E270">
        <v>2.91</v>
      </c>
      <c r="F270">
        <v>1974</v>
      </c>
      <c r="G270">
        <v>705</v>
      </c>
      <c r="H270">
        <v>1618</v>
      </c>
      <c r="I270">
        <v>386</v>
      </c>
      <c r="J270">
        <v>558</v>
      </c>
      <c r="K270">
        <v>277</v>
      </c>
      <c r="L270">
        <v>1073</v>
      </c>
      <c r="M270">
        <v>385</v>
      </c>
      <c r="N270">
        <v>135</v>
      </c>
      <c r="O270">
        <v>69</v>
      </c>
      <c r="P270">
        <v>488</v>
      </c>
      <c r="Q270">
        <v>570</v>
      </c>
      <c r="R270">
        <v>269</v>
      </c>
    </row>
    <row r="271" spans="1:18">
      <c r="A271" s="1" t="s">
        <v>214</v>
      </c>
      <c r="B271">
        <v>31</v>
      </c>
      <c r="C271">
        <v>11</v>
      </c>
      <c r="D271">
        <v>20</v>
      </c>
      <c r="E271">
        <v>0.61</v>
      </c>
      <c r="F271">
        <v>2048</v>
      </c>
      <c r="G271">
        <v>718</v>
      </c>
      <c r="H271">
        <v>1674</v>
      </c>
      <c r="I271">
        <v>380</v>
      </c>
      <c r="J271">
        <v>524</v>
      </c>
      <c r="K271">
        <v>243</v>
      </c>
      <c r="L271">
        <v>887</v>
      </c>
      <c r="M271">
        <v>404</v>
      </c>
      <c r="N271">
        <v>168</v>
      </c>
      <c r="O271">
        <v>73</v>
      </c>
      <c r="P271">
        <v>350</v>
      </c>
      <c r="Q271">
        <v>537</v>
      </c>
      <c r="R271">
        <v>270</v>
      </c>
    </row>
    <row r="272" spans="1:18">
      <c r="A272" s="1" t="s">
        <v>322</v>
      </c>
      <c r="B272">
        <v>32</v>
      </c>
      <c r="C272">
        <v>15</v>
      </c>
      <c r="D272">
        <v>17</v>
      </c>
      <c r="E272">
        <v>-5.0599999999999996</v>
      </c>
      <c r="F272">
        <v>2754</v>
      </c>
      <c r="G272">
        <v>940</v>
      </c>
      <c r="H272">
        <v>2350</v>
      </c>
      <c r="I272">
        <v>483</v>
      </c>
      <c r="J272">
        <v>694</v>
      </c>
      <c r="K272">
        <v>423</v>
      </c>
      <c r="L272">
        <v>1222</v>
      </c>
      <c r="M272">
        <v>504</v>
      </c>
      <c r="N272">
        <v>301</v>
      </c>
      <c r="O272">
        <v>89</v>
      </c>
      <c r="P272">
        <v>448</v>
      </c>
      <c r="Q272">
        <v>608</v>
      </c>
      <c r="R272">
        <v>271</v>
      </c>
    </row>
    <row r="273" spans="1:18">
      <c r="A273" s="1" t="s">
        <v>358</v>
      </c>
      <c r="B273">
        <v>34</v>
      </c>
      <c r="C273">
        <v>20</v>
      </c>
      <c r="D273">
        <v>14</v>
      </c>
      <c r="E273">
        <v>-3.09</v>
      </c>
      <c r="F273">
        <v>2589</v>
      </c>
      <c r="G273">
        <v>881</v>
      </c>
      <c r="H273">
        <v>1975</v>
      </c>
      <c r="I273">
        <v>515</v>
      </c>
      <c r="J273">
        <v>698</v>
      </c>
      <c r="K273">
        <v>368</v>
      </c>
      <c r="L273">
        <v>1298</v>
      </c>
      <c r="M273">
        <v>463</v>
      </c>
      <c r="N273">
        <v>167</v>
      </c>
      <c r="O273">
        <v>123</v>
      </c>
      <c r="P273">
        <v>484</v>
      </c>
      <c r="Q273">
        <v>692</v>
      </c>
      <c r="R273">
        <v>272</v>
      </c>
    </row>
    <row r="274" spans="1:18">
      <c r="A274" s="1" t="s">
        <v>294</v>
      </c>
      <c r="B274">
        <v>34</v>
      </c>
      <c r="C274">
        <v>22</v>
      </c>
      <c r="D274">
        <v>12</v>
      </c>
      <c r="E274">
        <v>10.11</v>
      </c>
      <c r="F274">
        <v>2701</v>
      </c>
      <c r="G274">
        <v>971</v>
      </c>
      <c r="H274">
        <v>2073</v>
      </c>
      <c r="I274">
        <v>509</v>
      </c>
      <c r="J274">
        <v>729</v>
      </c>
      <c r="K274">
        <v>416</v>
      </c>
      <c r="L274">
        <v>1302</v>
      </c>
      <c r="M274">
        <v>527</v>
      </c>
      <c r="N274">
        <v>210</v>
      </c>
      <c r="O274">
        <v>117</v>
      </c>
      <c r="P274">
        <v>432</v>
      </c>
      <c r="Q274">
        <v>614</v>
      </c>
      <c r="R274">
        <v>273</v>
      </c>
    </row>
    <row r="275" spans="1:18">
      <c r="A275" s="1" t="s">
        <v>215</v>
      </c>
      <c r="B275">
        <v>32</v>
      </c>
      <c r="C275">
        <v>8</v>
      </c>
      <c r="D275">
        <v>24</v>
      </c>
      <c r="E275">
        <v>-2.99</v>
      </c>
      <c r="F275">
        <v>2166</v>
      </c>
      <c r="G275">
        <v>752</v>
      </c>
      <c r="H275">
        <v>1790</v>
      </c>
      <c r="I275">
        <v>442</v>
      </c>
      <c r="J275">
        <v>652</v>
      </c>
      <c r="K275">
        <v>354</v>
      </c>
      <c r="L275">
        <v>1146</v>
      </c>
      <c r="M275">
        <v>355</v>
      </c>
      <c r="N275">
        <v>153</v>
      </c>
      <c r="O275">
        <v>104</v>
      </c>
      <c r="P275">
        <v>483</v>
      </c>
      <c r="Q275">
        <v>641</v>
      </c>
      <c r="R275">
        <v>274</v>
      </c>
    </row>
    <row r="276" spans="1:18">
      <c r="A276" s="1" t="s">
        <v>216</v>
      </c>
      <c r="B276">
        <v>32</v>
      </c>
      <c r="C276">
        <v>14</v>
      </c>
      <c r="D276">
        <v>18</v>
      </c>
      <c r="E276">
        <v>-2.87</v>
      </c>
      <c r="F276">
        <v>2228</v>
      </c>
      <c r="G276">
        <v>752</v>
      </c>
      <c r="H276">
        <v>1785</v>
      </c>
      <c r="I276">
        <v>472</v>
      </c>
      <c r="J276">
        <v>674</v>
      </c>
      <c r="K276">
        <v>301</v>
      </c>
      <c r="L276">
        <v>1165</v>
      </c>
      <c r="M276">
        <v>398</v>
      </c>
      <c r="N276">
        <v>171</v>
      </c>
      <c r="O276">
        <v>126</v>
      </c>
      <c r="P276">
        <v>479</v>
      </c>
      <c r="Q276">
        <v>612</v>
      </c>
      <c r="R276">
        <v>275</v>
      </c>
    </row>
    <row r="277" spans="1:18">
      <c r="A277" s="1" t="s">
        <v>295</v>
      </c>
      <c r="B277">
        <v>32</v>
      </c>
      <c r="C277">
        <v>10</v>
      </c>
      <c r="D277">
        <v>22</v>
      </c>
      <c r="E277">
        <v>-8.7799999999999994</v>
      </c>
      <c r="F277">
        <v>2355</v>
      </c>
      <c r="G277">
        <v>829</v>
      </c>
      <c r="H277">
        <v>1948</v>
      </c>
      <c r="I277">
        <v>492</v>
      </c>
      <c r="J277">
        <v>706</v>
      </c>
      <c r="K277">
        <v>366</v>
      </c>
      <c r="L277">
        <v>1092</v>
      </c>
      <c r="M277">
        <v>352</v>
      </c>
      <c r="N277">
        <v>169</v>
      </c>
      <c r="O277">
        <v>76</v>
      </c>
      <c r="P277">
        <v>444</v>
      </c>
      <c r="Q277">
        <v>612</v>
      </c>
      <c r="R277">
        <v>276</v>
      </c>
    </row>
    <row r="278" spans="1:18">
      <c r="A278" s="1" t="s">
        <v>351</v>
      </c>
      <c r="B278">
        <v>32</v>
      </c>
      <c r="C278">
        <v>7</v>
      </c>
      <c r="D278">
        <v>25</v>
      </c>
      <c r="E278">
        <v>-4.3499999999999996</v>
      </c>
      <c r="F278">
        <v>2424</v>
      </c>
      <c r="G278">
        <v>881</v>
      </c>
      <c r="H278">
        <v>2045</v>
      </c>
      <c r="I278">
        <v>334</v>
      </c>
      <c r="J278">
        <v>460</v>
      </c>
      <c r="K278">
        <v>337</v>
      </c>
      <c r="L278">
        <v>1062</v>
      </c>
      <c r="M278">
        <v>449</v>
      </c>
      <c r="N278">
        <v>195</v>
      </c>
      <c r="O278">
        <v>86</v>
      </c>
      <c r="P278">
        <v>370</v>
      </c>
      <c r="Q278">
        <v>566</v>
      </c>
      <c r="R278">
        <v>277</v>
      </c>
    </row>
    <row r="279" spans="1:18">
      <c r="A279" s="1" t="s">
        <v>217</v>
      </c>
      <c r="B279">
        <v>33</v>
      </c>
      <c r="C279">
        <v>17</v>
      </c>
      <c r="D279">
        <v>16</v>
      </c>
      <c r="E279">
        <v>9.23</v>
      </c>
      <c r="F279">
        <v>2313</v>
      </c>
      <c r="G279">
        <v>756</v>
      </c>
      <c r="H279">
        <v>1899</v>
      </c>
      <c r="I279">
        <v>561</v>
      </c>
      <c r="J279">
        <v>800</v>
      </c>
      <c r="K279">
        <v>415</v>
      </c>
      <c r="L279">
        <v>1228</v>
      </c>
      <c r="M279">
        <v>423</v>
      </c>
      <c r="N279">
        <v>180</v>
      </c>
      <c r="O279">
        <v>105</v>
      </c>
      <c r="P279">
        <v>455</v>
      </c>
      <c r="Q279">
        <v>662</v>
      </c>
      <c r="R279">
        <v>278</v>
      </c>
    </row>
    <row r="280" spans="1:18">
      <c r="A280" s="1" t="s">
        <v>341</v>
      </c>
      <c r="B280">
        <v>35</v>
      </c>
      <c r="C280">
        <v>28</v>
      </c>
      <c r="D280">
        <v>7</v>
      </c>
      <c r="E280">
        <v>-0.38</v>
      </c>
      <c r="F280">
        <v>2958</v>
      </c>
      <c r="G280">
        <v>1003</v>
      </c>
      <c r="H280">
        <v>2147</v>
      </c>
      <c r="I280">
        <v>578</v>
      </c>
      <c r="J280">
        <v>759</v>
      </c>
      <c r="K280">
        <v>310</v>
      </c>
      <c r="L280">
        <v>1360</v>
      </c>
      <c r="M280">
        <v>467</v>
      </c>
      <c r="N280">
        <v>172</v>
      </c>
      <c r="O280">
        <v>80</v>
      </c>
      <c r="P280">
        <v>353</v>
      </c>
      <c r="Q280">
        <v>562</v>
      </c>
      <c r="R280">
        <v>279</v>
      </c>
    </row>
    <row r="281" spans="1:18">
      <c r="A281" s="1" t="s">
        <v>359</v>
      </c>
      <c r="B281">
        <v>35</v>
      </c>
      <c r="C281">
        <v>26</v>
      </c>
      <c r="D281">
        <v>9</v>
      </c>
      <c r="E281">
        <v>-2.6</v>
      </c>
      <c r="F281">
        <v>2832</v>
      </c>
      <c r="G281">
        <v>1017</v>
      </c>
      <c r="H281">
        <v>2136</v>
      </c>
      <c r="I281">
        <v>555</v>
      </c>
      <c r="J281">
        <v>740</v>
      </c>
      <c r="K281">
        <v>359</v>
      </c>
      <c r="L281">
        <v>1319</v>
      </c>
      <c r="M281">
        <v>463</v>
      </c>
      <c r="N281">
        <v>239</v>
      </c>
      <c r="O281">
        <v>69</v>
      </c>
      <c r="P281">
        <v>388</v>
      </c>
      <c r="Q281">
        <v>592</v>
      </c>
      <c r="R281">
        <v>280</v>
      </c>
    </row>
    <row r="282" spans="1:18">
      <c r="A282" s="1" t="s">
        <v>218</v>
      </c>
      <c r="B282">
        <v>32</v>
      </c>
      <c r="C282">
        <v>10</v>
      </c>
      <c r="D282">
        <v>22</v>
      </c>
      <c r="E282">
        <v>0.05</v>
      </c>
      <c r="F282">
        <v>2026</v>
      </c>
      <c r="G282">
        <v>707</v>
      </c>
      <c r="H282">
        <v>1690</v>
      </c>
      <c r="I282">
        <v>405</v>
      </c>
      <c r="J282">
        <v>560</v>
      </c>
      <c r="K282">
        <v>309</v>
      </c>
      <c r="L282">
        <v>1065</v>
      </c>
      <c r="M282">
        <v>379</v>
      </c>
      <c r="N282">
        <v>163</v>
      </c>
      <c r="O282">
        <v>76</v>
      </c>
      <c r="P282">
        <v>449</v>
      </c>
      <c r="Q282">
        <v>546</v>
      </c>
      <c r="R282">
        <v>281</v>
      </c>
    </row>
    <row r="283" spans="1:18">
      <c r="A283" s="1" t="s">
        <v>296</v>
      </c>
      <c r="B283">
        <v>31</v>
      </c>
      <c r="C283">
        <v>14</v>
      </c>
      <c r="D283">
        <v>17</v>
      </c>
      <c r="E283">
        <v>-4.88</v>
      </c>
      <c r="F283">
        <v>2355</v>
      </c>
      <c r="G283">
        <v>796</v>
      </c>
      <c r="H283">
        <v>1729</v>
      </c>
      <c r="I283">
        <v>474</v>
      </c>
      <c r="J283">
        <v>650</v>
      </c>
      <c r="K283">
        <v>273</v>
      </c>
      <c r="L283">
        <v>1005</v>
      </c>
      <c r="M283">
        <v>423</v>
      </c>
      <c r="N283">
        <v>178</v>
      </c>
      <c r="O283">
        <v>54</v>
      </c>
      <c r="P283">
        <v>388</v>
      </c>
      <c r="Q283">
        <v>553</v>
      </c>
      <c r="R283">
        <v>282</v>
      </c>
    </row>
    <row r="284" spans="1:18">
      <c r="A284" s="1" t="s">
        <v>219</v>
      </c>
      <c r="B284">
        <v>34</v>
      </c>
      <c r="C284">
        <v>22</v>
      </c>
      <c r="D284">
        <v>12</v>
      </c>
      <c r="E284">
        <v>-6.2</v>
      </c>
      <c r="F284">
        <v>2439</v>
      </c>
      <c r="G284">
        <v>867</v>
      </c>
      <c r="H284">
        <v>1911</v>
      </c>
      <c r="I284">
        <v>455</v>
      </c>
      <c r="J284">
        <v>692</v>
      </c>
      <c r="K284">
        <v>359</v>
      </c>
      <c r="L284">
        <v>1158</v>
      </c>
      <c r="M284">
        <v>498</v>
      </c>
      <c r="N284">
        <v>225</v>
      </c>
      <c r="O284">
        <v>98</v>
      </c>
      <c r="P284">
        <v>468</v>
      </c>
      <c r="Q284">
        <v>568</v>
      </c>
      <c r="R284">
        <v>283</v>
      </c>
    </row>
    <row r="285" spans="1:18">
      <c r="A285" s="1" t="s">
        <v>220</v>
      </c>
      <c r="B285">
        <v>36</v>
      </c>
      <c r="C285">
        <v>24</v>
      </c>
      <c r="D285">
        <v>12</v>
      </c>
      <c r="E285">
        <v>6.29</v>
      </c>
      <c r="F285">
        <v>2798</v>
      </c>
      <c r="G285">
        <v>1022</v>
      </c>
      <c r="H285">
        <v>2174</v>
      </c>
      <c r="I285">
        <v>458</v>
      </c>
      <c r="J285">
        <v>649</v>
      </c>
      <c r="K285">
        <v>369</v>
      </c>
      <c r="L285">
        <v>1252</v>
      </c>
      <c r="M285">
        <v>569</v>
      </c>
      <c r="N285">
        <v>228</v>
      </c>
      <c r="O285">
        <v>145</v>
      </c>
      <c r="P285">
        <v>383</v>
      </c>
      <c r="Q285">
        <v>568</v>
      </c>
      <c r="R285">
        <v>284</v>
      </c>
    </row>
    <row r="286" spans="1:18">
      <c r="A286" s="1" t="s">
        <v>355</v>
      </c>
      <c r="B286">
        <v>30</v>
      </c>
      <c r="C286">
        <v>9</v>
      </c>
      <c r="D286">
        <v>21</v>
      </c>
      <c r="E286">
        <v>-3.36</v>
      </c>
      <c r="F286">
        <v>2090</v>
      </c>
      <c r="G286">
        <v>734</v>
      </c>
      <c r="H286">
        <v>1759</v>
      </c>
      <c r="I286">
        <v>410</v>
      </c>
      <c r="J286">
        <v>580</v>
      </c>
      <c r="K286">
        <v>324</v>
      </c>
      <c r="L286">
        <v>1024</v>
      </c>
      <c r="M286">
        <v>373</v>
      </c>
      <c r="N286">
        <v>144</v>
      </c>
      <c r="O286">
        <v>82</v>
      </c>
      <c r="P286">
        <v>409</v>
      </c>
      <c r="Q286">
        <v>645</v>
      </c>
      <c r="R286">
        <v>285</v>
      </c>
    </row>
    <row r="287" spans="1:18">
      <c r="A287" s="1" t="s">
        <v>221</v>
      </c>
      <c r="B287">
        <v>33</v>
      </c>
      <c r="C287">
        <v>20</v>
      </c>
      <c r="D287">
        <v>13</v>
      </c>
      <c r="E287">
        <v>0.65</v>
      </c>
      <c r="F287">
        <v>2308</v>
      </c>
      <c r="G287">
        <v>839</v>
      </c>
      <c r="H287">
        <v>1817</v>
      </c>
      <c r="I287">
        <v>415</v>
      </c>
      <c r="J287">
        <v>596</v>
      </c>
      <c r="K287">
        <v>281</v>
      </c>
      <c r="L287">
        <v>1079</v>
      </c>
      <c r="M287">
        <v>464</v>
      </c>
      <c r="N287">
        <v>248</v>
      </c>
      <c r="O287">
        <v>118</v>
      </c>
      <c r="P287">
        <v>420</v>
      </c>
      <c r="Q287">
        <v>588</v>
      </c>
      <c r="R287">
        <v>286</v>
      </c>
    </row>
    <row r="288" spans="1:18">
      <c r="A288" s="1" t="s">
        <v>222</v>
      </c>
      <c r="B288">
        <v>33</v>
      </c>
      <c r="C288">
        <v>17</v>
      </c>
      <c r="D288">
        <v>16</v>
      </c>
      <c r="E288">
        <v>3.66</v>
      </c>
      <c r="F288">
        <v>2293</v>
      </c>
      <c r="G288">
        <v>814</v>
      </c>
      <c r="H288">
        <v>1835</v>
      </c>
      <c r="I288">
        <v>384</v>
      </c>
      <c r="J288">
        <v>560</v>
      </c>
      <c r="K288">
        <v>365</v>
      </c>
      <c r="L288">
        <v>1109</v>
      </c>
      <c r="M288">
        <v>474</v>
      </c>
      <c r="N288">
        <v>244</v>
      </c>
      <c r="O288">
        <v>99</v>
      </c>
      <c r="P288">
        <v>383</v>
      </c>
      <c r="Q288">
        <v>535</v>
      </c>
      <c r="R288">
        <v>287</v>
      </c>
    </row>
    <row r="289" spans="1:18">
      <c r="A289" s="1" t="s">
        <v>223</v>
      </c>
      <c r="B289">
        <v>34</v>
      </c>
      <c r="C289">
        <v>16</v>
      </c>
      <c r="D289">
        <v>18</v>
      </c>
      <c r="E289">
        <v>1.31</v>
      </c>
      <c r="F289">
        <v>2401</v>
      </c>
      <c r="G289">
        <v>872</v>
      </c>
      <c r="H289">
        <v>1958</v>
      </c>
      <c r="I289">
        <v>403</v>
      </c>
      <c r="J289">
        <v>573</v>
      </c>
      <c r="K289">
        <v>254</v>
      </c>
      <c r="L289">
        <v>1035</v>
      </c>
      <c r="M289">
        <v>500</v>
      </c>
      <c r="N289">
        <v>237</v>
      </c>
      <c r="O289">
        <v>59</v>
      </c>
      <c r="P289">
        <v>333</v>
      </c>
      <c r="Q289">
        <v>528</v>
      </c>
      <c r="R289">
        <v>288</v>
      </c>
    </row>
    <row r="290" spans="1:18">
      <c r="A290" s="1" t="s">
        <v>224</v>
      </c>
      <c r="B290">
        <v>32</v>
      </c>
      <c r="C290">
        <v>13</v>
      </c>
      <c r="D290">
        <v>19</v>
      </c>
      <c r="E290">
        <v>-0.88</v>
      </c>
      <c r="F290">
        <v>2416</v>
      </c>
      <c r="G290">
        <v>824</v>
      </c>
      <c r="H290">
        <v>1887</v>
      </c>
      <c r="I290">
        <v>515</v>
      </c>
      <c r="J290">
        <v>698</v>
      </c>
      <c r="K290">
        <v>272</v>
      </c>
      <c r="L290">
        <v>1084</v>
      </c>
      <c r="M290">
        <v>374</v>
      </c>
      <c r="N290">
        <v>166</v>
      </c>
      <c r="O290">
        <v>98</v>
      </c>
      <c r="P290">
        <v>408</v>
      </c>
      <c r="Q290">
        <v>699</v>
      </c>
      <c r="R290">
        <v>289</v>
      </c>
    </row>
    <row r="291" spans="1:18">
      <c r="A291" s="1" t="s">
        <v>225</v>
      </c>
      <c r="B291">
        <v>33</v>
      </c>
      <c r="C291">
        <v>15</v>
      </c>
      <c r="D291">
        <v>18</v>
      </c>
      <c r="E291">
        <v>-9.57</v>
      </c>
      <c r="F291">
        <v>2279</v>
      </c>
      <c r="G291">
        <v>781</v>
      </c>
      <c r="H291">
        <v>1937</v>
      </c>
      <c r="I291">
        <v>540</v>
      </c>
      <c r="J291">
        <v>793</v>
      </c>
      <c r="K291">
        <v>434</v>
      </c>
      <c r="L291">
        <v>1285</v>
      </c>
      <c r="M291">
        <v>371</v>
      </c>
      <c r="N291">
        <v>187</v>
      </c>
      <c r="O291">
        <v>121</v>
      </c>
      <c r="P291">
        <v>435</v>
      </c>
      <c r="Q291">
        <v>629</v>
      </c>
      <c r="R291">
        <v>290</v>
      </c>
    </row>
    <row r="292" spans="1:18">
      <c r="A292" s="1" t="s">
        <v>297</v>
      </c>
      <c r="B292">
        <v>34</v>
      </c>
      <c r="C292">
        <v>26</v>
      </c>
      <c r="D292">
        <v>8</v>
      </c>
      <c r="E292">
        <v>2.61</v>
      </c>
      <c r="F292">
        <v>2620</v>
      </c>
      <c r="G292">
        <v>884</v>
      </c>
      <c r="H292">
        <v>1959</v>
      </c>
      <c r="I292">
        <v>597</v>
      </c>
      <c r="J292">
        <v>794</v>
      </c>
      <c r="K292">
        <v>344</v>
      </c>
      <c r="L292">
        <v>1208</v>
      </c>
      <c r="M292">
        <v>472</v>
      </c>
      <c r="N292">
        <v>239</v>
      </c>
      <c r="O292">
        <v>118</v>
      </c>
      <c r="P292">
        <v>391</v>
      </c>
      <c r="Q292">
        <v>674</v>
      </c>
      <c r="R292">
        <v>291</v>
      </c>
    </row>
    <row r="293" spans="1:18">
      <c r="A293" s="1" t="s">
        <v>226</v>
      </c>
      <c r="B293">
        <v>31</v>
      </c>
      <c r="C293">
        <v>13</v>
      </c>
      <c r="D293">
        <v>18</v>
      </c>
      <c r="E293">
        <v>-7.32</v>
      </c>
      <c r="F293">
        <v>2260</v>
      </c>
      <c r="G293">
        <v>784</v>
      </c>
      <c r="H293">
        <v>1889</v>
      </c>
      <c r="I293">
        <v>421</v>
      </c>
      <c r="J293">
        <v>591</v>
      </c>
      <c r="K293">
        <v>328</v>
      </c>
      <c r="L293">
        <v>1046</v>
      </c>
      <c r="M293">
        <v>357</v>
      </c>
      <c r="N293">
        <v>225</v>
      </c>
      <c r="O293">
        <v>82</v>
      </c>
      <c r="P293">
        <v>390</v>
      </c>
      <c r="Q293">
        <v>668</v>
      </c>
      <c r="R293">
        <v>292</v>
      </c>
    </row>
    <row r="294" spans="1:18">
      <c r="A294" s="1" t="s">
        <v>298</v>
      </c>
      <c r="B294">
        <v>33</v>
      </c>
      <c r="C294">
        <v>16</v>
      </c>
      <c r="D294">
        <v>17</v>
      </c>
      <c r="E294">
        <v>10.69</v>
      </c>
      <c r="F294">
        <v>2412</v>
      </c>
      <c r="G294">
        <v>867</v>
      </c>
      <c r="H294">
        <v>1999</v>
      </c>
      <c r="I294">
        <v>446</v>
      </c>
      <c r="J294">
        <v>602</v>
      </c>
      <c r="K294">
        <v>288</v>
      </c>
      <c r="L294">
        <v>1110</v>
      </c>
      <c r="M294">
        <v>422</v>
      </c>
      <c r="N294">
        <v>282</v>
      </c>
      <c r="O294">
        <v>172</v>
      </c>
      <c r="P294">
        <v>393</v>
      </c>
      <c r="Q294">
        <v>614</v>
      </c>
      <c r="R294">
        <v>293</v>
      </c>
    </row>
    <row r="295" spans="1:18">
      <c r="A295" s="1" t="s">
        <v>342</v>
      </c>
      <c r="B295">
        <v>35</v>
      </c>
      <c r="C295">
        <v>19</v>
      </c>
      <c r="D295">
        <v>16</v>
      </c>
      <c r="E295">
        <v>7.14</v>
      </c>
      <c r="F295">
        <v>2655</v>
      </c>
      <c r="G295">
        <v>925</v>
      </c>
      <c r="H295">
        <v>2007</v>
      </c>
      <c r="I295">
        <v>572</v>
      </c>
      <c r="J295">
        <v>835</v>
      </c>
      <c r="K295">
        <v>395</v>
      </c>
      <c r="L295">
        <v>1368</v>
      </c>
      <c r="M295">
        <v>469</v>
      </c>
      <c r="N295">
        <v>183</v>
      </c>
      <c r="O295">
        <v>122</v>
      </c>
      <c r="P295">
        <v>525</v>
      </c>
      <c r="Q295">
        <v>633</v>
      </c>
      <c r="R295">
        <v>294</v>
      </c>
    </row>
    <row r="296" spans="1:18">
      <c r="A296" s="1" t="s">
        <v>227</v>
      </c>
      <c r="B296">
        <v>35</v>
      </c>
      <c r="C296">
        <v>28</v>
      </c>
      <c r="D296">
        <v>7</v>
      </c>
      <c r="E296">
        <v>-6.46</v>
      </c>
      <c r="F296">
        <v>2819</v>
      </c>
      <c r="G296">
        <v>1000</v>
      </c>
      <c r="H296">
        <v>2059</v>
      </c>
      <c r="I296">
        <v>577</v>
      </c>
      <c r="J296">
        <v>819</v>
      </c>
      <c r="K296">
        <v>402</v>
      </c>
      <c r="L296">
        <v>1248</v>
      </c>
      <c r="M296">
        <v>498</v>
      </c>
      <c r="N296">
        <v>361</v>
      </c>
      <c r="O296">
        <v>107</v>
      </c>
      <c r="P296">
        <v>540</v>
      </c>
      <c r="Q296">
        <v>765</v>
      </c>
      <c r="R296">
        <v>295</v>
      </c>
    </row>
    <row r="297" spans="1:18">
      <c r="A297" s="1" t="s">
        <v>228</v>
      </c>
      <c r="B297">
        <v>32</v>
      </c>
      <c r="C297">
        <v>12</v>
      </c>
      <c r="D297">
        <v>20</v>
      </c>
      <c r="E297">
        <v>-6.46</v>
      </c>
      <c r="F297">
        <v>2412</v>
      </c>
      <c r="G297">
        <v>907</v>
      </c>
      <c r="H297">
        <v>2053</v>
      </c>
      <c r="I297">
        <v>348</v>
      </c>
      <c r="J297">
        <v>518</v>
      </c>
      <c r="K297">
        <v>293</v>
      </c>
      <c r="L297">
        <v>1099</v>
      </c>
      <c r="M297">
        <v>471</v>
      </c>
      <c r="N297">
        <v>228</v>
      </c>
      <c r="O297">
        <v>87</v>
      </c>
      <c r="P297">
        <v>350</v>
      </c>
      <c r="Q297">
        <v>586</v>
      </c>
      <c r="R297">
        <v>296</v>
      </c>
    </row>
    <row r="298" spans="1:18">
      <c r="A298" s="1" t="s">
        <v>229</v>
      </c>
      <c r="B298">
        <v>32</v>
      </c>
      <c r="C298">
        <v>13</v>
      </c>
      <c r="D298">
        <v>19</v>
      </c>
      <c r="E298">
        <v>-2.2799999999999998</v>
      </c>
      <c r="F298">
        <v>2205</v>
      </c>
      <c r="G298">
        <v>779</v>
      </c>
      <c r="H298">
        <v>1866</v>
      </c>
      <c r="I298">
        <v>398</v>
      </c>
      <c r="J298">
        <v>606</v>
      </c>
      <c r="K298">
        <v>367</v>
      </c>
      <c r="L298">
        <v>1152</v>
      </c>
      <c r="M298">
        <v>427</v>
      </c>
      <c r="N298">
        <v>261</v>
      </c>
      <c r="O298">
        <v>94</v>
      </c>
      <c r="P298">
        <v>448</v>
      </c>
      <c r="Q298">
        <v>647</v>
      </c>
      <c r="R298">
        <v>297</v>
      </c>
    </row>
    <row r="299" spans="1:18">
      <c r="A299" s="1" t="s">
        <v>313</v>
      </c>
      <c r="B299">
        <v>37</v>
      </c>
      <c r="C299">
        <v>23</v>
      </c>
      <c r="D299">
        <v>14</v>
      </c>
      <c r="E299">
        <v>10.02</v>
      </c>
      <c r="F299">
        <v>2466</v>
      </c>
      <c r="G299">
        <v>832</v>
      </c>
      <c r="H299">
        <v>1995</v>
      </c>
      <c r="I299">
        <v>594</v>
      </c>
      <c r="J299">
        <v>807</v>
      </c>
      <c r="K299">
        <v>442</v>
      </c>
      <c r="L299">
        <v>1375</v>
      </c>
      <c r="M299">
        <v>395</v>
      </c>
      <c r="N299">
        <v>258</v>
      </c>
      <c r="O299">
        <v>198</v>
      </c>
      <c r="P299">
        <v>460</v>
      </c>
      <c r="Q299">
        <v>611</v>
      </c>
      <c r="R299">
        <v>298</v>
      </c>
    </row>
    <row r="300" spans="1:18">
      <c r="A300" s="1" t="s">
        <v>314</v>
      </c>
      <c r="B300">
        <v>33</v>
      </c>
      <c r="C300">
        <v>17</v>
      </c>
      <c r="D300">
        <v>16</v>
      </c>
      <c r="E300">
        <v>7.79</v>
      </c>
      <c r="F300">
        <v>2308</v>
      </c>
      <c r="G300">
        <v>845</v>
      </c>
      <c r="H300">
        <v>1990</v>
      </c>
      <c r="I300">
        <v>347</v>
      </c>
      <c r="J300">
        <v>509</v>
      </c>
      <c r="K300">
        <v>337</v>
      </c>
      <c r="L300">
        <v>1120</v>
      </c>
      <c r="M300">
        <v>421</v>
      </c>
      <c r="N300">
        <v>220</v>
      </c>
      <c r="O300">
        <v>108</v>
      </c>
      <c r="P300">
        <v>357</v>
      </c>
      <c r="Q300">
        <v>580</v>
      </c>
      <c r="R300">
        <v>299</v>
      </c>
    </row>
    <row r="301" spans="1:18">
      <c r="A301" s="1" t="s">
        <v>230</v>
      </c>
      <c r="B301">
        <v>31</v>
      </c>
      <c r="C301">
        <v>10</v>
      </c>
      <c r="D301">
        <v>21</v>
      </c>
      <c r="E301">
        <v>-4.96</v>
      </c>
      <c r="F301">
        <v>2135</v>
      </c>
      <c r="G301">
        <v>808</v>
      </c>
      <c r="H301">
        <v>1806</v>
      </c>
      <c r="I301">
        <v>309</v>
      </c>
      <c r="J301">
        <v>426</v>
      </c>
      <c r="K301">
        <v>308</v>
      </c>
      <c r="L301">
        <v>1086</v>
      </c>
      <c r="M301">
        <v>390</v>
      </c>
      <c r="N301">
        <v>214</v>
      </c>
      <c r="O301">
        <v>105</v>
      </c>
      <c r="P301">
        <v>449</v>
      </c>
      <c r="Q301">
        <v>568</v>
      </c>
      <c r="R301">
        <v>300</v>
      </c>
    </row>
    <row r="302" spans="1:18">
      <c r="A302" s="1" t="s">
        <v>231</v>
      </c>
      <c r="B302">
        <v>30</v>
      </c>
      <c r="C302">
        <v>15</v>
      </c>
      <c r="D302">
        <v>15</v>
      </c>
      <c r="E302">
        <v>-2.98</v>
      </c>
      <c r="F302">
        <v>1997</v>
      </c>
      <c r="G302">
        <v>669</v>
      </c>
      <c r="H302">
        <v>1574</v>
      </c>
      <c r="I302">
        <v>436</v>
      </c>
      <c r="J302">
        <v>590</v>
      </c>
      <c r="K302">
        <v>261</v>
      </c>
      <c r="L302">
        <v>989</v>
      </c>
      <c r="M302">
        <v>326</v>
      </c>
      <c r="N302">
        <v>213</v>
      </c>
      <c r="O302">
        <v>86</v>
      </c>
      <c r="P302">
        <v>442</v>
      </c>
      <c r="Q302">
        <v>563</v>
      </c>
      <c r="R302">
        <v>301</v>
      </c>
    </row>
    <row r="303" spans="1:18">
      <c r="A303" s="1" t="s">
        <v>232</v>
      </c>
      <c r="B303">
        <v>33</v>
      </c>
      <c r="C303">
        <v>19</v>
      </c>
      <c r="D303">
        <v>14</v>
      </c>
      <c r="E303">
        <v>-3.54</v>
      </c>
      <c r="F303">
        <v>2413</v>
      </c>
      <c r="G303">
        <v>844</v>
      </c>
      <c r="H303">
        <v>1924</v>
      </c>
      <c r="I303">
        <v>483</v>
      </c>
      <c r="J303">
        <v>710</v>
      </c>
      <c r="K303">
        <v>338</v>
      </c>
      <c r="L303">
        <v>1174</v>
      </c>
      <c r="M303">
        <v>471</v>
      </c>
      <c r="N303">
        <v>252</v>
      </c>
      <c r="O303">
        <v>108</v>
      </c>
      <c r="P303">
        <v>471</v>
      </c>
      <c r="Q303">
        <v>649</v>
      </c>
      <c r="R303">
        <v>302</v>
      </c>
    </row>
    <row r="304" spans="1:18">
      <c r="A304" s="1" t="s">
        <v>315</v>
      </c>
      <c r="B304">
        <v>35</v>
      </c>
      <c r="C304">
        <v>26</v>
      </c>
      <c r="D304">
        <v>9</v>
      </c>
      <c r="E304">
        <v>10.119999999999999</v>
      </c>
      <c r="F304">
        <v>2584</v>
      </c>
      <c r="G304">
        <v>885</v>
      </c>
      <c r="H304">
        <v>2012</v>
      </c>
      <c r="I304">
        <v>541</v>
      </c>
      <c r="J304">
        <v>715</v>
      </c>
      <c r="K304">
        <v>404</v>
      </c>
      <c r="L304">
        <v>1262</v>
      </c>
      <c r="M304">
        <v>550</v>
      </c>
      <c r="N304">
        <v>222</v>
      </c>
      <c r="O304">
        <v>156</v>
      </c>
      <c r="P304">
        <v>422</v>
      </c>
      <c r="Q304">
        <v>680</v>
      </c>
      <c r="R304">
        <v>303</v>
      </c>
    </row>
    <row r="305" spans="1:18">
      <c r="A305" s="1" t="s">
        <v>323</v>
      </c>
      <c r="B305">
        <v>29</v>
      </c>
      <c r="C305">
        <v>11</v>
      </c>
      <c r="D305">
        <v>18</v>
      </c>
      <c r="E305">
        <v>-6.56</v>
      </c>
      <c r="F305">
        <v>1963</v>
      </c>
      <c r="G305">
        <v>691</v>
      </c>
      <c r="H305">
        <v>1589</v>
      </c>
      <c r="I305">
        <v>432</v>
      </c>
      <c r="J305">
        <v>603</v>
      </c>
      <c r="K305">
        <v>292</v>
      </c>
      <c r="L305">
        <v>1005</v>
      </c>
      <c r="M305">
        <v>323</v>
      </c>
      <c r="N305">
        <v>197</v>
      </c>
      <c r="O305">
        <v>84</v>
      </c>
      <c r="P305">
        <v>461</v>
      </c>
      <c r="Q305">
        <v>606</v>
      </c>
      <c r="R305">
        <v>304</v>
      </c>
    </row>
    <row r="306" spans="1:18">
      <c r="A306" s="1" t="s">
        <v>233</v>
      </c>
      <c r="B306">
        <v>35</v>
      </c>
      <c r="C306">
        <v>22</v>
      </c>
      <c r="D306">
        <v>13</v>
      </c>
      <c r="E306">
        <v>10.62</v>
      </c>
      <c r="F306">
        <v>2631</v>
      </c>
      <c r="G306">
        <v>976</v>
      </c>
      <c r="H306">
        <v>2121</v>
      </c>
      <c r="I306">
        <v>449</v>
      </c>
      <c r="J306">
        <v>679</v>
      </c>
      <c r="K306">
        <v>432</v>
      </c>
      <c r="L306">
        <v>1450</v>
      </c>
      <c r="M306">
        <v>538</v>
      </c>
      <c r="N306">
        <v>190</v>
      </c>
      <c r="O306">
        <v>209</v>
      </c>
      <c r="P306">
        <v>476</v>
      </c>
      <c r="Q306">
        <v>574</v>
      </c>
      <c r="R306">
        <v>305</v>
      </c>
    </row>
    <row r="307" spans="1:18">
      <c r="A307" s="1" t="s">
        <v>234</v>
      </c>
      <c r="B307">
        <v>34</v>
      </c>
      <c r="C307">
        <v>21</v>
      </c>
      <c r="D307">
        <v>13</v>
      </c>
      <c r="E307">
        <v>-1.43</v>
      </c>
      <c r="F307">
        <v>2640</v>
      </c>
      <c r="G307">
        <v>927</v>
      </c>
      <c r="H307">
        <v>2054</v>
      </c>
      <c r="I307">
        <v>492</v>
      </c>
      <c r="J307">
        <v>713</v>
      </c>
      <c r="K307">
        <v>379</v>
      </c>
      <c r="L307">
        <v>1333</v>
      </c>
      <c r="M307">
        <v>545</v>
      </c>
      <c r="N307">
        <v>229</v>
      </c>
      <c r="O307">
        <v>143</v>
      </c>
      <c r="P307">
        <v>507</v>
      </c>
      <c r="Q307">
        <v>617</v>
      </c>
      <c r="R307">
        <v>306</v>
      </c>
    </row>
    <row r="308" spans="1:18">
      <c r="A308" s="1" t="s">
        <v>235</v>
      </c>
      <c r="B308">
        <v>33</v>
      </c>
      <c r="C308">
        <v>21</v>
      </c>
      <c r="D308">
        <v>12</v>
      </c>
      <c r="E308">
        <v>9.68</v>
      </c>
      <c r="F308">
        <v>2708</v>
      </c>
      <c r="G308">
        <v>979</v>
      </c>
      <c r="H308">
        <v>1973</v>
      </c>
      <c r="I308">
        <v>476</v>
      </c>
      <c r="J308">
        <v>674</v>
      </c>
      <c r="K308">
        <v>368</v>
      </c>
      <c r="L308">
        <v>1201</v>
      </c>
      <c r="M308">
        <v>615</v>
      </c>
      <c r="N308">
        <v>214</v>
      </c>
      <c r="O308">
        <v>119</v>
      </c>
      <c r="P308">
        <v>419</v>
      </c>
      <c r="Q308">
        <v>553</v>
      </c>
      <c r="R308">
        <v>307</v>
      </c>
    </row>
    <row r="309" spans="1:18">
      <c r="A309" s="1" t="s">
        <v>236</v>
      </c>
      <c r="B309">
        <v>31</v>
      </c>
      <c r="C309">
        <v>11</v>
      </c>
      <c r="D309">
        <v>20</v>
      </c>
      <c r="E309">
        <v>-0.2</v>
      </c>
      <c r="F309">
        <v>2094</v>
      </c>
      <c r="G309">
        <v>754</v>
      </c>
      <c r="H309">
        <v>1736</v>
      </c>
      <c r="I309">
        <v>362</v>
      </c>
      <c r="J309">
        <v>542</v>
      </c>
      <c r="K309">
        <v>217</v>
      </c>
      <c r="L309">
        <v>1036</v>
      </c>
      <c r="M309">
        <v>328</v>
      </c>
      <c r="N309">
        <v>129</v>
      </c>
      <c r="O309">
        <v>89</v>
      </c>
      <c r="P309">
        <v>381</v>
      </c>
      <c r="Q309">
        <v>576</v>
      </c>
      <c r="R309">
        <v>308</v>
      </c>
    </row>
    <row r="310" spans="1:18">
      <c r="A310" s="1" t="s">
        <v>237</v>
      </c>
      <c r="B310">
        <v>33</v>
      </c>
      <c r="C310">
        <v>15</v>
      </c>
      <c r="D310">
        <v>18</v>
      </c>
      <c r="E310">
        <v>-2.84</v>
      </c>
      <c r="F310">
        <v>2490</v>
      </c>
      <c r="G310">
        <v>833</v>
      </c>
      <c r="H310">
        <v>2061</v>
      </c>
      <c r="I310">
        <v>619</v>
      </c>
      <c r="J310">
        <v>835</v>
      </c>
      <c r="K310">
        <v>383</v>
      </c>
      <c r="L310">
        <v>1240</v>
      </c>
      <c r="M310">
        <v>499</v>
      </c>
      <c r="N310">
        <v>253</v>
      </c>
      <c r="O310">
        <v>110</v>
      </c>
      <c r="P310">
        <v>447</v>
      </c>
      <c r="Q310">
        <v>724</v>
      </c>
      <c r="R310">
        <v>309</v>
      </c>
    </row>
    <row r="311" spans="1:18">
      <c r="A311" s="1" t="s">
        <v>238</v>
      </c>
      <c r="B311">
        <v>35</v>
      </c>
      <c r="C311">
        <v>20</v>
      </c>
      <c r="D311">
        <v>15</v>
      </c>
      <c r="E311">
        <v>-0.93</v>
      </c>
      <c r="F311">
        <v>2740</v>
      </c>
      <c r="G311">
        <v>972</v>
      </c>
      <c r="H311">
        <v>2224</v>
      </c>
      <c r="I311">
        <v>443</v>
      </c>
      <c r="J311">
        <v>656</v>
      </c>
      <c r="K311">
        <v>380</v>
      </c>
      <c r="L311">
        <v>1394</v>
      </c>
      <c r="M311">
        <v>492</v>
      </c>
      <c r="N311">
        <v>218</v>
      </c>
      <c r="O311">
        <v>95</v>
      </c>
      <c r="P311">
        <v>440</v>
      </c>
      <c r="Q311">
        <v>703</v>
      </c>
      <c r="R311">
        <v>310</v>
      </c>
    </row>
    <row r="312" spans="1:18">
      <c r="A312" s="1" t="s">
        <v>239</v>
      </c>
      <c r="B312">
        <v>36</v>
      </c>
      <c r="C312">
        <v>16</v>
      </c>
      <c r="D312">
        <v>20</v>
      </c>
      <c r="E312">
        <v>-5.53</v>
      </c>
      <c r="F312">
        <v>2787</v>
      </c>
      <c r="G312">
        <v>925</v>
      </c>
      <c r="H312">
        <v>2111</v>
      </c>
      <c r="I312">
        <v>657</v>
      </c>
      <c r="J312">
        <v>906</v>
      </c>
      <c r="K312">
        <v>372</v>
      </c>
      <c r="L312">
        <v>1301</v>
      </c>
      <c r="M312">
        <v>438</v>
      </c>
      <c r="N312">
        <v>207</v>
      </c>
      <c r="O312">
        <v>145</v>
      </c>
      <c r="P312">
        <v>453</v>
      </c>
      <c r="Q312">
        <v>631</v>
      </c>
      <c r="R312">
        <v>311</v>
      </c>
    </row>
    <row r="313" spans="1:18">
      <c r="A313" s="1" t="s">
        <v>240</v>
      </c>
      <c r="B313">
        <v>33</v>
      </c>
      <c r="C313">
        <v>15</v>
      </c>
      <c r="D313">
        <v>18</v>
      </c>
      <c r="E313">
        <v>-3.44</v>
      </c>
      <c r="F313">
        <v>2190</v>
      </c>
      <c r="G313">
        <v>773</v>
      </c>
      <c r="H313">
        <v>1782</v>
      </c>
      <c r="I313">
        <v>430</v>
      </c>
      <c r="J313">
        <v>651</v>
      </c>
      <c r="K313">
        <v>363</v>
      </c>
      <c r="L313">
        <v>1144</v>
      </c>
      <c r="M313">
        <v>448</v>
      </c>
      <c r="N313">
        <v>179</v>
      </c>
      <c r="O313">
        <v>92</v>
      </c>
      <c r="P313">
        <v>442</v>
      </c>
      <c r="Q313">
        <v>543</v>
      </c>
      <c r="R313">
        <v>312</v>
      </c>
    </row>
    <row r="314" spans="1:18">
      <c r="A314" s="1" t="s">
        <v>241</v>
      </c>
      <c r="B314">
        <v>37</v>
      </c>
      <c r="C314">
        <v>27</v>
      </c>
      <c r="D314">
        <v>10</v>
      </c>
      <c r="E314">
        <v>9.6</v>
      </c>
      <c r="F314">
        <v>2759</v>
      </c>
      <c r="G314">
        <v>964</v>
      </c>
      <c r="H314">
        <v>2096</v>
      </c>
      <c r="I314">
        <v>579</v>
      </c>
      <c r="J314">
        <v>823</v>
      </c>
      <c r="K314">
        <v>407</v>
      </c>
      <c r="L314">
        <v>1332</v>
      </c>
      <c r="M314">
        <v>529</v>
      </c>
      <c r="N314">
        <v>262</v>
      </c>
      <c r="O314">
        <v>158</v>
      </c>
      <c r="P314">
        <v>454</v>
      </c>
      <c r="Q314">
        <v>669</v>
      </c>
      <c r="R314">
        <v>313</v>
      </c>
    </row>
    <row r="315" spans="1:18">
      <c r="A315" s="1" t="s">
        <v>362</v>
      </c>
      <c r="B315">
        <v>34</v>
      </c>
      <c r="C315">
        <v>19</v>
      </c>
      <c r="D315">
        <v>15</v>
      </c>
      <c r="E315">
        <v>10.67</v>
      </c>
      <c r="F315">
        <v>2450</v>
      </c>
      <c r="G315">
        <v>882</v>
      </c>
      <c r="H315">
        <v>2010</v>
      </c>
      <c r="I315">
        <v>441</v>
      </c>
      <c r="J315">
        <v>663</v>
      </c>
      <c r="K315">
        <v>361</v>
      </c>
      <c r="L315">
        <v>1217</v>
      </c>
      <c r="M315">
        <v>394</v>
      </c>
      <c r="N315">
        <v>209</v>
      </c>
      <c r="O315">
        <v>168</v>
      </c>
      <c r="P315">
        <v>399</v>
      </c>
      <c r="Q315">
        <v>547</v>
      </c>
      <c r="R315">
        <v>314</v>
      </c>
    </row>
    <row r="316" spans="1:18">
      <c r="A316" s="1" t="s">
        <v>242</v>
      </c>
      <c r="B316">
        <v>34</v>
      </c>
      <c r="C316">
        <v>23</v>
      </c>
      <c r="D316">
        <v>11</v>
      </c>
      <c r="E316">
        <v>-1.75</v>
      </c>
      <c r="F316">
        <v>2687</v>
      </c>
      <c r="G316">
        <v>913</v>
      </c>
      <c r="H316">
        <v>1953</v>
      </c>
      <c r="I316">
        <v>534</v>
      </c>
      <c r="J316">
        <v>725</v>
      </c>
      <c r="K316">
        <v>319</v>
      </c>
      <c r="L316">
        <v>1253</v>
      </c>
      <c r="M316">
        <v>528</v>
      </c>
      <c r="N316">
        <v>127</v>
      </c>
      <c r="O316">
        <v>135</v>
      </c>
      <c r="P316">
        <v>395</v>
      </c>
      <c r="Q316">
        <v>541</v>
      </c>
      <c r="R316">
        <v>315</v>
      </c>
    </row>
    <row r="317" spans="1:18">
      <c r="A317" s="1" t="s">
        <v>243</v>
      </c>
      <c r="B317">
        <v>32</v>
      </c>
      <c r="C317">
        <v>18</v>
      </c>
      <c r="D317">
        <v>14</v>
      </c>
      <c r="E317">
        <v>-3.14</v>
      </c>
      <c r="F317">
        <v>2446</v>
      </c>
      <c r="G317">
        <v>889</v>
      </c>
      <c r="H317">
        <v>1905</v>
      </c>
      <c r="I317">
        <v>458</v>
      </c>
      <c r="J317">
        <v>667</v>
      </c>
      <c r="K317">
        <v>398</v>
      </c>
      <c r="L317">
        <v>1219</v>
      </c>
      <c r="M317">
        <v>381</v>
      </c>
      <c r="N317">
        <v>209</v>
      </c>
      <c r="O317">
        <v>139</v>
      </c>
      <c r="P317">
        <v>405</v>
      </c>
      <c r="Q317">
        <v>633</v>
      </c>
      <c r="R317">
        <v>316</v>
      </c>
    </row>
    <row r="318" spans="1:18">
      <c r="A318" s="1" t="s">
        <v>244</v>
      </c>
      <c r="B318">
        <v>33</v>
      </c>
      <c r="C318">
        <v>16</v>
      </c>
      <c r="D318">
        <v>17</v>
      </c>
      <c r="E318">
        <v>-2.11</v>
      </c>
      <c r="F318">
        <v>2475</v>
      </c>
      <c r="G318">
        <v>848</v>
      </c>
      <c r="H318">
        <v>1930</v>
      </c>
      <c r="I318">
        <v>487</v>
      </c>
      <c r="J318">
        <v>662</v>
      </c>
      <c r="K318">
        <v>319</v>
      </c>
      <c r="L318">
        <v>1194</v>
      </c>
      <c r="M318">
        <v>435</v>
      </c>
      <c r="N318">
        <v>165</v>
      </c>
      <c r="O318">
        <v>124</v>
      </c>
      <c r="P318">
        <v>408</v>
      </c>
      <c r="Q318">
        <v>570</v>
      </c>
      <c r="R318">
        <v>317</v>
      </c>
    </row>
    <row r="319" spans="1:18">
      <c r="A319" s="1" t="s">
        <v>245</v>
      </c>
      <c r="B319">
        <v>31</v>
      </c>
      <c r="C319">
        <v>14</v>
      </c>
      <c r="D319">
        <v>17</v>
      </c>
      <c r="E319">
        <v>2.08</v>
      </c>
      <c r="F319">
        <v>2269</v>
      </c>
      <c r="G319">
        <v>800</v>
      </c>
      <c r="H319">
        <v>1779</v>
      </c>
      <c r="I319">
        <v>437</v>
      </c>
      <c r="J319">
        <v>613</v>
      </c>
      <c r="K319">
        <v>296</v>
      </c>
      <c r="L319">
        <v>1068</v>
      </c>
      <c r="M319">
        <v>483</v>
      </c>
      <c r="N319">
        <v>156</v>
      </c>
      <c r="O319">
        <v>126</v>
      </c>
      <c r="P319">
        <v>409</v>
      </c>
      <c r="Q319">
        <v>557</v>
      </c>
      <c r="R319">
        <v>318</v>
      </c>
    </row>
    <row r="320" spans="1:18">
      <c r="A320" s="1" t="s">
        <v>299</v>
      </c>
      <c r="B320">
        <v>31</v>
      </c>
      <c r="C320">
        <v>19</v>
      </c>
      <c r="D320">
        <v>12</v>
      </c>
      <c r="E320">
        <v>2.38</v>
      </c>
      <c r="F320">
        <v>2277</v>
      </c>
      <c r="G320">
        <v>754</v>
      </c>
      <c r="H320">
        <v>1730</v>
      </c>
      <c r="I320">
        <v>522</v>
      </c>
      <c r="J320">
        <v>720</v>
      </c>
      <c r="K320">
        <v>346</v>
      </c>
      <c r="L320">
        <v>1177</v>
      </c>
      <c r="M320">
        <v>391</v>
      </c>
      <c r="N320">
        <v>139</v>
      </c>
      <c r="O320">
        <v>68</v>
      </c>
      <c r="P320">
        <v>399</v>
      </c>
      <c r="Q320">
        <v>495</v>
      </c>
      <c r="R320">
        <v>319</v>
      </c>
    </row>
    <row r="321" spans="1:18">
      <c r="A321" s="1" t="s">
        <v>324</v>
      </c>
      <c r="B321">
        <v>33</v>
      </c>
      <c r="C321">
        <v>21</v>
      </c>
      <c r="D321">
        <v>12</v>
      </c>
      <c r="E321">
        <v>6.86</v>
      </c>
      <c r="F321">
        <v>2679</v>
      </c>
      <c r="G321">
        <v>927</v>
      </c>
      <c r="H321">
        <v>2014</v>
      </c>
      <c r="I321">
        <v>515</v>
      </c>
      <c r="J321">
        <v>715</v>
      </c>
      <c r="K321">
        <v>337</v>
      </c>
      <c r="L321">
        <v>1283</v>
      </c>
      <c r="M321">
        <v>495</v>
      </c>
      <c r="N321">
        <v>184</v>
      </c>
      <c r="O321">
        <v>131</v>
      </c>
      <c r="P321">
        <v>399</v>
      </c>
      <c r="Q321">
        <v>592</v>
      </c>
      <c r="R321">
        <v>320</v>
      </c>
    </row>
    <row r="322" spans="1:18">
      <c r="A322" s="1" t="s">
        <v>316</v>
      </c>
      <c r="B322">
        <v>34</v>
      </c>
      <c r="C322">
        <v>17</v>
      </c>
      <c r="D322">
        <v>17</v>
      </c>
      <c r="E322">
        <v>2.65</v>
      </c>
      <c r="F322">
        <v>2489</v>
      </c>
      <c r="G322">
        <v>865</v>
      </c>
      <c r="H322">
        <v>1904</v>
      </c>
      <c r="I322">
        <v>442</v>
      </c>
      <c r="J322">
        <v>627</v>
      </c>
      <c r="K322">
        <v>290</v>
      </c>
      <c r="L322">
        <v>1131</v>
      </c>
      <c r="M322">
        <v>474</v>
      </c>
      <c r="N322">
        <v>170</v>
      </c>
      <c r="O322">
        <v>68</v>
      </c>
      <c r="P322">
        <v>441</v>
      </c>
      <c r="Q322">
        <v>617</v>
      </c>
      <c r="R322">
        <v>321</v>
      </c>
    </row>
    <row r="323" spans="1:18">
      <c r="A323" s="1" t="s">
        <v>334</v>
      </c>
      <c r="B323">
        <v>34</v>
      </c>
      <c r="C323">
        <v>23</v>
      </c>
      <c r="D323">
        <v>11</v>
      </c>
      <c r="E323">
        <v>-1.76</v>
      </c>
      <c r="F323">
        <v>2657</v>
      </c>
      <c r="G323">
        <v>926</v>
      </c>
      <c r="H323">
        <v>1919</v>
      </c>
      <c r="I323">
        <v>538</v>
      </c>
      <c r="J323">
        <v>725</v>
      </c>
      <c r="K323">
        <v>355</v>
      </c>
      <c r="L323">
        <v>1297</v>
      </c>
      <c r="M323">
        <v>549</v>
      </c>
      <c r="N323">
        <v>203</v>
      </c>
      <c r="O323">
        <v>140</v>
      </c>
      <c r="P323">
        <v>474</v>
      </c>
      <c r="Q323">
        <v>558</v>
      </c>
      <c r="R323">
        <v>322</v>
      </c>
    </row>
    <row r="324" spans="1:18">
      <c r="A324" s="1" t="s">
        <v>300</v>
      </c>
      <c r="B324">
        <v>35</v>
      </c>
      <c r="C324">
        <v>23</v>
      </c>
      <c r="D324">
        <v>12</v>
      </c>
      <c r="E324">
        <v>6.4</v>
      </c>
      <c r="F324">
        <v>2571</v>
      </c>
      <c r="G324">
        <v>876</v>
      </c>
      <c r="H324">
        <v>1903</v>
      </c>
      <c r="I324">
        <v>497</v>
      </c>
      <c r="J324">
        <v>655</v>
      </c>
      <c r="K324">
        <v>268</v>
      </c>
      <c r="L324">
        <v>1174</v>
      </c>
      <c r="M324">
        <v>532</v>
      </c>
      <c r="N324">
        <v>180</v>
      </c>
      <c r="O324">
        <v>115</v>
      </c>
      <c r="P324">
        <v>414</v>
      </c>
      <c r="Q324">
        <v>567</v>
      </c>
      <c r="R324">
        <v>323</v>
      </c>
    </row>
    <row r="325" spans="1:18">
      <c r="A325" s="1" t="s">
        <v>301</v>
      </c>
      <c r="B325">
        <v>32</v>
      </c>
      <c r="C325">
        <v>15</v>
      </c>
      <c r="D325">
        <v>17</v>
      </c>
      <c r="E325">
        <v>0.93</v>
      </c>
      <c r="F325">
        <v>2252</v>
      </c>
      <c r="G325">
        <v>781</v>
      </c>
      <c r="H325">
        <v>1740</v>
      </c>
      <c r="I325">
        <v>477</v>
      </c>
      <c r="J325">
        <v>674</v>
      </c>
      <c r="K325">
        <v>294</v>
      </c>
      <c r="L325">
        <v>1115</v>
      </c>
      <c r="M325">
        <v>399</v>
      </c>
      <c r="N325">
        <v>235</v>
      </c>
      <c r="O325">
        <v>105</v>
      </c>
      <c r="P325">
        <v>469</v>
      </c>
      <c r="Q325">
        <v>679</v>
      </c>
      <c r="R325">
        <v>324</v>
      </c>
    </row>
    <row r="326" spans="1:18">
      <c r="A326" s="1" t="s">
        <v>246</v>
      </c>
      <c r="B326">
        <v>32</v>
      </c>
      <c r="C326">
        <v>12</v>
      </c>
      <c r="D326">
        <v>20</v>
      </c>
      <c r="E326">
        <v>10.14</v>
      </c>
      <c r="F326">
        <v>2316</v>
      </c>
      <c r="G326">
        <v>775</v>
      </c>
      <c r="H326">
        <v>1775</v>
      </c>
      <c r="I326">
        <v>477</v>
      </c>
      <c r="J326">
        <v>642</v>
      </c>
      <c r="K326">
        <v>312</v>
      </c>
      <c r="L326">
        <v>1081</v>
      </c>
      <c r="M326">
        <v>392</v>
      </c>
      <c r="N326">
        <v>154</v>
      </c>
      <c r="O326">
        <v>108</v>
      </c>
      <c r="P326">
        <v>379</v>
      </c>
      <c r="Q326">
        <v>632</v>
      </c>
      <c r="R326">
        <v>325</v>
      </c>
    </row>
    <row r="327" spans="1:18">
      <c r="A327" s="1" t="s">
        <v>247</v>
      </c>
      <c r="B327">
        <v>35</v>
      </c>
      <c r="C327">
        <v>27</v>
      </c>
      <c r="D327">
        <v>8</v>
      </c>
      <c r="E327">
        <v>-3.17</v>
      </c>
      <c r="F327">
        <v>2587</v>
      </c>
      <c r="G327">
        <v>879</v>
      </c>
      <c r="H327">
        <v>1803</v>
      </c>
      <c r="I327">
        <v>569</v>
      </c>
      <c r="J327">
        <v>755</v>
      </c>
      <c r="K327">
        <v>268</v>
      </c>
      <c r="L327">
        <v>1160</v>
      </c>
      <c r="M327">
        <v>468</v>
      </c>
      <c r="N327">
        <v>134</v>
      </c>
      <c r="O327">
        <v>89</v>
      </c>
      <c r="P327">
        <v>388</v>
      </c>
      <c r="Q327">
        <v>528</v>
      </c>
      <c r="R327">
        <v>326</v>
      </c>
    </row>
    <row r="328" spans="1:18">
      <c r="A328" s="1" t="s">
        <v>248</v>
      </c>
      <c r="B328">
        <v>40</v>
      </c>
      <c r="C328">
        <v>36</v>
      </c>
      <c r="D328">
        <v>4</v>
      </c>
      <c r="E328">
        <v>10.24</v>
      </c>
      <c r="F328">
        <v>3463</v>
      </c>
      <c r="G328">
        <v>1220</v>
      </c>
      <c r="H328">
        <v>2440</v>
      </c>
      <c r="I328">
        <v>559</v>
      </c>
      <c r="J328">
        <v>718</v>
      </c>
      <c r="K328">
        <v>385</v>
      </c>
      <c r="L328">
        <v>1436</v>
      </c>
      <c r="M328">
        <v>655</v>
      </c>
      <c r="N328">
        <v>259</v>
      </c>
      <c r="O328">
        <v>162</v>
      </c>
      <c r="P328">
        <v>426</v>
      </c>
      <c r="Q328">
        <v>645</v>
      </c>
      <c r="R328">
        <v>327</v>
      </c>
    </row>
    <row r="329" spans="1:18">
      <c r="A329" s="1" t="s">
        <v>249</v>
      </c>
      <c r="B329">
        <v>33</v>
      </c>
      <c r="C329">
        <v>18</v>
      </c>
      <c r="D329">
        <v>15</v>
      </c>
      <c r="E329">
        <v>2.42</v>
      </c>
      <c r="F329">
        <v>2507</v>
      </c>
      <c r="G329">
        <v>921</v>
      </c>
      <c r="H329">
        <v>2013</v>
      </c>
      <c r="I329">
        <v>391</v>
      </c>
      <c r="J329">
        <v>566</v>
      </c>
      <c r="K329">
        <v>342</v>
      </c>
      <c r="L329">
        <v>1203</v>
      </c>
      <c r="M329">
        <v>510</v>
      </c>
      <c r="N329">
        <v>210</v>
      </c>
      <c r="O329">
        <v>93</v>
      </c>
      <c r="P329">
        <v>446</v>
      </c>
      <c r="Q329">
        <v>561</v>
      </c>
      <c r="R329">
        <v>328</v>
      </c>
    </row>
    <row r="330" spans="1:18">
      <c r="A330" s="1" t="s">
        <v>250</v>
      </c>
      <c r="B330">
        <v>30</v>
      </c>
      <c r="C330">
        <v>9</v>
      </c>
      <c r="D330">
        <v>21</v>
      </c>
      <c r="E330">
        <v>-4.25</v>
      </c>
      <c r="F330">
        <v>1954</v>
      </c>
      <c r="G330">
        <v>688</v>
      </c>
      <c r="H330">
        <v>1729</v>
      </c>
      <c r="I330">
        <v>353</v>
      </c>
      <c r="J330">
        <v>477</v>
      </c>
      <c r="K330">
        <v>286</v>
      </c>
      <c r="L330">
        <v>1028</v>
      </c>
      <c r="M330">
        <v>356</v>
      </c>
      <c r="N330">
        <v>221</v>
      </c>
      <c r="O330">
        <v>87</v>
      </c>
      <c r="P330">
        <v>442</v>
      </c>
      <c r="Q330">
        <v>539</v>
      </c>
      <c r="R330">
        <v>329</v>
      </c>
    </row>
    <row r="331" spans="1:18">
      <c r="A331" s="1" t="s">
        <v>251</v>
      </c>
      <c r="B331">
        <v>33</v>
      </c>
      <c r="C331">
        <v>21</v>
      </c>
      <c r="D331">
        <v>12</v>
      </c>
      <c r="E331">
        <v>6.72</v>
      </c>
      <c r="F331">
        <v>2634</v>
      </c>
      <c r="G331">
        <v>931</v>
      </c>
      <c r="H331">
        <v>1865</v>
      </c>
      <c r="I331">
        <v>483</v>
      </c>
      <c r="J331">
        <v>681</v>
      </c>
      <c r="K331">
        <v>246</v>
      </c>
      <c r="L331">
        <v>1078</v>
      </c>
      <c r="M331">
        <v>542</v>
      </c>
      <c r="N331">
        <v>191</v>
      </c>
      <c r="O331">
        <v>74</v>
      </c>
      <c r="P331">
        <v>395</v>
      </c>
      <c r="Q331">
        <v>523</v>
      </c>
      <c r="R331">
        <v>330</v>
      </c>
    </row>
    <row r="332" spans="1:18">
      <c r="A332" s="1" t="s">
        <v>252</v>
      </c>
      <c r="B332">
        <v>34</v>
      </c>
      <c r="C332">
        <v>31</v>
      </c>
      <c r="D332">
        <v>3</v>
      </c>
      <c r="E332">
        <v>9.07</v>
      </c>
      <c r="F332">
        <v>2283</v>
      </c>
      <c r="G332">
        <v>848</v>
      </c>
      <c r="H332">
        <v>1844</v>
      </c>
      <c r="I332">
        <v>340</v>
      </c>
      <c r="J332">
        <v>451</v>
      </c>
      <c r="K332">
        <v>282</v>
      </c>
      <c r="L332">
        <v>1099</v>
      </c>
      <c r="M332">
        <v>458</v>
      </c>
      <c r="N332">
        <v>232</v>
      </c>
      <c r="O332">
        <v>124</v>
      </c>
      <c r="P332">
        <v>290</v>
      </c>
      <c r="Q332">
        <v>480</v>
      </c>
      <c r="R332">
        <v>331</v>
      </c>
    </row>
    <row r="333" spans="1:18">
      <c r="A333" s="1" t="s">
        <v>253</v>
      </c>
      <c r="B333">
        <v>33</v>
      </c>
      <c r="C333">
        <v>23</v>
      </c>
      <c r="D333">
        <v>10</v>
      </c>
      <c r="E333">
        <v>-6.9</v>
      </c>
      <c r="F333">
        <v>2448</v>
      </c>
      <c r="G333">
        <v>839</v>
      </c>
      <c r="H333">
        <v>1963</v>
      </c>
      <c r="I333">
        <v>501</v>
      </c>
      <c r="J333">
        <v>705</v>
      </c>
      <c r="K333">
        <v>446</v>
      </c>
      <c r="L333">
        <v>1290</v>
      </c>
      <c r="M333">
        <v>440</v>
      </c>
      <c r="N333">
        <v>218</v>
      </c>
      <c r="O333">
        <v>129</v>
      </c>
      <c r="P333">
        <v>451</v>
      </c>
      <c r="Q333">
        <v>729</v>
      </c>
      <c r="R333">
        <v>332</v>
      </c>
    </row>
    <row r="334" spans="1:18">
      <c r="A334" s="1" t="s">
        <v>254</v>
      </c>
      <c r="B334">
        <v>31</v>
      </c>
      <c r="C334">
        <v>11</v>
      </c>
      <c r="D334">
        <v>20</v>
      </c>
      <c r="E334">
        <v>8.7899999999999991</v>
      </c>
      <c r="F334">
        <v>2273</v>
      </c>
      <c r="G334">
        <v>801</v>
      </c>
      <c r="H334">
        <v>1826</v>
      </c>
      <c r="I334">
        <v>430</v>
      </c>
      <c r="J334">
        <v>583</v>
      </c>
      <c r="K334">
        <v>337</v>
      </c>
      <c r="L334">
        <v>1108</v>
      </c>
      <c r="M334">
        <v>432</v>
      </c>
      <c r="N334">
        <v>181</v>
      </c>
      <c r="O334">
        <v>109</v>
      </c>
      <c r="P334">
        <v>407</v>
      </c>
      <c r="Q334">
        <v>604</v>
      </c>
      <c r="R334">
        <v>333</v>
      </c>
    </row>
    <row r="335" spans="1:18">
      <c r="A335" s="1" t="s">
        <v>255</v>
      </c>
      <c r="B335">
        <v>31</v>
      </c>
      <c r="C335">
        <v>12</v>
      </c>
      <c r="D335">
        <v>19</v>
      </c>
      <c r="E335">
        <v>5.22</v>
      </c>
      <c r="F335">
        <v>2270</v>
      </c>
      <c r="G335">
        <v>801</v>
      </c>
      <c r="H335">
        <v>1795</v>
      </c>
      <c r="I335">
        <v>327</v>
      </c>
      <c r="J335">
        <v>444</v>
      </c>
      <c r="K335">
        <v>258</v>
      </c>
      <c r="L335">
        <v>1007</v>
      </c>
      <c r="M335">
        <v>450</v>
      </c>
      <c r="N335">
        <v>164</v>
      </c>
      <c r="O335">
        <v>71</v>
      </c>
      <c r="P335">
        <v>421</v>
      </c>
      <c r="Q335">
        <v>532</v>
      </c>
      <c r="R335">
        <v>334</v>
      </c>
    </row>
    <row r="336" spans="1:18">
      <c r="A336" s="1" t="s">
        <v>256</v>
      </c>
      <c r="B336">
        <v>34</v>
      </c>
      <c r="C336">
        <v>21</v>
      </c>
      <c r="D336">
        <v>13</v>
      </c>
      <c r="E336">
        <v>6.06</v>
      </c>
      <c r="F336">
        <v>2535</v>
      </c>
      <c r="G336">
        <v>900</v>
      </c>
      <c r="H336">
        <v>1963</v>
      </c>
      <c r="I336">
        <v>505</v>
      </c>
      <c r="J336">
        <v>720</v>
      </c>
      <c r="K336">
        <v>328</v>
      </c>
      <c r="L336">
        <v>1114</v>
      </c>
      <c r="M336">
        <v>398</v>
      </c>
      <c r="N336">
        <v>274</v>
      </c>
      <c r="O336">
        <v>177</v>
      </c>
      <c r="P336">
        <v>453</v>
      </c>
      <c r="Q336">
        <v>640</v>
      </c>
      <c r="R336">
        <v>335</v>
      </c>
    </row>
    <row r="337" spans="1:18">
      <c r="A337" s="1" t="s">
        <v>257</v>
      </c>
      <c r="B337">
        <v>31</v>
      </c>
      <c r="C337">
        <v>20</v>
      </c>
      <c r="D337">
        <v>11</v>
      </c>
      <c r="E337">
        <v>-2.88</v>
      </c>
      <c r="F337">
        <v>2434</v>
      </c>
      <c r="G337">
        <v>846</v>
      </c>
      <c r="H337">
        <v>1722</v>
      </c>
      <c r="I337">
        <v>462</v>
      </c>
      <c r="J337">
        <v>603</v>
      </c>
      <c r="K337">
        <v>182</v>
      </c>
      <c r="L337">
        <v>1039</v>
      </c>
      <c r="M337">
        <v>430</v>
      </c>
      <c r="N337">
        <v>161</v>
      </c>
      <c r="O337">
        <v>120</v>
      </c>
      <c r="P337">
        <v>368</v>
      </c>
      <c r="Q337">
        <v>551</v>
      </c>
      <c r="R337">
        <v>336</v>
      </c>
    </row>
    <row r="338" spans="1:18">
      <c r="A338" s="1" t="s">
        <v>258</v>
      </c>
      <c r="B338">
        <v>37</v>
      </c>
      <c r="C338">
        <v>26</v>
      </c>
      <c r="D338">
        <v>11</v>
      </c>
      <c r="E338">
        <v>9.36</v>
      </c>
      <c r="F338">
        <v>2964</v>
      </c>
      <c r="G338">
        <v>1036</v>
      </c>
      <c r="H338">
        <v>2374</v>
      </c>
      <c r="I338">
        <v>570</v>
      </c>
      <c r="J338">
        <v>744</v>
      </c>
      <c r="K338">
        <v>521</v>
      </c>
      <c r="L338">
        <v>1401</v>
      </c>
      <c r="M338">
        <v>561</v>
      </c>
      <c r="N338">
        <v>301</v>
      </c>
      <c r="O338">
        <v>192</v>
      </c>
      <c r="P338">
        <v>420</v>
      </c>
      <c r="Q338">
        <v>798</v>
      </c>
      <c r="R338">
        <v>337</v>
      </c>
    </row>
    <row r="339" spans="1:18">
      <c r="A339" s="1" t="s">
        <v>259</v>
      </c>
      <c r="B339">
        <v>32</v>
      </c>
      <c r="C339">
        <v>13</v>
      </c>
      <c r="D339">
        <v>19</v>
      </c>
      <c r="E339">
        <v>-1.63</v>
      </c>
      <c r="F339">
        <v>2190</v>
      </c>
      <c r="G339">
        <v>774</v>
      </c>
      <c r="H339">
        <v>1885</v>
      </c>
      <c r="I339">
        <v>408</v>
      </c>
      <c r="J339">
        <v>597</v>
      </c>
      <c r="K339">
        <v>371</v>
      </c>
      <c r="L339">
        <v>1101</v>
      </c>
      <c r="M339">
        <v>427</v>
      </c>
      <c r="N339">
        <v>254</v>
      </c>
      <c r="O339">
        <v>92</v>
      </c>
      <c r="P339">
        <v>476</v>
      </c>
      <c r="Q339">
        <v>561</v>
      </c>
      <c r="R339">
        <v>338</v>
      </c>
    </row>
    <row r="340" spans="1:18">
      <c r="A340" s="1" t="s">
        <v>260</v>
      </c>
      <c r="B340">
        <v>28</v>
      </c>
      <c r="C340">
        <v>12</v>
      </c>
      <c r="D340">
        <v>16</v>
      </c>
      <c r="E340">
        <v>-2.2799999999999998</v>
      </c>
      <c r="F340">
        <v>2012</v>
      </c>
      <c r="G340">
        <v>749</v>
      </c>
      <c r="H340">
        <v>1607</v>
      </c>
      <c r="I340">
        <v>326</v>
      </c>
      <c r="J340">
        <v>456</v>
      </c>
      <c r="K340">
        <v>197</v>
      </c>
      <c r="L340">
        <v>990</v>
      </c>
      <c r="M340">
        <v>308</v>
      </c>
      <c r="N340">
        <v>136</v>
      </c>
      <c r="O340">
        <v>109</v>
      </c>
      <c r="P340">
        <v>350</v>
      </c>
      <c r="Q340">
        <v>432</v>
      </c>
      <c r="R340">
        <v>339</v>
      </c>
    </row>
    <row r="341" spans="1:18">
      <c r="A341" s="1" t="s">
        <v>261</v>
      </c>
      <c r="B341">
        <v>38</v>
      </c>
      <c r="C341">
        <v>27</v>
      </c>
      <c r="D341">
        <v>11</v>
      </c>
      <c r="E341">
        <v>3.65</v>
      </c>
      <c r="F341">
        <v>2979</v>
      </c>
      <c r="G341">
        <v>1075</v>
      </c>
      <c r="H341">
        <v>2183</v>
      </c>
      <c r="I341">
        <v>623</v>
      </c>
      <c r="J341">
        <v>869</v>
      </c>
      <c r="K341">
        <v>369</v>
      </c>
      <c r="L341">
        <v>1356</v>
      </c>
      <c r="M341">
        <v>515</v>
      </c>
      <c r="N341">
        <v>271</v>
      </c>
      <c r="O341">
        <v>140</v>
      </c>
      <c r="P341">
        <v>441</v>
      </c>
      <c r="Q341">
        <v>569</v>
      </c>
      <c r="R341">
        <v>340</v>
      </c>
    </row>
    <row r="342" spans="1:18">
      <c r="A342" s="1" t="s">
        <v>262</v>
      </c>
      <c r="B342">
        <v>32</v>
      </c>
      <c r="C342">
        <v>17</v>
      </c>
      <c r="D342">
        <v>15</v>
      </c>
      <c r="E342">
        <v>-1.99</v>
      </c>
      <c r="F342">
        <v>2402</v>
      </c>
      <c r="G342">
        <v>845</v>
      </c>
      <c r="H342">
        <v>1926</v>
      </c>
      <c r="I342">
        <v>479</v>
      </c>
      <c r="J342">
        <v>659</v>
      </c>
      <c r="K342">
        <v>355</v>
      </c>
      <c r="L342">
        <v>1130</v>
      </c>
      <c r="M342">
        <v>405</v>
      </c>
      <c r="N342">
        <v>209</v>
      </c>
      <c r="O342">
        <v>100</v>
      </c>
      <c r="P342">
        <v>342</v>
      </c>
      <c r="Q342">
        <v>559</v>
      </c>
      <c r="R342">
        <v>341</v>
      </c>
    </row>
    <row r="343" spans="1:18">
      <c r="A343" s="1" t="s">
        <v>263</v>
      </c>
      <c r="B343">
        <v>33</v>
      </c>
      <c r="C343">
        <v>25</v>
      </c>
      <c r="D343">
        <v>8</v>
      </c>
      <c r="E343">
        <v>5.46</v>
      </c>
      <c r="F343">
        <v>2731</v>
      </c>
      <c r="G343">
        <v>957</v>
      </c>
      <c r="H343">
        <v>2009</v>
      </c>
      <c r="I343">
        <v>517</v>
      </c>
      <c r="J343">
        <v>700</v>
      </c>
      <c r="K343">
        <v>405</v>
      </c>
      <c r="L343">
        <v>1336</v>
      </c>
      <c r="M343">
        <v>610</v>
      </c>
      <c r="N343">
        <v>154</v>
      </c>
      <c r="O343">
        <v>127</v>
      </c>
      <c r="P343">
        <v>385</v>
      </c>
      <c r="Q343">
        <v>580</v>
      </c>
      <c r="R343">
        <v>342</v>
      </c>
    </row>
    <row r="344" spans="1:18">
      <c r="A344" s="1" t="s">
        <v>264</v>
      </c>
      <c r="B344">
        <v>31</v>
      </c>
      <c r="C344">
        <v>19</v>
      </c>
      <c r="D344">
        <v>12</v>
      </c>
      <c r="E344">
        <v>-1.32</v>
      </c>
      <c r="F344">
        <v>2636</v>
      </c>
      <c r="G344">
        <v>910</v>
      </c>
      <c r="H344">
        <v>1782</v>
      </c>
      <c r="I344">
        <v>479</v>
      </c>
      <c r="J344">
        <v>591</v>
      </c>
      <c r="K344">
        <v>209</v>
      </c>
      <c r="L344">
        <v>1020</v>
      </c>
      <c r="M344">
        <v>548</v>
      </c>
      <c r="N344">
        <v>174</v>
      </c>
      <c r="O344">
        <v>125</v>
      </c>
      <c r="P344">
        <v>382</v>
      </c>
      <c r="Q344">
        <v>530</v>
      </c>
      <c r="R344">
        <v>343</v>
      </c>
    </row>
    <row r="345" spans="1:18">
      <c r="A345" s="1" t="s">
        <v>325</v>
      </c>
      <c r="B345">
        <v>31</v>
      </c>
      <c r="C345">
        <v>19</v>
      </c>
      <c r="D345">
        <v>12</v>
      </c>
      <c r="E345">
        <v>-5.84</v>
      </c>
      <c r="F345">
        <v>2464</v>
      </c>
      <c r="G345">
        <v>859</v>
      </c>
      <c r="H345">
        <v>1803</v>
      </c>
      <c r="I345">
        <v>450</v>
      </c>
      <c r="J345">
        <v>623</v>
      </c>
      <c r="K345">
        <v>283</v>
      </c>
      <c r="L345">
        <v>1125</v>
      </c>
      <c r="M345">
        <v>455</v>
      </c>
      <c r="N345">
        <v>211</v>
      </c>
      <c r="O345">
        <v>144</v>
      </c>
      <c r="P345">
        <v>429</v>
      </c>
      <c r="Q345">
        <v>539</v>
      </c>
      <c r="R345">
        <v>344</v>
      </c>
    </row>
    <row r="346" spans="1:18">
      <c r="A346" s="1" t="s">
        <v>367</v>
      </c>
      <c r="B346">
        <v>33</v>
      </c>
      <c r="C346">
        <v>15</v>
      </c>
      <c r="D346">
        <v>18</v>
      </c>
      <c r="E346">
        <v>9.5</v>
      </c>
      <c r="F346">
        <v>2206</v>
      </c>
      <c r="G346">
        <v>793</v>
      </c>
      <c r="H346">
        <v>1770</v>
      </c>
      <c r="I346">
        <v>404</v>
      </c>
      <c r="J346">
        <v>578</v>
      </c>
      <c r="K346">
        <v>299</v>
      </c>
      <c r="L346">
        <v>1010</v>
      </c>
      <c r="M346">
        <v>411</v>
      </c>
      <c r="N346">
        <v>180</v>
      </c>
      <c r="O346">
        <v>117</v>
      </c>
      <c r="P346">
        <v>353</v>
      </c>
      <c r="Q346">
        <v>543</v>
      </c>
      <c r="R346">
        <v>345</v>
      </c>
    </row>
    <row r="347" spans="1:18">
      <c r="A347" s="1" t="s">
        <v>265</v>
      </c>
      <c r="B347">
        <v>34</v>
      </c>
      <c r="C347">
        <v>21</v>
      </c>
      <c r="D347">
        <v>13</v>
      </c>
      <c r="E347">
        <v>-2.4500000000000002</v>
      </c>
      <c r="F347">
        <v>2578</v>
      </c>
      <c r="G347">
        <v>901</v>
      </c>
      <c r="H347">
        <v>1906</v>
      </c>
      <c r="I347">
        <v>419</v>
      </c>
      <c r="J347">
        <v>538</v>
      </c>
      <c r="K347">
        <v>272</v>
      </c>
      <c r="L347">
        <v>1099</v>
      </c>
      <c r="M347">
        <v>522</v>
      </c>
      <c r="N347">
        <v>220</v>
      </c>
      <c r="O347">
        <v>88</v>
      </c>
      <c r="P347">
        <v>413</v>
      </c>
      <c r="Q347">
        <v>585</v>
      </c>
      <c r="R347">
        <v>346</v>
      </c>
    </row>
    <row r="348" spans="1:18">
      <c r="A348" s="1" t="s">
        <v>266</v>
      </c>
      <c r="B348">
        <v>35</v>
      </c>
      <c r="C348">
        <v>25</v>
      </c>
      <c r="D348">
        <v>10</v>
      </c>
      <c r="E348">
        <v>-3.64</v>
      </c>
      <c r="F348">
        <v>2500</v>
      </c>
      <c r="G348">
        <v>873</v>
      </c>
      <c r="H348">
        <v>2019</v>
      </c>
      <c r="I348">
        <v>517</v>
      </c>
      <c r="J348">
        <v>723</v>
      </c>
      <c r="K348">
        <v>356</v>
      </c>
      <c r="L348">
        <v>1266</v>
      </c>
      <c r="M348">
        <v>460</v>
      </c>
      <c r="N348">
        <v>231</v>
      </c>
      <c r="O348">
        <v>77</v>
      </c>
      <c r="P348">
        <v>459</v>
      </c>
      <c r="Q348">
        <v>558</v>
      </c>
      <c r="R348">
        <v>347</v>
      </c>
    </row>
    <row r="349" spans="1:18">
      <c r="A349" s="1" t="s">
        <v>267</v>
      </c>
      <c r="B349">
        <v>33</v>
      </c>
      <c r="C349">
        <v>20</v>
      </c>
      <c r="D349">
        <v>13</v>
      </c>
      <c r="E349">
        <v>3.54</v>
      </c>
      <c r="F349">
        <v>2633</v>
      </c>
      <c r="G349">
        <v>873</v>
      </c>
      <c r="H349">
        <v>1959</v>
      </c>
      <c r="I349">
        <v>583</v>
      </c>
      <c r="J349">
        <v>790</v>
      </c>
      <c r="K349">
        <v>231</v>
      </c>
      <c r="L349">
        <v>1148</v>
      </c>
      <c r="M349">
        <v>518</v>
      </c>
      <c r="N349">
        <v>215</v>
      </c>
      <c r="O349">
        <v>130</v>
      </c>
      <c r="P349">
        <v>449</v>
      </c>
      <c r="Q349">
        <v>654</v>
      </c>
      <c r="R349">
        <v>348</v>
      </c>
    </row>
    <row r="350" spans="1:18">
      <c r="A350" s="1" t="s">
        <v>268</v>
      </c>
      <c r="B350">
        <v>35</v>
      </c>
      <c r="C350">
        <v>29</v>
      </c>
      <c r="D350">
        <v>6</v>
      </c>
      <c r="E350">
        <v>9.4499999999999993</v>
      </c>
      <c r="F350">
        <v>2953</v>
      </c>
      <c r="G350">
        <v>1011</v>
      </c>
      <c r="H350">
        <v>2055</v>
      </c>
      <c r="I350">
        <v>657</v>
      </c>
      <c r="J350">
        <v>843</v>
      </c>
      <c r="K350">
        <v>345</v>
      </c>
      <c r="L350">
        <v>1342</v>
      </c>
      <c r="M350">
        <v>579</v>
      </c>
      <c r="N350">
        <v>205</v>
      </c>
      <c r="O350">
        <v>109</v>
      </c>
      <c r="P350">
        <v>441</v>
      </c>
      <c r="Q350">
        <v>602</v>
      </c>
      <c r="R350">
        <v>349</v>
      </c>
    </row>
    <row r="351" spans="1:18">
      <c r="A351" s="1" t="s">
        <v>269</v>
      </c>
      <c r="B351">
        <v>31</v>
      </c>
      <c r="C351">
        <v>16</v>
      </c>
      <c r="D351">
        <v>15</v>
      </c>
      <c r="E351">
        <v>-2.83</v>
      </c>
      <c r="F351">
        <v>2312</v>
      </c>
      <c r="G351">
        <v>831</v>
      </c>
      <c r="H351">
        <v>1797</v>
      </c>
      <c r="I351">
        <v>398</v>
      </c>
      <c r="J351">
        <v>551</v>
      </c>
      <c r="K351">
        <v>275</v>
      </c>
      <c r="L351">
        <v>1052</v>
      </c>
      <c r="M351">
        <v>507</v>
      </c>
      <c r="N351">
        <v>204</v>
      </c>
      <c r="O351">
        <v>95</v>
      </c>
      <c r="P351">
        <v>407</v>
      </c>
      <c r="Q351">
        <v>541</v>
      </c>
      <c r="R351">
        <v>350</v>
      </c>
    </row>
    <row r="352" spans="1:18">
      <c r="A352" s="1" t="s">
        <v>270</v>
      </c>
      <c r="B352">
        <v>32</v>
      </c>
      <c r="C352">
        <v>8</v>
      </c>
      <c r="D352">
        <v>24</v>
      </c>
      <c r="E352">
        <v>-2.56</v>
      </c>
      <c r="F352">
        <v>2410</v>
      </c>
      <c r="G352">
        <v>902</v>
      </c>
      <c r="H352">
        <v>2110</v>
      </c>
      <c r="I352">
        <v>371</v>
      </c>
      <c r="J352">
        <v>583</v>
      </c>
      <c r="K352">
        <v>459</v>
      </c>
      <c r="L352">
        <v>1159</v>
      </c>
      <c r="M352">
        <v>445</v>
      </c>
      <c r="N352">
        <v>266</v>
      </c>
      <c r="O352">
        <v>126</v>
      </c>
      <c r="P352">
        <v>460</v>
      </c>
      <c r="Q352">
        <v>672</v>
      </c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3A074-A9B8-4A04-9C3E-97AF847CB563}">
  <sheetPr codeName="Sheet20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28.425781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363</v>
      </c>
      <c r="B2">
        <v>34</v>
      </c>
      <c r="C2">
        <v>27</v>
      </c>
      <c r="D2">
        <v>7</v>
      </c>
      <c r="E2">
        <v>-7.34</v>
      </c>
      <c r="F2">
        <v>2502</v>
      </c>
      <c r="G2">
        <v>897</v>
      </c>
      <c r="H2">
        <v>1911</v>
      </c>
      <c r="I2">
        <v>457</v>
      </c>
      <c r="J2">
        <v>642</v>
      </c>
      <c r="K2">
        <v>325</v>
      </c>
      <c r="L2">
        <v>1110</v>
      </c>
      <c r="M2">
        <v>525</v>
      </c>
      <c r="N2">
        <v>297</v>
      </c>
      <c r="O2">
        <v>93</v>
      </c>
      <c r="P2">
        <v>407</v>
      </c>
      <c r="Q2">
        <v>635</v>
      </c>
      <c r="R2">
        <v>1</v>
      </c>
    </row>
    <row r="3" spans="1:18">
      <c r="A3" s="1" t="s">
        <v>17</v>
      </c>
      <c r="B3">
        <v>32</v>
      </c>
      <c r="C3">
        <v>14</v>
      </c>
      <c r="D3">
        <v>18</v>
      </c>
      <c r="E3">
        <v>0.24</v>
      </c>
      <c r="F3">
        <v>2179</v>
      </c>
      <c r="G3">
        <v>802</v>
      </c>
      <c r="H3">
        <v>1776</v>
      </c>
      <c r="I3">
        <v>341</v>
      </c>
      <c r="J3">
        <v>503</v>
      </c>
      <c r="K3">
        <v>253</v>
      </c>
      <c r="L3">
        <v>1077</v>
      </c>
      <c r="M3">
        <v>434</v>
      </c>
      <c r="N3">
        <v>154</v>
      </c>
      <c r="O3">
        <v>57</v>
      </c>
      <c r="P3">
        <v>423</v>
      </c>
      <c r="Q3">
        <v>543</v>
      </c>
      <c r="R3">
        <v>2</v>
      </c>
    </row>
    <row r="4" spans="1:18">
      <c r="A4" s="1" t="s">
        <v>18</v>
      </c>
      <c r="B4">
        <v>33</v>
      </c>
      <c r="C4">
        <v>17</v>
      </c>
      <c r="D4">
        <v>16</v>
      </c>
      <c r="E4">
        <v>1.0900000000000001</v>
      </c>
      <c r="F4">
        <v>2271</v>
      </c>
      <c r="G4">
        <v>797</v>
      </c>
      <c r="H4">
        <v>1948</v>
      </c>
      <c r="I4">
        <v>380</v>
      </c>
      <c r="J4">
        <v>539</v>
      </c>
      <c r="K4">
        <v>312</v>
      </c>
      <c r="L4">
        <v>1204</v>
      </c>
      <c r="M4">
        <v>399</v>
      </c>
      <c r="N4">
        <v>185</v>
      </c>
      <c r="O4">
        <v>106</v>
      </c>
      <c r="P4">
        <v>388</v>
      </c>
      <c r="Q4">
        <v>569</v>
      </c>
      <c r="R4">
        <v>3</v>
      </c>
    </row>
    <row r="5" spans="1:18">
      <c r="A5" s="1" t="s">
        <v>19</v>
      </c>
      <c r="B5">
        <v>32</v>
      </c>
      <c r="C5">
        <v>5</v>
      </c>
      <c r="D5">
        <v>27</v>
      </c>
      <c r="E5">
        <v>-8.3800000000000008</v>
      </c>
      <c r="F5">
        <v>1938</v>
      </c>
      <c r="G5">
        <v>736</v>
      </c>
      <c r="H5">
        <v>1809</v>
      </c>
      <c r="I5">
        <v>284</v>
      </c>
      <c r="J5">
        <v>453</v>
      </c>
      <c r="K5">
        <v>314</v>
      </c>
      <c r="L5">
        <v>1032</v>
      </c>
      <c r="M5">
        <v>385</v>
      </c>
      <c r="N5">
        <v>234</v>
      </c>
      <c r="O5">
        <v>50</v>
      </c>
      <c r="P5">
        <v>487</v>
      </c>
      <c r="Q5">
        <v>587</v>
      </c>
      <c r="R5">
        <v>4</v>
      </c>
    </row>
    <row r="6" spans="1:18">
      <c r="A6" s="1" t="s">
        <v>20</v>
      </c>
      <c r="B6">
        <v>35</v>
      </c>
      <c r="C6">
        <v>20</v>
      </c>
      <c r="D6">
        <v>15</v>
      </c>
      <c r="E6">
        <v>-1.52</v>
      </c>
      <c r="F6">
        <v>2470</v>
      </c>
      <c r="G6">
        <v>906</v>
      </c>
      <c r="H6">
        <v>2003</v>
      </c>
      <c r="I6">
        <v>424</v>
      </c>
      <c r="J6">
        <v>630</v>
      </c>
      <c r="K6">
        <v>367</v>
      </c>
      <c r="L6">
        <v>1279</v>
      </c>
      <c r="M6">
        <v>401</v>
      </c>
      <c r="N6">
        <v>218</v>
      </c>
      <c r="O6">
        <v>82</v>
      </c>
      <c r="P6">
        <v>399</v>
      </c>
      <c r="Q6">
        <v>578</v>
      </c>
      <c r="R6">
        <v>5</v>
      </c>
    </row>
    <row r="7" spans="1:18">
      <c r="A7" s="1" t="s">
        <v>21</v>
      </c>
      <c r="B7">
        <v>31</v>
      </c>
      <c r="C7">
        <v>12</v>
      </c>
      <c r="D7">
        <v>19</v>
      </c>
      <c r="E7">
        <v>-7.84</v>
      </c>
      <c r="F7">
        <v>2086</v>
      </c>
      <c r="G7">
        <v>712</v>
      </c>
      <c r="H7">
        <v>1764</v>
      </c>
      <c r="I7">
        <v>446</v>
      </c>
      <c r="J7">
        <v>684</v>
      </c>
      <c r="K7">
        <v>365</v>
      </c>
      <c r="L7">
        <v>1094</v>
      </c>
      <c r="M7">
        <v>313</v>
      </c>
      <c r="N7">
        <v>203</v>
      </c>
      <c r="O7">
        <v>102</v>
      </c>
      <c r="P7">
        <v>451</v>
      </c>
      <c r="Q7">
        <v>565</v>
      </c>
      <c r="R7">
        <v>6</v>
      </c>
    </row>
    <row r="8" spans="1:18">
      <c r="A8" s="1" t="s">
        <v>22</v>
      </c>
      <c r="B8">
        <v>34</v>
      </c>
      <c r="C8">
        <v>18</v>
      </c>
      <c r="D8">
        <v>16</v>
      </c>
      <c r="E8">
        <v>9.01</v>
      </c>
      <c r="F8">
        <v>2448</v>
      </c>
      <c r="G8">
        <v>856</v>
      </c>
      <c r="H8">
        <v>1945</v>
      </c>
      <c r="I8">
        <v>492</v>
      </c>
      <c r="J8">
        <v>739</v>
      </c>
      <c r="K8">
        <v>384</v>
      </c>
      <c r="L8">
        <v>1285</v>
      </c>
      <c r="M8">
        <v>418</v>
      </c>
      <c r="N8">
        <v>157</v>
      </c>
      <c r="O8">
        <v>160</v>
      </c>
      <c r="P8">
        <v>465</v>
      </c>
      <c r="Q8">
        <v>572</v>
      </c>
      <c r="R8">
        <v>7</v>
      </c>
    </row>
    <row r="9" spans="1:18">
      <c r="A9" s="1" t="s">
        <v>23</v>
      </c>
      <c r="B9">
        <v>32</v>
      </c>
      <c r="C9">
        <v>12</v>
      </c>
      <c r="D9">
        <v>20</v>
      </c>
      <c r="E9">
        <v>-6.7</v>
      </c>
      <c r="F9">
        <v>2150</v>
      </c>
      <c r="G9">
        <v>728</v>
      </c>
      <c r="H9">
        <v>1750</v>
      </c>
      <c r="I9">
        <v>420</v>
      </c>
      <c r="J9">
        <v>564</v>
      </c>
      <c r="K9">
        <v>294</v>
      </c>
      <c r="L9">
        <v>1081</v>
      </c>
      <c r="M9">
        <v>402</v>
      </c>
      <c r="N9">
        <v>195</v>
      </c>
      <c r="O9">
        <v>78</v>
      </c>
      <c r="P9">
        <v>454</v>
      </c>
      <c r="Q9">
        <v>566</v>
      </c>
      <c r="R9">
        <v>8</v>
      </c>
    </row>
    <row r="10" spans="1:18">
      <c r="A10" s="1" t="s">
        <v>24</v>
      </c>
      <c r="B10">
        <v>31</v>
      </c>
      <c r="C10">
        <v>10</v>
      </c>
      <c r="D10">
        <v>21</v>
      </c>
      <c r="E10">
        <v>-8.9700000000000006</v>
      </c>
      <c r="F10">
        <v>1995</v>
      </c>
      <c r="G10">
        <v>709</v>
      </c>
      <c r="H10">
        <v>1721</v>
      </c>
      <c r="I10">
        <v>366</v>
      </c>
      <c r="J10">
        <v>543</v>
      </c>
      <c r="K10">
        <v>334</v>
      </c>
      <c r="L10">
        <v>1079</v>
      </c>
      <c r="M10">
        <v>391</v>
      </c>
      <c r="N10">
        <v>229</v>
      </c>
      <c r="O10">
        <v>107</v>
      </c>
      <c r="P10">
        <v>492</v>
      </c>
      <c r="Q10">
        <v>548</v>
      </c>
      <c r="R10">
        <v>9</v>
      </c>
    </row>
    <row r="11" spans="1:18">
      <c r="A11" s="1" t="s">
        <v>25</v>
      </c>
      <c r="B11">
        <v>30</v>
      </c>
      <c r="C11">
        <v>15</v>
      </c>
      <c r="D11">
        <v>15</v>
      </c>
      <c r="E11">
        <v>-7.23</v>
      </c>
      <c r="F11">
        <v>2161</v>
      </c>
      <c r="G11">
        <v>780</v>
      </c>
      <c r="H11">
        <v>1645</v>
      </c>
      <c r="I11">
        <v>411</v>
      </c>
      <c r="J11">
        <v>589</v>
      </c>
      <c r="K11">
        <v>251</v>
      </c>
      <c r="L11">
        <v>1014</v>
      </c>
      <c r="M11">
        <v>402</v>
      </c>
      <c r="N11">
        <v>221</v>
      </c>
      <c r="O11">
        <v>131</v>
      </c>
      <c r="P11">
        <v>386</v>
      </c>
      <c r="Q11">
        <v>520</v>
      </c>
      <c r="R11">
        <v>10</v>
      </c>
    </row>
    <row r="12" spans="1:18">
      <c r="A12" s="1" t="s">
        <v>271</v>
      </c>
      <c r="B12">
        <v>32</v>
      </c>
      <c r="C12">
        <v>11</v>
      </c>
      <c r="D12">
        <v>21</v>
      </c>
      <c r="E12">
        <v>0.1</v>
      </c>
      <c r="F12">
        <v>2557</v>
      </c>
      <c r="G12">
        <v>880</v>
      </c>
      <c r="H12">
        <v>1938</v>
      </c>
      <c r="I12">
        <v>505</v>
      </c>
      <c r="J12">
        <v>706</v>
      </c>
      <c r="K12">
        <v>310</v>
      </c>
      <c r="L12">
        <v>1127</v>
      </c>
      <c r="M12">
        <v>406</v>
      </c>
      <c r="N12">
        <v>171</v>
      </c>
      <c r="O12">
        <v>90</v>
      </c>
      <c r="P12">
        <v>418</v>
      </c>
      <c r="Q12">
        <v>585</v>
      </c>
      <c r="R12">
        <v>11</v>
      </c>
    </row>
    <row r="13" spans="1:18">
      <c r="A13" s="1" t="s">
        <v>26</v>
      </c>
      <c r="B13">
        <v>34</v>
      </c>
      <c r="C13">
        <v>23</v>
      </c>
      <c r="D13">
        <v>11</v>
      </c>
      <c r="E13">
        <v>6.04</v>
      </c>
      <c r="F13">
        <v>2638</v>
      </c>
      <c r="G13">
        <v>899</v>
      </c>
      <c r="H13">
        <v>2012</v>
      </c>
      <c r="I13">
        <v>600</v>
      </c>
      <c r="J13">
        <v>882</v>
      </c>
      <c r="K13">
        <v>399</v>
      </c>
      <c r="L13">
        <v>1351</v>
      </c>
      <c r="M13">
        <v>459</v>
      </c>
      <c r="N13">
        <v>213</v>
      </c>
      <c r="O13">
        <v>109</v>
      </c>
      <c r="P13">
        <v>466</v>
      </c>
      <c r="Q13">
        <v>675</v>
      </c>
      <c r="R13">
        <v>12</v>
      </c>
    </row>
    <row r="14" spans="1:18">
      <c r="A14" s="1" t="s">
        <v>356</v>
      </c>
      <c r="B14">
        <v>32</v>
      </c>
      <c r="C14">
        <v>17</v>
      </c>
      <c r="D14">
        <v>15</v>
      </c>
      <c r="E14">
        <v>6.32</v>
      </c>
      <c r="F14">
        <v>2269</v>
      </c>
      <c r="G14">
        <v>794</v>
      </c>
      <c r="H14">
        <v>1861</v>
      </c>
      <c r="I14">
        <v>446</v>
      </c>
      <c r="J14">
        <v>620</v>
      </c>
      <c r="K14">
        <v>324</v>
      </c>
      <c r="L14">
        <v>1115</v>
      </c>
      <c r="M14">
        <v>398</v>
      </c>
      <c r="N14">
        <v>165</v>
      </c>
      <c r="O14">
        <v>73</v>
      </c>
      <c r="P14">
        <v>370</v>
      </c>
      <c r="Q14">
        <v>594</v>
      </c>
      <c r="R14">
        <v>13</v>
      </c>
    </row>
    <row r="15" spans="1:18">
      <c r="A15" s="1" t="s">
        <v>27</v>
      </c>
      <c r="B15">
        <v>31</v>
      </c>
      <c r="C15">
        <v>10</v>
      </c>
      <c r="D15">
        <v>21</v>
      </c>
      <c r="E15">
        <v>-2.0699999999999998</v>
      </c>
      <c r="F15">
        <v>2301</v>
      </c>
      <c r="G15">
        <v>817</v>
      </c>
      <c r="H15">
        <v>1687</v>
      </c>
      <c r="I15">
        <v>461</v>
      </c>
      <c r="J15">
        <v>703</v>
      </c>
      <c r="K15">
        <v>244</v>
      </c>
      <c r="L15">
        <v>1060</v>
      </c>
      <c r="M15">
        <v>443</v>
      </c>
      <c r="N15">
        <v>169</v>
      </c>
      <c r="O15">
        <v>87</v>
      </c>
      <c r="P15">
        <v>503</v>
      </c>
      <c r="Q15">
        <v>622</v>
      </c>
      <c r="R15">
        <v>14</v>
      </c>
    </row>
    <row r="16" spans="1:18">
      <c r="A16" s="1" t="s">
        <v>28</v>
      </c>
      <c r="B16">
        <v>32</v>
      </c>
      <c r="C16">
        <v>13</v>
      </c>
      <c r="D16">
        <v>19</v>
      </c>
      <c r="E16">
        <v>-8.18</v>
      </c>
      <c r="F16">
        <v>2108</v>
      </c>
      <c r="G16">
        <v>719</v>
      </c>
      <c r="H16">
        <v>1685</v>
      </c>
      <c r="I16">
        <v>476</v>
      </c>
      <c r="J16">
        <v>702</v>
      </c>
      <c r="K16">
        <v>317</v>
      </c>
      <c r="L16">
        <v>1063</v>
      </c>
      <c r="M16">
        <v>365</v>
      </c>
      <c r="N16">
        <v>216</v>
      </c>
      <c r="O16">
        <v>109</v>
      </c>
      <c r="P16">
        <v>478</v>
      </c>
      <c r="Q16">
        <v>629</v>
      </c>
      <c r="R16">
        <v>15</v>
      </c>
    </row>
    <row r="17" spans="1:18">
      <c r="A17" s="1" t="s">
        <v>29</v>
      </c>
      <c r="B17">
        <v>32</v>
      </c>
      <c r="C17">
        <v>13</v>
      </c>
      <c r="D17">
        <v>19</v>
      </c>
      <c r="E17">
        <v>-1.23</v>
      </c>
      <c r="F17">
        <v>2359</v>
      </c>
      <c r="G17">
        <v>796</v>
      </c>
      <c r="H17">
        <v>1904</v>
      </c>
      <c r="I17">
        <v>530</v>
      </c>
      <c r="J17">
        <v>721</v>
      </c>
      <c r="K17">
        <v>403</v>
      </c>
      <c r="L17">
        <v>1211</v>
      </c>
      <c r="M17">
        <v>363</v>
      </c>
      <c r="N17">
        <v>183</v>
      </c>
      <c r="O17">
        <v>139</v>
      </c>
      <c r="P17">
        <v>448</v>
      </c>
      <c r="Q17">
        <v>684</v>
      </c>
      <c r="R17">
        <v>16</v>
      </c>
    </row>
    <row r="18" spans="1:18">
      <c r="A18" s="1" t="s">
        <v>302</v>
      </c>
      <c r="B18">
        <v>34</v>
      </c>
      <c r="C18">
        <v>18</v>
      </c>
      <c r="D18">
        <v>16</v>
      </c>
      <c r="E18">
        <v>8.7799999999999994</v>
      </c>
      <c r="F18">
        <v>2559</v>
      </c>
      <c r="G18">
        <v>893</v>
      </c>
      <c r="H18">
        <v>2004</v>
      </c>
      <c r="I18">
        <v>514</v>
      </c>
      <c r="J18">
        <v>769</v>
      </c>
      <c r="K18">
        <v>345</v>
      </c>
      <c r="L18">
        <v>1152</v>
      </c>
      <c r="M18">
        <v>543</v>
      </c>
      <c r="N18">
        <v>276</v>
      </c>
      <c r="O18">
        <v>172</v>
      </c>
      <c r="P18">
        <v>450</v>
      </c>
      <c r="Q18">
        <v>693</v>
      </c>
      <c r="R18">
        <v>17</v>
      </c>
    </row>
    <row r="19" spans="1:18">
      <c r="A19" s="1" t="s">
        <v>30</v>
      </c>
      <c r="B19">
        <v>32</v>
      </c>
      <c r="C19">
        <v>13</v>
      </c>
      <c r="D19">
        <v>19</v>
      </c>
      <c r="E19">
        <v>-4.7300000000000004</v>
      </c>
      <c r="F19">
        <v>2268</v>
      </c>
      <c r="G19">
        <v>837</v>
      </c>
      <c r="H19">
        <v>1956</v>
      </c>
      <c r="I19">
        <v>322</v>
      </c>
      <c r="J19">
        <v>471</v>
      </c>
      <c r="K19">
        <v>259</v>
      </c>
      <c r="L19">
        <v>1125</v>
      </c>
      <c r="M19">
        <v>499</v>
      </c>
      <c r="N19">
        <v>198</v>
      </c>
      <c r="O19">
        <v>50</v>
      </c>
      <c r="P19">
        <v>376</v>
      </c>
      <c r="Q19">
        <v>544</v>
      </c>
      <c r="R19">
        <v>18</v>
      </c>
    </row>
    <row r="20" spans="1:18">
      <c r="A20" s="1" t="s">
        <v>272</v>
      </c>
      <c r="B20">
        <v>40</v>
      </c>
      <c r="C20">
        <v>30</v>
      </c>
      <c r="D20">
        <v>10</v>
      </c>
      <c r="E20">
        <v>10.92</v>
      </c>
      <c r="F20">
        <v>3188</v>
      </c>
      <c r="G20">
        <v>1097</v>
      </c>
      <c r="H20">
        <v>2439</v>
      </c>
      <c r="I20">
        <v>540</v>
      </c>
      <c r="J20">
        <v>760</v>
      </c>
      <c r="K20">
        <v>457</v>
      </c>
      <c r="L20">
        <v>1369</v>
      </c>
      <c r="M20">
        <v>572</v>
      </c>
      <c r="N20">
        <v>369</v>
      </c>
      <c r="O20">
        <v>190</v>
      </c>
      <c r="P20">
        <v>466</v>
      </c>
      <c r="Q20">
        <v>731</v>
      </c>
      <c r="R20">
        <v>19</v>
      </c>
    </row>
    <row r="21" spans="1:18">
      <c r="A21" s="1" t="s">
        <v>31</v>
      </c>
      <c r="B21">
        <v>33</v>
      </c>
      <c r="C21">
        <v>22</v>
      </c>
      <c r="D21">
        <v>11</v>
      </c>
      <c r="E21">
        <v>-4.41</v>
      </c>
      <c r="F21">
        <v>2712</v>
      </c>
      <c r="G21">
        <v>973</v>
      </c>
      <c r="H21">
        <v>2060</v>
      </c>
      <c r="I21">
        <v>498</v>
      </c>
      <c r="J21">
        <v>705</v>
      </c>
      <c r="K21">
        <v>397</v>
      </c>
      <c r="L21">
        <v>1215</v>
      </c>
      <c r="M21">
        <v>454</v>
      </c>
      <c r="N21">
        <v>252</v>
      </c>
      <c r="O21">
        <v>110</v>
      </c>
      <c r="P21">
        <v>392</v>
      </c>
      <c r="Q21">
        <v>596</v>
      </c>
      <c r="R21">
        <v>20</v>
      </c>
    </row>
    <row r="22" spans="1:18">
      <c r="A22" s="1" t="s">
        <v>273</v>
      </c>
      <c r="B22">
        <v>33</v>
      </c>
      <c r="C22">
        <v>16</v>
      </c>
      <c r="D22">
        <v>17</v>
      </c>
      <c r="E22">
        <v>1.21</v>
      </c>
      <c r="F22">
        <v>2478</v>
      </c>
      <c r="G22">
        <v>889</v>
      </c>
      <c r="H22">
        <v>1892</v>
      </c>
      <c r="I22">
        <v>498</v>
      </c>
      <c r="J22">
        <v>709</v>
      </c>
      <c r="K22">
        <v>308</v>
      </c>
      <c r="L22">
        <v>1243</v>
      </c>
      <c r="M22">
        <v>426</v>
      </c>
      <c r="N22">
        <v>217</v>
      </c>
      <c r="O22">
        <v>118</v>
      </c>
      <c r="P22">
        <v>480</v>
      </c>
      <c r="Q22">
        <v>579</v>
      </c>
      <c r="R22">
        <v>21</v>
      </c>
    </row>
    <row r="23" spans="1:18">
      <c r="A23" s="1" t="s">
        <v>32</v>
      </c>
      <c r="B23">
        <v>34</v>
      </c>
      <c r="C23">
        <v>20</v>
      </c>
      <c r="D23">
        <v>14</v>
      </c>
      <c r="E23">
        <v>9.26</v>
      </c>
      <c r="F23">
        <v>2442</v>
      </c>
      <c r="G23">
        <v>869</v>
      </c>
      <c r="H23">
        <v>1966</v>
      </c>
      <c r="I23">
        <v>430</v>
      </c>
      <c r="J23">
        <v>635</v>
      </c>
      <c r="K23">
        <v>450</v>
      </c>
      <c r="L23">
        <v>1281</v>
      </c>
      <c r="M23">
        <v>473</v>
      </c>
      <c r="N23">
        <v>209</v>
      </c>
      <c r="O23">
        <v>159</v>
      </c>
      <c r="P23">
        <v>446</v>
      </c>
      <c r="Q23">
        <v>636</v>
      </c>
      <c r="R23">
        <v>22</v>
      </c>
    </row>
    <row r="24" spans="1:18">
      <c r="A24" s="1" t="s">
        <v>33</v>
      </c>
      <c r="B24">
        <v>33</v>
      </c>
      <c r="C24">
        <v>27</v>
      </c>
      <c r="D24">
        <v>6</v>
      </c>
      <c r="E24">
        <v>-2.6</v>
      </c>
      <c r="F24">
        <v>2868</v>
      </c>
      <c r="G24">
        <v>1042</v>
      </c>
      <c r="H24">
        <v>2094</v>
      </c>
      <c r="I24">
        <v>441</v>
      </c>
      <c r="J24">
        <v>598</v>
      </c>
      <c r="K24">
        <v>286</v>
      </c>
      <c r="L24">
        <v>1275</v>
      </c>
      <c r="M24">
        <v>645</v>
      </c>
      <c r="N24">
        <v>220</v>
      </c>
      <c r="O24">
        <v>125</v>
      </c>
      <c r="P24">
        <v>376</v>
      </c>
      <c r="Q24">
        <v>509</v>
      </c>
      <c r="R24">
        <v>23</v>
      </c>
    </row>
    <row r="25" spans="1:18">
      <c r="A25" s="1" t="s">
        <v>34</v>
      </c>
      <c r="B25">
        <v>31</v>
      </c>
      <c r="C25">
        <v>14</v>
      </c>
      <c r="D25">
        <v>17</v>
      </c>
      <c r="E25">
        <v>-9.74</v>
      </c>
      <c r="F25">
        <v>2290</v>
      </c>
      <c r="G25">
        <v>833</v>
      </c>
      <c r="H25">
        <v>1899</v>
      </c>
      <c r="I25">
        <v>420</v>
      </c>
      <c r="J25">
        <v>689</v>
      </c>
      <c r="K25">
        <v>415</v>
      </c>
      <c r="L25">
        <v>1274</v>
      </c>
      <c r="M25">
        <v>444</v>
      </c>
      <c r="N25">
        <v>234</v>
      </c>
      <c r="O25">
        <v>108</v>
      </c>
      <c r="P25">
        <v>501</v>
      </c>
      <c r="Q25">
        <v>610</v>
      </c>
      <c r="R25">
        <v>24</v>
      </c>
    </row>
    <row r="26" spans="1:18">
      <c r="A26" s="1" t="s">
        <v>303</v>
      </c>
      <c r="B26">
        <v>33</v>
      </c>
      <c r="C26">
        <v>10</v>
      </c>
      <c r="D26">
        <v>23</v>
      </c>
      <c r="E26">
        <v>-4.6900000000000004</v>
      </c>
      <c r="F26">
        <v>2152</v>
      </c>
      <c r="G26">
        <v>793</v>
      </c>
      <c r="H26">
        <v>1842</v>
      </c>
      <c r="I26">
        <v>291</v>
      </c>
      <c r="J26">
        <v>452</v>
      </c>
      <c r="K26">
        <v>244</v>
      </c>
      <c r="L26">
        <v>1060</v>
      </c>
      <c r="M26">
        <v>324</v>
      </c>
      <c r="N26">
        <v>183</v>
      </c>
      <c r="O26">
        <v>152</v>
      </c>
      <c r="P26">
        <v>409</v>
      </c>
      <c r="Q26">
        <v>474</v>
      </c>
      <c r="R26">
        <v>25</v>
      </c>
    </row>
    <row r="27" spans="1:18">
      <c r="A27" s="1" t="s">
        <v>35</v>
      </c>
      <c r="B27">
        <v>33</v>
      </c>
      <c r="C27">
        <v>13</v>
      </c>
      <c r="D27">
        <v>20</v>
      </c>
      <c r="E27">
        <v>1.08</v>
      </c>
      <c r="F27">
        <v>2364</v>
      </c>
      <c r="G27">
        <v>845</v>
      </c>
      <c r="H27">
        <v>1801</v>
      </c>
      <c r="I27">
        <v>422</v>
      </c>
      <c r="J27">
        <v>584</v>
      </c>
      <c r="K27">
        <v>242</v>
      </c>
      <c r="L27">
        <v>1016</v>
      </c>
      <c r="M27">
        <v>398</v>
      </c>
      <c r="N27">
        <v>200</v>
      </c>
      <c r="O27">
        <v>68</v>
      </c>
      <c r="P27">
        <v>379</v>
      </c>
      <c r="Q27">
        <v>570</v>
      </c>
      <c r="R27">
        <v>26</v>
      </c>
    </row>
    <row r="28" spans="1:18">
      <c r="A28" s="1" t="s">
        <v>36</v>
      </c>
      <c r="B28">
        <v>31</v>
      </c>
      <c r="C28">
        <v>14</v>
      </c>
      <c r="D28">
        <v>17</v>
      </c>
      <c r="E28">
        <v>7.76</v>
      </c>
      <c r="F28">
        <v>2196</v>
      </c>
      <c r="G28">
        <v>768</v>
      </c>
      <c r="H28">
        <v>1808</v>
      </c>
      <c r="I28">
        <v>442</v>
      </c>
      <c r="J28">
        <v>633</v>
      </c>
      <c r="K28">
        <v>331</v>
      </c>
      <c r="L28">
        <v>1139</v>
      </c>
      <c r="M28">
        <v>382</v>
      </c>
      <c r="N28">
        <v>159</v>
      </c>
      <c r="O28">
        <v>103</v>
      </c>
      <c r="P28">
        <v>378</v>
      </c>
      <c r="Q28">
        <v>509</v>
      </c>
      <c r="R28">
        <v>27</v>
      </c>
    </row>
    <row r="29" spans="1:18">
      <c r="A29" s="1" t="s">
        <v>37</v>
      </c>
      <c r="B29">
        <v>33</v>
      </c>
      <c r="C29">
        <v>15</v>
      </c>
      <c r="D29">
        <v>18</v>
      </c>
      <c r="E29">
        <v>-5.39</v>
      </c>
      <c r="F29">
        <v>2385</v>
      </c>
      <c r="G29">
        <v>922</v>
      </c>
      <c r="H29">
        <v>1922</v>
      </c>
      <c r="I29">
        <v>320</v>
      </c>
      <c r="J29">
        <v>468</v>
      </c>
      <c r="K29">
        <v>311</v>
      </c>
      <c r="L29">
        <v>1091</v>
      </c>
      <c r="M29">
        <v>447</v>
      </c>
      <c r="N29">
        <v>199</v>
      </c>
      <c r="O29">
        <v>73</v>
      </c>
      <c r="P29">
        <v>425</v>
      </c>
      <c r="Q29">
        <v>578</v>
      </c>
      <c r="R29">
        <v>28</v>
      </c>
    </row>
    <row r="30" spans="1:18">
      <c r="A30" s="1" t="s">
        <v>38</v>
      </c>
      <c r="B30">
        <v>34</v>
      </c>
      <c r="C30">
        <v>22</v>
      </c>
      <c r="D30">
        <v>12</v>
      </c>
      <c r="E30">
        <v>0.86</v>
      </c>
      <c r="F30">
        <v>2668</v>
      </c>
      <c r="G30">
        <v>945</v>
      </c>
      <c r="H30">
        <v>2134</v>
      </c>
      <c r="I30">
        <v>506</v>
      </c>
      <c r="J30">
        <v>755</v>
      </c>
      <c r="K30">
        <v>408</v>
      </c>
      <c r="L30">
        <v>1396</v>
      </c>
      <c r="M30">
        <v>427</v>
      </c>
      <c r="N30">
        <v>227</v>
      </c>
      <c r="O30">
        <v>90</v>
      </c>
      <c r="P30">
        <v>412</v>
      </c>
      <c r="Q30">
        <v>596</v>
      </c>
      <c r="R30">
        <v>29</v>
      </c>
    </row>
    <row r="31" spans="1:18">
      <c r="A31" s="1" t="s">
        <v>39</v>
      </c>
      <c r="B31">
        <v>35</v>
      </c>
      <c r="C31">
        <v>20</v>
      </c>
      <c r="D31">
        <v>15</v>
      </c>
      <c r="E31">
        <v>-0.9</v>
      </c>
      <c r="F31">
        <v>2329</v>
      </c>
      <c r="G31">
        <v>812</v>
      </c>
      <c r="H31">
        <v>1874</v>
      </c>
      <c r="I31">
        <v>465</v>
      </c>
      <c r="J31">
        <v>672</v>
      </c>
      <c r="K31">
        <v>313</v>
      </c>
      <c r="L31">
        <v>1195</v>
      </c>
      <c r="M31">
        <v>423</v>
      </c>
      <c r="N31">
        <v>186</v>
      </c>
      <c r="O31">
        <v>132</v>
      </c>
      <c r="P31">
        <v>440</v>
      </c>
      <c r="Q31">
        <v>617</v>
      </c>
      <c r="R31">
        <v>30</v>
      </c>
    </row>
    <row r="32" spans="1:18">
      <c r="A32" s="1" t="s">
        <v>40</v>
      </c>
      <c r="B32">
        <v>32</v>
      </c>
      <c r="C32">
        <v>19</v>
      </c>
      <c r="D32">
        <v>13</v>
      </c>
      <c r="E32">
        <v>3.31</v>
      </c>
      <c r="F32">
        <v>2527</v>
      </c>
      <c r="G32">
        <v>878</v>
      </c>
      <c r="H32">
        <v>1878</v>
      </c>
      <c r="I32">
        <v>545</v>
      </c>
      <c r="J32">
        <v>750</v>
      </c>
      <c r="K32">
        <v>263</v>
      </c>
      <c r="L32">
        <v>1118</v>
      </c>
      <c r="M32">
        <v>482</v>
      </c>
      <c r="N32">
        <v>203</v>
      </c>
      <c r="O32">
        <v>107</v>
      </c>
      <c r="P32">
        <v>354</v>
      </c>
      <c r="Q32">
        <v>625</v>
      </c>
      <c r="R32">
        <v>31</v>
      </c>
    </row>
    <row r="33" spans="1:18">
      <c r="A33" s="1" t="s">
        <v>41</v>
      </c>
      <c r="B33">
        <v>32</v>
      </c>
      <c r="C33">
        <v>20</v>
      </c>
      <c r="D33">
        <v>12</v>
      </c>
      <c r="E33">
        <v>-3.29</v>
      </c>
      <c r="F33">
        <v>2355</v>
      </c>
      <c r="G33">
        <v>805</v>
      </c>
      <c r="H33">
        <v>1818</v>
      </c>
      <c r="I33">
        <v>490</v>
      </c>
      <c r="J33">
        <v>685</v>
      </c>
      <c r="K33">
        <v>261</v>
      </c>
      <c r="L33">
        <v>1157</v>
      </c>
      <c r="M33">
        <v>418</v>
      </c>
      <c r="N33">
        <v>241</v>
      </c>
      <c r="O33">
        <v>123</v>
      </c>
      <c r="P33">
        <v>458</v>
      </c>
      <c r="Q33">
        <v>600</v>
      </c>
      <c r="R33">
        <v>32</v>
      </c>
    </row>
    <row r="34" spans="1:18">
      <c r="A34" s="1" t="s">
        <v>352</v>
      </c>
      <c r="B34">
        <v>30</v>
      </c>
      <c r="C34">
        <v>10</v>
      </c>
      <c r="D34">
        <v>20</v>
      </c>
      <c r="E34">
        <v>-7.66</v>
      </c>
      <c r="F34">
        <v>2088</v>
      </c>
      <c r="G34">
        <v>709</v>
      </c>
      <c r="H34">
        <v>1680</v>
      </c>
      <c r="I34">
        <v>440</v>
      </c>
      <c r="J34">
        <v>618</v>
      </c>
      <c r="K34">
        <v>285</v>
      </c>
      <c r="L34">
        <v>969</v>
      </c>
      <c r="M34">
        <v>319</v>
      </c>
      <c r="N34">
        <v>158</v>
      </c>
      <c r="O34">
        <v>79</v>
      </c>
      <c r="P34">
        <v>383</v>
      </c>
      <c r="Q34">
        <v>575</v>
      </c>
      <c r="R34">
        <v>33</v>
      </c>
    </row>
    <row r="35" spans="1:18">
      <c r="A35" s="1" t="s">
        <v>42</v>
      </c>
      <c r="B35">
        <v>33</v>
      </c>
      <c r="C35">
        <v>21</v>
      </c>
      <c r="D35">
        <v>12</v>
      </c>
      <c r="E35">
        <v>-2.93</v>
      </c>
      <c r="F35">
        <v>2534</v>
      </c>
      <c r="G35">
        <v>867</v>
      </c>
      <c r="H35">
        <v>1928</v>
      </c>
      <c r="I35">
        <v>489</v>
      </c>
      <c r="J35">
        <v>653</v>
      </c>
      <c r="K35">
        <v>286</v>
      </c>
      <c r="L35">
        <v>1154</v>
      </c>
      <c r="M35">
        <v>519</v>
      </c>
      <c r="N35">
        <v>173</v>
      </c>
      <c r="O35">
        <v>116</v>
      </c>
      <c r="P35">
        <v>409</v>
      </c>
      <c r="Q35">
        <v>627</v>
      </c>
      <c r="R35">
        <v>34</v>
      </c>
    </row>
    <row r="36" spans="1:18">
      <c r="A36" s="1" t="s">
        <v>43</v>
      </c>
      <c r="B36">
        <v>36</v>
      </c>
      <c r="C36">
        <v>32</v>
      </c>
      <c r="D36">
        <v>4</v>
      </c>
      <c r="E36">
        <v>2.62</v>
      </c>
      <c r="F36">
        <v>3037</v>
      </c>
      <c r="G36">
        <v>1083</v>
      </c>
      <c r="H36">
        <v>2344</v>
      </c>
      <c r="I36">
        <v>527</v>
      </c>
      <c r="J36">
        <v>767</v>
      </c>
      <c r="K36">
        <v>452</v>
      </c>
      <c r="L36">
        <v>1470</v>
      </c>
      <c r="M36">
        <v>599</v>
      </c>
      <c r="N36">
        <v>263</v>
      </c>
      <c r="O36">
        <v>140</v>
      </c>
      <c r="P36">
        <v>433</v>
      </c>
      <c r="Q36">
        <v>659</v>
      </c>
      <c r="R36">
        <v>35</v>
      </c>
    </row>
    <row r="37" spans="1:18">
      <c r="A37" s="1" t="s">
        <v>304</v>
      </c>
      <c r="B37">
        <v>33</v>
      </c>
      <c r="C37">
        <v>16</v>
      </c>
      <c r="D37">
        <v>17</v>
      </c>
      <c r="E37">
        <v>8.1</v>
      </c>
      <c r="F37">
        <v>2374</v>
      </c>
      <c r="G37">
        <v>861</v>
      </c>
      <c r="H37">
        <v>1934</v>
      </c>
      <c r="I37">
        <v>360</v>
      </c>
      <c r="J37">
        <v>488</v>
      </c>
      <c r="K37">
        <v>288</v>
      </c>
      <c r="L37">
        <v>1058</v>
      </c>
      <c r="M37">
        <v>434</v>
      </c>
      <c r="N37">
        <v>193</v>
      </c>
      <c r="O37">
        <v>62</v>
      </c>
      <c r="P37">
        <v>359</v>
      </c>
      <c r="Q37">
        <v>593</v>
      </c>
      <c r="R37">
        <v>36</v>
      </c>
    </row>
    <row r="38" spans="1:18">
      <c r="A38" s="1" t="s">
        <v>44</v>
      </c>
      <c r="B38">
        <v>29</v>
      </c>
      <c r="C38">
        <v>6</v>
      </c>
      <c r="D38">
        <v>23</v>
      </c>
      <c r="E38">
        <v>-3.54</v>
      </c>
      <c r="F38">
        <v>1930</v>
      </c>
      <c r="G38">
        <v>706</v>
      </c>
      <c r="H38">
        <v>1715</v>
      </c>
      <c r="I38">
        <v>293</v>
      </c>
      <c r="J38">
        <v>452</v>
      </c>
      <c r="K38">
        <v>284</v>
      </c>
      <c r="L38">
        <v>975</v>
      </c>
      <c r="M38">
        <v>301</v>
      </c>
      <c r="N38">
        <v>147</v>
      </c>
      <c r="O38">
        <v>99</v>
      </c>
      <c r="P38">
        <v>334</v>
      </c>
      <c r="Q38">
        <v>544</v>
      </c>
      <c r="R38">
        <v>37</v>
      </c>
    </row>
    <row r="39" spans="1:18">
      <c r="A39" s="1" t="s">
        <v>343</v>
      </c>
      <c r="B39">
        <v>34</v>
      </c>
      <c r="C39">
        <v>18</v>
      </c>
      <c r="D39">
        <v>16</v>
      </c>
      <c r="E39">
        <v>-2.63</v>
      </c>
      <c r="F39">
        <v>2412</v>
      </c>
      <c r="G39">
        <v>887</v>
      </c>
      <c r="H39">
        <v>2092</v>
      </c>
      <c r="I39">
        <v>417</v>
      </c>
      <c r="J39">
        <v>620</v>
      </c>
      <c r="K39">
        <v>486</v>
      </c>
      <c r="L39">
        <v>1272</v>
      </c>
      <c r="M39">
        <v>379</v>
      </c>
      <c r="N39">
        <v>218</v>
      </c>
      <c r="O39">
        <v>105</v>
      </c>
      <c r="P39">
        <v>439</v>
      </c>
      <c r="Q39">
        <v>747</v>
      </c>
      <c r="R39">
        <v>38</v>
      </c>
    </row>
    <row r="40" spans="1:18">
      <c r="A40" s="1" t="s">
        <v>45</v>
      </c>
      <c r="B40">
        <v>34</v>
      </c>
      <c r="C40">
        <v>16</v>
      </c>
      <c r="D40">
        <v>18</v>
      </c>
      <c r="E40">
        <v>-1.1399999999999999</v>
      </c>
      <c r="F40">
        <v>2437</v>
      </c>
      <c r="G40">
        <v>868</v>
      </c>
      <c r="H40">
        <v>1911</v>
      </c>
      <c r="I40">
        <v>514</v>
      </c>
      <c r="J40">
        <v>726</v>
      </c>
      <c r="K40">
        <v>277</v>
      </c>
      <c r="L40">
        <v>1224</v>
      </c>
      <c r="M40">
        <v>407</v>
      </c>
      <c r="N40">
        <v>200</v>
      </c>
      <c r="O40">
        <v>118</v>
      </c>
      <c r="P40">
        <v>450</v>
      </c>
      <c r="Q40">
        <v>639</v>
      </c>
      <c r="R40">
        <v>39</v>
      </c>
    </row>
    <row r="41" spans="1:18">
      <c r="A41" s="1" t="s">
        <v>46</v>
      </c>
      <c r="B41">
        <v>34</v>
      </c>
      <c r="C41">
        <v>13</v>
      </c>
      <c r="D41">
        <v>21</v>
      </c>
      <c r="E41">
        <v>-3.39</v>
      </c>
      <c r="F41">
        <v>2601</v>
      </c>
      <c r="G41">
        <v>968</v>
      </c>
      <c r="H41">
        <v>2103</v>
      </c>
      <c r="I41">
        <v>431</v>
      </c>
      <c r="J41">
        <v>676</v>
      </c>
      <c r="K41">
        <v>352</v>
      </c>
      <c r="L41">
        <v>1214</v>
      </c>
      <c r="M41">
        <v>512</v>
      </c>
      <c r="N41">
        <v>225</v>
      </c>
      <c r="O41">
        <v>154</v>
      </c>
      <c r="P41">
        <v>410</v>
      </c>
      <c r="Q41">
        <v>641</v>
      </c>
      <c r="R41">
        <v>40</v>
      </c>
    </row>
    <row r="42" spans="1:18">
      <c r="A42" s="1" t="s">
        <v>368</v>
      </c>
      <c r="B42">
        <v>31</v>
      </c>
      <c r="C42">
        <v>16</v>
      </c>
      <c r="D42">
        <v>15</v>
      </c>
      <c r="E42">
        <v>-4.12</v>
      </c>
      <c r="F42">
        <v>2403</v>
      </c>
      <c r="G42">
        <v>831</v>
      </c>
      <c r="H42">
        <v>1859</v>
      </c>
      <c r="I42">
        <v>454</v>
      </c>
      <c r="J42">
        <v>576</v>
      </c>
      <c r="K42">
        <v>306</v>
      </c>
      <c r="L42">
        <v>1171</v>
      </c>
      <c r="M42">
        <v>345</v>
      </c>
      <c r="N42">
        <v>148</v>
      </c>
      <c r="O42">
        <v>85</v>
      </c>
      <c r="P42">
        <v>379</v>
      </c>
      <c r="Q42">
        <v>623</v>
      </c>
      <c r="R42">
        <v>41</v>
      </c>
    </row>
    <row r="43" spans="1:18">
      <c r="A43" s="1" t="s">
        <v>330</v>
      </c>
      <c r="B43">
        <v>31</v>
      </c>
      <c r="C43">
        <v>11</v>
      </c>
      <c r="D43">
        <v>20</v>
      </c>
      <c r="E43">
        <v>-1.5</v>
      </c>
      <c r="F43">
        <v>2038</v>
      </c>
      <c r="G43">
        <v>735</v>
      </c>
      <c r="H43">
        <v>1673</v>
      </c>
      <c r="I43">
        <v>365</v>
      </c>
      <c r="J43">
        <v>515</v>
      </c>
      <c r="K43">
        <v>218</v>
      </c>
      <c r="L43">
        <v>929</v>
      </c>
      <c r="M43">
        <v>375</v>
      </c>
      <c r="N43">
        <v>196</v>
      </c>
      <c r="O43">
        <v>71</v>
      </c>
      <c r="P43">
        <v>412</v>
      </c>
      <c r="Q43">
        <v>596</v>
      </c>
      <c r="R43">
        <v>42</v>
      </c>
    </row>
    <row r="44" spans="1:18">
      <c r="A44" s="1" t="s">
        <v>47</v>
      </c>
      <c r="B44">
        <v>37</v>
      </c>
      <c r="C44">
        <v>31</v>
      </c>
      <c r="D44">
        <v>6</v>
      </c>
      <c r="E44">
        <v>-2.2999999999999998</v>
      </c>
      <c r="F44">
        <v>2675</v>
      </c>
      <c r="G44">
        <v>987</v>
      </c>
      <c r="H44">
        <v>2159</v>
      </c>
      <c r="I44">
        <v>449</v>
      </c>
      <c r="J44">
        <v>640</v>
      </c>
      <c r="K44">
        <v>429</v>
      </c>
      <c r="L44">
        <v>1471</v>
      </c>
      <c r="M44">
        <v>479</v>
      </c>
      <c r="N44">
        <v>210</v>
      </c>
      <c r="O44">
        <v>153</v>
      </c>
      <c r="P44">
        <v>441</v>
      </c>
      <c r="Q44">
        <v>673</v>
      </c>
      <c r="R44">
        <v>43</v>
      </c>
    </row>
    <row r="45" spans="1:18">
      <c r="A45" s="1" t="s">
        <v>305</v>
      </c>
      <c r="B45">
        <v>33</v>
      </c>
      <c r="C45">
        <v>10</v>
      </c>
      <c r="D45">
        <v>23</v>
      </c>
      <c r="E45">
        <v>-3.19</v>
      </c>
      <c r="F45">
        <v>2153</v>
      </c>
      <c r="G45">
        <v>792</v>
      </c>
      <c r="H45">
        <v>1787</v>
      </c>
      <c r="I45">
        <v>290</v>
      </c>
      <c r="J45">
        <v>424</v>
      </c>
      <c r="K45">
        <v>286</v>
      </c>
      <c r="L45">
        <v>1051</v>
      </c>
      <c r="M45">
        <v>425</v>
      </c>
      <c r="N45">
        <v>164</v>
      </c>
      <c r="O45">
        <v>60</v>
      </c>
      <c r="P45">
        <v>425</v>
      </c>
      <c r="Q45">
        <v>562</v>
      </c>
      <c r="R45">
        <v>44</v>
      </c>
    </row>
    <row r="46" spans="1:18">
      <c r="A46" s="1" t="s">
        <v>48</v>
      </c>
      <c r="B46">
        <v>32</v>
      </c>
      <c r="C46">
        <v>22</v>
      </c>
      <c r="D46">
        <v>10</v>
      </c>
      <c r="E46">
        <v>-5.55</v>
      </c>
      <c r="F46">
        <v>2350</v>
      </c>
      <c r="G46">
        <v>825</v>
      </c>
      <c r="H46">
        <v>1819</v>
      </c>
      <c r="I46">
        <v>496</v>
      </c>
      <c r="J46">
        <v>693</v>
      </c>
      <c r="K46">
        <v>379</v>
      </c>
      <c r="L46">
        <v>1204</v>
      </c>
      <c r="M46">
        <v>431</v>
      </c>
      <c r="N46">
        <v>159</v>
      </c>
      <c r="O46">
        <v>106</v>
      </c>
      <c r="P46">
        <v>355</v>
      </c>
      <c r="Q46">
        <v>558</v>
      </c>
      <c r="R46">
        <v>45</v>
      </c>
    </row>
    <row r="47" spans="1:18">
      <c r="A47" s="1" t="s">
        <v>49</v>
      </c>
      <c r="B47">
        <v>31</v>
      </c>
      <c r="C47">
        <v>8</v>
      </c>
      <c r="D47">
        <v>23</v>
      </c>
      <c r="E47">
        <v>5.42</v>
      </c>
      <c r="F47">
        <v>2121</v>
      </c>
      <c r="G47">
        <v>739</v>
      </c>
      <c r="H47">
        <v>1735</v>
      </c>
      <c r="I47">
        <v>436</v>
      </c>
      <c r="J47">
        <v>603</v>
      </c>
      <c r="K47">
        <v>249</v>
      </c>
      <c r="L47">
        <v>900</v>
      </c>
      <c r="M47">
        <v>338</v>
      </c>
      <c r="N47">
        <v>227</v>
      </c>
      <c r="O47">
        <v>99</v>
      </c>
      <c r="P47">
        <v>352</v>
      </c>
      <c r="Q47">
        <v>574</v>
      </c>
      <c r="R47">
        <v>46</v>
      </c>
    </row>
    <row r="48" spans="1:18">
      <c r="A48" s="1" t="s">
        <v>50</v>
      </c>
      <c r="B48">
        <v>33</v>
      </c>
      <c r="C48">
        <v>20</v>
      </c>
      <c r="D48">
        <v>13</v>
      </c>
      <c r="E48">
        <v>-4.3899999999999997</v>
      </c>
      <c r="F48">
        <v>2495</v>
      </c>
      <c r="G48">
        <v>867</v>
      </c>
      <c r="H48">
        <v>1906</v>
      </c>
      <c r="I48">
        <v>448</v>
      </c>
      <c r="J48">
        <v>590</v>
      </c>
      <c r="K48">
        <v>266</v>
      </c>
      <c r="L48">
        <v>1050</v>
      </c>
      <c r="M48">
        <v>482</v>
      </c>
      <c r="N48">
        <v>218</v>
      </c>
      <c r="O48">
        <v>104</v>
      </c>
      <c r="P48">
        <v>337</v>
      </c>
      <c r="Q48">
        <v>522</v>
      </c>
      <c r="R48">
        <v>47</v>
      </c>
    </row>
    <row r="49" spans="1:18">
      <c r="A49" s="1" t="s">
        <v>51</v>
      </c>
      <c r="B49">
        <v>32</v>
      </c>
      <c r="C49">
        <v>15</v>
      </c>
      <c r="D49">
        <v>17</v>
      </c>
      <c r="E49">
        <v>-4.8499999999999996</v>
      </c>
      <c r="F49">
        <v>2250</v>
      </c>
      <c r="G49">
        <v>798</v>
      </c>
      <c r="H49">
        <v>1834</v>
      </c>
      <c r="I49">
        <v>398</v>
      </c>
      <c r="J49">
        <v>575</v>
      </c>
      <c r="K49">
        <v>300</v>
      </c>
      <c r="L49">
        <v>1026</v>
      </c>
      <c r="M49">
        <v>466</v>
      </c>
      <c r="N49">
        <v>204</v>
      </c>
      <c r="O49">
        <v>108</v>
      </c>
      <c r="P49">
        <v>412</v>
      </c>
      <c r="Q49">
        <v>627</v>
      </c>
      <c r="R49">
        <v>48</v>
      </c>
    </row>
    <row r="50" spans="1:18">
      <c r="A50" s="1" t="s">
        <v>344</v>
      </c>
      <c r="B50">
        <v>33</v>
      </c>
      <c r="C50">
        <v>14</v>
      </c>
      <c r="D50">
        <v>19</v>
      </c>
      <c r="E50">
        <v>-4.8099999999999996</v>
      </c>
      <c r="F50">
        <v>2383</v>
      </c>
      <c r="G50">
        <v>810</v>
      </c>
      <c r="H50">
        <v>1903</v>
      </c>
      <c r="I50">
        <v>487</v>
      </c>
      <c r="J50">
        <v>667</v>
      </c>
      <c r="K50">
        <v>299</v>
      </c>
      <c r="L50">
        <v>1164</v>
      </c>
      <c r="M50">
        <v>463</v>
      </c>
      <c r="N50">
        <v>202</v>
      </c>
      <c r="O50">
        <v>120</v>
      </c>
      <c r="P50">
        <v>478</v>
      </c>
      <c r="Q50">
        <v>611</v>
      </c>
      <c r="R50">
        <v>49</v>
      </c>
    </row>
    <row r="51" spans="1:18">
      <c r="A51" s="1" t="s">
        <v>274</v>
      </c>
      <c r="B51">
        <v>31</v>
      </c>
      <c r="C51">
        <v>11</v>
      </c>
      <c r="D51">
        <v>20</v>
      </c>
      <c r="E51">
        <v>-6.71</v>
      </c>
      <c r="F51">
        <v>2205</v>
      </c>
      <c r="G51">
        <v>754</v>
      </c>
      <c r="H51">
        <v>1821</v>
      </c>
      <c r="I51">
        <v>496</v>
      </c>
      <c r="J51">
        <v>634</v>
      </c>
      <c r="K51">
        <v>332</v>
      </c>
      <c r="L51">
        <v>1107</v>
      </c>
      <c r="M51">
        <v>353</v>
      </c>
      <c r="N51">
        <v>172</v>
      </c>
      <c r="O51">
        <v>110</v>
      </c>
      <c r="P51">
        <v>427</v>
      </c>
      <c r="Q51">
        <v>597</v>
      </c>
      <c r="R51">
        <v>50</v>
      </c>
    </row>
    <row r="52" spans="1:18">
      <c r="A52" s="1" t="s">
        <v>53</v>
      </c>
      <c r="B52">
        <v>33</v>
      </c>
      <c r="C52">
        <v>24</v>
      </c>
      <c r="D52">
        <v>9</v>
      </c>
      <c r="E52">
        <v>5.58</v>
      </c>
      <c r="F52">
        <v>2385</v>
      </c>
      <c r="G52">
        <v>819</v>
      </c>
      <c r="H52">
        <v>1763</v>
      </c>
      <c r="I52">
        <v>518</v>
      </c>
      <c r="J52">
        <v>798</v>
      </c>
      <c r="K52">
        <v>315</v>
      </c>
      <c r="L52">
        <v>1215</v>
      </c>
      <c r="M52">
        <v>439</v>
      </c>
      <c r="N52">
        <v>189</v>
      </c>
      <c r="O52">
        <v>150</v>
      </c>
      <c r="P52">
        <v>393</v>
      </c>
      <c r="Q52">
        <v>554</v>
      </c>
      <c r="R52">
        <v>51</v>
      </c>
    </row>
    <row r="53" spans="1:18">
      <c r="A53" s="1" t="s">
        <v>54</v>
      </c>
      <c r="B53">
        <v>35</v>
      </c>
      <c r="C53">
        <v>23</v>
      </c>
      <c r="D53">
        <v>12</v>
      </c>
      <c r="E53">
        <v>-0.34</v>
      </c>
      <c r="F53">
        <v>2896</v>
      </c>
      <c r="G53">
        <v>991</v>
      </c>
      <c r="H53">
        <v>2177</v>
      </c>
      <c r="I53">
        <v>609</v>
      </c>
      <c r="J53">
        <v>908</v>
      </c>
      <c r="K53">
        <v>419</v>
      </c>
      <c r="L53">
        <v>1321</v>
      </c>
      <c r="M53">
        <v>467</v>
      </c>
      <c r="N53">
        <v>267</v>
      </c>
      <c r="O53">
        <v>107</v>
      </c>
      <c r="P53">
        <v>425</v>
      </c>
      <c r="Q53">
        <v>593</v>
      </c>
      <c r="R53">
        <v>52</v>
      </c>
    </row>
    <row r="54" spans="1:18">
      <c r="A54" s="1" t="s">
        <v>55</v>
      </c>
      <c r="B54">
        <v>34</v>
      </c>
      <c r="C54">
        <v>18</v>
      </c>
      <c r="D54">
        <v>16</v>
      </c>
      <c r="E54">
        <v>-4.1900000000000004</v>
      </c>
      <c r="F54">
        <v>2574</v>
      </c>
      <c r="G54">
        <v>926</v>
      </c>
      <c r="H54">
        <v>2156</v>
      </c>
      <c r="I54">
        <v>398</v>
      </c>
      <c r="J54">
        <v>588</v>
      </c>
      <c r="K54">
        <v>407</v>
      </c>
      <c r="L54">
        <v>1277</v>
      </c>
      <c r="M54">
        <v>487</v>
      </c>
      <c r="N54">
        <v>263</v>
      </c>
      <c r="O54">
        <v>110</v>
      </c>
      <c r="P54">
        <v>441</v>
      </c>
      <c r="Q54">
        <v>571</v>
      </c>
      <c r="R54">
        <v>53</v>
      </c>
    </row>
    <row r="55" spans="1:18">
      <c r="A55" s="1" t="s">
        <v>56</v>
      </c>
      <c r="B55">
        <v>29</v>
      </c>
      <c r="C55">
        <v>8</v>
      </c>
      <c r="D55">
        <v>21</v>
      </c>
      <c r="E55">
        <v>-0.89</v>
      </c>
      <c r="F55">
        <v>1776</v>
      </c>
      <c r="G55">
        <v>598</v>
      </c>
      <c r="H55">
        <v>1442</v>
      </c>
      <c r="I55">
        <v>389</v>
      </c>
      <c r="J55">
        <v>524</v>
      </c>
      <c r="K55">
        <v>199</v>
      </c>
      <c r="L55">
        <v>892</v>
      </c>
      <c r="M55">
        <v>288</v>
      </c>
      <c r="N55">
        <v>138</v>
      </c>
      <c r="O55">
        <v>101</v>
      </c>
      <c r="P55">
        <v>418</v>
      </c>
      <c r="Q55">
        <v>490</v>
      </c>
      <c r="R55">
        <v>54</v>
      </c>
    </row>
    <row r="56" spans="1:18">
      <c r="A56" s="1" t="s">
        <v>57</v>
      </c>
      <c r="B56">
        <v>32</v>
      </c>
      <c r="C56">
        <v>12</v>
      </c>
      <c r="D56">
        <v>20</v>
      </c>
      <c r="E56">
        <v>-0.76</v>
      </c>
      <c r="F56">
        <v>2268</v>
      </c>
      <c r="G56">
        <v>833</v>
      </c>
      <c r="H56">
        <v>1881</v>
      </c>
      <c r="I56">
        <v>312</v>
      </c>
      <c r="J56">
        <v>457</v>
      </c>
      <c r="K56">
        <v>278</v>
      </c>
      <c r="L56">
        <v>1095</v>
      </c>
      <c r="M56">
        <v>418</v>
      </c>
      <c r="N56">
        <v>139</v>
      </c>
      <c r="O56">
        <v>79</v>
      </c>
      <c r="P56">
        <v>409</v>
      </c>
      <c r="Q56">
        <v>553</v>
      </c>
      <c r="R56">
        <v>55</v>
      </c>
    </row>
    <row r="57" spans="1:18">
      <c r="A57" s="1" t="s">
        <v>58</v>
      </c>
      <c r="B57">
        <v>32</v>
      </c>
      <c r="C57">
        <v>3</v>
      </c>
      <c r="D57">
        <v>29</v>
      </c>
      <c r="E57">
        <v>0.67</v>
      </c>
      <c r="F57">
        <v>1970</v>
      </c>
      <c r="G57">
        <v>718</v>
      </c>
      <c r="H57">
        <v>1752</v>
      </c>
      <c r="I57">
        <v>393</v>
      </c>
      <c r="J57">
        <v>581</v>
      </c>
      <c r="K57">
        <v>252</v>
      </c>
      <c r="L57">
        <v>995</v>
      </c>
      <c r="M57">
        <v>376</v>
      </c>
      <c r="N57">
        <v>193</v>
      </c>
      <c r="O57">
        <v>72</v>
      </c>
      <c r="P57">
        <v>512</v>
      </c>
      <c r="Q57">
        <v>625</v>
      </c>
      <c r="R57">
        <v>56</v>
      </c>
    </row>
    <row r="58" spans="1:18">
      <c r="A58" s="1" t="s">
        <v>335</v>
      </c>
      <c r="B58">
        <v>35</v>
      </c>
      <c r="C58">
        <v>28</v>
      </c>
      <c r="D58">
        <v>7</v>
      </c>
      <c r="E58">
        <v>5.5</v>
      </c>
      <c r="F58">
        <v>2510</v>
      </c>
      <c r="G58">
        <v>872</v>
      </c>
      <c r="H58">
        <v>2018</v>
      </c>
      <c r="I58">
        <v>534</v>
      </c>
      <c r="J58">
        <v>758</v>
      </c>
      <c r="K58">
        <v>442</v>
      </c>
      <c r="L58">
        <v>1264</v>
      </c>
      <c r="M58">
        <v>466</v>
      </c>
      <c r="N58">
        <v>214</v>
      </c>
      <c r="O58">
        <v>155</v>
      </c>
      <c r="P58">
        <v>365</v>
      </c>
      <c r="Q58">
        <v>563</v>
      </c>
      <c r="R58">
        <v>57</v>
      </c>
    </row>
    <row r="59" spans="1:18">
      <c r="A59" s="1" t="s">
        <v>59</v>
      </c>
      <c r="B59">
        <v>30</v>
      </c>
      <c r="C59">
        <v>12</v>
      </c>
      <c r="D59">
        <v>18</v>
      </c>
      <c r="E59">
        <v>0.03</v>
      </c>
      <c r="F59">
        <v>2553</v>
      </c>
      <c r="G59">
        <v>899</v>
      </c>
      <c r="H59">
        <v>2011</v>
      </c>
      <c r="I59">
        <v>385</v>
      </c>
      <c r="J59">
        <v>523</v>
      </c>
      <c r="K59">
        <v>322</v>
      </c>
      <c r="L59">
        <v>1107</v>
      </c>
      <c r="M59">
        <v>462</v>
      </c>
      <c r="N59">
        <v>201</v>
      </c>
      <c r="O59">
        <v>110</v>
      </c>
      <c r="P59">
        <v>386</v>
      </c>
      <c r="Q59">
        <v>528</v>
      </c>
      <c r="R59">
        <v>58</v>
      </c>
    </row>
    <row r="60" spans="1:18">
      <c r="A60" s="1" t="s">
        <v>60</v>
      </c>
      <c r="B60">
        <v>34</v>
      </c>
      <c r="C60">
        <v>20</v>
      </c>
      <c r="D60">
        <v>14</v>
      </c>
      <c r="E60">
        <v>8.99</v>
      </c>
      <c r="F60">
        <v>2339</v>
      </c>
      <c r="G60">
        <v>833</v>
      </c>
      <c r="H60">
        <v>1857</v>
      </c>
      <c r="I60">
        <v>456</v>
      </c>
      <c r="J60">
        <v>623</v>
      </c>
      <c r="K60">
        <v>309</v>
      </c>
      <c r="L60">
        <v>1204</v>
      </c>
      <c r="M60">
        <v>410</v>
      </c>
      <c r="N60">
        <v>223</v>
      </c>
      <c r="O60">
        <v>154</v>
      </c>
      <c r="P60">
        <v>450</v>
      </c>
      <c r="Q60">
        <v>552</v>
      </c>
      <c r="R60">
        <v>59</v>
      </c>
    </row>
    <row r="61" spans="1:18">
      <c r="A61" s="1" t="s">
        <v>61</v>
      </c>
      <c r="B61">
        <v>31</v>
      </c>
      <c r="C61">
        <v>10</v>
      </c>
      <c r="D61">
        <v>21</v>
      </c>
      <c r="E61">
        <v>-1.52</v>
      </c>
      <c r="F61">
        <v>2300</v>
      </c>
      <c r="G61">
        <v>799</v>
      </c>
      <c r="H61">
        <v>1834</v>
      </c>
      <c r="I61">
        <v>399</v>
      </c>
      <c r="J61">
        <v>585</v>
      </c>
      <c r="K61">
        <v>303</v>
      </c>
      <c r="L61">
        <v>1093</v>
      </c>
      <c r="M61">
        <v>460</v>
      </c>
      <c r="N61">
        <v>174</v>
      </c>
      <c r="O61">
        <v>97</v>
      </c>
      <c r="P61">
        <v>412</v>
      </c>
      <c r="Q61">
        <v>551</v>
      </c>
      <c r="R61">
        <v>60</v>
      </c>
    </row>
    <row r="62" spans="1:18">
      <c r="A62" s="1" t="s">
        <v>62</v>
      </c>
      <c r="B62">
        <v>34</v>
      </c>
      <c r="C62">
        <v>17</v>
      </c>
      <c r="D62">
        <v>17</v>
      </c>
      <c r="E62">
        <v>-1.94</v>
      </c>
      <c r="F62">
        <v>2641</v>
      </c>
      <c r="G62">
        <v>899</v>
      </c>
      <c r="H62">
        <v>1986</v>
      </c>
      <c r="I62">
        <v>559</v>
      </c>
      <c r="J62">
        <v>778</v>
      </c>
      <c r="K62">
        <v>376</v>
      </c>
      <c r="L62">
        <v>1256</v>
      </c>
      <c r="M62">
        <v>451</v>
      </c>
      <c r="N62">
        <v>214</v>
      </c>
      <c r="O62">
        <v>78</v>
      </c>
      <c r="P62">
        <v>472</v>
      </c>
      <c r="Q62">
        <v>691</v>
      </c>
      <c r="R62">
        <v>61</v>
      </c>
    </row>
    <row r="63" spans="1:18">
      <c r="A63" s="1" t="s">
        <v>63</v>
      </c>
      <c r="B63">
        <v>35</v>
      </c>
      <c r="C63">
        <v>24</v>
      </c>
      <c r="D63">
        <v>11</v>
      </c>
      <c r="E63">
        <v>-3.83</v>
      </c>
      <c r="F63">
        <v>2648</v>
      </c>
      <c r="G63">
        <v>955</v>
      </c>
      <c r="H63">
        <v>1995</v>
      </c>
      <c r="I63">
        <v>418</v>
      </c>
      <c r="J63">
        <v>563</v>
      </c>
      <c r="K63">
        <v>322</v>
      </c>
      <c r="L63">
        <v>1240</v>
      </c>
      <c r="M63">
        <v>541</v>
      </c>
      <c r="N63">
        <v>213</v>
      </c>
      <c r="O63">
        <v>121</v>
      </c>
      <c r="P63">
        <v>456</v>
      </c>
      <c r="Q63">
        <v>547</v>
      </c>
      <c r="R63">
        <v>62</v>
      </c>
    </row>
    <row r="64" spans="1:18">
      <c r="A64" s="1" t="s">
        <v>64</v>
      </c>
      <c r="B64">
        <v>33</v>
      </c>
      <c r="C64">
        <v>24</v>
      </c>
      <c r="D64">
        <v>9</v>
      </c>
      <c r="E64">
        <v>-2.95</v>
      </c>
      <c r="F64">
        <v>2453</v>
      </c>
      <c r="G64">
        <v>878</v>
      </c>
      <c r="H64">
        <v>1818</v>
      </c>
      <c r="I64">
        <v>470</v>
      </c>
      <c r="J64">
        <v>615</v>
      </c>
      <c r="K64">
        <v>260</v>
      </c>
      <c r="L64">
        <v>1060</v>
      </c>
      <c r="M64">
        <v>387</v>
      </c>
      <c r="N64">
        <v>216</v>
      </c>
      <c r="O64">
        <v>76</v>
      </c>
      <c r="P64">
        <v>347</v>
      </c>
      <c r="Q64">
        <v>486</v>
      </c>
      <c r="R64">
        <v>63</v>
      </c>
    </row>
    <row r="65" spans="1:18">
      <c r="A65" s="1" t="s">
        <v>65</v>
      </c>
      <c r="B65">
        <v>32</v>
      </c>
      <c r="C65">
        <v>12</v>
      </c>
      <c r="D65">
        <v>20</v>
      </c>
      <c r="E65">
        <v>1.41</v>
      </c>
      <c r="F65">
        <v>2393</v>
      </c>
      <c r="G65">
        <v>866</v>
      </c>
      <c r="H65">
        <v>1818</v>
      </c>
      <c r="I65">
        <v>402</v>
      </c>
      <c r="J65">
        <v>579</v>
      </c>
      <c r="K65">
        <v>256</v>
      </c>
      <c r="L65">
        <v>1080</v>
      </c>
      <c r="M65">
        <v>472</v>
      </c>
      <c r="N65">
        <v>199</v>
      </c>
      <c r="O65">
        <v>76</v>
      </c>
      <c r="P65">
        <v>372</v>
      </c>
      <c r="Q65">
        <v>522</v>
      </c>
      <c r="R65">
        <v>64</v>
      </c>
    </row>
    <row r="66" spans="1:18">
      <c r="A66" s="1" t="s">
        <v>66</v>
      </c>
      <c r="B66">
        <v>36</v>
      </c>
      <c r="C66">
        <v>23</v>
      </c>
      <c r="D66">
        <v>13</v>
      </c>
      <c r="E66">
        <v>3.6</v>
      </c>
      <c r="F66">
        <v>2648</v>
      </c>
      <c r="G66">
        <v>924</v>
      </c>
      <c r="H66">
        <v>2036</v>
      </c>
      <c r="I66">
        <v>570</v>
      </c>
      <c r="J66">
        <v>757</v>
      </c>
      <c r="K66">
        <v>363</v>
      </c>
      <c r="L66">
        <v>1352</v>
      </c>
      <c r="M66">
        <v>478</v>
      </c>
      <c r="N66">
        <v>181</v>
      </c>
      <c r="O66">
        <v>107</v>
      </c>
      <c r="P66">
        <v>479</v>
      </c>
      <c r="Q66">
        <v>616</v>
      </c>
      <c r="R66">
        <v>65</v>
      </c>
    </row>
    <row r="67" spans="1:18">
      <c r="A67" s="1" t="s">
        <v>67</v>
      </c>
      <c r="B67">
        <v>28</v>
      </c>
      <c r="C67">
        <v>10</v>
      </c>
      <c r="D67">
        <v>18</v>
      </c>
      <c r="E67">
        <v>-2.14</v>
      </c>
      <c r="F67">
        <v>2059</v>
      </c>
      <c r="G67">
        <v>778</v>
      </c>
      <c r="H67">
        <v>1720</v>
      </c>
      <c r="I67">
        <v>266</v>
      </c>
      <c r="J67">
        <v>377</v>
      </c>
      <c r="K67">
        <v>255</v>
      </c>
      <c r="L67">
        <v>985</v>
      </c>
      <c r="M67">
        <v>443</v>
      </c>
      <c r="N67">
        <v>218</v>
      </c>
      <c r="O67">
        <v>78</v>
      </c>
      <c r="P67">
        <v>366</v>
      </c>
      <c r="Q67">
        <v>539</v>
      </c>
      <c r="R67">
        <v>66</v>
      </c>
    </row>
    <row r="68" spans="1:18">
      <c r="A68" s="1" t="s">
        <v>275</v>
      </c>
      <c r="B68">
        <v>33</v>
      </c>
      <c r="C68">
        <v>16</v>
      </c>
      <c r="D68">
        <v>17</v>
      </c>
      <c r="E68">
        <v>4.32</v>
      </c>
      <c r="F68">
        <v>2436</v>
      </c>
      <c r="G68">
        <v>874</v>
      </c>
      <c r="H68">
        <v>1959</v>
      </c>
      <c r="I68">
        <v>436</v>
      </c>
      <c r="J68">
        <v>641</v>
      </c>
      <c r="K68">
        <v>380</v>
      </c>
      <c r="L68">
        <v>1167</v>
      </c>
      <c r="M68">
        <v>422</v>
      </c>
      <c r="N68">
        <v>200</v>
      </c>
      <c r="O68">
        <v>145</v>
      </c>
      <c r="P68">
        <v>427</v>
      </c>
      <c r="Q68">
        <v>643</v>
      </c>
      <c r="R68">
        <v>67</v>
      </c>
    </row>
    <row r="69" spans="1:18">
      <c r="A69" s="1" t="s">
        <v>68</v>
      </c>
      <c r="B69">
        <v>33</v>
      </c>
      <c r="C69">
        <v>8</v>
      </c>
      <c r="D69">
        <v>25</v>
      </c>
      <c r="E69">
        <v>-7.11</v>
      </c>
      <c r="F69">
        <v>2118</v>
      </c>
      <c r="G69">
        <v>710</v>
      </c>
      <c r="H69">
        <v>1827</v>
      </c>
      <c r="I69">
        <v>458</v>
      </c>
      <c r="J69">
        <v>689</v>
      </c>
      <c r="K69">
        <v>314</v>
      </c>
      <c r="L69">
        <v>1218</v>
      </c>
      <c r="M69">
        <v>326</v>
      </c>
      <c r="N69">
        <v>169</v>
      </c>
      <c r="O69">
        <v>115</v>
      </c>
      <c r="P69">
        <v>555</v>
      </c>
      <c r="Q69">
        <v>620</v>
      </c>
      <c r="R69">
        <v>68</v>
      </c>
    </row>
    <row r="70" spans="1:18">
      <c r="A70" s="1" t="s">
        <v>69</v>
      </c>
      <c r="B70">
        <v>31</v>
      </c>
      <c r="C70">
        <v>15</v>
      </c>
      <c r="D70">
        <v>16</v>
      </c>
      <c r="E70">
        <v>-2.02</v>
      </c>
      <c r="F70">
        <v>2149</v>
      </c>
      <c r="G70">
        <v>754</v>
      </c>
      <c r="H70">
        <v>1705</v>
      </c>
      <c r="I70">
        <v>398</v>
      </c>
      <c r="J70">
        <v>551</v>
      </c>
      <c r="K70">
        <v>191</v>
      </c>
      <c r="L70">
        <v>1015</v>
      </c>
      <c r="M70">
        <v>453</v>
      </c>
      <c r="N70">
        <v>181</v>
      </c>
      <c r="O70">
        <v>107</v>
      </c>
      <c r="P70">
        <v>414</v>
      </c>
      <c r="Q70">
        <v>492</v>
      </c>
      <c r="R70">
        <v>69</v>
      </c>
    </row>
    <row r="71" spans="1:18">
      <c r="A71" s="1" t="s">
        <v>326</v>
      </c>
      <c r="B71">
        <v>35</v>
      </c>
      <c r="C71">
        <v>20</v>
      </c>
      <c r="D71">
        <v>15</v>
      </c>
      <c r="E71">
        <v>8.59</v>
      </c>
      <c r="F71">
        <v>2727</v>
      </c>
      <c r="G71">
        <v>980</v>
      </c>
      <c r="H71">
        <v>2044</v>
      </c>
      <c r="I71">
        <v>395</v>
      </c>
      <c r="J71">
        <v>582</v>
      </c>
      <c r="K71">
        <v>288</v>
      </c>
      <c r="L71">
        <v>1196</v>
      </c>
      <c r="M71">
        <v>561</v>
      </c>
      <c r="N71">
        <v>237</v>
      </c>
      <c r="O71">
        <v>92</v>
      </c>
      <c r="P71">
        <v>464</v>
      </c>
      <c r="Q71">
        <v>580</v>
      </c>
      <c r="R71">
        <v>70</v>
      </c>
    </row>
    <row r="72" spans="1:18">
      <c r="A72" s="1" t="s">
        <v>70</v>
      </c>
      <c r="B72">
        <v>30</v>
      </c>
      <c r="C72">
        <v>11</v>
      </c>
      <c r="D72">
        <v>19</v>
      </c>
      <c r="E72">
        <v>-3</v>
      </c>
      <c r="F72">
        <v>2160</v>
      </c>
      <c r="G72">
        <v>791</v>
      </c>
      <c r="H72">
        <v>1750</v>
      </c>
      <c r="I72">
        <v>314</v>
      </c>
      <c r="J72">
        <v>436</v>
      </c>
      <c r="K72">
        <v>246</v>
      </c>
      <c r="L72">
        <v>1020</v>
      </c>
      <c r="M72">
        <v>426</v>
      </c>
      <c r="N72">
        <v>158</v>
      </c>
      <c r="O72">
        <v>100</v>
      </c>
      <c r="P72">
        <v>361</v>
      </c>
      <c r="Q72">
        <v>468</v>
      </c>
      <c r="R72">
        <v>71</v>
      </c>
    </row>
    <row r="73" spans="1:18">
      <c r="A73" s="1" t="s">
        <v>71</v>
      </c>
      <c r="B73">
        <v>34</v>
      </c>
      <c r="C73">
        <v>24</v>
      </c>
      <c r="D73">
        <v>10</v>
      </c>
      <c r="E73">
        <v>1.96</v>
      </c>
      <c r="F73">
        <v>2409</v>
      </c>
      <c r="G73">
        <v>852</v>
      </c>
      <c r="H73">
        <v>1893</v>
      </c>
      <c r="I73">
        <v>393</v>
      </c>
      <c r="J73">
        <v>525</v>
      </c>
      <c r="K73">
        <v>264</v>
      </c>
      <c r="L73">
        <v>1185</v>
      </c>
      <c r="M73">
        <v>499</v>
      </c>
      <c r="N73">
        <v>175</v>
      </c>
      <c r="O73">
        <v>82</v>
      </c>
      <c r="P73">
        <v>378</v>
      </c>
      <c r="Q73">
        <v>539</v>
      </c>
      <c r="R73">
        <v>72</v>
      </c>
    </row>
    <row r="74" spans="1:18">
      <c r="A74" s="1" t="s">
        <v>276</v>
      </c>
      <c r="B74">
        <v>33</v>
      </c>
      <c r="C74">
        <v>21</v>
      </c>
      <c r="D74">
        <v>12</v>
      </c>
      <c r="E74">
        <v>2.91</v>
      </c>
      <c r="F74">
        <v>2406</v>
      </c>
      <c r="G74">
        <v>902</v>
      </c>
      <c r="H74">
        <v>1789</v>
      </c>
      <c r="I74">
        <v>397</v>
      </c>
      <c r="J74">
        <v>575</v>
      </c>
      <c r="K74">
        <v>261</v>
      </c>
      <c r="L74">
        <v>1145</v>
      </c>
      <c r="M74">
        <v>541</v>
      </c>
      <c r="N74">
        <v>164</v>
      </c>
      <c r="O74">
        <v>81</v>
      </c>
      <c r="P74">
        <v>414</v>
      </c>
      <c r="Q74">
        <v>463</v>
      </c>
      <c r="R74">
        <v>73</v>
      </c>
    </row>
    <row r="75" spans="1:18">
      <c r="A75" s="1" t="s">
        <v>72</v>
      </c>
      <c r="B75">
        <v>31</v>
      </c>
      <c r="C75">
        <v>6</v>
      </c>
      <c r="D75">
        <v>25</v>
      </c>
      <c r="E75">
        <v>-10.130000000000001</v>
      </c>
      <c r="F75">
        <v>1956</v>
      </c>
      <c r="G75">
        <v>695</v>
      </c>
      <c r="H75">
        <v>1963</v>
      </c>
      <c r="I75">
        <v>332</v>
      </c>
      <c r="J75">
        <v>489</v>
      </c>
      <c r="K75">
        <v>378</v>
      </c>
      <c r="L75">
        <v>1144</v>
      </c>
      <c r="M75">
        <v>333</v>
      </c>
      <c r="N75">
        <v>214</v>
      </c>
      <c r="O75">
        <v>66</v>
      </c>
      <c r="P75">
        <v>435</v>
      </c>
      <c r="Q75">
        <v>589</v>
      </c>
      <c r="R75">
        <v>74</v>
      </c>
    </row>
    <row r="76" spans="1:18">
      <c r="A76" s="1" t="s">
        <v>73</v>
      </c>
      <c r="B76">
        <v>33</v>
      </c>
      <c r="C76">
        <v>17</v>
      </c>
      <c r="D76">
        <v>16</v>
      </c>
      <c r="E76">
        <v>-4.82</v>
      </c>
      <c r="F76">
        <v>2352</v>
      </c>
      <c r="G76">
        <v>830</v>
      </c>
      <c r="H76">
        <v>1808</v>
      </c>
      <c r="I76">
        <v>410</v>
      </c>
      <c r="J76">
        <v>564</v>
      </c>
      <c r="K76">
        <v>254</v>
      </c>
      <c r="L76">
        <v>1083</v>
      </c>
      <c r="M76">
        <v>425</v>
      </c>
      <c r="N76">
        <v>149</v>
      </c>
      <c r="O76">
        <v>78</v>
      </c>
      <c r="P76">
        <v>378</v>
      </c>
      <c r="Q76">
        <v>523</v>
      </c>
      <c r="R76">
        <v>75</v>
      </c>
    </row>
    <row r="77" spans="1:18">
      <c r="A77" s="1" t="s">
        <v>74</v>
      </c>
      <c r="B77">
        <v>30</v>
      </c>
      <c r="C77">
        <v>8</v>
      </c>
      <c r="D77">
        <v>22</v>
      </c>
      <c r="E77">
        <v>-2.97</v>
      </c>
      <c r="F77">
        <v>2086</v>
      </c>
      <c r="G77">
        <v>755</v>
      </c>
      <c r="H77">
        <v>1723</v>
      </c>
      <c r="I77">
        <v>349</v>
      </c>
      <c r="J77">
        <v>460</v>
      </c>
      <c r="K77">
        <v>275</v>
      </c>
      <c r="L77">
        <v>1041</v>
      </c>
      <c r="M77">
        <v>354</v>
      </c>
      <c r="N77">
        <v>142</v>
      </c>
      <c r="O77">
        <v>78</v>
      </c>
      <c r="P77">
        <v>408</v>
      </c>
      <c r="Q77">
        <v>506</v>
      </c>
      <c r="R77">
        <v>76</v>
      </c>
    </row>
    <row r="78" spans="1:18">
      <c r="A78" s="1" t="s">
        <v>277</v>
      </c>
      <c r="B78">
        <v>36</v>
      </c>
      <c r="C78">
        <v>19</v>
      </c>
      <c r="D78">
        <v>17</v>
      </c>
      <c r="E78">
        <v>4.05</v>
      </c>
      <c r="F78">
        <v>2821</v>
      </c>
      <c r="G78">
        <v>1009</v>
      </c>
      <c r="H78">
        <v>2143</v>
      </c>
      <c r="I78">
        <v>562</v>
      </c>
      <c r="J78">
        <v>773</v>
      </c>
      <c r="K78">
        <v>396</v>
      </c>
      <c r="L78">
        <v>1347</v>
      </c>
      <c r="M78">
        <v>513</v>
      </c>
      <c r="N78">
        <v>227</v>
      </c>
      <c r="O78">
        <v>117</v>
      </c>
      <c r="P78">
        <v>488</v>
      </c>
      <c r="Q78">
        <v>630</v>
      </c>
      <c r="R78">
        <v>77</v>
      </c>
    </row>
    <row r="79" spans="1:18">
      <c r="A79" s="1" t="s">
        <v>75</v>
      </c>
      <c r="B79">
        <v>31</v>
      </c>
      <c r="C79">
        <v>11</v>
      </c>
      <c r="D79">
        <v>20</v>
      </c>
      <c r="E79">
        <v>-0.36</v>
      </c>
      <c r="F79">
        <v>2279</v>
      </c>
      <c r="G79">
        <v>784</v>
      </c>
      <c r="H79">
        <v>1874</v>
      </c>
      <c r="I79">
        <v>417</v>
      </c>
      <c r="J79">
        <v>581</v>
      </c>
      <c r="K79">
        <v>336</v>
      </c>
      <c r="L79">
        <v>1019</v>
      </c>
      <c r="M79">
        <v>319</v>
      </c>
      <c r="N79">
        <v>238</v>
      </c>
      <c r="O79">
        <v>77</v>
      </c>
      <c r="P79">
        <v>355</v>
      </c>
      <c r="Q79">
        <v>528</v>
      </c>
      <c r="R79">
        <v>78</v>
      </c>
    </row>
    <row r="80" spans="1:18">
      <c r="A80" s="1" t="s">
        <v>76</v>
      </c>
      <c r="B80">
        <v>34</v>
      </c>
      <c r="C80">
        <v>24</v>
      </c>
      <c r="D80">
        <v>10</v>
      </c>
      <c r="E80">
        <v>-0.66</v>
      </c>
      <c r="F80">
        <v>2563</v>
      </c>
      <c r="G80">
        <v>908</v>
      </c>
      <c r="H80">
        <v>1943</v>
      </c>
      <c r="I80">
        <v>468</v>
      </c>
      <c r="J80">
        <v>618</v>
      </c>
      <c r="K80">
        <v>279</v>
      </c>
      <c r="L80">
        <v>1214</v>
      </c>
      <c r="M80">
        <v>518</v>
      </c>
      <c r="N80">
        <v>180</v>
      </c>
      <c r="O80">
        <v>130</v>
      </c>
      <c r="P80">
        <v>449</v>
      </c>
      <c r="Q80">
        <v>568</v>
      </c>
      <c r="R80">
        <v>79</v>
      </c>
    </row>
    <row r="81" spans="1:18">
      <c r="A81" s="1" t="s">
        <v>77</v>
      </c>
      <c r="B81">
        <v>32</v>
      </c>
      <c r="C81">
        <v>13</v>
      </c>
      <c r="D81">
        <v>19</v>
      </c>
      <c r="E81">
        <v>-2.93</v>
      </c>
      <c r="F81">
        <v>2425</v>
      </c>
      <c r="G81">
        <v>874</v>
      </c>
      <c r="H81">
        <v>1900</v>
      </c>
      <c r="I81">
        <v>440</v>
      </c>
      <c r="J81">
        <v>584</v>
      </c>
      <c r="K81">
        <v>312</v>
      </c>
      <c r="L81">
        <v>1126</v>
      </c>
      <c r="M81">
        <v>464</v>
      </c>
      <c r="N81">
        <v>144</v>
      </c>
      <c r="O81">
        <v>62</v>
      </c>
      <c r="P81">
        <v>377</v>
      </c>
      <c r="Q81">
        <v>542</v>
      </c>
      <c r="R81">
        <v>80</v>
      </c>
    </row>
    <row r="82" spans="1:18">
      <c r="A82" s="1" t="s">
        <v>373</v>
      </c>
      <c r="B82">
        <v>38</v>
      </c>
      <c r="C82">
        <v>32</v>
      </c>
      <c r="D82">
        <v>6</v>
      </c>
      <c r="E82">
        <v>11.98</v>
      </c>
      <c r="F82">
        <v>3143</v>
      </c>
      <c r="G82">
        <v>1157</v>
      </c>
      <c r="H82">
        <v>2418</v>
      </c>
      <c r="I82">
        <v>551</v>
      </c>
      <c r="J82">
        <v>803</v>
      </c>
      <c r="K82">
        <v>495</v>
      </c>
      <c r="L82">
        <v>1567</v>
      </c>
      <c r="M82">
        <v>606</v>
      </c>
      <c r="N82">
        <v>346</v>
      </c>
      <c r="O82">
        <v>257</v>
      </c>
      <c r="P82">
        <v>488</v>
      </c>
      <c r="Q82">
        <v>595</v>
      </c>
      <c r="R82">
        <v>81</v>
      </c>
    </row>
    <row r="83" spans="1:18">
      <c r="A83" s="1" t="s">
        <v>78</v>
      </c>
      <c r="B83">
        <v>32</v>
      </c>
      <c r="C83">
        <v>19</v>
      </c>
      <c r="D83">
        <v>13</v>
      </c>
      <c r="E83">
        <v>-0.63</v>
      </c>
      <c r="F83">
        <v>2351</v>
      </c>
      <c r="G83">
        <v>810</v>
      </c>
      <c r="H83">
        <v>1894</v>
      </c>
      <c r="I83">
        <v>460</v>
      </c>
      <c r="J83">
        <v>663</v>
      </c>
      <c r="K83">
        <v>379</v>
      </c>
      <c r="L83">
        <v>1133</v>
      </c>
      <c r="M83">
        <v>442</v>
      </c>
      <c r="N83">
        <v>250</v>
      </c>
      <c r="O83">
        <v>151</v>
      </c>
      <c r="P83">
        <v>451</v>
      </c>
      <c r="Q83">
        <v>580</v>
      </c>
      <c r="R83">
        <v>82</v>
      </c>
    </row>
    <row r="84" spans="1:18">
      <c r="A84" s="1" t="s">
        <v>79</v>
      </c>
      <c r="B84">
        <v>31</v>
      </c>
      <c r="C84">
        <v>10</v>
      </c>
      <c r="D84">
        <v>21</v>
      </c>
      <c r="E84">
        <v>1.31</v>
      </c>
      <c r="F84">
        <v>2088</v>
      </c>
      <c r="G84">
        <v>749</v>
      </c>
      <c r="H84">
        <v>1791</v>
      </c>
      <c r="I84">
        <v>435</v>
      </c>
      <c r="J84">
        <v>638</v>
      </c>
      <c r="K84">
        <v>317</v>
      </c>
      <c r="L84">
        <v>1061</v>
      </c>
      <c r="M84">
        <v>382</v>
      </c>
      <c r="N84">
        <v>224</v>
      </c>
      <c r="O84">
        <v>110</v>
      </c>
      <c r="P84">
        <v>416</v>
      </c>
      <c r="Q84">
        <v>622</v>
      </c>
      <c r="R84">
        <v>83</v>
      </c>
    </row>
    <row r="85" spans="1:18">
      <c r="A85" s="1" t="s">
        <v>80</v>
      </c>
      <c r="B85">
        <v>34</v>
      </c>
      <c r="C85">
        <v>24</v>
      </c>
      <c r="D85">
        <v>10</v>
      </c>
      <c r="E85">
        <v>-1.79</v>
      </c>
      <c r="F85">
        <v>2707</v>
      </c>
      <c r="G85">
        <v>1004</v>
      </c>
      <c r="H85">
        <v>2067</v>
      </c>
      <c r="I85">
        <v>425</v>
      </c>
      <c r="J85">
        <v>634</v>
      </c>
      <c r="K85">
        <v>442</v>
      </c>
      <c r="L85">
        <v>1351</v>
      </c>
      <c r="M85">
        <v>534</v>
      </c>
      <c r="N85">
        <v>252</v>
      </c>
      <c r="O85">
        <v>135</v>
      </c>
      <c r="P85">
        <v>483</v>
      </c>
      <c r="Q85">
        <v>603</v>
      </c>
      <c r="R85">
        <v>84</v>
      </c>
    </row>
    <row r="86" spans="1:18">
      <c r="A86" s="1" t="s">
        <v>81</v>
      </c>
      <c r="B86">
        <v>32</v>
      </c>
      <c r="C86">
        <v>14</v>
      </c>
      <c r="D86">
        <v>18</v>
      </c>
      <c r="E86">
        <v>-5.01</v>
      </c>
      <c r="F86">
        <v>2299</v>
      </c>
      <c r="G86">
        <v>826</v>
      </c>
      <c r="H86">
        <v>1912</v>
      </c>
      <c r="I86">
        <v>375</v>
      </c>
      <c r="J86">
        <v>545</v>
      </c>
      <c r="K86">
        <v>347</v>
      </c>
      <c r="L86">
        <v>1147</v>
      </c>
      <c r="M86">
        <v>434</v>
      </c>
      <c r="N86">
        <v>200</v>
      </c>
      <c r="O86">
        <v>120</v>
      </c>
      <c r="P86">
        <v>427</v>
      </c>
      <c r="Q86">
        <v>569</v>
      </c>
      <c r="R86">
        <v>85</v>
      </c>
    </row>
    <row r="87" spans="1:18">
      <c r="A87" s="1" t="s">
        <v>82</v>
      </c>
      <c r="B87">
        <v>31</v>
      </c>
      <c r="C87">
        <v>13</v>
      </c>
      <c r="D87">
        <v>18</v>
      </c>
      <c r="E87">
        <v>-2.4700000000000002</v>
      </c>
      <c r="F87">
        <v>2562</v>
      </c>
      <c r="G87">
        <v>902</v>
      </c>
      <c r="H87">
        <v>2125</v>
      </c>
      <c r="I87">
        <v>486</v>
      </c>
      <c r="J87">
        <v>683</v>
      </c>
      <c r="K87">
        <v>362</v>
      </c>
      <c r="L87">
        <v>1167</v>
      </c>
      <c r="M87">
        <v>458</v>
      </c>
      <c r="N87">
        <v>317</v>
      </c>
      <c r="O87">
        <v>101</v>
      </c>
      <c r="P87">
        <v>447</v>
      </c>
      <c r="Q87">
        <v>661</v>
      </c>
      <c r="R87">
        <v>86</v>
      </c>
    </row>
    <row r="88" spans="1:18">
      <c r="A88" s="1" t="s">
        <v>83</v>
      </c>
      <c r="B88">
        <v>32</v>
      </c>
      <c r="C88">
        <v>15</v>
      </c>
      <c r="D88">
        <v>17</v>
      </c>
      <c r="E88">
        <v>4.43</v>
      </c>
      <c r="F88">
        <v>2203</v>
      </c>
      <c r="G88">
        <v>818</v>
      </c>
      <c r="H88">
        <v>1823</v>
      </c>
      <c r="I88">
        <v>380</v>
      </c>
      <c r="J88">
        <v>604</v>
      </c>
      <c r="K88">
        <v>400</v>
      </c>
      <c r="L88">
        <v>1155</v>
      </c>
      <c r="M88">
        <v>369</v>
      </c>
      <c r="N88">
        <v>237</v>
      </c>
      <c r="O88">
        <v>143</v>
      </c>
      <c r="P88">
        <v>442</v>
      </c>
      <c r="Q88">
        <v>529</v>
      </c>
      <c r="R88">
        <v>87</v>
      </c>
    </row>
    <row r="89" spans="1:18">
      <c r="A89" s="1" t="s">
        <v>84</v>
      </c>
      <c r="B89">
        <v>34</v>
      </c>
      <c r="C89">
        <v>16</v>
      </c>
      <c r="D89">
        <v>18</v>
      </c>
      <c r="E89">
        <v>-4.17</v>
      </c>
      <c r="F89">
        <v>2460</v>
      </c>
      <c r="G89">
        <v>876</v>
      </c>
      <c r="H89">
        <v>2040</v>
      </c>
      <c r="I89">
        <v>398</v>
      </c>
      <c r="J89">
        <v>546</v>
      </c>
      <c r="K89">
        <v>299</v>
      </c>
      <c r="L89">
        <v>1192</v>
      </c>
      <c r="M89">
        <v>467</v>
      </c>
      <c r="N89">
        <v>200</v>
      </c>
      <c r="O89">
        <v>101</v>
      </c>
      <c r="P89">
        <v>401</v>
      </c>
      <c r="Q89">
        <v>632</v>
      </c>
      <c r="R89">
        <v>88</v>
      </c>
    </row>
    <row r="90" spans="1:18">
      <c r="A90" s="1" t="s">
        <v>85</v>
      </c>
      <c r="B90">
        <v>32</v>
      </c>
      <c r="C90">
        <v>11</v>
      </c>
      <c r="D90">
        <v>21</v>
      </c>
      <c r="E90">
        <v>-3.56</v>
      </c>
      <c r="F90">
        <v>2266</v>
      </c>
      <c r="G90">
        <v>812</v>
      </c>
      <c r="H90">
        <v>1862</v>
      </c>
      <c r="I90">
        <v>307</v>
      </c>
      <c r="J90">
        <v>443</v>
      </c>
      <c r="K90">
        <v>265</v>
      </c>
      <c r="L90">
        <v>1082</v>
      </c>
      <c r="M90">
        <v>468</v>
      </c>
      <c r="N90">
        <v>135</v>
      </c>
      <c r="O90">
        <v>62</v>
      </c>
      <c r="P90">
        <v>413</v>
      </c>
      <c r="Q90">
        <v>539</v>
      </c>
      <c r="R90">
        <v>89</v>
      </c>
    </row>
    <row r="91" spans="1:18">
      <c r="A91" s="1" t="s">
        <v>86</v>
      </c>
      <c r="B91">
        <v>32</v>
      </c>
      <c r="C91">
        <v>11</v>
      </c>
      <c r="D91">
        <v>21</v>
      </c>
      <c r="E91">
        <v>0.13</v>
      </c>
      <c r="F91">
        <v>2234</v>
      </c>
      <c r="G91">
        <v>747</v>
      </c>
      <c r="H91">
        <v>1776</v>
      </c>
      <c r="I91">
        <v>476</v>
      </c>
      <c r="J91">
        <v>660</v>
      </c>
      <c r="K91">
        <v>215</v>
      </c>
      <c r="L91">
        <v>1095</v>
      </c>
      <c r="M91">
        <v>394</v>
      </c>
      <c r="N91">
        <v>185</v>
      </c>
      <c r="O91">
        <v>89</v>
      </c>
      <c r="P91">
        <v>416</v>
      </c>
      <c r="Q91">
        <v>602</v>
      </c>
      <c r="R91">
        <v>90</v>
      </c>
    </row>
    <row r="92" spans="1:18">
      <c r="A92" s="1" t="s">
        <v>87</v>
      </c>
      <c r="B92">
        <v>31</v>
      </c>
      <c r="C92">
        <v>9</v>
      </c>
      <c r="D92">
        <v>22</v>
      </c>
      <c r="E92">
        <v>-7.14</v>
      </c>
      <c r="F92">
        <v>2072</v>
      </c>
      <c r="G92">
        <v>761</v>
      </c>
      <c r="H92">
        <v>1755</v>
      </c>
      <c r="I92">
        <v>291</v>
      </c>
      <c r="J92">
        <v>420</v>
      </c>
      <c r="K92">
        <v>273</v>
      </c>
      <c r="L92">
        <v>968</v>
      </c>
      <c r="M92">
        <v>401</v>
      </c>
      <c r="N92">
        <v>202</v>
      </c>
      <c r="O92">
        <v>63</v>
      </c>
      <c r="P92">
        <v>436</v>
      </c>
      <c r="Q92">
        <v>612</v>
      </c>
      <c r="R92">
        <v>91</v>
      </c>
    </row>
    <row r="93" spans="1:18">
      <c r="A93" s="1" t="s">
        <v>88</v>
      </c>
      <c r="B93">
        <v>35</v>
      </c>
      <c r="C93">
        <v>21</v>
      </c>
      <c r="D93">
        <v>14</v>
      </c>
      <c r="E93">
        <v>-7.24</v>
      </c>
      <c r="F93">
        <v>2620</v>
      </c>
      <c r="G93">
        <v>921</v>
      </c>
      <c r="H93">
        <v>1939</v>
      </c>
      <c r="I93">
        <v>509</v>
      </c>
      <c r="J93">
        <v>702</v>
      </c>
      <c r="K93">
        <v>323</v>
      </c>
      <c r="L93">
        <v>1155</v>
      </c>
      <c r="M93">
        <v>486</v>
      </c>
      <c r="N93">
        <v>261</v>
      </c>
      <c r="O93">
        <v>132</v>
      </c>
      <c r="P93">
        <v>477</v>
      </c>
      <c r="Q93">
        <v>578</v>
      </c>
      <c r="R93">
        <v>92</v>
      </c>
    </row>
    <row r="94" spans="1:18">
      <c r="A94" s="1" t="s">
        <v>89</v>
      </c>
      <c r="B94">
        <v>31</v>
      </c>
      <c r="C94">
        <v>12</v>
      </c>
      <c r="D94">
        <v>19</v>
      </c>
      <c r="E94">
        <v>-8.09</v>
      </c>
      <c r="F94">
        <v>1927</v>
      </c>
      <c r="G94">
        <v>719</v>
      </c>
      <c r="H94">
        <v>1640</v>
      </c>
      <c r="I94">
        <v>309</v>
      </c>
      <c r="J94">
        <v>503</v>
      </c>
      <c r="K94">
        <v>288</v>
      </c>
      <c r="L94">
        <v>991</v>
      </c>
      <c r="M94">
        <v>355</v>
      </c>
      <c r="N94">
        <v>226</v>
      </c>
      <c r="O94">
        <v>111</v>
      </c>
      <c r="P94">
        <v>499</v>
      </c>
      <c r="Q94">
        <v>580</v>
      </c>
      <c r="R94">
        <v>93</v>
      </c>
    </row>
    <row r="95" spans="1:18">
      <c r="A95" s="1" t="s">
        <v>90</v>
      </c>
      <c r="B95">
        <v>33</v>
      </c>
      <c r="C95">
        <v>17</v>
      </c>
      <c r="D95">
        <v>16</v>
      </c>
      <c r="E95">
        <v>-1.76</v>
      </c>
      <c r="F95">
        <v>2322</v>
      </c>
      <c r="G95">
        <v>809</v>
      </c>
      <c r="H95">
        <v>1971</v>
      </c>
      <c r="I95">
        <v>414</v>
      </c>
      <c r="J95">
        <v>551</v>
      </c>
      <c r="K95">
        <v>366</v>
      </c>
      <c r="L95">
        <v>1296</v>
      </c>
      <c r="M95">
        <v>419</v>
      </c>
      <c r="N95">
        <v>184</v>
      </c>
      <c r="O95">
        <v>93</v>
      </c>
      <c r="P95">
        <v>485</v>
      </c>
      <c r="Q95">
        <v>575</v>
      </c>
      <c r="R95">
        <v>94</v>
      </c>
    </row>
    <row r="96" spans="1:18">
      <c r="A96" s="1" t="s">
        <v>346</v>
      </c>
      <c r="B96">
        <v>32</v>
      </c>
      <c r="C96">
        <v>14</v>
      </c>
      <c r="D96">
        <v>18</v>
      </c>
      <c r="E96">
        <v>-1.48</v>
      </c>
      <c r="F96">
        <v>2280</v>
      </c>
      <c r="G96">
        <v>809</v>
      </c>
      <c r="H96">
        <v>1787</v>
      </c>
      <c r="I96">
        <v>393</v>
      </c>
      <c r="J96">
        <v>588</v>
      </c>
      <c r="K96">
        <v>272</v>
      </c>
      <c r="L96">
        <v>1064</v>
      </c>
      <c r="M96">
        <v>449</v>
      </c>
      <c r="N96">
        <v>219</v>
      </c>
      <c r="O96">
        <v>133</v>
      </c>
      <c r="P96">
        <v>479</v>
      </c>
      <c r="Q96">
        <v>514</v>
      </c>
      <c r="R96">
        <v>95</v>
      </c>
    </row>
    <row r="97" spans="1:18">
      <c r="A97" s="1" t="s">
        <v>91</v>
      </c>
      <c r="B97">
        <v>34</v>
      </c>
      <c r="C97">
        <v>20</v>
      </c>
      <c r="D97">
        <v>14</v>
      </c>
      <c r="E97">
        <v>-1.45</v>
      </c>
      <c r="F97">
        <v>2798</v>
      </c>
      <c r="G97">
        <v>986</v>
      </c>
      <c r="H97">
        <v>2239</v>
      </c>
      <c r="I97">
        <v>547</v>
      </c>
      <c r="J97">
        <v>855</v>
      </c>
      <c r="K97">
        <v>367</v>
      </c>
      <c r="L97">
        <v>1217</v>
      </c>
      <c r="M97">
        <v>491</v>
      </c>
      <c r="N97">
        <v>359</v>
      </c>
      <c r="O97">
        <v>153</v>
      </c>
      <c r="P97">
        <v>477</v>
      </c>
      <c r="Q97">
        <v>655</v>
      </c>
      <c r="R97">
        <v>96</v>
      </c>
    </row>
    <row r="98" spans="1:18">
      <c r="A98" s="1" t="s">
        <v>92</v>
      </c>
      <c r="B98">
        <v>37</v>
      </c>
      <c r="C98">
        <v>29</v>
      </c>
      <c r="D98">
        <v>8</v>
      </c>
      <c r="E98">
        <v>10.26</v>
      </c>
      <c r="F98">
        <v>2771</v>
      </c>
      <c r="G98">
        <v>960</v>
      </c>
      <c r="H98">
        <v>2171</v>
      </c>
      <c r="I98">
        <v>579</v>
      </c>
      <c r="J98">
        <v>778</v>
      </c>
      <c r="K98">
        <v>418</v>
      </c>
      <c r="L98">
        <v>1391</v>
      </c>
      <c r="M98">
        <v>475</v>
      </c>
      <c r="N98">
        <v>266</v>
      </c>
      <c r="O98">
        <v>161</v>
      </c>
      <c r="P98">
        <v>492</v>
      </c>
      <c r="Q98">
        <v>705</v>
      </c>
      <c r="R98">
        <v>97</v>
      </c>
    </row>
    <row r="99" spans="1:18">
      <c r="A99" s="1" t="s">
        <v>347</v>
      </c>
      <c r="B99">
        <v>36</v>
      </c>
      <c r="C99">
        <v>20</v>
      </c>
      <c r="D99">
        <v>16</v>
      </c>
      <c r="E99">
        <v>11.22</v>
      </c>
      <c r="F99">
        <v>2440</v>
      </c>
      <c r="G99">
        <v>857</v>
      </c>
      <c r="H99">
        <v>2015</v>
      </c>
      <c r="I99">
        <v>435</v>
      </c>
      <c r="J99">
        <v>603</v>
      </c>
      <c r="K99">
        <v>375</v>
      </c>
      <c r="L99">
        <v>1201</v>
      </c>
      <c r="M99">
        <v>437</v>
      </c>
      <c r="N99">
        <v>257</v>
      </c>
      <c r="O99">
        <v>131</v>
      </c>
      <c r="P99">
        <v>420</v>
      </c>
      <c r="Q99">
        <v>614</v>
      </c>
      <c r="R99">
        <v>98</v>
      </c>
    </row>
    <row r="100" spans="1:18">
      <c r="A100" s="1" t="s">
        <v>93</v>
      </c>
      <c r="B100">
        <v>32</v>
      </c>
      <c r="C100">
        <v>12</v>
      </c>
      <c r="D100">
        <v>20</v>
      </c>
      <c r="E100">
        <v>-2.4</v>
      </c>
      <c r="F100">
        <v>2108</v>
      </c>
      <c r="G100">
        <v>759</v>
      </c>
      <c r="H100">
        <v>1890</v>
      </c>
      <c r="I100">
        <v>314</v>
      </c>
      <c r="J100">
        <v>462</v>
      </c>
      <c r="K100">
        <v>305</v>
      </c>
      <c r="L100">
        <v>1082</v>
      </c>
      <c r="M100">
        <v>360</v>
      </c>
      <c r="N100">
        <v>188</v>
      </c>
      <c r="O100">
        <v>108</v>
      </c>
      <c r="P100">
        <v>345</v>
      </c>
      <c r="Q100">
        <v>559</v>
      </c>
      <c r="R100">
        <v>99</v>
      </c>
    </row>
    <row r="101" spans="1:18">
      <c r="A101" s="1" t="s">
        <v>306</v>
      </c>
      <c r="B101">
        <v>32</v>
      </c>
      <c r="C101">
        <v>23</v>
      </c>
      <c r="D101">
        <v>9</v>
      </c>
      <c r="E101">
        <v>0.67</v>
      </c>
      <c r="F101">
        <v>2448</v>
      </c>
      <c r="G101">
        <v>847</v>
      </c>
      <c r="H101">
        <v>1866</v>
      </c>
      <c r="I101">
        <v>412</v>
      </c>
      <c r="J101">
        <v>572</v>
      </c>
      <c r="K101">
        <v>300</v>
      </c>
      <c r="L101">
        <v>1137</v>
      </c>
      <c r="M101">
        <v>457</v>
      </c>
      <c r="N101">
        <v>228</v>
      </c>
      <c r="O101">
        <v>111</v>
      </c>
      <c r="P101">
        <v>400</v>
      </c>
      <c r="Q101">
        <v>592</v>
      </c>
      <c r="R101">
        <v>100</v>
      </c>
    </row>
    <row r="102" spans="1:18">
      <c r="A102" s="1" t="s">
        <v>94</v>
      </c>
      <c r="B102">
        <v>33</v>
      </c>
      <c r="C102">
        <v>25</v>
      </c>
      <c r="D102">
        <v>8</v>
      </c>
      <c r="E102">
        <v>-1.5</v>
      </c>
      <c r="F102">
        <v>2562</v>
      </c>
      <c r="G102">
        <v>930</v>
      </c>
      <c r="H102">
        <v>1962</v>
      </c>
      <c r="I102">
        <v>364</v>
      </c>
      <c r="J102">
        <v>508</v>
      </c>
      <c r="K102">
        <v>326</v>
      </c>
      <c r="L102">
        <v>1171</v>
      </c>
      <c r="M102">
        <v>524</v>
      </c>
      <c r="N102">
        <v>288</v>
      </c>
      <c r="O102">
        <v>137</v>
      </c>
      <c r="P102">
        <v>407</v>
      </c>
      <c r="Q102">
        <v>481</v>
      </c>
      <c r="R102">
        <v>101</v>
      </c>
    </row>
    <row r="103" spans="1:18">
      <c r="A103" s="1" t="s">
        <v>318</v>
      </c>
      <c r="B103">
        <v>35</v>
      </c>
      <c r="C103">
        <v>23</v>
      </c>
      <c r="D103">
        <v>12</v>
      </c>
      <c r="E103">
        <v>-4.43</v>
      </c>
      <c r="F103">
        <v>2718</v>
      </c>
      <c r="G103">
        <v>955</v>
      </c>
      <c r="H103">
        <v>1962</v>
      </c>
      <c r="I103">
        <v>527</v>
      </c>
      <c r="J103">
        <v>741</v>
      </c>
      <c r="K103">
        <v>271</v>
      </c>
      <c r="L103">
        <v>1190</v>
      </c>
      <c r="M103">
        <v>502</v>
      </c>
      <c r="N103">
        <v>238</v>
      </c>
      <c r="O103">
        <v>101</v>
      </c>
      <c r="P103">
        <v>407</v>
      </c>
      <c r="Q103">
        <v>561</v>
      </c>
      <c r="R103">
        <v>102</v>
      </c>
    </row>
    <row r="104" spans="1:18">
      <c r="A104" s="1" t="s">
        <v>95</v>
      </c>
      <c r="B104">
        <v>33</v>
      </c>
      <c r="C104">
        <v>18</v>
      </c>
      <c r="D104">
        <v>15</v>
      </c>
      <c r="E104">
        <v>0.08</v>
      </c>
      <c r="F104">
        <v>2314</v>
      </c>
      <c r="G104">
        <v>825</v>
      </c>
      <c r="H104">
        <v>1855</v>
      </c>
      <c r="I104">
        <v>454</v>
      </c>
      <c r="J104">
        <v>634</v>
      </c>
      <c r="K104">
        <v>323</v>
      </c>
      <c r="L104">
        <v>1166</v>
      </c>
      <c r="M104">
        <v>399</v>
      </c>
      <c r="N104">
        <v>204</v>
      </c>
      <c r="O104">
        <v>97</v>
      </c>
      <c r="P104">
        <v>428</v>
      </c>
      <c r="Q104">
        <v>563</v>
      </c>
      <c r="R104">
        <v>103</v>
      </c>
    </row>
    <row r="105" spans="1:18">
      <c r="A105" s="1" t="s">
        <v>96</v>
      </c>
      <c r="B105">
        <v>33</v>
      </c>
      <c r="C105">
        <v>9</v>
      </c>
      <c r="D105">
        <v>24</v>
      </c>
      <c r="E105">
        <v>1.2</v>
      </c>
      <c r="F105">
        <v>2097</v>
      </c>
      <c r="G105">
        <v>745</v>
      </c>
      <c r="H105">
        <v>1842</v>
      </c>
      <c r="I105">
        <v>411</v>
      </c>
      <c r="J105">
        <v>600</v>
      </c>
      <c r="K105">
        <v>274</v>
      </c>
      <c r="L105">
        <v>1116</v>
      </c>
      <c r="M105">
        <v>375</v>
      </c>
      <c r="N105">
        <v>170</v>
      </c>
      <c r="O105">
        <v>96</v>
      </c>
      <c r="P105">
        <v>413</v>
      </c>
      <c r="Q105">
        <v>526</v>
      </c>
      <c r="R105">
        <v>104</v>
      </c>
    </row>
    <row r="106" spans="1:18">
      <c r="A106" s="1" t="s">
        <v>97</v>
      </c>
      <c r="B106">
        <v>33</v>
      </c>
      <c r="C106">
        <v>19</v>
      </c>
      <c r="D106">
        <v>14</v>
      </c>
      <c r="E106">
        <v>5.31</v>
      </c>
      <c r="F106">
        <v>2625</v>
      </c>
      <c r="G106">
        <v>894</v>
      </c>
      <c r="H106">
        <v>2017</v>
      </c>
      <c r="I106">
        <v>568</v>
      </c>
      <c r="J106">
        <v>771</v>
      </c>
      <c r="K106">
        <v>350</v>
      </c>
      <c r="L106">
        <v>1299</v>
      </c>
      <c r="M106">
        <v>542</v>
      </c>
      <c r="N106">
        <v>198</v>
      </c>
      <c r="O106">
        <v>131</v>
      </c>
      <c r="P106">
        <v>443</v>
      </c>
      <c r="Q106">
        <v>581</v>
      </c>
      <c r="R106">
        <v>105</v>
      </c>
    </row>
    <row r="107" spans="1:18">
      <c r="A107" s="1" t="s">
        <v>98</v>
      </c>
      <c r="B107">
        <v>33</v>
      </c>
      <c r="C107">
        <v>21</v>
      </c>
      <c r="D107">
        <v>12</v>
      </c>
      <c r="E107">
        <v>0.13</v>
      </c>
      <c r="F107">
        <v>2726</v>
      </c>
      <c r="G107">
        <v>1012</v>
      </c>
      <c r="H107">
        <v>2028</v>
      </c>
      <c r="I107">
        <v>498</v>
      </c>
      <c r="J107">
        <v>720</v>
      </c>
      <c r="K107">
        <v>320</v>
      </c>
      <c r="L107">
        <v>1190</v>
      </c>
      <c r="M107">
        <v>403</v>
      </c>
      <c r="N107">
        <v>255</v>
      </c>
      <c r="O107">
        <v>132</v>
      </c>
      <c r="P107">
        <v>451</v>
      </c>
      <c r="Q107">
        <v>590</v>
      </c>
      <c r="R107">
        <v>106</v>
      </c>
    </row>
    <row r="108" spans="1:18">
      <c r="A108" s="1" t="s">
        <v>99</v>
      </c>
      <c r="B108">
        <v>34</v>
      </c>
      <c r="C108">
        <v>24</v>
      </c>
      <c r="D108">
        <v>10</v>
      </c>
      <c r="E108">
        <v>0.65</v>
      </c>
      <c r="F108">
        <v>2598</v>
      </c>
      <c r="G108">
        <v>903</v>
      </c>
      <c r="H108">
        <v>1968</v>
      </c>
      <c r="I108">
        <v>462</v>
      </c>
      <c r="J108">
        <v>694</v>
      </c>
      <c r="K108">
        <v>273</v>
      </c>
      <c r="L108">
        <v>1110</v>
      </c>
      <c r="M108">
        <v>415</v>
      </c>
      <c r="N108">
        <v>269</v>
      </c>
      <c r="O108">
        <v>158</v>
      </c>
      <c r="P108">
        <v>391</v>
      </c>
      <c r="Q108">
        <v>583</v>
      </c>
      <c r="R108">
        <v>107</v>
      </c>
    </row>
    <row r="109" spans="1:18">
      <c r="A109" s="1" t="s">
        <v>100</v>
      </c>
      <c r="B109">
        <v>32</v>
      </c>
      <c r="C109">
        <v>14</v>
      </c>
      <c r="D109">
        <v>18</v>
      </c>
      <c r="E109">
        <v>8.15</v>
      </c>
      <c r="F109">
        <v>2091</v>
      </c>
      <c r="G109">
        <v>755</v>
      </c>
      <c r="H109">
        <v>1714</v>
      </c>
      <c r="I109">
        <v>405</v>
      </c>
      <c r="J109">
        <v>588</v>
      </c>
      <c r="K109">
        <v>262</v>
      </c>
      <c r="L109">
        <v>1074</v>
      </c>
      <c r="M109">
        <v>433</v>
      </c>
      <c r="N109">
        <v>221</v>
      </c>
      <c r="O109">
        <v>166</v>
      </c>
      <c r="P109">
        <v>459</v>
      </c>
      <c r="Q109">
        <v>560</v>
      </c>
      <c r="R109">
        <v>108</v>
      </c>
    </row>
    <row r="110" spans="1:18">
      <c r="A110" s="1" t="s">
        <v>101</v>
      </c>
      <c r="B110">
        <v>32</v>
      </c>
      <c r="C110">
        <v>11</v>
      </c>
      <c r="D110">
        <v>21</v>
      </c>
      <c r="E110">
        <v>8.1199999999999992</v>
      </c>
      <c r="F110">
        <v>2274</v>
      </c>
      <c r="G110">
        <v>776</v>
      </c>
      <c r="H110">
        <v>1761</v>
      </c>
      <c r="I110">
        <v>512</v>
      </c>
      <c r="J110">
        <v>726</v>
      </c>
      <c r="K110">
        <v>357</v>
      </c>
      <c r="L110">
        <v>1215</v>
      </c>
      <c r="M110">
        <v>423</v>
      </c>
      <c r="N110">
        <v>185</v>
      </c>
      <c r="O110">
        <v>163</v>
      </c>
      <c r="P110">
        <v>506</v>
      </c>
      <c r="Q110">
        <v>565</v>
      </c>
      <c r="R110">
        <v>109</v>
      </c>
    </row>
    <row r="111" spans="1:18">
      <c r="A111" s="1" t="s">
        <v>374</v>
      </c>
      <c r="B111">
        <v>37</v>
      </c>
      <c r="C111">
        <v>33</v>
      </c>
      <c r="D111">
        <v>4</v>
      </c>
      <c r="E111">
        <v>5.01</v>
      </c>
      <c r="F111">
        <v>3243</v>
      </c>
      <c r="G111">
        <v>1177</v>
      </c>
      <c r="H111">
        <v>2239</v>
      </c>
      <c r="I111">
        <v>602</v>
      </c>
      <c r="J111">
        <v>791</v>
      </c>
      <c r="K111">
        <v>354</v>
      </c>
      <c r="L111">
        <v>1443</v>
      </c>
      <c r="M111">
        <v>668</v>
      </c>
      <c r="N111">
        <v>278</v>
      </c>
      <c r="O111">
        <v>204</v>
      </c>
      <c r="P111">
        <v>394</v>
      </c>
      <c r="Q111">
        <v>603</v>
      </c>
      <c r="R111">
        <v>110</v>
      </c>
    </row>
    <row r="112" spans="1:18">
      <c r="A112" s="1" t="s">
        <v>102</v>
      </c>
      <c r="B112">
        <v>34</v>
      </c>
      <c r="C112">
        <v>17</v>
      </c>
      <c r="D112">
        <v>17</v>
      </c>
      <c r="E112">
        <v>-9.34</v>
      </c>
      <c r="F112">
        <v>2426</v>
      </c>
      <c r="G112">
        <v>834</v>
      </c>
      <c r="H112">
        <v>1846</v>
      </c>
      <c r="I112">
        <v>535</v>
      </c>
      <c r="J112">
        <v>781</v>
      </c>
      <c r="K112">
        <v>307</v>
      </c>
      <c r="L112">
        <v>1287</v>
      </c>
      <c r="M112">
        <v>420</v>
      </c>
      <c r="N112">
        <v>193</v>
      </c>
      <c r="O112">
        <v>147</v>
      </c>
      <c r="P112">
        <v>536</v>
      </c>
      <c r="Q112">
        <v>699</v>
      </c>
      <c r="R112">
        <v>111</v>
      </c>
    </row>
    <row r="113" spans="1:18">
      <c r="A113" s="1" t="s">
        <v>364</v>
      </c>
      <c r="B113">
        <v>34</v>
      </c>
      <c r="C113">
        <v>20</v>
      </c>
      <c r="D113">
        <v>14</v>
      </c>
      <c r="E113">
        <v>-1.49</v>
      </c>
      <c r="F113">
        <v>2560</v>
      </c>
      <c r="G113">
        <v>907</v>
      </c>
      <c r="H113">
        <v>2006</v>
      </c>
      <c r="I113">
        <v>487</v>
      </c>
      <c r="J113">
        <v>666</v>
      </c>
      <c r="K113">
        <v>350</v>
      </c>
      <c r="L113">
        <v>1238</v>
      </c>
      <c r="M113">
        <v>478</v>
      </c>
      <c r="N113">
        <v>207</v>
      </c>
      <c r="O113">
        <v>75</v>
      </c>
      <c r="P113">
        <v>411</v>
      </c>
      <c r="Q113">
        <v>598</v>
      </c>
      <c r="R113">
        <v>112</v>
      </c>
    </row>
    <row r="114" spans="1:18">
      <c r="A114" s="1" t="s">
        <v>103</v>
      </c>
      <c r="B114">
        <v>38</v>
      </c>
      <c r="C114">
        <v>21</v>
      </c>
      <c r="D114">
        <v>17</v>
      </c>
      <c r="E114">
        <v>-0.36</v>
      </c>
      <c r="F114">
        <v>3090</v>
      </c>
      <c r="G114">
        <v>1106</v>
      </c>
      <c r="H114">
        <v>2413</v>
      </c>
      <c r="I114">
        <v>575</v>
      </c>
      <c r="J114">
        <v>818</v>
      </c>
      <c r="K114">
        <v>376</v>
      </c>
      <c r="L114">
        <v>1406</v>
      </c>
      <c r="M114">
        <v>578</v>
      </c>
      <c r="N114">
        <v>291</v>
      </c>
      <c r="O114">
        <v>154</v>
      </c>
      <c r="P114">
        <v>500</v>
      </c>
      <c r="Q114">
        <v>730</v>
      </c>
      <c r="R114">
        <v>113</v>
      </c>
    </row>
    <row r="115" spans="1:18">
      <c r="A115" s="1" t="s">
        <v>104</v>
      </c>
      <c r="B115">
        <v>35</v>
      </c>
      <c r="C115">
        <v>18</v>
      </c>
      <c r="D115">
        <v>17</v>
      </c>
      <c r="E115">
        <v>-5.0599999999999996</v>
      </c>
      <c r="F115">
        <v>2847</v>
      </c>
      <c r="G115">
        <v>966</v>
      </c>
      <c r="H115">
        <v>2236</v>
      </c>
      <c r="I115">
        <v>622</v>
      </c>
      <c r="J115">
        <v>790</v>
      </c>
      <c r="K115">
        <v>363</v>
      </c>
      <c r="L115">
        <v>1370</v>
      </c>
      <c r="M115">
        <v>487</v>
      </c>
      <c r="N115">
        <v>215</v>
      </c>
      <c r="O115">
        <v>121</v>
      </c>
      <c r="P115">
        <v>379</v>
      </c>
      <c r="Q115">
        <v>649</v>
      </c>
      <c r="R115">
        <v>114</v>
      </c>
    </row>
    <row r="116" spans="1:18">
      <c r="A116" s="1" t="s">
        <v>105</v>
      </c>
      <c r="B116">
        <v>33</v>
      </c>
      <c r="C116">
        <v>18</v>
      </c>
      <c r="D116">
        <v>15</v>
      </c>
      <c r="E116">
        <v>-4.8899999999999997</v>
      </c>
      <c r="F116">
        <v>2477</v>
      </c>
      <c r="G116">
        <v>848</v>
      </c>
      <c r="H116">
        <v>1862</v>
      </c>
      <c r="I116">
        <v>459</v>
      </c>
      <c r="J116">
        <v>619</v>
      </c>
      <c r="K116">
        <v>278</v>
      </c>
      <c r="L116">
        <v>1050</v>
      </c>
      <c r="M116">
        <v>462</v>
      </c>
      <c r="N116">
        <v>228</v>
      </c>
      <c r="O116">
        <v>69</v>
      </c>
      <c r="P116">
        <v>401</v>
      </c>
      <c r="Q116">
        <v>556</v>
      </c>
      <c r="R116">
        <v>115</v>
      </c>
    </row>
    <row r="117" spans="1:18">
      <c r="A117" s="1" t="s">
        <v>106</v>
      </c>
      <c r="B117">
        <v>31</v>
      </c>
      <c r="C117">
        <v>19</v>
      </c>
      <c r="D117">
        <v>12</v>
      </c>
      <c r="E117">
        <v>0.66</v>
      </c>
      <c r="F117">
        <v>2222</v>
      </c>
      <c r="G117">
        <v>787</v>
      </c>
      <c r="H117">
        <v>1711</v>
      </c>
      <c r="I117">
        <v>388</v>
      </c>
      <c r="J117">
        <v>538</v>
      </c>
      <c r="K117">
        <v>288</v>
      </c>
      <c r="L117">
        <v>1119</v>
      </c>
      <c r="M117">
        <v>369</v>
      </c>
      <c r="N117">
        <v>174</v>
      </c>
      <c r="O117">
        <v>123</v>
      </c>
      <c r="P117">
        <v>491</v>
      </c>
      <c r="Q117">
        <v>554</v>
      </c>
      <c r="R117">
        <v>116</v>
      </c>
    </row>
    <row r="118" spans="1:18">
      <c r="A118" s="1" t="s">
        <v>107</v>
      </c>
      <c r="B118">
        <v>31</v>
      </c>
      <c r="C118">
        <v>18</v>
      </c>
      <c r="D118">
        <v>13</v>
      </c>
      <c r="E118">
        <v>-3.61</v>
      </c>
      <c r="F118">
        <v>2241</v>
      </c>
      <c r="G118">
        <v>788</v>
      </c>
      <c r="H118">
        <v>1746</v>
      </c>
      <c r="I118">
        <v>399</v>
      </c>
      <c r="J118">
        <v>576</v>
      </c>
      <c r="K118">
        <v>278</v>
      </c>
      <c r="L118">
        <v>1054</v>
      </c>
      <c r="M118">
        <v>478</v>
      </c>
      <c r="N118">
        <v>156</v>
      </c>
      <c r="O118">
        <v>66</v>
      </c>
      <c r="P118">
        <v>368</v>
      </c>
      <c r="Q118">
        <v>556</v>
      </c>
      <c r="R118">
        <v>117</v>
      </c>
    </row>
    <row r="119" spans="1:18">
      <c r="A119" s="1" t="s">
        <v>108</v>
      </c>
      <c r="B119">
        <v>31</v>
      </c>
      <c r="C119">
        <v>16</v>
      </c>
      <c r="D119">
        <v>15</v>
      </c>
      <c r="E119">
        <v>-4.3899999999999997</v>
      </c>
      <c r="F119">
        <v>2115</v>
      </c>
      <c r="G119">
        <v>763</v>
      </c>
      <c r="H119">
        <v>1719</v>
      </c>
      <c r="I119">
        <v>409</v>
      </c>
      <c r="J119">
        <v>605</v>
      </c>
      <c r="K119">
        <v>363</v>
      </c>
      <c r="L119">
        <v>1183</v>
      </c>
      <c r="M119">
        <v>404</v>
      </c>
      <c r="N119">
        <v>170</v>
      </c>
      <c r="O119">
        <v>91</v>
      </c>
      <c r="P119">
        <v>406</v>
      </c>
      <c r="Q119">
        <v>502</v>
      </c>
      <c r="R119">
        <v>118</v>
      </c>
    </row>
    <row r="120" spans="1:18">
      <c r="A120" s="1" t="s">
        <v>307</v>
      </c>
      <c r="B120">
        <v>35</v>
      </c>
      <c r="C120">
        <v>27</v>
      </c>
      <c r="D120">
        <v>8</v>
      </c>
      <c r="E120">
        <v>-4.53</v>
      </c>
      <c r="F120">
        <v>2919</v>
      </c>
      <c r="G120">
        <v>998</v>
      </c>
      <c r="H120">
        <v>2055</v>
      </c>
      <c r="I120">
        <v>615</v>
      </c>
      <c r="J120">
        <v>767</v>
      </c>
      <c r="K120">
        <v>305</v>
      </c>
      <c r="L120">
        <v>1170</v>
      </c>
      <c r="M120">
        <v>492</v>
      </c>
      <c r="N120">
        <v>228</v>
      </c>
      <c r="O120">
        <v>122</v>
      </c>
      <c r="P120">
        <v>342</v>
      </c>
      <c r="Q120">
        <v>526</v>
      </c>
      <c r="R120">
        <v>119</v>
      </c>
    </row>
    <row r="121" spans="1:18">
      <c r="A121" s="1" t="s">
        <v>109</v>
      </c>
      <c r="B121">
        <v>33</v>
      </c>
      <c r="C121">
        <v>16</v>
      </c>
      <c r="D121">
        <v>17</v>
      </c>
      <c r="E121">
        <v>-4.01</v>
      </c>
      <c r="F121">
        <v>2216</v>
      </c>
      <c r="G121">
        <v>848</v>
      </c>
      <c r="H121">
        <v>1834</v>
      </c>
      <c r="I121">
        <v>283</v>
      </c>
      <c r="J121">
        <v>424</v>
      </c>
      <c r="K121">
        <v>220</v>
      </c>
      <c r="L121">
        <v>916</v>
      </c>
      <c r="M121">
        <v>513</v>
      </c>
      <c r="N121">
        <v>241</v>
      </c>
      <c r="O121">
        <v>127</v>
      </c>
      <c r="P121">
        <v>350</v>
      </c>
      <c r="Q121">
        <v>482</v>
      </c>
      <c r="R121">
        <v>120</v>
      </c>
    </row>
    <row r="122" spans="1:18">
      <c r="A122" s="1" t="s">
        <v>353</v>
      </c>
      <c r="B122">
        <v>30</v>
      </c>
      <c r="C122">
        <v>12</v>
      </c>
      <c r="D122">
        <v>18</v>
      </c>
      <c r="E122">
        <v>-5.53</v>
      </c>
      <c r="F122">
        <v>2465</v>
      </c>
      <c r="G122">
        <v>865</v>
      </c>
      <c r="H122">
        <v>1896</v>
      </c>
      <c r="I122">
        <v>535</v>
      </c>
      <c r="J122">
        <v>793</v>
      </c>
      <c r="K122">
        <v>409</v>
      </c>
      <c r="L122">
        <v>1142</v>
      </c>
      <c r="M122">
        <v>449</v>
      </c>
      <c r="N122">
        <v>234</v>
      </c>
      <c r="O122">
        <v>54</v>
      </c>
      <c r="P122">
        <v>442</v>
      </c>
      <c r="Q122">
        <v>593</v>
      </c>
      <c r="R122">
        <v>121</v>
      </c>
    </row>
    <row r="123" spans="1:18">
      <c r="A123" s="1" t="s">
        <v>110</v>
      </c>
      <c r="B123">
        <v>37</v>
      </c>
      <c r="C123">
        <v>33</v>
      </c>
      <c r="D123">
        <v>4</v>
      </c>
      <c r="E123">
        <v>4.6100000000000003</v>
      </c>
      <c r="F123">
        <v>2787</v>
      </c>
      <c r="G123">
        <v>982</v>
      </c>
      <c r="H123">
        <v>2203</v>
      </c>
      <c r="I123">
        <v>490</v>
      </c>
      <c r="J123">
        <v>697</v>
      </c>
      <c r="K123">
        <v>448</v>
      </c>
      <c r="L123">
        <v>1502</v>
      </c>
      <c r="M123">
        <v>548</v>
      </c>
      <c r="N123">
        <v>240</v>
      </c>
      <c r="O123">
        <v>161</v>
      </c>
      <c r="P123">
        <v>410</v>
      </c>
      <c r="Q123">
        <v>705</v>
      </c>
      <c r="R123">
        <v>122</v>
      </c>
    </row>
    <row r="124" spans="1:18">
      <c r="A124" s="1" t="s">
        <v>111</v>
      </c>
      <c r="B124">
        <v>34</v>
      </c>
      <c r="C124">
        <v>17</v>
      </c>
      <c r="D124">
        <v>17</v>
      </c>
      <c r="E124">
        <v>-9.52</v>
      </c>
      <c r="F124">
        <v>2684</v>
      </c>
      <c r="G124">
        <v>937</v>
      </c>
      <c r="H124">
        <v>2163</v>
      </c>
      <c r="I124">
        <v>566</v>
      </c>
      <c r="J124">
        <v>780</v>
      </c>
      <c r="K124">
        <v>396</v>
      </c>
      <c r="L124">
        <v>1253</v>
      </c>
      <c r="M124">
        <v>463</v>
      </c>
      <c r="N124">
        <v>198</v>
      </c>
      <c r="O124">
        <v>144</v>
      </c>
      <c r="P124">
        <v>427</v>
      </c>
      <c r="Q124">
        <v>652</v>
      </c>
      <c r="R124">
        <v>123</v>
      </c>
    </row>
    <row r="125" spans="1:18">
      <c r="A125" s="1" t="s">
        <v>112</v>
      </c>
      <c r="B125">
        <v>30</v>
      </c>
      <c r="C125">
        <v>11</v>
      </c>
      <c r="D125">
        <v>19</v>
      </c>
      <c r="E125">
        <v>-4.8099999999999996</v>
      </c>
      <c r="F125">
        <v>2198</v>
      </c>
      <c r="G125">
        <v>779</v>
      </c>
      <c r="H125">
        <v>1742</v>
      </c>
      <c r="I125">
        <v>366</v>
      </c>
      <c r="J125">
        <v>498</v>
      </c>
      <c r="K125">
        <v>275</v>
      </c>
      <c r="L125">
        <v>975</v>
      </c>
      <c r="M125">
        <v>383</v>
      </c>
      <c r="N125">
        <v>154</v>
      </c>
      <c r="O125">
        <v>88</v>
      </c>
      <c r="P125">
        <v>360</v>
      </c>
      <c r="Q125">
        <v>497</v>
      </c>
      <c r="R125">
        <v>124</v>
      </c>
    </row>
    <row r="126" spans="1:18">
      <c r="A126" s="1" t="s">
        <v>113</v>
      </c>
      <c r="B126">
        <v>32</v>
      </c>
      <c r="C126">
        <v>5</v>
      </c>
      <c r="D126">
        <v>27</v>
      </c>
      <c r="E126">
        <v>-6.19</v>
      </c>
      <c r="F126">
        <v>2174</v>
      </c>
      <c r="G126">
        <v>778</v>
      </c>
      <c r="H126">
        <v>1764</v>
      </c>
      <c r="I126">
        <v>367</v>
      </c>
      <c r="J126">
        <v>507</v>
      </c>
      <c r="K126">
        <v>258</v>
      </c>
      <c r="L126">
        <v>1061</v>
      </c>
      <c r="M126">
        <v>399</v>
      </c>
      <c r="N126">
        <v>130</v>
      </c>
      <c r="O126">
        <v>53</v>
      </c>
      <c r="P126">
        <v>433</v>
      </c>
      <c r="Q126">
        <v>582</v>
      </c>
      <c r="R126">
        <v>125</v>
      </c>
    </row>
    <row r="127" spans="1:18">
      <c r="A127" s="1" t="s">
        <v>114</v>
      </c>
      <c r="B127">
        <v>32</v>
      </c>
      <c r="C127">
        <v>16</v>
      </c>
      <c r="D127">
        <v>16</v>
      </c>
      <c r="E127">
        <v>-1.99</v>
      </c>
      <c r="F127">
        <v>2391</v>
      </c>
      <c r="G127">
        <v>865</v>
      </c>
      <c r="H127">
        <v>1883</v>
      </c>
      <c r="I127">
        <v>358</v>
      </c>
      <c r="J127">
        <v>525</v>
      </c>
      <c r="K127">
        <v>271</v>
      </c>
      <c r="L127">
        <v>1106</v>
      </c>
      <c r="M127">
        <v>478</v>
      </c>
      <c r="N127">
        <v>210</v>
      </c>
      <c r="O127">
        <v>124</v>
      </c>
      <c r="P127">
        <v>457</v>
      </c>
      <c r="Q127">
        <v>684</v>
      </c>
      <c r="R127">
        <v>126</v>
      </c>
    </row>
    <row r="128" spans="1:18">
      <c r="A128" s="1" t="s">
        <v>115</v>
      </c>
      <c r="B128">
        <v>33</v>
      </c>
      <c r="C128">
        <v>17</v>
      </c>
      <c r="D128">
        <v>16</v>
      </c>
      <c r="E128">
        <v>0.25</v>
      </c>
      <c r="F128">
        <v>2257</v>
      </c>
      <c r="G128">
        <v>813</v>
      </c>
      <c r="H128">
        <v>1887</v>
      </c>
      <c r="I128">
        <v>387</v>
      </c>
      <c r="J128">
        <v>540</v>
      </c>
      <c r="K128">
        <v>298</v>
      </c>
      <c r="L128">
        <v>1139</v>
      </c>
      <c r="M128">
        <v>421</v>
      </c>
      <c r="N128">
        <v>162</v>
      </c>
      <c r="O128">
        <v>106</v>
      </c>
      <c r="P128">
        <v>417</v>
      </c>
      <c r="Q128">
        <v>577</v>
      </c>
      <c r="R128">
        <v>127</v>
      </c>
    </row>
    <row r="129" spans="1:18">
      <c r="A129" s="1" t="s">
        <v>348</v>
      </c>
      <c r="B129">
        <v>33</v>
      </c>
      <c r="C129">
        <v>12</v>
      </c>
      <c r="D129">
        <v>21</v>
      </c>
      <c r="E129">
        <v>11.53</v>
      </c>
      <c r="F129">
        <v>2398</v>
      </c>
      <c r="G129">
        <v>862</v>
      </c>
      <c r="H129">
        <v>2001</v>
      </c>
      <c r="I129">
        <v>415</v>
      </c>
      <c r="J129">
        <v>591</v>
      </c>
      <c r="K129">
        <v>351</v>
      </c>
      <c r="L129">
        <v>1091</v>
      </c>
      <c r="M129">
        <v>446</v>
      </c>
      <c r="N129">
        <v>245</v>
      </c>
      <c r="O129">
        <v>86</v>
      </c>
      <c r="P129">
        <v>435</v>
      </c>
      <c r="Q129">
        <v>700</v>
      </c>
      <c r="R129">
        <v>128</v>
      </c>
    </row>
    <row r="130" spans="1:18">
      <c r="A130" s="1" t="s">
        <v>365</v>
      </c>
      <c r="B130">
        <v>31</v>
      </c>
      <c r="C130">
        <v>6</v>
      </c>
      <c r="D130">
        <v>25</v>
      </c>
      <c r="E130">
        <v>-5.1100000000000003</v>
      </c>
      <c r="F130">
        <v>2044</v>
      </c>
      <c r="G130">
        <v>711</v>
      </c>
      <c r="H130">
        <v>1527</v>
      </c>
      <c r="I130">
        <v>448</v>
      </c>
      <c r="J130">
        <v>553</v>
      </c>
      <c r="K130">
        <v>204</v>
      </c>
      <c r="L130">
        <v>845</v>
      </c>
      <c r="M130">
        <v>354</v>
      </c>
      <c r="N130">
        <v>184</v>
      </c>
      <c r="O130">
        <v>53</v>
      </c>
      <c r="P130">
        <v>504</v>
      </c>
      <c r="Q130">
        <v>592</v>
      </c>
      <c r="R130">
        <v>129</v>
      </c>
    </row>
    <row r="131" spans="1:18">
      <c r="A131" s="1" t="s">
        <v>308</v>
      </c>
      <c r="B131">
        <v>31</v>
      </c>
      <c r="C131">
        <v>15</v>
      </c>
      <c r="D131">
        <v>16</v>
      </c>
      <c r="E131">
        <v>0.62</v>
      </c>
      <c r="F131">
        <v>2146</v>
      </c>
      <c r="G131">
        <v>757</v>
      </c>
      <c r="H131">
        <v>1719</v>
      </c>
      <c r="I131">
        <v>454</v>
      </c>
      <c r="J131">
        <v>621</v>
      </c>
      <c r="K131">
        <v>250</v>
      </c>
      <c r="L131">
        <v>1007</v>
      </c>
      <c r="M131">
        <v>342</v>
      </c>
      <c r="N131">
        <v>207</v>
      </c>
      <c r="O131">
        <v>73</v>
      </c>
      <c r="P131">
        <v>402</v>
      </c>
      <c r="Q131">
        <v>586</v>
      </c>
      <c r="R131">
        <v>130</v>
      </c>
    </row>
    <row r="132" spans="1:18">
      <c r="A132" s="1" t="s">
        <v>327</v>
      </c>
      <c r="B132">
        <v>35</v>
      </c>
      <c r="C132">
        <v>19</v>
      </c>
      <c r="D132">
        <v>16</v>
      </c>
      <c r="E132">
        <v>10.1</v>
      </c>
      <c r="F132">
        <v>2504</v>
      </c>
      <c r="G132">
        <v>919</v>
      </c>
      <c r="H132">
        <v>2009</v>
      </c>
      <c r="I132">
        <v>455</v>
      </c>
      <c r="J132">
        <v>695</v>
      </c>
      <c r="K132">
        <v>341</v>
      </c>
      <c r="L132">
        <v>1272</v>
      </c>
      <c r="M132">
        <v>469</v>
      </c>
      <c r="N132">
        <v>226</v>
      </c>
      <c r="O132">
        <v>154</v>
      </c>
      <c r="P132">
        <v>433</v>
      </c>
      <c r="Q132">
        <v>596</v>
      </c>
      <c r="R132">
        <v>131</v>
      </c>
    </row>
    <row r="133" spans="1:18">
      <c r="A133" s="1" t="s">
        <v>309</v>
      </c>
      <c r="B133">
        <v>33</v>
      </c>
      <c r="C133">
        <v>17</v>
      </c>
      <c r="D133">
        <v>16</v>
      </c>
      <c r="E133">
        <v>-5.5</v>
      </c>
      <c r="F133">
        <v>2532</v>
      </c>
      <c r="G133">
        <v>857</v>
      </c>
      <c r="H133">
        <v>1897</v>
      </c>
      <c r="I133">
        <v>521</v>
      </c>
      <c r="J133">
        <v>699</v>
      </c>
      <c r="K133">
        <v>283</v>
      </c>
      <c r="L133">
        <v>1152</v>
      </c>
      <c r="M133">
        <v>432</v>
      </c>
      <c r="N133">
        <v>223</v>
      </c>
      <c r="O133">
        <v>90</v>
      </c>
      <c r="P133">
        <v>406</v>
      </c>
      <c r="Q133">
        <v>564</v>
      </c>
      <c r="R133">
        <v>132</v>
      </c>
    </row>
    <row r="134" spans="1:18">
      <c r="A134" s="1" t="s">
        <v>310</v>
      </c>
      <c r="B134">
        <v>35</v>
      </c>
      <c r="C134">
        <v>23</v>
      </c>
      <c r="D134">
        <v>12</v>
      </c>
      <c r="E134">
        <v>9.3000000000000007</v>
      </c>
      <c r="F134">
        <v>2692</v>
      </c>
      <c r="G134">
        <v>974</v>
      </c>
      <c r="H134">
        <v>2047</v>
      </c>
      <c r="I134">
        <v>450</v>
      </c>
      <c r="J134">
        <v>615</v>
      </c>
      <c r="K134">
        <v>327</v>
      </c>
      <c r="L134">
        <v>1230</v>
      </c>
      <c r="M134">
        <v>527</v>
      </c>
      <c r="N134">
        <v>247</v>
      </c>
      <c r="O134">
        <v>160</v>
      </c>
      <c r="P134">
        <v>379</v>
      </c>
      <c r="Q134">
        <v>517</v>
      </c>
      <c r="R134">
        <v>133</v>
      </c>
    </row>
    <row r="135" spans="1:18">
      <c r="A135" s="1" t="s">
        <v>116</v>
      </c>
      <c r="B135">
        <v>35</v>
      </c>
      <c r="C135">
        <v>23</v>
      </c>
      <c r="D135">
        <v>12</v>
      </c>
      <c r="E135">
        <v>9.84</v>
      </c>
      <c r="F135">
        <v>2740</v>
      </c>
      <c r="G135">
        <v>914</v>
      </c>
      <c r="H135">
        <v>2006</v>
      </c>
      <c r="I135">
        <v>627</v>
      </c>
      <c r="J135">
        <v>849</v>
      </c>
      <c r="K135">
        <v>357</v>
      </c>
      <c r="L135">
        <v>1246</v>
      </c>
      <c r="M135">
        <v>542</v>
      </c>
      <c r="N135">
        <v>211</v>
      </c>
      <c r="O135">
        <v>112</v>
      </c>
      <c r="P135">
        <v>427</v>
      </c>
      <c r="Q135">
        <v>565</v>
      </c>
      <c r="R135">
        <v>134</v>
      </c>
    </row>
    <row r="136" spans="1:18">
      <c r="A136" s="1" t="s">
        <v>319</v>
      </c>
      <c r="B136">
        <v>33</v>
      </c>
      <c r="C136">
        <v>18</v>
      </c>
      <c r="D136">
        <v>15</v>
      </c>
      <c r="E136">
        <v>-3.6</v>
      </c>
      <c r="F136">
        <v>2728</v>
      </c>
      <c r="G136">
        <v>991</v>
      </c>
      <c r="H136">
        <v>2059</v>
      </c>
      <c r="I136">
        <v>386</v>
      </c>
      <c r="J136">
        <v>557</v>
      </c>
      <c r="K136">
        <v>271</v>
      </c>
      <c r="L136">
        <v>1140</v>
      </c>
      <c r="M136">
        <v>525</v>
      </c>
      <c r="N136">
        <v>247</v>
      </c>
      <c r="O136">
        <v>158</v>
      </c>
      <c r="P136">
        <v>395</v>
      </c>
      <c r="Q136">
        <v>495</v>
      </c>
      <c r="R136">
        <v>135</v>
      </c>
    </row>
    <row r="137" spans="1:18">
      <c r="A137" s="1" t="s">
        <v>117</v>
      </c>
      <c r="B137">
        <v>33</v>
      </c>
      <c r="C137">
        <v>16</v>
      </c>
      <c r="D137">
        <v>17</v>
      </c>
      <c r="E137">
        <v>-3.04</v>
      </c>
      <c r="F137">
        <v>2507</v>
      </c>
      <c r="G137">
        <v>891</v>
      </c>
      <c r="H137">
        <v>1969</v>
      </c>
      <c r="I137">
        <v>491</v>
      </c>
      <c r="J137">
        <v>699</v>
      </c>
      <c r="K137">
        <v>403</v>
      </c>
      <c r="L137">
        <v>1233</v>
      </c>
      <c r="M137">
        <v>471</v>
      </c>
      <c r="N137">
        <v>228</v>
      </c>
      <c r="O137">
        <v>103</v>
      </c>
      <c r="P137">
        <v>462</v>
      </c>
      <c r="Q137">
        <v>578</v>
      </c>
      <c r="R137">
        <v>136</v>
      </c>
    </row>
    <row r="138" spans="1:18">
      <c r="A138" s="1" t="s">
        <v>278</v>
      </c>
      <c r="B138">
        <v>32</v>
      </c>
      <c r="C138">
        <v>13</v>
      </c>
      <c r="D138">
        <v>19</v>
      </c>
      <c r="E138">
        <v>-9.33</v>
      </c>
      <c r="F138">
        <v>1974</v>
      </c>
      <c r="G138">
        <v>717</v>
      </c>
      <c r="H138">
        <v>1774</v>
      </c>
      <c r="I138">
        <v>385</v>
      </c>
      <c r="J138">
        <v>607</v>
      </c>
      <c r="K138">
        <v>331</v>
      </c>
      <c r="L138">
        <v>1125</v>
      </c>
      <c r="M138">
        <v>359</v>
      </c>
      <c r="N138">
        <v>209</v>
      </c>
      <c r="O138">
        <v>124</v>
      </c>
      <c r="P138">
        <v>436</v>
      </c>
      <c r="Q138">
        <v>643</v>
      </c>
      <c r="R138">
        <v>137</v>
      </c>
    </row>
    <row r="139" spans="1:18">
      <c r="A139" s="1" t="s">
        <v>118</v>
      </c>
      <c r="B139">
        <v>33</v>
      </c>
      <c r="C139">
        <v>24</v>
      </c>
      <c r="D139">
        <v>9</v>
      </c>
      <c r="E139">
        <v>-5.47</v>
      </c>
      <c r="F139">
        <v>2574</v>
      </c>
      <c r="G139">
        <v>953</v>
      </c>
      <c r="H139">
        <v>2063</v>
      </c>
      <c r="I139">
        <v>468</v>
      </c>
      <c r="J139">
        <v>630</v>
      </c>
      <c r="K139">
        <v>400</v>
      </c>
      <c r="L139">
        <v>1310</v>
      </c>
      <c r="M139">
        <v>451</v>
      </c>
      <c r="N139">
        <v>245</v>
      </c>
      <c r="O139">
        <v>138</v>
      </c>
      <c r="P139">
        <v>440</v>
      </c>
      <c r="Q139">
        <v>553</v>
      </c>
      <c r="R139">
        <v>138</v>
      </c>
    </row>
    <row r="140" spans="1:18">
      <c r="A140" s="1" t="s">
        <v>119</v>
      </c>
      <c r="B140">
        <v>32</v>
      </c>
      <c r="C140">
        <v>12</v>
      </c>
      <c r="D140">
        <v>20</v>
      </c>
      <c r="E140">
        <v>-4.74</v>
      </c>
      <c r="F140">
        <v>2385</v>
      </c>
      <c r="G140">
        <v>889</v>
      </c>
      <c r="H140">
        <v>1953</v>
      </c>
      <c r="I140">
        <v>394</v>
      </c>
      <c r="J140">
        <v>582</v>
      </c>
      <c r="K140">
        <v>330</v>
      </c>
      <c r="L140">
        <v>1163</v>
      </c>
      <c r="M140">
        <v>457</v>
      </c>
      <c r="N140">
        <v>213</v>
      </c>
      <c r="O140">
        <v>166</v>
      </c>
      <c r="P140">
        <v>463</v>
      </c>
      <c r="Q140">
        <v>523</v>
      </c>
      <c r="R140">
        <v>139</v>
      </c>
    </row>
    <row r="141" spans="1:18">
      <c r="A141" s="1" t="s">
        <v>120</v>
      </c>
      <c r="B141">
        <v>33</v>
      </c>
      <c r="C141">
        <v>14</v>
      </c>
      <c r="D141">
        <v>19</v>
      </c>
      <c r="E141">
        <v>-4.07</v>
      </c>
      <c r="F141">
        <v>2322</v>
      </c>
      <c r="G141">
        <v>821</v>
      </c>
      <c r="H141">
        <v>1859</v>
      </c>
      <c r="I141">
        <v>437</v>
      </c>
      <c r="J141">
        <v>607</v>
      </c>
      <c r="K141">
        <v>345</v>
      </c>
      <c r="L141">
        <v>1123</v>
      </c>
      <c r="M141">
        <v>403</v>
      </c>
      <c r="N141">
        <v>211</v>
      </c>
      <c r="O141">
        <v>101</v>
      </c>
      <c r="P141">
        <v>420</v>
      </c>
      <c r="Q141">
        <v>612</v>
      </c>
      <c r="R141">
        <v>140</v>
      </c>
    </row>
    <row r="142" spans="1:18">
      <c r="A142" s="1" t="s">
        <v>121</v>
      </c>
      <c r="B142">
        <v>34</v>
      </c>
      <c r="C142">
        <v>25</v>
      </c>
      <c r="D142">
        <v>9</v>
      </c>
      <c r="E142">
        <v>9.18</v>
      </c>
      <c r="F142">
        <v>2236</v>
      </c>
      <c r="G142">
        <v>806</v>
      </c>
      <c r="H142">
        <v>1878</v>
      </c>
      <c r="I142">
        <v>383</v>
      </c>
      <c r="J142">
        <v>574</v>
      </c>
      <c r="K142">
        <v>325</v>
      </c>
      <c r="L142">
        <v>1137</v>
      </c>
      <c r="M142">
        <v>464</v>
      </c>
      <c r="N142">
        <v>256</v>
      </c>
      <c r="O142">
        <v>76</v>
      </c>
      <c r="P142">
        <v>385</v>
      </c>
      <c r="Q142">
        <v>550</v>
      </c>
      <c r="R142">
        <v>141</v>
      </c>
    </row>
    <row r="143" spans="1:18">
      <c r="A143" s="1" t="s">
        <v>375</v>
      </c>
      <c r="B143">
        <v>36</v>
      </c>
      <c r="C143">
        <v>26</v>
      </c>
      <c r="D143">
        <v>10</v>
      </c>
      <c r="E143">
        <v>12.79</v>
      </c>
      <c r="F143">
        <v>2725</v>
      </c>
      <c r="G143">
        <v>989</v>
      </c>
      <c r="H143">
        <v>2128</v>
      </c>
      <c r="I143">
        <v>487</v>
      </c>
      <c r="J143">
        <v>691</v>
      </c>
      <c r="K143">
        <v>374</v>
      </c>
      <c r="L143">
        <v>1376</v>
      </c>
      <c r="M143">
        <v>478</v>
      </c>
      <c r="N143">
        <v>243</v>
      </c>
      <c r="O143">
        <v>139</v>
      </c>
      <c r="P143">
        <v>472</v>
      </c>
      <c r="Q143">
        <v>610</v>
      </c>
      <c r="R143">
        <v>142</v>
      </c>
    </row>
    <row r="144" spans="1:18">
      <c r="A144" s="1" t="s">
        <v>336</v>
      </c>
      <c r="B144">
        <v>32</v>
      </c>
      <c r="C144">
        <v>6</v>
      </c>
      <c r="D144">
        <v>26</v>
      </c>
      <c r="E144">
        <v>-1.04</v>
      </c>
      <c r="F144">
        <v>2030</v>
      </c>
      <c r="G144">
        <v>742</v>
      </c>
      <c r="H144">
        <v>1945</v>
      </c>
      <c r="I144">
        <v>410</v>
      </c>
      <c r="J144">
        <v>590</v>
      </c>
      <c r="K144">
        <v>372</v>
      </c>
      <c r="L144">
        <v>1163</v>
      </c>
      <c r="M144">
        <v>362</v>
      </c>
      <c r="N144">
        <v>185</v>
      </c>
      <c r="O144">
        <v>106</v>
      </c>
      <c r="P144">
        <v>437</v>
      </c>
      <c r="Q144">
        <v>525</v>
      </c>
      <c r="R144">
        <v>143</v>
      </c>
    </row>
    <row r="145" spans="1:18">
      <c r="A145" s="1" t="s">
        <v>122</v>
      </c>
      <c r="B145">
        <v>33</v>
      </c>
      <c r="C145">
        <v>22</v>
      </c>
      <c r="D145">
        <v>11</v>
      </c>
      <c r="E145">
        <v>0.61</v>
      </c>
      <c r="F145">
        <v>2481</v>
      </c>
      <c r="G145">
        <v>878</v>
      </c>
      <c r="H145">
        <v>2032</v>
      </c>
      <c r="I145">
        <v>464</v>
      </c>
      <c r="J145">
        <v>641</v>
      </c>
      <c r="K145">
        <v>412</v>
      </c>
      <c r="L145">
        <v>1185</v>
      </c>
      <c r="M145">
        <v>430</v>
      </c>
      <c r="N145">
        <v>226</v>
      </c>
      <c r="O145">
        <v>119</v>
      </c>
      <c r="P145">
        <v>378</v>
      </c>
      <c r="Q145">
        <v>601</v>
      </c>
      <c r="R145">
        <v>144</v>
      </c>
    </row>
    <row r="146" spans="1:18">
      <c r="A146" s="1" t="s">
        <v>354</v>
      </c>
      <c r="B146">
        <v>37</v>
      </c>
      <c r="C146">
        <v>30</v>
      </c>
      <c r="D146">
        <v>7</v>
      </c>
      <c r="E146">
        <v>10.29</v>
      </c>
      <c r="F146">
        <v>2806</v>
      </c>
      <c r="G146">
        <v>978</v>
      </c>
      <c r="H146">
        <v>2050</v>
      </c>
      <c r="I146">
        <v>635</v>
      </c>
      <c r="J146">
        <v>859</v>
      </c>
      <c r="K146">
        <v>427</v>
      </c>
      <c r="L146">
        <v>1428</v>
      </c>
      <c r="M146">
        <v>501</v>
      </c>
      <c r="N146">
        <v>220</v>
      </c>
      <c r="O146">
        <v>176</v>
      </c>
      <c r="P146">
        <v>466</v>
      </c>
      <c r="Q146">
        <v>600</v>
      </c>
      <c r="R146">
        <v>145</v>
      </c>
    </row>
    <row r="147" spans="1:18">
      <c r="A147" s="1" t="s">
        <v>123</v>
      </c>
      <c r="B147">
        <v>31</v>
      </c>
      <c r="C147">
        <v>10</v>
      </c>
      <c r="D147">
        <v>21</v>
      </c>
      <c r="E147">
        <v>1.29</v>
      </c>
      <c r="F147">
        <v>2091</v>
      </c>
      <c r="G147">
        <v>719</v>
      </c>
      <c r="H147">
        <v>1798</v>
      </c>
      <c r="I147">
        <v>394</v>
      </c>
      <c r="J147">
        <v>512</v>
      </c>
      <c r="K147">
        <v>328</v>
      </c>
      <c r="L147">
        <v>1060</v>
      </c>
      <c r="M147">
        <v>391</v>
      </c>
      <c r="N147">
        <v>230</v>
      </c>
      <c r="O147">
        <v>98</v>
      </c>
      <c r="P147">
        <v>435</v>
      </c>
      <c r="Q147">
        <v>630</v>
      </c>
      <c r="R147">
        <v>146</v>
      </c>
    </row>
    <row r="148" spans="1:18">
      <c r="A148" s="1" t="s">
        <v>279</v>
      </c>
      <c r="B148">
        <v>30</v>
      </c>
      <c r="C148">
        <v>10</v>
      </c>
      <c r="D148">
        <v>20</v>
      </c>
      <c r="E148">
        <v>-4.93</v>
      </c>
      <c r="F148">
        <v>2209</v>
      </c>
      <c r="G148">
        <v>802</v>
      </c>
      <c r="H148">
        <v>1786</v>
      </c>
      <c r="I148">
        <v>325</v>
      </c>
      <c r="J148">
        <v>437</v>
      </c>
      <c r="K148">
        <v>233</v>
      </c>
      <c r="L148">
        <v>1004</v>
      </c>
      <c r="M148">
        <v>419</v>
      </c>
      <c r="N148">
        <v>158</v>
      </c>
      <c r="O148">
        <v>126</v>
      </c>
      <c r="P148">
        <v>402</v>
      </c>
      <c r="Q148">
        <v>515</v>
      </c>
      <c r="R148">
        <v>147</v>
      </c>
    </row>
    <row r="149" spans="1:18">
      <c r="A149" s="1" t="s">
        <v>280</v>
      </c>
      <c r="B149">
        <v>33</v>
      </c>
      <c r="C149">
        <v>20</v>
      </c>
      <c r="D149">
        <v>13</v>
      </c>
      <c r="E149">
        <v>-7.22</v>
      </c>
      <c r="F149">
        <v>2597</v>
      </c>
      <c r="G149">
        <v>902</v>
      </c>
      <c r="H149">
        <v>1976</v>
      </c>
      <c r="I149">
        <v>565</v>
      </c>
      <c r="J149">
        <v>823</v>
      </c>
      <c r="K149">
        <v>446</v>
      </c>
      <c r="L149">
        <v>1282</v>
      </c>
      <c r="M149">
        <v>481</v>
      </c>
      <c r="N149">
        <v>283</v>
      </c>
      <c r="O149">
        <v>97</v>
      </c>
      <c r="P149">
        <v>473</v>
      </c>
      <c r="Q149">
        <v>622</v>
      </c>
      <c r="R149">
        <v>148</v>
      </c>
    </row>
    <row r="150" spans="1:18">
      <c r="A150" s="1" t="s">
        <v>124</v>
      </c>
      <c r="B150">
        <v>31</v>
      </c>
      <c r="C150">
        <v>20</v>
      </c>
      <c r="D150">
        <v>11</v>
      </c>
      <c r="E150">
        <v>-4.46</v>
      </c>
      <c r="F150">
        <v>2479</v>
      </c>
      <c r="G150">
        <v>856</v>
      </c>
      <c r="H150">
        <v>1775</v>
      </c>
      <c r="I150">
        <v>480</v>
      </c>
      <c r="J150">
        <v>620</v>
      </c>
      <c r="K150">
        <v>232</v>
      </c>
      <c r="L150">
        <v>1105</v>
      </c>
      <c r="M150">
        <v>471</v>
      </c>
      <c r="N150">
        <v>171</v>
      </c>
      <c r="O150">
        <v>71</v>
      </c>
      <c r="P150">
        <v>418</v>
      </c>
      <c r="Q150">
        <v>571</v>
      </c>
      <c r="R150">
        <v>149</v>
      </c>
    </row>
    <row r="151" spans="1:18">
      <c r="A151" s="1" t="s">
        <v>125</v>
      </c>
      <c r="B151">
        <v>36</v>
      </c>
      <c r="C151">
        <v>29</v>
      </c>
      <c r="D151">
        <v>7</v>
      </c>
      <c r="E151">
        <v>-3.88</v>
      </c>
      <c r="F151">
        <v>2654</v>
      </c>
      <c r="G151">
        <v>963</v>
      </c>
      <c r="H151">
        <v>1977</v>
      </c>
      <c r="I151">
        <v>406</v>
      </c>
      <c r="J151">
        <v>524</v>
      </c>
      <c r="K151">
        <v>270</v>
      </c>
      <c r="L151">
        <v>1174</v>
      </c>
      <c r="M151">
        <v>532</v>
      </c>
      <c r="N151">
        <v>223</v>
      </c>
      <c r="O151">
        <v>96</v>
      </c>
      <c r="P151">
        <v>395</v>
      </c>
      <c r="Q151">
        <v>543</v>
      </c>
      <c r="R151">
        <v>150</v>
      </c>
    </row>
    <row r="152" spans="1:18">
      <c r="A152" s="1" t="s">
        <v>320</v>
      </c>
      <c r="B152">
        <v>37</v>
      </c>
      <c r="C152">
        <v>29</v>
      </c>
      <c r="D152">
        <v>8</v>
      </c>
      <c r="E152">
        <v>-1.2</v>
      </c>
      <c r="F152">
        <v>3076</v>
      </c>
      <c r="G152">
        <v>1071</v>
      </c>
      <c r="H152">
        <v>2230</v>
      </c>
      <c r="I152">
        <v>607</v>
      </c>
      <c r="J152">
        <v>801</v>
      </c>
      <c r="K152">
        <v>329</v>
      </c>
      <c r="L152">
        <v>1378</v>
      </c>
      <c r="M152">
        <v>654</v>
      </c>
      <c r="N152">
        <v>268</v>
      </c>
      <c r="O152">
        <v>108</v>
      </c>
      <c r="P152">
        <v>489</v>
      </c>
      <c r="Q152">
        <v>633</v>
      </c>
      <c r="R152">
        <v>151</v>
      </c>
    </row>
    <row r="153" spans="1:18">
      <c r="A153" s="1" t="s">
        <v>126</v>
      </c>
      <c r="B153">
        <v>34</v>
      </c>
      <c r="C153">
        <v>15</v>
      </c>
      <c r="D153">
        <v>19</v>
      </c>
      <c r="E153">
        <v>-0.44</v>
      </c>
      <c r="F153">
        <v>2545</v>
      </c>
      <c r="G153">
        <v>877</v>
      </c>
      <c r="H153">
        <v>2031</v>
      </c>
      <c r="I153">
        <v>574</v>
      </c>
      <c r="J153">
        <v>831</v>
      </c>
      <c r="K153">
        <v>377</v>
      </c>
      <c r="L153">
        <v>1263</v>
      </c>
      <c r="M153">
        <v>399</v>
      </c>
      <c r="N153">
        <v>219</v>
      </c>
      <c r="O153">
        <v>105</v>
      </c>
      <c r="P153">
        <v>479</v>
      </c>
      <c r="Q153">
        <v>620</v>
      </c>
      <c r="R153">
        <v>152</v>
      </c>
    </row>
    <row r="154" spans="1:18">
      <c r="A154" s="1" t="s">
        <v>127</v>
      </c>
      <c r="B154">
        <v>32</v>
      </c>
      <c r="C154">
        <v>16</v>
      </c>
      <c r="D154">
        <v>16</v>
      </c>
      <c r="E154">
        <v>-9.08</v>
      </c>
      <c r="F154">
        <v>2373</v>
      </c>
      <c r="G154">
        <v>822</v>
      </c>
      <c r="H154">
        <v>1880</v>
      </c>
      <c r="I154">
        <v>452</v>
      </c>
      <c r="J154">
        <v>643</v>
      </c>
      <c r="K154">
        <v>321</v>
      </c>
      <c r="L154">
        <v>1196</v>
      </c>
      <c r="M154">
        <v>430</v>
      </c>
      <c r="N154">
        <v>218</v>
      </c>
      <c r="O154">
        <v>157</v>
      </c>
      <c r="P154">
        <v>471</v>
      </c>
      <c r="Q154">
        <v>610</v>
      </c>
      <c r="R154">
        <v>153</v>
      </c>
    </row>
    <row r="155" spans="1:18">
      <c r="A155" s="1" t="s">
        <v>331</v>
      </c>
      <c r="B155">
        <v>34</v>
      </c>
      <c r="C155">
        <v>16</v>
      </c>
      <c r="D155">
        <v>18</v>
      </c>
      <c r="E155">
        <v>-6.62</v>
      </c>
      <c r="F155">
        <v>2407</v>
      </c>
      <c r="G155">
        <v>803</v>
      </c>
      <c r="H155">
        <v>1875</v>
      </c>
      <c r="I155">
        <v>468</v>
      </c>
      <c r="J155">
        <v>639</v>
      </c>
      <c r="K155">
        <v>284</v>
      </c>
      <c r="L155">
        <v>1194</v>
      </c>
      <c r="M155">
        <v>401</v>
      </c>
      <c r="N155">
        <v>210</v>
      </c>
      <c r="O155">
        <v>71</v>
      </c>
      <c r="P155">
        <v>477</v>
      </c>
      <c r="Q155">
        <v>624</v>
      </c>
      <c r="R155">
        <v>154</v>
      </c>
    </row>
    <row r="156" spans="1:18">
      <c r="A156" s="1" t="s">
        <v>281</v>
      </c>
      <c r="B156">
        <v>32</v>
      </c>
      <c r="C156">
        <v>19</v>
      </c>
      <c r="D156">
        <v>13</v>
      </c>
      <c r="E156">
        <v>-1.51</v>
      </c>
      <c r="F156">
        <v>2612</v>
      </c>
      <c r="G156">
        <v>901</v>
      </c>
      <c r="H156">
        <v>2026</v>
      </c>
      <c r="I156">
        <v>527</v>
      </c>
      <c r="J156">
        <v>710</v>
      </c>
      <c r="K156">
        <v>364</v>
      </c>
      <c r="L156">
        <v>1142</v>
      </c>
      <c r="M156">
        <v>487</v>
      </c>
      <c r="N156">
        <v>226</v>
      </c>
      <c r="O156">
        <v>125</v>
      </c>
      <c r="P156">
        <v>423</v>
      </c>
      <c r="Q156">
        <v>612</v>
      </c>
      <c r="R156">
        <v>155</v>
      </c>
    </row>
    <row r="157" spans="1:18">
      <c r="A157" s="1" t="s">
        <v>128</v>
      </c>
      <c r="B157">
        <v>35</v>
      </c>
      <c r="C157">
        <v>19</v>
      </c>
      <c r="D157">
        <v>16</v>
      </c>
      <c r="E157">
        <v>-1.96</v>
      </c>
      <c r="F157">
        <v>2773</v>
      </c>
      <c r="G157">
        <v>922</v>
      </c>
      <c r="H157">
        <v>2029</v>
      </c>
      <c r="I157">
        <v>576</v>
      </c>
      <c r="J157">
        <v>737</v>
      </c>
      <c r="K157">
        <v>317</v>
      </c>
      <c r="L157">
        <v>1176</v>
      </c>
      <c r="M157">
        <v>498</v>
      </c>
      <c r="N157">
        <v>206</v>
      </c>
      <c r="O157">
        <v>78</v>
      </c>
      <c r="P157">
        <v>398</v>
      </c>
      <c r="Q157">
        <v>545</v>
      </c>
      <c r="R157">
        <v>156</v>
      </c>
    </row>
    <row r="158" spans="1:18">
      <c r="A158" s="1" t="s">
        <v>282</v>
      </c>
      <c r="B158">
        <v>35</v>
      </c>
      <c r="C158">
        <v>28</v>
      </c>
      <c r="D158">
        <v>7</v>
      </c>
      <c r="E158">
        <v>9.16</v>
      </c>
      <c r="F158">
        <v>2815</v>
      </c>
      <c r="G158">
        <v>988</v>
      </c>
      <c r="H158">
        <v>2162</v>
      </c>
      <c r="I158">
        <v>603</v>
      </c>
      <c r="J158">
        <v>802</v>
      </c>
      <c r="K158">
        <v>460</v>
      </c>
      <c r="L158">
        <v>1355</v>
      </c>
      <c r="M158">
        <v>452</v>
      </c>
      <c r="N158">
        <v>308</v>
      </c>
      <c r="O158">
        <v>148</v>
      </c>
      <c r="P158">
        <v>452</v>
      </c>
      <c r="Q158">
        <v>634</v>
      </c>
      <c r="R158">
        <v>157</v>
      </c>
    </row>
    <row r="159" spans="1:18">
      <c r="A159" s="1" t="s">
        <v>129</v>
      </c>
      <c r="B159">
        <v>33</v>
      </c>
      <c r="C159">
        <v>20</v>
      </c>
      <c r="D159">
        <v>13</v>
      </c>
      <c r="E159">
        <v>-2.31</v>
      </c>
      <c r="F159">
        <v>2386</v>
      </c>
      <c r="G159">
        <v>840</v>
      </c>
      <c r="H159">
        <v>1928</v>
      </c>
      <c r="I159">
        <v>453</v>
      </c>
      <c r="J159">
        <v>690</v>
      </c>
      <c r="K159">
        <v>368</v>
      </c>
      <c r="L159">
        <v>1204</v>
      </c>
      <c r="M159">
        <v>440</v>
      </c>
      <c r="N159">
        <v>190</v>
      </c>
      <c r="O159">
        <v>115</v>
      </c>
      <c r="P159">
        <v>386</v>
      </c>
      <c r="Q159">
        <v>535</v>
      </c>
      <c r="R159">
        <v>158</v>
      </c>
    </row>
    <row r="160" spans="1:18">
      <c r="A160" s="1" t="s">
        <v>283</v>
      </c>
      <c r="B160">
        <v>34</v>
      </c>
      <c r="C160">
        <v>20</v>
      </c>
      <c r="D160">
        <v>14</v>
      </c>
      <c r="E160">
        <v>11.04</v>
      </c>
      <c r="F160">
        <v>2536</v>
      </c>
      <c r="G160">
        <v>854</v>
      </c>
      <c r="H160">
        <v>1967</v>
      </c>
      <c r="I160">
        <v>534</v>
      </c>
      <c r="J160">
        <v>687</v>
      </c>
      <c r="K160">
        <v>345</v>
      </c>
      <c r="L160">
        <v>1297</v>
      </c>
      <c r="M160">
        <v>458</v>
      </c>
      <c r="N160">
        <v>149</v>
      </c>
      <c r="O160">
        <v>99</v>
      </c>
      <c r="P160">
        <v>412</v>
      </c>
      <c r="Q160">
        <v>591</v>
      </c>
      <c r="R160">
        <v>159</v>
      </c>
    </row>
    <row r="161" spans="1:18">
      <c r="A161" s="1" t="s">
        <v>130</v>
      </c>
      <c r="B161">
        <v>34</v>
      </c>
      <c r="C161">
        <v>20</v>
      </c>
      <c r="D161">
        <v>14</v>
      </c>
      <c r="E161">
        <v>-0.16</v>
      </c>
      <c r="F161">
        <v>2231</v>
      </c>
      <c r="G161">
        <v>831</v>
      </c>
      <c r="H161">
        <v>1687</v>
      </c>
      <c r="I161">
        <v>363</v>
      </c>
      <c r="J161">
        <v>545</v>
      </c>
      <c r="K161">
        <v>190</v>
      </c>
      <c r="L161">
        <v>1013</v>
      </c>
      <c r="M161">
        <v>468</v>
      </c>
      <c r="N161">
        <v>220</v>
      </c>
      <c r="O161">
        <v>78</v>
      </c>
      <c r="P161">
        <v>407</v>
      </c>
      <c r="Q161">
        <v>471</v>
      </c>
      <c r="R161">
        <v>160</v>
      </c>
    </row>
    <row r="162" spans="1:18">
      <c r="A162" s="1" t="s">
        <v>131</v>
      </c>
      <c r="B162">
        <v>34</v>
      </c>
      <c r="C162">
        <v>22</v>
      </c>
      <c r="D162">
        <v>12</v>
      </c>
      <c r="E162">
        <v>0.9</v>
      </c>
      <c r="F162">
        <v>2278</v>
      </c>
      <c r="G162">
        <v>817</v>
      </c>
      <c r="H162">
        <v>1800</v>
      </c>
      <c r="I162">
        <v>481</v>
      </c>
      <c r="J162">
        <v>645</v>
      </c>
      <c r="K162">
        <v>314</v>
      </c>
      <c r="L162">
        <v>1098</v>
      </c>
      <c r="M162">
        <v>460</v>
      </c>
      <c r="N162">
        <v>250</v>
      </c>
      <c r="O162">
        <v>102</v>
      </c>
      <c r="P162">
        <v>425</v>
      </c>
      <c r="Q162">
        <v>602</v>
      </c>
      <c r="R162">
        <v>161</v>
      </c>
    </row>
    <row r="163" spans="1:18">
      <c r="A163" s="1" t="s">
        <v>132</v>
      </c>
      <c r="B163">
        <v>32</v>
      </c>
      <c r="C163">
        <v>11</v>
      </c>
      <c r="D163">
        <v>21</v>
      </c>
      <c r="E163">
        <v>-4.5999999999999996</v>
      </c>
      <c r="F163">
        <v>2332</v>
      </c>
      <c r="G163">
        <v>842</v>
      </c>
      <c r="H163">
        <v>1836</v>
      </c>
      <c r="I163">
        <v>438</v>
      </c>
      <c r="J163">
        <v>617</v>
      </c>
      <c r="K163">
        <v>292</v>
      </c>
      <c r="L163">
        <v>997</v>
      </c>
      <c r="M163">
        <v>448</v>
      </c>
      <c r="N163">
        <v>278</v>
      </c>
      <c r="O163">
        <v>73</v>
      </c>
      <c r="P163">
        <v>444</v>
      </c>
      <c r="Q163">
        <v>573</v>
      </c>
      <c r="R163">
        <v>162</v>
      </c>
    </row>
    <row r="164" spans="1:18">
      <c r="A164" s="1" t="s">
        <v>133</v>
      </c>
      <c r="B164">
        <v>32</v>
      </c>
      <c r="C164">
        <v>5</v>
      </c>
      <c r="D164">
        <v>27</v>
      </c>
      <c r="E164">
        <v>-4.21</v>
      </c>
      <c r="F164">
        <v>1988</v>
      </c>
      <c r="G164">
        <v>747</v>
      </c>
      <c r="H164">
        <v>1728</v>
      </c>
      <c r="I164">
        <v>293</v>
      </c>
      <c r="J164">
        <v>452</v>
      </c>
      <c r="K164">
        <v>280</v>
      </c>
      <c r="L164">
        <v>1015</v>
      </c>
      <c r="M164">
        <v>471</v>
      </c>
      <c r="N164">
        <v>239</v>
      </c>
      <c r="O164">
        <v>94</v>
      </c>
      <c r="P164">
        <v>460</v>
      </c>
      <c r="Q164">
        <v>566</v>
      </c>
      <c r="R164">
        <v>163</v>
      </c>
    </row>
    <row r="165" spans="1:18">
      <c r="A165" s="1" t="s">
        <v>134</v>
      </c>
      <c r="B165">
        <v>32</v>
      </c>
      <c r="C165">
        <v>11</v>
      </c>
      <c r="D165">
        <v>21</v>
      </c>
      <c r="E165">
        <v>-7.32</v>
      </c>
      <c r="F165">
        <v>1833</v>
      </c>
      <c r="G165">
        <v>651</v>
      </c>
      <c r="H165">
        <v>1608</v>
      </c>
      <c r="I165">
        <v>312</v>
      </c>
      <c r="J165">
        <v>534</v>
      </c>
      <c r="K165">
        <v>326</v>
      </c>
      <c r="L165">
        <v>1026</v>
      </c>
      <c r="M165">
        <v>360</v>
      </c>
      <c r="N165">
        <v>221</v>
      </c>
      <c r="O165">
        <v>78</v>
      </c>
      <c r="P165">
        <v>487</v>
      </c>
      <c r="Q165">
        <v>672</v>
      </c>
      <c r="R165">
        <v>164</v>
      </c>
    </row>
    <row r="166" spans="1:18">
      <c r="A166" s="1" t="s">
        <v>135</v>
      </c>
      <c r="B166">
        <v>31</v>
      </c>
      <c r="C166">
        <v>12</v>
      </c>
      <c r="D166">
        <v>19</v>
      </c>
      <c r="E166">
        <v>-7.53</v>
      </c>
      <c r="F166">
        <v>2086</v>
      </c>
      <c r="G166">
        <v>739</v>
      </c>
      <c r="H166">
        <v>1647</v>
      </c>
      <c r="I166">
        <v>363</v>
      </c>
      <c r="J166">
        <v>530</v>
      </c>
      <c r="K166">
        <v>241</v>
      </c>
      <c r="L166">
        <v>967</v>
      </c>
      <c r="M166">
        <v>377</v>
      </c>
      <c r="N166">
        <v>172</v>
      </c>
      <c r="O166">
        <v>53</v>
      </c>
      <c r="P166">
        <v>387</v>
      </c>
      <c r="Q166">
        <v>583</v>
      </c>
      <c r="R166">
        <v>165</v>
      </c>
    </row>
    <row r="167" spans="1:18">
      <c r="A167" s="1" t="s">
        <v>136</v>
      </c>
      <c r="B167">
        <v>34</v>
      </c>
      <c r="C167">
        <v>24</v>
      </c>
      <c r="D167">
        <v>10</v>
      </c>
      <c r="E167">
        <v>6.96</v>
      </c>
      <c r="F167">
        <v>2629</v>
      </c>
      <c r="G167">
        <v>893</v>
      </c>
      <c r="H167">
        <v>1969</v>
      </c>
      <c r="I167">
        <v>524</v>
      </c>
      <c r="J167">
        <v>692</v>
      </c>
      <c r="K167">
        <v>331</v>
      </c>
      <c r="L167">
        <v>1292</v>
      </c>
      <c r="M167">
        <v>456</v>
      </c>
      <c r="N167">
        <v>168</v>
      </c>
      <c r="O167">
        <v>145</v>
      </c>
      <c r="P167">
        <v>467</v>
      </c>
      <c r="Q167">
        <v>635</v>
      </c>
      <c r="R167">
        <v>166</v>
      </c>
    </row>
    <row r="168" spans="1:18">
      <c r="A168" s="1" t="s">
        <v>137</v>
      </c>
      <c r="B168">
        <v>37</v>
      </c>
      <c r="C168">
        <v>23</v>
      </c>
      <c r="D168">
        <v>14</v>
      </c>
      <c r="E168">
        <v>-0.61</v>
      </c>
      <c r="F168">
        <v>2978</v>
      </c>
      <c r="G168">
        <v>1047</v>
      </c>
      <c r="H168">
        <v>2367</v>
      </c>
      <c r="I168">
        <v>522</v>
      </c>
      <c r="J168">
        <v>723</v>
      </c>
      <c r="K168">
        <v>319</v>
      </c>
      <c r="L168">
        <v>1260</v>
      </c>
      <c r="M168">
        <v>527</v>
      </c>
      <c r="N168">
        <v>334</v>
      </c>
      <c r="O168">
        <v>170</v>
      </c>
      <c r="P168">
        <v>453</v>
      </c>
      <c r="Q168">
        <v>664</v>
      </c>
      <c r="R168">
        <v>167</v>
      </c>
    </row>
    <row r="169" spans="1:18">
      <c r="A169" s="1" t="s">
        <v>138</v>
      </c>
      <c r="B169">
        <v>34</v>
      </c>
      <c r="C169">
        <v>21</v>
      </c>
      <c r="D169">
        <v>13</v>
      </c>
      <c r="E169">
        <v>-5.85</v>
      </c>
      <c r="F169">
        <v>2296</v>
      </c>
      <c r="G169">
        <v>820</v>
      </c>
      <c r="H169">
        <v>1893</v>
      </c>
      <c r="I169">
        <v>395</v>
      </c>
      <c r="J169">
        <v>573</v>
      </c>
      <c r="K169">
        <v>296</v>
      </c>
      <c r="L169">
        <v>1145</v>
      </c>
      <c r="M169">
        <v>453</v>
      </c>
      <c r="N169">
        <v>268</v>
      </c>
      <c r="O169">
        <v>83</v>
      </c>
      <c r="P169">
        <v>428</v>
      </c>
      <c r="Q169">
        <v>578</v>
      </c>
      <c r="R169">
        <v>168</v>
      </c>
    </row>
    <row r="170" spans="1:18">
      <c r="A170" s="1" t="s">
        <v>139</v>
      </c>
      <c r="B170">
        <v>32</v>
      </c>
      <c r="C170">
        <v>7</v>
      </c>
      <c r="D170">
        <v>25</v>
      </c>
      <c r="E170">
        <v>-7.91</v>
      </c>
      <c r="F170">
        <v>1833</v>
      </c>
      <c r="G170">
        <v>666</v>
      </c>
      <c r="H170">
        <v>1705</v>
      </c>
      <c r="I170">
        <v>329</v>
      </c>
      <c r="J170">
        <v>489</v>
      </c>
      <c r="K170">
        <v>264</v>
      </c>
      <c r="L170">
        <v>989</v>
      </c>
      <c r="M170">
        <v>361</v>
      </c>
      <c r="N170">
        <v>186</v>
      </c>
      <c r="O170">
        <v>70</v>
      </c>
      <c r="P170">
        <v>431</v>
      </c>
      <c r="Q170">
        <v>575</v>
      </c>
      <c r="R170">
        <v>169</v>
      </c>
    </row>
    <row r="171" spans="1:18">
      <c r="A171" s="1" t="s">
        <v>332</v>
      </c>
      <c r="B171">
        <v>34</v>
      </c>
      <c r="C171">
        <v>23</v>
      </c>
      <c r="D171">
        <v>11</v>
      </c>
      <c r="E171">
        <v>10.09</v>
      </c>
      <c r="F171">
        <v>2429</v>
      </c>
      <c r="G171">
        <v>858</v>
      </c>
      <c r="H171">
        <v>1909</v>
      </c>
      <c r="I171">
        <v>466</v>
      </c>
      <c r="J171">
        <v>627</v>
      </c>
      <c r="K171">
        <v>378</v>
      </c>
      <c r="L171">
        <v>1336</v>
      </c>
      <c r="M171">
        <v>447</v>
      </c>
      <c r="N171">
        <v>148</v>
      </c>
      <c r="O171">
        <v>163</v>
      </c>
      <c r="P171">
        <v>437</v>
      </c>
      <c r="Q171">
        <v>526</v>
      </c>
      <c r="R171">
        <v>170</v>
      </c>
    </row>
    <row r="172" spans="1:18">
      <c r="A172" s="1" t="s">
        <v>366</v>
      </c>
      <c r="B172">
        <v>32</v>
      </c>
      <c r="C172">
        <v>15</v>
      </c>
      <c r="D172">
        <v>17</v>
      </c>
      <c r="E172">
        <v>-6.95</v>
      </c>
      <c r="F172">
        <v>2456</v>
      </c>
      <c r="G172">
        <v>875</v>
      </c>
      <c r="H172">
        <v>1852</v>
      </c>
      <c r="I172">
        <v>460</v>
      </c>
      <c r="J172">
        <v>639</v>
      </c>
      <c r="K172">
        <v>293</v>
      </c>
      <c r="L172">
        <v>1115</v>
      </c>
      <c r="M172">
        <v>500</v>
      </c>
      <c r="N172">
        <v>181</v>
      </c>
      <c r="O172">
        <v>85</v>
      </c>
      <c r="P172">
        <v>447</v>
      </c>
      <c r="Q172">
        <v>589</v>
      </c>
      <c r="R172">
        <v>171</v>
      </c>
    </row>
    <row r="173" spans="1:18">
      <c r="A173" s="1" t="s">
        <v>140</v>
      </c>
      <c r="B173">
        <v>32</v>
      </c>
      <c r="C173">
        <v>11</v>
      </c>
      <c r="D173">
        <v>21</v>
      </c>
      <c r="E173">
        <v>-0.18</v>
      </c>
      <c r="F173">
        <v>2263</v>
      </c>
      <c r="G173">
        <v>808</v>
      </c>
      <c r="H173">
        <v>1831</v>
      </c>
      <c r="I173">
        <v>391</v>
      </c>
      <c r="J173">
        <v>574</v>
      </c>
      <c r="K173">
        <v>342</v>
      </c>
      <c r="L173">
        <v>1123</v>
      </c>
      <c r="M173">
        <v>468</v>
      </c>
      <c r="N173">
        <v>154</v>
      </c>
      <c r="O173">
        <v>93</v>
      </c>
      <c r="P173">
        <v>445</v>
      </c>
      <c r="Q173">
        <v>643</v>
      </c>
      <c r="R173">
        <v>172</v>
      </c>
    </row>
    <row r="174" spans="1:18">
      <c r="A174" s="1" t="s">
        <v>141</v>
      </c>
      <c r="B174">
        <v>31</v>
      </c>
      <c r="C174">
        <v>9</v>
      </c>
      <c r="D174">
        <v>22</v>
      </c>
      <c r="E174">
        <v>-6.15</v>
      </c>
      <c r="F174">
        <v>2149</v>
      </c>
      <c r="G174">
        <v>760</v>
      </c>
      <c r="H174">
        <v>1676</v>
      </c>
      <c r="I174">
        <v>461</v>
      </c>
      <c r="J174">
        <v>647</v>
      </c>
      <c r="K174">
        <v>310</v>
      </c>
      <c r="L174">
        <v>1054</v>
      </c>
      <c r="M174">
        <v>429</v>
      </c>
      <c r="N174">
        <v>147</v>
      </c>
      <c r="O174">
        <v>97</v>
      </c>
      <c r="P174">
        <v>450</v>
      </c>
      <c r="Q174">
        <v>467</v>
      </c>
      <c r="R174">
        <v>173</v>
      </c>
    </row>
    <row r="175" spans="1:18">
      <c r="A175" s="1" t="s">
        <v>142</v>
      </c>
      <c r="B175">
        <v>36</v>
      </c>
      <c r="C175">
        <v>22</v>
      </c>
      <c r="D175">
        <v>14</v>
      </c>
      <c r="E175">
        <v>5.09</v>
      </c>
      <c r="F175">
        <v>2882</v>
      </c>
      <c r="G175">
        <v>1013</v>
      </c>
      <c r="H175">
        <v>2238</v>
      </c>
      <c r="I175">
        <v>596</v>
      </c>
      <c r="J175">
        <v>835</v>
      </c>
      <c r="K175">
        <v>436</v>
      </c>
      <c r="L175">
        <v>1358</v>
      </c>
      <c r="M175">
        <v>553</v>
      </c>
      <c r="N175">
        <v>288</v>
      </c>
      <c r="O175">
        <v>144</v>
      </c>
      <c r="P175">
        <v>538</v>
      </c>
      <c r="Q175">
        <v>739</v>
      </c>
      <c r="R175">
        <v>174</v>
      </c>
    </row>
    <row r="176" spans="1:18">
      <c r="A176" s="1" t="s">
        <v>143</v>
      </c>
      <c r="B176">
        <v>31</v>
      </c>
      <c r="C176">
        <v>11</v>
      </c>
      <c r="D176">
        <v>20</v>
      </c>
      <c r="E176">
        <v>-0.24</v>
      </c>
      <c r="F176">
        <v>2248</v>
      </c>
      <c r="G176">
        <v>787</v>
      </c>
      <c r="H176">
        <v>1746</v>
      </c>
      <c r="I176">
        <v>446</v>
      </c>
      <c r="J176">
        <v>648</v>
      </c>
      <c r="K176">
        <v>307</v>
      </c>
      <c r="L176">
        <v>1057</v>
      </c>
      <c r="M176">
        <v>393</v>
      </c>
      <c r="N176">
        <v>207</v>
      </c>
      <c r="O176">
        <v>80</v>
      </c>
      <c r="P176">
        <v>407</v>
      </c>
      <c r="Q176">
        <v>557</v>
      </c>
      <c r="R176">
        <v>175</v>
      </c>
    </row>
    <row r="177" spans="1:18">
      <c r="A177" s="1" t="s">
        <v>284</v>
      </c>
      <c r="B177">
        <v>32</v>
      </c>
      <c r="C177">
        <v>14</v>
      </c>
      <c r="D177">
        <v>18</v>
      </c>
      <c r="E177">
        <v>8.6999999999999993</v>
      </c>
      <c r="F177">
        <v>2297</v>
      </c>
      <c r="G177">
        <v>805</v>
      </c>
      <c r="H177">
        <v>1851</v>
      </c>
      <c r="I177">
        <v>419</v>
      </c>
      <c r="J177">
        <v>570</v>
      </c>
      <c r="K177">
        <v>291</v>
      </c>
      <c r="L177">
        <v>1061</v>
      </c>
      <c r="M177">
        <v>413</v>
      </c>
      <c r="N177">
        <v>212</v>
      </c>
      <c r="O177">
        <v>100</v>
      </c>
      <c r="P177">
        <v>372</v>
      </c>
      <c r="Q177">
        <v>465</v>
      </c>
      <c r="R177">
        <v>176</v>
      </c>
    </row>
    <row r="178" spans="1:18">
      <c r="A178" s="1" t="s">
        <v>144</v>
      </c>
      <c r="B178">
        <v>32</v>
      </c>
      <c r="C178">
        <v>15</v>
      </c>
      <c r="D178">
        <v>17</v>
      </c>
      <c r="E178">
        <v>2.31</v>
      </c>
      <c r="F178">
        <v>2267</v>
      </c>
      <c r="G178">
        <v>777</v>
      </c>
      <c r="H178">
        <v>1847</v>
      </c>
      <c r="I178">
        <v>444</v>
      </c>
      <c r="J178">
        <v>626</v>
      </c>
      <c r="K178">
        <v>353</v>
      </c>
      <c r="L178">
        <v>1190</v>
      </c>
      <c r="M178">
        <v>349</v>
      </c>
      <c r="N178">
        <v>194</v>
      </c>
      <c r="O178">
        <v>87</v>
      </c>
      <c r="P178">
        <v>413</v>
      </c>
      <c r="Q178">
        <v>581</v>
      </c>
      <c r="R178">
        <v>177</v>
      </c>
    </row>
    <row r="179" spans="1:18">
      <c r="A179" s="1" t="s">
        <v>377</v>
      </c>
      <c r="B179">
        <v>39</v>
      </c>
      <c r="C179">
        <v>32</v>
      </c>
      <c r="D179">
        <v>7</v>
      </c>
      <c r="E179">
        <v>12.34</v>
      </c>
      <c r="F179">
        <v>3025</v>
      </c>
      <c r="G179">
        <v>1071</v>
      </c>
      <c r="H179">
        <v>2230</v>
      </c>
      <c r="I179">
        <v>564</v>
      </c>
      <c r="J179">
        <v>749</v>
      </c>
      <c r="K179">
        <v>414</v>
      </c>
      <c r="L179">
        <v>1579</v>
      </c>
      <c r="M179">
        <v>715</v>
      </c>
      <c r="N179">
        <v>201</v>
      </c>
      <c r="O179">
        <v>205</v>
      </c>
      <c r="P179">
        <v>493</v>
      </c>
      <c r="Q179">
        <v>647</v>
      </c>
      <c r="R179">
        <v>178</v>
      </c>
    </row>
    <row r="180" spans="1:18">
      <c r="A180" s="1" t="s">
        <v>145</v>
      </c>
      <c r="B180">
        <v>37</v>
      </c>
      <c r="C180">
        <v>30</v>
      </c>
      <c r="D180">
        <v>7</v>
      </c>
      <c r="E180">
        <v>10.55</v>
      </c>
      <c r="F180">
        <v>2575</v>
      </c>
      <c r="G180">
        <v>941</v>
      </c>
      <c r="H180">
        <v>2102</v>
      </c>
      <c r="I180">
        <v>406</v>
      </c>
      <c r="J180">
        <v>579</v>
      </c>
      <c r="K180">
        <v>299</v>
      </c>
      <c r="L180">
        <v>1307</v>
      </c>
      <c r="M180">
        <v>512</v>
      </c>
      <c r="N180">
        <v>225</v>
      </c>
      <c r="O180">
        <v>149</v>
      </c>
      <c r="P180">
        <v>334</v>
      </c>
      <c r="Q180">
        <v>514</v>
      </c>
      <c r="R180">
        <v>179</v>
      </c>
    </row>
    <row r="181" spans="1:18">
      <c r="A181" s="1" t="s">
        <v>146</v>
      </c>
      <c r="B181">
        <v>32</v>
      </c>
      <c r="C181">
        <v>11</v>
      </c>
      <c r="D181">
        <v>21</v>
      </c>
      <c r="E181">
        <v>1.44</v>
      </c>
      <c r="F181">
        <v>2141</v>
      </c>
      <c r="G181">
        <v>778</v>
      </c>
      <c r="H181">
        <v>1858</v>
      </c>
      <c r="I181">
        <v>373</v>
      </c>
      <c r="J181">
        <v>551</v>
      </c>
      <c r="K181">
        <v>382</v>
      </c>
      <c r="L181">
        <v>1228</v>
      </c>
      <c r="M181">
        <v>352</v>
      </c>
      <c r="N181">
        <v>190</v>
      </c>
      <c r="O181">
        <v>85</v>
      </c>
      <c r="P181">
        <v>512</v>
      </c>
      <c r="Q181">
        <v>583</v>
      </c>
      <c r="R181">
        <v>180</v>
      </c>
    </row>
    <row r="182" spans="1:18">
      <c r="A182" s="1" t="s">
        <v>147</v>
      </c>
      <c r="B182">
        <v>31</v>
      </c>
      <c r="C182">
        <v>9</v>
      </c>
      <c r="D182">
        <v>22</v>
      </c>
      <c r="E182">
        <v>-2.5</v>
      </c>
      <c r="F182">
        <v>2146</v>
      </c>
      <c r="G182">
        <v>765</v>
      </c>
      <c r="H182">
        <v>1820</v>
      </c>
      <c r="I182">
        <v>379</v>
      </c>
      <c r="J182">
        <v>508</v>
      </c>
      <c r="K182">
        <v>288</v>
      </c>
      <c r="L182">
        <v>1094</v>
      </c>
      <c r="M182">
        <v>356</v>
      </c>
      <c r="N182">
        <v>145</v>
      </c>
      <c r="O182">
        <v>94</v>
      </c>
      <c r="P182">
        <v>382</v>
      </c>
      <c r="Q182">
        <v>579</v>
      </c>
      <c r="R182">
        <v>181</v>
      </c>
    </row>
    <row r="183" spans="1:18">
      <c r="A183" s="1" t="s">
        <v>148</v>
      </c>
      <c r="B183">
        <v>36</v>
      </c>
      <c r="C183">
        <v>22</v>
      </c>
      <c r="D183">
        <v>14</v>
      </c>
      <c r="E183">
        <v>11.27</v>
      </c>
      <c r="F183">
        <v>2543</v>
      </c>
      <c r="G183">
        <v>887</v>
      </c>
      <c r="H183">
        <v>2039</v>
      </c>
      <c r="I183">
        <v>578</v>
      </c>
      <c r="J183">
        <v>848</v>
      </c>
      <c r="K183">
        <v>402</v>
      </c>
      <c r="L183">
        <v>1314</v>
      </c>
      <c r="M183">
        <v>523</v>
      </c>
      <c r="N183">
        <v>175</v>
      </c>
      <c r="O183">
        <v>140</v>
      </c>
      <c r="P183">
        <v>418</v>
      </c>
      <c r="Q183">
        <v>578</v>
      </c>
      <c r="R183">
        <v>182</v>
      </c>
    </row>
    <row r="184" spans="1:18">
      <c r="A184" s="1" t="s">
        <v>149</v>
      </c>
      <c r="B184">
        <v>34</v>
      </c>
      <c r="C184">
        <v>23</v>
      </c>
      <c r="D184">
        <v>11</v>
      </c>
      <c r="E184">
        <v>9.07</v>
      </c>
      <c r="F184">
        <v>2628</v>
      </c>
      <c r="G184">
        <v>936</v>
      </c>
      <c r="H184">
        <v>1982</v>
      </c>
      <c r="I184">
        <v>464</v>
      </c>
      <c r="J184">
        <v>647</v>
      </c>
      <c r="K184">
        <v>393</v>
      </c>
      <c r="L184">
        <v>1215</v>
      </c>
      <c r="M184">
        <v>481</v>
      </c>
      <c r="N184">
        <v>274</v>
      </c>
      <c r="O184">
        <v>172</v>
      </c>
      <c r="P184">
        <v>451</v>
      </c>
      <c r="Q184">
        <v>586</v>
      </c>
      <c r="R184">
        <v>183</v>
      </c>
    </row>
    <row r="185" spans="1:18">
      <c r="A185" s="1" t="s">
        <v>150</v>
      </c>
      <c r="B185">
        <v>32</v>
      </c>
      <c r="C185">
        <v>6</v>
      </c>
      <c r="D185">
        <v>26</v>
      </c>
      <c r="E185">
        <v>-6.99</v>
      </c>
      <c r="F185">
        <v>2058</v>
      </c>
      <c r="G185">
        <v>730</v>
      </c>
      <c r="H185">
        <v>1923</v>
      </c>
      <c r="I185">
        <v>426</v>
      </c>
      <c r="J185">
        <v>647</v>
      </c>
      <c r="K185">
        <v>378</v>
      </c>
      <c r="L185">
        <v>1165</v>
      </c>
      <c r="M185">
        <v>361</v>
      </c>
      <c r="N185">
        <v>176</v>
      </c>
      <c r="O185">
        <v>70</v>
      </c>
      <c r="P185">
        <v>415</v>
      </c>
      <c r="Q185">
        <v>570</v>
      </c>
      <c r="R185">
        <v>184</v>
      </c>
    </row>
    <row r="186" spans="1:18">
      <c r="A186" s="1" t="s">
        <v>151</v>
      </c>
      <c r="B186">
        <v>33</v>
      </c>
      <c r="C186">
        <v>20</v>
      </c>
      <c r="D186">
        <v>13</v>
      </c>
      <c r="E186">
        <v>8.1300000000000008</v>
      </c>
      <c r="F186">
        <v>2485</v>
      </c>
      <c r="G186">
        <v>876</v>
      </c>
      <c r="H186">
        <v>1906</v>
      </c>
      <c r="I186">
        <v>461</v>
      </c>
      <c r="J186">
        <v>589</v>
      </c>
      <c r="K186">
        <v>322</v>
      </c>
      <c r="L186">
        <v>1128</v>
      </c>
      <c r="M186">
        <v>475</v>
      </c>
      <c r="N186">
        <v>235</v>
      </c>
      <c r="O186">
        <v>118</v>
      </c>
      <c r="P186">
        <v>416</v>
      </c>
      <c r="Q186">
        <v>603</v>
      </c>
      <c r="R186">
        <v>185</v>
      </c>
    </row>
    <row r="187" spans="1:18">
      <c r="A187" s="1" t="s">
        <v>152</v>
      </c>
      <c r="B187">
        <v>32</v>
      </c>
      <c r="C187">
        <v>11</v>
      </c>
      <c r="D187">
        <v>21</v>
      </c>
      <c r="E187">
        <v>-1.55</v>
      </c>
      <c r="F187">
        <v>2220</v>
      </c>
      <c r="G187">
        <v>774</v>
      </c>
      <c r="H187">
        <v>1794</v>
      </c>
      <c r="I187">
        <v>413</v>
      </c>
      <c r="J187">
        <v>590</v>
      </c>
      <c r="K187">
        <v>261</v>
      </c>
      <c r="L187">
        <v>966</v>
      </c>
      <c r="M187">
        <v>351</v>
      </c>
      <c r="N187">
        <v>233</v>
      </c>
      <c r="O187">
        <v>90</v>
      </c>
      <c r="P187">
        <v>391</v>
      </c>
      <c r="Q187">
        <v>647</v>
      </c>
      <c r="R187">
        <v>186</v>
      </c>
    </row>
    <row r="188" spans="1:18">
      <c r="A188" s="1" t="s">
        <v>153</v>
      </c>
      <c r="B188">
        <v>32</v>
      </c>
      <c r="C188">
        <v>16</v>
      </c>
      <c r="D188">
        <v>16</v>
      </c>
      <c r="E188">
        <v>-1.03</v>
      </c>
      <c r="F188">
        <v>2206</v>
      </c>
      <c r="G188">
        <v>774</v>
      </c>
      <c r="H188">
        <v>1714</v>
      </c>
      <c r="I188">
        <v>434</v>
      </c>
      <c r="J188">
        <v>627</v>
      </c>
      <c r="K188">
        <v>270</v>
      </c>
      <c r="L188">
        <v>1000</v>
      </c>
      <c r="M188">
        <v>354</v>
      </c>
      <c r="N188">
        <v>221</v>
      </c>
      <c r="O188">
        <v>127</v>
      </c>
      <c r="P188">
        <v>385</v>
      </c>
      <c r="Q188">
        <v>540</v>
      </c>
      <c r="R188">
        <v>187</v>
      </c>
    </row>
    <row r="189" spans="1:18">
      <c r="A189" s="1" t="s">
        <v>328</v>
      </c>
      <c r="B189">
        <v>32</v>
      </c>
      <c r="C189">
        <v>15</v>
      </c>
      <c r="D189">
        <v>17</v>
      </c>
      <c r="E189">
        <v>9.16</v>
      </c>
      <c r="F189">
        <v>2150</v>
      </c>
      <c r="G189">
        <v>758</v>
      </c>
      <c r="H189">
        <v>1764</v>
      </c>
      <c r="I189">
        <v>370</v>
      </c>
      <c r="J189">
        <v>526</v>
      </c>
      <c r="K189">
        <v>345</v>
      </c>
      <c r="L189">
        <v>1130</v>
      </c>
      <c r="M189">
        <v>354</v>
      </c>
      <c r="N189">
        <v>149</v>
      </c>
      <c r="O189">
        <v>53</v>
      </c>
      <c r="P189">
        <v>448</v>
      </c>
      <c r="Q189">
        <v>625</v>
      </c>
      <c r="R189">
        <v>188</v>
      </c>
    </row>
    <row r="190" spans="1:18">
      <c r="A190" s="1" t="s">
        <v>154</v>
      </c>
      <c r="B190">
        <v>35</v>
      </c>
      <c r="C190">
        <v>14</v>
      </c>
      <c r="D190">
        <v>21</v>
      </c>
      <c r="E190">
        <v>-4.83</v>
      </c>
      <c r="F190">
        <v>2286</v>
      </c>
      <c r="G190">
        <v>794</v>
      </c>
      <c r="H190">
        <v>1915</v>
      </c>
      <c r="I190">
        <v>530</v>
      </c>
      <c r="J190">
        <v>773</v>
      </c>
      <c r="K190">
        <v>360</v>
      </c>
      <c r="L190">
        <v>1224</v>
      </c>
      <c r="M190">
        <v>379</v>
      </c>
      <c r="N190">
        <v>237</v>
      </c>
      <c r="O190">
        <v>101</v>
      </c>
      <c r="P190">
        <v>502</v>
      </c>
      <c r="Q190">
        <v>698</v>
      </c>
      <c r="R190">
        <v>189</v>
      </c>
    </row>
    <row r="191" spans="1:18">
      <c r="A191" s="1" t="s">
        <v>155</v>
      </c>
      <c r="B191">
        <v>32</v>
      </c>
      <c r="C191">
        <v>15</v>
      </c>
      <c r="D191">
        <v>17</v>
      </c>
      <c r="E191">
        <v>-5.81</v>
      </c>
      <c r="F191">
        <v>2502</v>
      </c>
      <c r="G191">
        <v>858</v>
      </c>
      <c r="H191">
        <v>1882</v>
      </c>
      <c r="I191">
        <v>480</v>
      </c>
      <c r="J191">
        <v>651</v>
      </c>
      <c r="K191">
        <v>292</v>
      </c>
      <c r="L191">
        <v>1083</v>
      </c>
      <c r="M191">
        <v>491</v>
      </c>
      <c r="N191">
        <v>169</v>
      </c>
      <c r="O191">
        <v>46</v>
      </c>
      <c r="P191">
        <v>394</v>
      </c>
      <c r="Q191">
        <v>567</v>
      </c>
      <c r="R191">
        <v>190</v>
      </c>
    </row>
    <row r="192" spans="1:18">
      <c r="A192" s="1" t="s">
        <v>156</v>
      </c>
      <c r="B192">
        <v>35</v>
      </c>
      <c r="C192">
        <v>26</v>
      </c>
      <c r="D192">
        <v>9</v>
      </c>
      <c r="E192">
        <v>-5.05</v>
      </c>
      <c r="F192">
        <v>2665</v>
      </c>
      <c r="G192">
        <v>975</v>
      </c>
      <c r="H192">
        <v>1983</v>
      </c>
      <c r="I192">
        <v>428</v>
      </c>
      <c r="J192">
        <v>621</v>
      </c>
      <c r="K192">
        <v>293</v>
      </c>
      <c r="L192">
        <v>1176</v>
      </c>
      <c r="M192">
        <v>510</v>
      </c>
      <c r="N192">
        <v>229</v>
      </c>
      <c r="O192">
        <v>106</v>
      </c>
      <c r="P192">
        <v>416</v>
      </c>
      <c r="Q192">
        <v>655</v>
      </c>
      <c r="R192">
        <v>191</v>
      </c>
    </row>
    <row r="193" spans="1:18">
      <c r="A193" s="1" t="s">
        <v>157</v>
      </c>
      <c r="B193">
        <v>33</v>
      </c>
      <c r="C193">
        <v>13</v>
      </c>
      <c r="D193">
        <v>20</v>
      </c>
      <c r="E193">
        <v>-1.76</v>
      </c>
      <c r="F193">
        <v>2431</v>
      </c>
      <c r="G193">
        <v>855</v>
      </c>
      <c r="H193">
        <v>1993</v>
      </c>
      <c r="I193">
        <v>461</v>
      </c>
      <c r="J193">
        <v>654</v>
      </c>
      <c r="K193">
        <v>357</v>
      </c>
      <c r="L193">
        <v>1177</v>
      </c>
      <c r="M193">
        <v>440</v>
      </c>
      <c r="N193">
        <v>186</v>
      </c>
      <c r="O193">
        <v>137</v>
      </c>
      <c r="P193">
        <v>402</v>
      </c>
      <c r="Q193">
        <v>561</v>
      </c>
      <c r="R193">
        <v>192</v>
      </c>
    </row>
    <row r="194" spans="1:18">
      <c r="A194" s="1" t="s">
        <v>158</v>
      </c>
      <c r="B194">
        <v>30</v>
      </c>
      <c r="C194">
        <v>9</v>
      </c>
      <c r="D194">
        <v>21</v>
      </c>
      <c r="E194">
        <v>-10.7</v>
      </c>
      <c r="F194">
        <v>2161</v>
      </c>
      <c r="G194">
        <v>758</v>
      </c>
      <c r="H194">
        <v>1920</v>
      </c>
      <c r="I194">
        <v>477</v>
      </c>
      <c r="J194">
        <v>669</v>
      </c>
      <c r="K194">
        <v>397</v>
      </c>
      <c r="L194">
        <v>1078</v>
      </c>
      <c r="M194">
        <v>362</v>
      </c>
      <c r="N194">
        <v>230</v>
      </c>
      <c r="O194">
        <v>48</v>
      </c>
      <c r="P194">
        <v>401</v>
      </c>
      <c r="Q194">
        <v>614</v>
      </c>
      <c r="R194">
        <v>193</v>
      </c>
    </row>
    <row r="195" spans="1:18">
      <c r="A195" s="1" t="s">
        <v>159</v>
      </c>
      <c r="B195">
        <v>31</v>
      </c>
      <c r="C195">
        <v>9</v>
      </c>
      <c r="D195">
        <v>22</v>
      </c>
      <c r="E195">
        <v>-6.02</v>
      </c>
      <c r="F195">
        <v>2092</v>
      </c>
      <c r="G195">
        <v>733</v>
      </c>
      <c r="H195">
        <v>1755</v>
      </c>
      <c r="I195">
        <v>403</v>
      </c>
      <c r="J195">
        <v>594</v>
      </c>
      <c r="K195">
        <v>293</v>
      </c>
      <c r="L195">
        <v>1036</v>
      </c>
      <c r="M195">
        <v>354</v>
      </c>
      <c r="N195">
        <v>146</v>
      </c>
      <c r="O195">
        <v>107</v>
      </c>
      <c r="P195">
        <v>410</v>
      </c>
      <c r="Q195">
        <v>576</v>
      </c>
      <c r="R195">
        <v>194</v>
      </c>
    </row>
    <row r="196" spans="1:18">
      <c r="A196" s="1" t="s">
        <v>160</v>
      </c>
      <c r="B196">
        <v>33</v>
      </c>
      <c r="C196">
        <v>28</v>
      </c>
      <c r="D196">
        <v>5</v>
      </c>
      <c r="E196">
        <v>-3.11</v>
      </c>
      <c r="F196">
        <v>2727</v>
      </c>
      <c r="G196">
        <v>988</v>
      </c>
      <c r="H196">
        <v>2007</v>
      </c>
      <c r="I196">
        <v>493</v>
      </c>
      <c r="J196">
        <v>673</v>
      </c>
      <c r="K196">
        <v>351</v>
      </c>
      <c r="L196">
        <v>1247</v>
      </c>
      <c r="M196">
        <v>591</v>
      </c>
      <c r="N196">
        <v>249</v>
      </c>
      <c r="O196">
        <v>149</v>
      </c>
      <c r="P196">
        <v>401</v>
      </c>
      <c r="Q196">
        <v>527</v>
      </c>
      <c r="R196">
        <v>195</v>
      </c>
    </row>
    <row r="197" spans="1:18">
      <c r="A197" s="1" t="s">
        <v>161</v>
      </c>
      <c r="B197">
        <v>31</v>
      </c>
      <c r="C197">
        <v>12</v>
      </c>
      <c r="D197">
        <v>19</v>
      </c>
      <c r="E197">
        <v>-4</v>
      </c>
      <c r="F197">
        <v>2061</v>
      </c>
      <c r="G197">
        <v>732</v>
      </c>
      <c r="H197">
        <v>1785</v>
      </c>
      <c r="I197">
        <v>389</v>
      </c>
      <c r="J197">
        <v>544</v>
      </c>
      <c r="K197">
        <v>359</v>
      </c>
      <c r="L197">
        <v>1160</v>
      </c>
      <c r="M197">
        <v>399</v>
      </c>
      <c r="N197">
        <v>167</v>
      </c>
      <c r="O197">
        <v>58</v>
      </c>
      <c r="P197">
        <v>437</v>
      </c>
      <c r="Q197">
        <v>534</v>
      </c>
      <c r="R197">
        <v>196</v>
      </c>
    </row>
    <row r="198" spans="1:18">
      <c r="A198" s="1" t="s">
        <v>360</v>
      </c>
      <c r="B198">
        <v>32</v>
      </c>
      <c r="C198">
        <v>21</v>
      </c>
      <c r="D198">
        <v>11</v>
      </c>
      <c r="E198">
        <v>-3.39</v>
      </c>
      <c r="F198">
        <v>2523</v>
      </c>
      <c r="G198">
        <v>950</v>
      </c>
      <c r="H198">
        <v>1998</v>
      </c>
      <c r="I198">
        <v>341</v>
      </c>
      <c r="J198">
        <v>473</v>
      </c>
      <c r="K198">
        <v>273</v>
      </c>
      <c r="L198">
        <v>1047</v>
      </c>
      <c r="M198">
        <v>409</v>
      </c>
      <c r="N198">
        <v>180</v>
      </c>
      <c r="O198">
        <v>61</v>
      </c>
      <c r="P198">
        <v>304</v>
      </c>
      <c r="Q198">
        <v>486</v>
      </c>
      <c r="R198">
        <v>197</v>
      </c>
    </row>
    <row r="199" spans="1:18">
      <c r="A199" s="1" t="s">
        <v>162</v>
      </c>
      <c r="B199">
        <v>36</v>
      </c>
      <c r="C199">
        <v>19</v>
      </c>
      <c r="D199">
        <v>17</v>
      </c>
      <c r="E199">
        <v>11.31</v>
      </c>
      <c r="F199">
        <v>2586</v>
      </c>
      <c r="G199">
        <v>916</v>
      </c>
      <c r="H199">
        <v>2133</v>
      </c>
      <c r="I199">
        <v>484</v>
      </c>
      <c r="J199">
        <v>694</v>
      </c>
      <c r="K199">
        <v>379</v>
      </c>
      <c r="L199">
        <v>1278</v>
      </c>
      <c r="M199">
        <v>466</v>
      </c>
      <c r="N199">
        <v>260</v>
      </c>
      <c r="O199">
        <v>151</v>
      </c>
      <c r="P199">
        <v>345</v>
      </c>
      <c r="Q199">
        <v>580</v>
      </c>
      <c r="R199">
        <v>198</v>
      </c>
    </row>
    <row r="200" spans="1:18">
      <c r="A200" s="1" t="s">
        <v>285</v>
      </c>
      <c r="B200">
        <v>31</v>
      </c>
      <c r="C200">
        <v>17</v>
      </c>
      <c r="D200">
        <v>14</v>
      </c>
      <c r="E200">
        <v>0.48</v>
      </c>
      <c r="F200">
        <v>2276</v>
      </c>
      <c r="G200">
        <v>791</v>
      </c>
      <c r="H200">
        <v>1852</v>
      </c>
      <c r="I200">
        <v>443</v>
      </c>
      <c r="J200">
        <v>647</v>
      </c>
      <c r="K200">
        <v>408</v>
      </c>
      <c r="L200">
        <v>1204</v>
      </c>
      <c r="M200">
        <v>401</v>
      </c>
      <c r="N200">
        <v>184</v>
      </c>
      <c r="O200">
        <v>115</v>
      </c>
      <c r="P200">
        <v>401</v>
      </c>
      <c r="Q200">
        <v>556</v>
      </c>
      <c r="R200">
        <v>199</v>
      </c>
    </row>
    <row r="201" spans="1:18">
      <c r="A201" s="1" t="s">
        <v>163</v>
      </c>
      <c r="B201">
        <v>34</v>
      </c>
      <c r="C201">
        <v>29</v>
      </c>
      <c r="D201">
        <v>5</v>
      </c>
      <c r="E201">
        <v>2.68</v>
      </c>
      <c r="F201">
        <v>2723</v>
      </c>
      <c r="G201">
        <v>924</v>
      </c>
      <c r="H201">
        <v>1999</v>
      </c>
      <c r="I201">
        <v>578</v>
      </c>
      <c r="J201">
        <v>816</v>
      </c>
      <c r="K201">
        <v>325</v>
      </c>
      <c r="L201">
        <v>1274</v>
      </c>
      <c r="M201">
        <v>498</v>
      </c>
      <c r="N201">
        <v>211</v>
      </c>
      <c r="O201">
        <v>134</v>
      </c>
      <c r="P201">
        <v>352</v>
      </c>
      <c r="Q201">
        <v>584</v>
      </c>
      <c r="R201">
        <v>200</v>
      </c>
    </row>
    <row r="202" spans="1:18">
      <c r="A202" s="1" t="s">
        <v>164</v>
      </c>
      <c r="B202">
        <v>29</v>
      </c>
      <c r="C202">
        <v>5</v>
      </c>
      <c r="D202">
        <v>24</v>
      </c>
      <c r="E202">
        <v>-6.03</v>
      </c>
      <c r="F202">
        <v>1742</v>
      </c>
      <c r="G202">
        <v>623</v>
      </c>
      <c r="H202">
        <v>1656</v>
      </c>
      <c r="I202">
        <v>235</v>
      </c>
      <c r="J202">
        <v>385</v>
      </c>
      <c r="K202">
        <v>260</v>
      </c>
      <c r="L202">
        <v>986</v>
      </c>
      <c r="M202">
        <v>325</v>
      </c>
      <c r="N202">
        <v>116</v>
      </c>
      <c r="O202">
        <v>53</v>
      </c>
      <c r="P202">
        <v>356</v>
      </c>
      <c r="Q202">
        <v>533</v>
      </c>
      <c r="R202">
        <v>201</v>
      </c>
    </row>
    <row r="203" spans="1:18">
      <c r="A203" s="1" t="s">
        <v>165</v>
      </c>
      <c r="B203">
        <v>35</v>
      </c>
      <c r="C203">
        <v>30</v>
      </c>
      <c r="D203">
        <v>5</v>
      </c>
      <c r="E203">
        <v>-2.38</v>
      </c>
      <c r="F203">
        <v>2734</v>
      </c>
      <c r="G203">
        <v>962</v>
      </c>
      <c r="H203">
        <v>2092</v>
      </c>
      <c r="I203">
        <v>484</v>
      </c>
      <c r="J203">
        <v>714</v>
      </c>
      <c r="K203">
        <v>445</v>
      </c>
      <c r="L203">
        <v>1343</v>
      </c>
      <c r="M203">
        <v>514</v>
      </c>
      <c r="N203">
        <v>197</v>
      </c>
      <c r="O203">
        <v>91</v>
      </c>
      <c r="P203">
        <v>419</v>
      </c>
      <c r="Q203">
        <v>632</v>
      </c>
      <c r="R203">
        <v>202</v>
      </c>
    </row>
    <row r="204" spans="1:18">
      <c r="A204" s="1" t="s">
        <v>166</v>
      </c>
      <c r="B204">
        <v>32</v>
      </c>
      <c r="C204">
        <v>14</v>
      </c>
      <c r="D204">
        <v>18</v>
      </c>
      <c r="E204">
        <v>1.61</v>
      </c>
      <c r="F204">
        <v>2443</v>
      </c>
      <c r="G204">
        <v>814</v>
      </c>
      <c r="H204">
        <v>1927</v>
      </c>
      <c r="I204">
        <v>523</v>
      </c>
      <c r="J204">
        <v>745</v>
      </c>
      <c r="K204">
        <v>351</v>
      </c>
      <c r="L204">
        <v>1199</v>
      </c>
      <c r="M204">
        <v>446</v>
      </c>
      <c r="N204">
        <v>220</v>
      </c>
      <c r="O204">
        <v>107</v>
      </c>
      <c r="P204">
        <v>455</v>
      </c>
      <c r="Q204">
        <v>627</v>
      </c>
      <c r="R204">
        <v>203</v>
      </c>
    </row>
    <row r="205" spans="1:18">
      <c r="A205" s="1" t="s">
        <v>167</v>
      </c>
      <c r="B205">
        <v>33</v>
      </c>
      <c r="C205">
        <v>19</v>
      </c>
      <c r="D205">
        <v>14</v>
      </c>
      <c r="E205">
        <v>-6.47</v>
      </c>
      <c r="F205">
        <v>2384</v>
      </c>
      <c r="G205">
        <v>862</v>
      </c>
      <c r="H205">
        <v>1941</v>
      </c>
      <c r="I205">
        <v>471</v>
      </c>
      <c r="J205">
        <v>681</v>
      </c>
      <c r="K205">
        <v>393</v>
      </c>
      <c r="L205">
        <v>1166</v>
      </c>
      <c r="M205">
        <v>497</v>
      </c>
      <c r="N205">
        <v>285</v>
      </c>
      <c r="O205">
        <v>134</v>
      </c>
      <c r="P205">
        <v>517</v>
      </c>
      <c r="Q205">
        <v>631</v>
      </c>
      <c r="R205">
        <v>204</v>
      </c>
    </row>
    <row r="206" spans="1:18">
      <c r="A206" s="1" t="s">
        <v>168</v>
      </c>
      <c r="B206">
        <v>32</v>
      </c>
      <c r="C206">
        <v>13</v>
      </c>
      <c r="D206">
        <v>19</v>
      </c>
      <c r="E206">
        <v>-7.77</v>
      </c>
      <c r="F206">
        <v>2318</v>
      </c>
      <c r="G206">
        <v>795</v>
      </c>
      <c r="H206">
        <v>1887</v>
      </c>
      <c r="I206">
        <v>463</v>
      </c>
      <c r="J206">
        <v>629</v>
      </c>
      <c r="K206">
        <v>315</v>
      </c>
      <c r="L206">
        <v>1143</v>
      </c>
      <c r="M206">
        <v>343</v>
      </c>
      <c r="N206">
        <v>128</v>
      </c>
      <c r="O206">
        <v>127</v>
      </c>
      <c r="P206">
        <v>390</v>
      </c>
      <c r="Q206">
        <v>511</v>
      </c>
      <c r="R206">
        <v>205</v>
      </c>
    </row>
    <row r="207" spans="1:18">
      <c r="A207" s="1" t="s">
        <v>169</v>
      </c>
      <c r="B207">
        <v>31</v>
      </c>
      <c r="C207">
        <v>14</v>
      </c>
      <c r="D207">
        <v>17</v>
      </c>
      <c r="E207">
        <v>-6.98</v>
      </c>
      <c r="F207">
        <v>2260</v>
      </c>
      <c r="G207">
        <v>807</v>
      </c>
      <c r="H207">
        <v>1914</v>
      </c>
      <c r="I207">
        <v>322</v>
      </c>
      <c r="J207">
        <v>418</v>
      </c>
      <c r="K207">
        <v>280</v>
      </c>
      <c r="L207">
        <v>1041</v>
      </c>
      <c r="M207">
        <v>428</v>
      </c>
      <c r="N207">
        <v>208</v>
      </c>
      <c r="O207">
        <v>128</v>
      </c>
      <c r="P207">
        <v>386</v>
      </c>
      <c r="Q207">
        <v>587</v>
      </c>
      <c r="R207">
        <v>206</v>
      </c>
    </row>
    <row r="208" spans="1:18">
      <c r="A208" s="1" t="s">
        <v>337</v>
      </c>
      <c r="B208">
        <v>35</v>
      </c>
      <c r="C208">
        <v>22</v>
      </c>
      <c r="D208">
        <v>13</v>
      </c>
      <c r="E208">
        <v>-4.74</v>
      </c>
      <c r="F208">
        <v>2472</v>
      </c>
      <c r="G208">
        <v>849</v>
      </c>
      <c r="H208">
        <v>1913</v>
      </c>
      <c r="I208">
        <v>528</v>
      </c>
      <c r="J208">
        <v>732</v>
      </c>
      <c r="K208">
        <v>250</v>
      </c>
      <c r="L208">
        <v>1178</v>
      </c>
      <c r="M208">
        <v>376</v>
      </c>
      <c r="N208">
        <v>223</v>
      </c>
      <c r="O208">
        <v>94</v>
      </c>
      <c r="P208">
        <v>421</v>
      </c>
      <c r="Q208">
        <v>582</v>
      </c>
      <c r="R208">
        <v>207</v>
      </c>
    </row>
    <row r="209" spans="1:18">
      <c r="A209" s="1" t="s">
        <v>170</v>
      </c>
      <c r="B209">
        <v>36</v>
      </c>
      <c r="C209">
        <v>22</v>
      </c>
      <c r="D209">
        <v>14</v>
      </c>
      <c r="E209">
        <v>-8.74</v>
      </c>
      <c r="F209">
        <v>2652</v>
      </c>
      <c r="G209">
        <v>900</v>
      </c>
      <c r="H209">
        <v>2079</v>
      </c>
      <c r="I209">
        <v>570</v>
      </c>
      <c r="J209">
        <v>803</v>
      </c>
      <c r="K209">
        <v>366</v>
      </c>
      <c r="L209">
        <v>1318</v>
      </c>
      <c r="M209">
        <v>457</v>
      </c>
      <c r="N209">
        <v>219</v>
      </c>
      <c r="O209">
        <v>154</v>
      </c>
      <c r="P209">
        <v>523</v>
      </c>
      <c r="Q209">
        <v>763</v>
      </c>
      <c r="R209">
        <v>208</v>
      </c>
    </row>
    <row r="210" spans="1:18">
      <c r="A210" s="1" t="s">
        <v>369</v>
      </c>
      <c r="B210">
        <v>32</v>
      </c>
      <c r="C210">
        <v>10</v>
      </c>
      <c r="D210">
        <v>22</v>
      </c>
      <c r="E210">
        <v>-1.69</v>
      </c>
      <c r="F210">
        <v>2145</v>
      </c>
      <c r="G210">
        <v>744</v>
      </c>
      <c r="H210">
        <v>1914</v>
      </c>
      <c r="I210">
        <v>417</v>
      </c>
      <c r="J210">
        <v>619</v>
      </c>
      <c r="K210">
        <v>351</v>
      </c>
      <c r="L210">
        <v>1170</v>
      </c>
      <c r="M210">
        <v>334</v>
      </c>
      <c r="N210">
        <v>209</v>
      </c>
      <c r="O210">
        <v>74</v>
      </c>
      <c r="P210">
        <v>435</v>
      </c>
      <c r="Q210">
        <v>614</v>
      </c>
      <c r="R210">
        <v>209</v>
      </c>
    </row>
    <row r="211" spans="1:18">
      <c r="A211" s="1" t="s">
        <v>171</v>
      </c>
      <c r="B211">
        <v>31</v>
      </c>
      <c r="C211">
        <v>4</v>
      </c>
      <c r="D211">
        <v>27</v>
      </c>
      <c r="E211">
        <v>-2.35</v>
      </c>
      <c r="F211">
        <v>1857</v>
      </c>
      <c r="G211">
        <v>655</v>
      </c>
      <c r="H211">
        <v>1627</v>
      </c>
      <c r="I211">
        <v>324</v>
      </c>
      <c r="J211">
        <v>437</v>
      </c>
      <c r="K211">
        <v>298</v>
      </c>
      <c r="L211">
        <v>931</v>
      </c>
      <c r="M211">
        <v>331</v>
      </c>
      <c r="N211">
        <v>196</v>
      </c>
      <c r="O211">
        <v>86</v>
      </c>
      <c r="P211">
        <v>456</v>
      </c>
      <c r="Q211">
        <v>533</v>
      </c>
      <c r="R211">
        <v>210</v>
      </c>
    </row>
    <row r="212" spans="1:18">
      <c r="A212" s="1" t="s">
        <v>172</v>
      </c>
      <c r="B212">
        <v>32</v>
      </c>
      <c r="C212">
        <v>19</v>
      </c>
      <c r="D212">
        <v>13</v>
      </c>
      <c r="E212">
        <v>-9.8800000000000008</v>
      </c>
      <c r="F212">
        <v>2241</v>
      </c>
      <c r="G212">
        <v>825</v>
      </c>
      <c r="H212">
        <v>1797</v>
      </c>
      <c r="I212">
        <v>364</v>
      </c>
      <c r="J212">
        <v>548</v>
      </c>
      <c r="K212">
        <v>291</v>
      </c>
      <c r="L212">
        <v>1059</v>
      </c>
      <c r="M212">
        <v>452</v>
      </c>
      <c r="N212">
        <v>215</v>
      </c>
      <c r="O212">
        <v>108</v>
      </c>
      <c r="P212">
        <v>417</v>
      </c>
      <c r="Q212">
        <v>514</v>
      </c>
      <c r="R212">
        <v>211</v>
      </c>
    </row>
    <row r="213" spans="1:18">
      <c r="A213" s="1" t="s">
        <v>349</v>
      </c>
      <c r="B213">
        <v>34</v>
      </c>
      <c r="C213">
        <v>18</v>
      </c>
      <c r="D213">
        <v>16</v>
      </c>
      <c r="E213">
        <v>-11.24</v>
      </c>
      <c r="F213">
        <v>2429</v>
      </c>
      <c r="G213">
        <v>874</v>
      </c>
      <c r="H213">
        <v>1922</v>
      </c>
      <c r="I213">
        <v>460</v>
      </c>
      <c r="J213">
        <v>641</v>
      </c>
      <c r="K213">
        <v>399</v>
      </c>
      <c r="L213">
        <v>1265</v>
      </c>
      <c r="M213">
        <v>526</v>
      </c>
      <c r="N213">
        <v>207</v>
      </c>
      <c r="O213">
        <v>93</v>
      </c>
      <c r="P213">
        <v>515</v>
      </c>
      <c r="Q213">
        <v>610</v>
      </c>
      <c r="R213">
        <v>212</v>
      </c>
    </row>
    <row r="214" spans="1:18">
      <c r="A214" s="1" t="s">
        <v>173</v>
      </c>
      <c r="B214">
        <v>36</v>
      </c>
      <c r="C214">
        <v>29</v>
      </c>
      <c r="D214">
        <v>7</v>
      </c>
      <c r="E214">
        <v>-0.9</v>
      </c>
      <c r="F214">
        <v>2738</v>
      </c>
      <c r="G214">
        <v>997</v>
      </c>
      <c r="H214">
        <v>2184</v>
      </c>
      <c r="I214">
        <v>464</v>
      </c>
      <c r="J214">
        <v>666</v>
      </c>
      <c r="K214">
        <v>399</v>
      </c>
      <c r="L214">
        <v>1251</v>
      </c>
      <c r="M214">
        <v>453</v>
      </c>
      <c r="N214">
        <v>315</v>
      </c>
      <c r="O214">
        <v>140</v>
      </c>
      <c r="P214">
        <v>423</v>
      </c>
      <c r="Q214">
        <v>631</v>
      </c>
      <c r="R214">
        <v>213</v>
      </c>
    </row>
    <row r="215" spans="1:18">
      <c r="A215" s="1" t="s">
        <v>174</v>
      </c>
      <c r="B215">
        <v>36</v>
      </c>
      <c r="C215">
        <v>24</v>
      </c>
      <c r="D215">
        <v>12</v>
      </c>
      <c r="E215">
        <v>6.22</v>
      </c>
      <c r="F215">
        <v>2882</v>
      </c>
      <c r="G215">
        <v>1061</v>
      </c>
      <c r="H215">
        <v>2319</v>
      </c>
      <c r="I215">
        <v>468</v>
      </c>
      <c r="J215">
        <v>661</v>
      </c>
      <c r="K215">
        <v>486</v>
      </c>
      <c r="L215">
        <v>1390</v>
      </c>
      <c r="M215">
        <v>539</v>
      </c>
      <c r="N215">
        <v>257</v>
      </c>
      <c r="O215">
        <v>138</v>
      </c>
      <c r="P215">
        <v>449</v>
      </c>
      <c r="Q215">
        <v>691</v>
      </c>
      <c r="R215">
        <v>214</v>
      </c>
    </row>
    <row r="216" spans="1:18">
      <c r="A216" s="1" t="s">
        <v>286</v>
      </c>
      <c r="B216">
        <v>33</v>
      </c>
      <c r="C216">
        <v>10</v>
      </c>
      <c r="D216">
        <v>23</v>
      </c>
      <c r="E216">
        <v>-2.04</v>
      </c>
      <c r="F216">
        <v>2515</v>
      </c>
      <c r="G216">
        <v>880</v>
      </c>
      <c r="H216">
        <v>1986</v>
      </c>
      <c r="I216">
        <v>493</v>
      </c>
      <c r="J216">
        <v>673</v>
      </c>
      <c r="K216">
        <v>387</v>
      </c>
      <c r="L216">
        <v>1221</v>
      </c>
      <c r="M216">
        <v>495</v>
      </c>
      <c r="N216">
        <v>150</v>
      </c>
      <c r="O216">
        <v>68</v>
      </c>
      <c r="P216">
        <v>436</v>
      </c>
      <c r="Q216">
        <v>585</v>
      </c>
      <c r="R216">
        <v>215</v>
      </c>
    </row>
    <row r="217" spans="1:18">
      <c r="A217" s="1" t="s">
        <v>312</v>
      </c>
      <c r="B217">
        <v>36</v>
      </c>
      <c r="C217">
        <v>29</v>
      </c>
      <c r="D217">
        <v>7</v>
      </c>
      <c r="E217">
        <v>11.35</v>
      </c>
      <c r="F217">
        <v>3089</v>
      </c>
      <c r="G217">
        <v>1118</v>
      </c>
      <c r="H217">
        <v>2410</v>
      </c>
      <c r="I217">
        <v>541</v>
      </c>
      <c r="J217">
        <v>728</v>
      </c>
      <c r="K217">
        <v>477</v>
      </c>
      <c r="L217">
        <v>1589</v>
      </c>
      <c r="M217">
        <v>678</v>
      </c>
      <c r="N217">
        <v>252</v>
      </c>
      <c r="O217">
        <v>120</v>
      </c>
      <c r="P217">
        <v>473</v>
      </c>
      <c r="Q217">
        <v>611</v>
      </c>
      <c r="R217">
        <v>216</v>
      </c>
    </row>
    <row r="218" spans="1:18">
      <c r="A218" s="1" t="s">
        <v>338</v>
      </c>
      <c r="B218">
        <v>35</v>
      </c>
      <c r="C218">
        <v>19</v>
      </c>
      <c r="D218">
        <v>16</v>
      </c>
      <c r="E218">
        <v>-2.0699999999999998</v>
      </c>
      <c r="F218">
        <v>2556</v>
      </c>
      <c r="G218">
        <v>874</v>
      </c>
      <c r="H218">
        <v>1926</v>
      </c>
      <c r="I218">
        <v>476</v>
      </c>
      <c r="J218">
        <v>613</v>
      </c>
      <c r="K218">
        <v>229</v>
      </c>
      <c r="L218">
        <v>1105</v>
      </c>
      <c r="M218">
        <v>402</v>
      </c>
      <c r="N218">
        <v>160</v>
      </c>
      <c r="O218">
        <v>87</v>
      </c>
      <c r="P218">
        <v>368</v>
      </c>
      <c r="Q218">
        <v>523</v>
      </c>
      <c r="R218">
        <v>217</v>
      </c>
    </row>
    <row r="219" spans="1:18">
      <c r="A219" s="1" t="s">
        <v>357</v>
      </c>
      <c r="B219">
        <v>30</v>
      </c>
      <c r="C219">
        <v>12</v>
      </c>
      <c r="D219">
        <v>18</v>
      </c>
      <c r="E219">
        <v>-3.55</v>
      </c>
      <c r="F219">
        <v>2220</v>
      </c>
      <c r="G219">
        <v>822</v>
      </c>
      <c r="H219">
        <v>1771</v>
      </c>
      <c r="I219">
        <v>335</v>
      </c>
      <c r="J219">
        <v>482</v>
      </c>
      <c r="K219">
        <v>233</v>
      </c>
      <c r="L219">
        <v>1009</v>
      </c>
      <c r="M219">
        <v>398</v>
      </c>
      <c r="N219">
        <v>171</v>
      </c>
      <c r="O219">
        <v>87</v>
      </c>
      <c r="P219">
        <v>380</v>
      </c>
      <c r="Q219">
        <v>485</v>
      </c>
      <c r="R219">
        <v>218</v>
      </c>
    </row>
    <row r="220" spans="1:18">
      <c r="A220" s="1" t="s">
        <v>339</v>
      </c>
      <c r="B220">
        <v>33</v>
      </c>
      <c r="C220">
        <v>16</v>
      </c>
      <c r="D220">
        <v>17</v>
      </c>
      <c r="E220">
        <v>-0.7</v>
      </c>
      <c r="F220">
        <v>2485</v>
      </c>
      <c r="G220">
        <v>902</v>
      </c>
      <c r="H220">
        <v>2014</v>
      </c>
      <c r="I220">
        <v>373</v>
      </c>
      <c r="J220">
        <v>539</v>
      </c>
      <c r="K220">
        <v>363</v>
      </c>
      <c r="L220">
        <v>1252</v>
      </c>
      <c r="M220">
        <v>520</v>
      </c>
      <c r="N220">
        <v>212</v>
      </c>
      <c r="O220">
        <v>165</v>
      </c>
      <c r="P220">
        <v>536</v>
      </c>
      <c r="Q220">
        <v>573</v>
      </c>
      <c r="R220">
        <v>219</v>
      </c>
    </row>
    <row r="221" spans="1:18">
      <c r="A221" s="1" t="s">
        <v>175</v>
      </c>
      <c r="B221">
        <v>33</v>
      </c>
      <c r="C221">
        <v>21</v>
      </c>
      <c r="D221">
        <v>12</v>
      </c>
      <c r="E221">
        <v>-3.48</v>
      </c>
      <c r="F221">
        <v>2302</v>
      </c>
      <c r="G221">
        <v>831</v>
      </c>
      <c r="H221">
        <v>1910</v>
      </c>
      <c r="I221">
        <v>356</v>
      </c>
      <c r="J221">
        <v>532</v>
      </c>
      <c r="K221">
        <v>368</v>
      </c>
      <c r="L221">
        <v>1244</v>
      </c>
      <c r="M221">
        <v>428</v>
      </c>
      <c r="N221">
        <v>210</v>
      </c>
      <c r="O221">
        <v>88</v>
      </c>
      <c r="P221">
        <v>443</v>
      </c>
      <c r="Q221">
        <v>589</v>
      </c>
      <c r="R221">
        <v>220</v>
      </c>
    </row>
    <row r="222" spans="1:18">
      <c r="A222" s="1" t="s">
        <v>176</v>
      </c>
      <c r="B222">
        <v>34</v>
      </c>
      <c r="C222">
        <v>23</v>
      </c>
      <c r="D222">
        <v>11</v>
      </c>
      <c r="E222">
        <v>-0.7</v>
      </c>
      <c r="F222">
        <v>2564</v>
      </c>
      <c r="G222">
        <v>880</v>
      </c>
      <c r="H222">
        <v>1848</v>
      </c>
      <c r="I222">
        <v>476</v>
      </c>
      <c r="J222">
        <v>634</v>
      </c>
      <c r="K222">
        <v>237</v>
      </c>
      <c r="L222">
        <v>1075</v>
      </c>
      <c r="M222">
        <v>480</v>
      </c>
      <c r="N222">
        <v>211</v>
      </c>
      <c r="O222">
        <v>74</v>
      </c>
      <c r="P222">
        <v>381</v>
      </c>
      <c r="Q222">
        <v>539</v>
      </c>
      <c r="R222">
        <v>221</v>
      </c>
    </row>
    <row r="223" spans="1:18">
      <c r="A223" s="1" t="s">
        <v>287</v>
      </c>
      <c r="B223">
        <v>31</v>
      </c>
      <c r="C223">
        <v>10</v>
      </c>
      <c r="D223">
        <v>21</v>
      </c>
      <c r="E223">
        <v>-6.23</v>
      </c>
      <c r="F223">
        <v>2262</v>
      </c>
      <c r="G223">
        <v>785</v>
      </c>
      <c r="H223">
        <v>1819</v>
      </c>
      <c r="I223">
        <v>433</v>
      </c>
      <c r="J223">
        <v>614</v>
      </c>
      <c r="K223">
        <v>290</v>
      </c>
      <c r="L223">
        <v>1055</v>
      </c>
      <c r="M223">
        <v>381</v>
      </c>
      <c r="N223">
        <v>196</v>
      </c>
      <c r="O223">
        <v>65</v>
      </c>
      <c r="P223">
        <v>372</v>
      </c>
      <c r="Q223">
        <v>537</v>
      </c>
      <c r="R223">
        <v>222</v>
      </c>
    </row>
    <row r="224" spans="1:18">
      <c r="A224" s="1" t="s">
        <v>333</v>
      </c>
      <c r="B224">
        <v>32</v>
      </c>
      <c r="C224">
        <v>21</v>
      </c>
      <c r="D224">
        <v>11</v>
      </c>
      <c r="E224">
        <v>-6.76</v>
      </c>
      <c r="F224">
        <v>2450</v>
      </c>
      <c r="G224">
        <v>849</v>
      </c>
      <c r="H224">
        <v>1837</v>
      </c>
      <c r="I224">
        <v>445</v>
      </c>
      <c r="J224">
        <v>633</v>
      </c>
      <c r="K224">
        <v>309</v>
      </c>
      <c r="L224">
        <v>1128</v>
      </c>
      <c r="M224">
        <v>422</v>
      </c>
      <c r="N224">
        <v>176</v>
      </c>
      <c r="O224">
        <v>101</v>
      </c>
      <c r="P224">
        <v>398</v>
      </c>
      <c r="Q224">
        <v>538</v>
      </c>
      <c r="R224">
        <v>223</v>
      </c>
    </row>
    <row r="225" spans="1:18">
      <c r="A225" s="1" t="s">
        <v>177</v>
      </c>
      <c r="B225">
        <v>34</v>
      </c>
      <c r="C225">
        <v>17</v>
      </c>
      <c r="D225">
        <v>17</v>
      </c>
      <c r="E225">
        <v>1.1100000000000001</v>
      </c>
      <c r="F225">
        <v>2506</v>
      </c>
      <c r="G225">
        <v>940</v>
      </c>
      <c r="H225">
        <v>1995</v>
      </c>
      <c r="I225">
        <v>397</v>
      </c>
      <c r="J225">
        <v>543</v>
      </c>
      <c r="K225">
        <v>304</v>
      </c>
      <c r="L225">
        <v>1179</v>
      </c>
      <c r="M225">
        <v>374</v>
      </c>
      <c r="N225">
        <v>188</v>
      </c>
      <c r="O225">
        <v>75</v>
      </c>
      <c r="P225">
        <v>404</v>
      </c>
      <c r="Q225">
        <v>653</v>
      </c>
      <c r="R225">
        <v>224</v>
      </c>
    </row>
    <row r="226" spans="1:18">
      <c r="A226" s="1" t="s">
        <v>178</v>
      </c>
      <c r="B226">
        <v>34</v>
      </c>
      <c r="C226">
        <v>16</v>
      </c>
      <c r="D226">
        <v>18</v>
      </c>
      <c r="E226">
        <v>0.62</v>
      </c>
      <c r="F226">
        <v>2215</v>
      </c>
      <c r="G226">
        <v>769</v>
      </c>
      <c r="H226">
        <v>1847</v>
      </c>
      <c r="I226">
        <v>401</v>
      </c>
      <c r="J226">
        <v>537</v>
      </c>
      <c r="K226">
        <v>262</v>
      </c>
      <c r="L226">
        <v>1115</v>
      </c>
      <c r="M226">
        <v>370</v>
      </c>
      <c r="N226">
        <v>165</v>
      </c>
      <c r="O226">
        <v>75</v>
      </c>
      <c r="P226">
        <v>393</v>
      </c>
      <c r="Q226">
        <v>554</v>
      </c>
      <c r="R226">
        <v>225</v>
      </c>
    </row>
    <row r="227" spans="1:18">
      <c r="A227" s="1" t="s">
        <v>361</v>
      </c>
      <c r="B227">
        <v>35</v>
      </c>
      <c r="C227">
        <v>26</v>
      </c>
      <c r="D227">
        <v>9</v>
      </c>
      <c r="E227">
        <v>-2.39</v>
      </c>
      <c r="F227">
        <v>2747</v>
      </c>
      <c r="G227">
        <v>979</v>
      </c>
      <c r="H227">
        <v>2047</v>
      </c>
      <c r="I227">
        <v>483</v>
      </c>
      <c r="J227">
        <v>725</v>
      </c>
      <c r="K227">
        <v>364</v>
      </c>
      <c r="L227">
        <v>1298</v>
      </c>
      <c r="M227">
        <v>592</v>
      </c>
      <c r="N227">
        <v>218</v>
      </c>
      <c r="O227">
        <v>139</v>
      </c>
      <c r="P227">
        <v>441</v>
      </c>
      <c r="Q227">
        <v>664</v>
      </c>
      <c r="R227">
        <v>226</v>
      </c>
    </row>
    <row r="228" spans="1:18">
      <c r="A228" s="1" t="s">
        <v>179</v>
      </c>
      <c r="B228">
        <v>31</v>
      </c>
      <c r="C228">
        <v>11</v>
      </c>
      <c r="D228">
        <v>20</v>
      </c>
      <c r="E228">
        <v>-5.99</v>
      </c>
      <c r="F228">
        <v>2051</v>
      </c>
      <c r="G228">
        <v>725</v>
      </c>
      <c r="H228">
        <v>1790</v>
      </c>
      <c r="I228">
        <v>411</v>
      </c>
      <c r="J228">
        <v>604</v>
      </c>
      <c r="K228">
        <v>352</v>
      </c>
      <c r="L228">
        <v>1103</v>
      </c>
      <c r="M228">
        <v>340</v>
      </c>
      <c r="N228">
        <v>192</v>
      </c>
      <c r="O228">
        <v>138</v>
      </c>
      <c r="P228">
        <v>496</v>
      </c>
      <c r="Q228">
        <v>578</v>
      </c>
      <c r="R228">
        <v>227</v>
      </c>
    </row>
    <row r="229" spans="1:18">
      <c r="A229" s="1" t="s">
        <v>180</v>
      </c>
      <c r="B229">
        <v>32</v>
      </c>
      <c r="C229">
        <v>13</v>
      </c>
      <c r="D229">
        <v>19</v>
      </c>
      <c r="E229">
        <v>9.16</v>
      </c>
      <c r="F229">
        <v>2108</v>
      </c>
      <c r="G229">
        <v>735</v>
      </c>
      <c r="H229">
        <v>1827</v>
      </c>
      <c r="I229">
        <v>405</v>
      </c>
      <c r="J229">
        <v>551</v>
      </c>
      <c r="K229">
        <v>278</v>
      </c>
      <c r="L229">
        <v>1086</v>
      </c>
      <c r="M229">
        <v>451</v>
      </c>
      <c r="N229">
        <v>176</v>
      </c>
      <c r="O229">
        <v>134</v>
      </c>
      <c r="P229">
        <v>349</v>
      </c>
      <c r="Q229">
        <v>583</v>
      </c>
      <c r="R229">
        <v>228</v>
      </c>
    </row>
    <row r="230" spans="1:18">
      <c r="A230" s="1" t="s">
        <v>181</v>
      </c>
      <c r="B230">
        <v>33</v>
      </c>
      <c r="C230">
        <v>14</v>
      </c>
      <c r="D230">
        <v>19</v>
      </c>
      <c r="E230">
        <v>8.2799999999999994</v>
      </c>
      <c r="F230">
        <v>2266</v>
      </c>
      <c r="G230">
        <v>776</v>
      </c>
      <c r="H230">
        <v>1973</v>
      </c>
      <c r="I230">
        <v>442</v>
      </c>
      <c r="J230">
        <v>594</v>
      </c>
      <c r="K230">
        <v>370</v>
      </c>
      <c r="L230">
        <v>1208</v>
      </c>
      <c r="M230">
        <v>423</v>
      </c>
      <c r="N230">
        <v>179</v>
      </c>
      <c r="O230">
        <v>148</v>
      </c>
      <c r="P230">
        <v>306</v>
      </c>
      <c r="Q230">
        <v>455</v>
      </c>
      <c r="R230">
        <v>229</v>
      </c>
    </row>
    <row r="231" spans="1:18">
      <c r="A231" s="1" t="s">
        <v>182</v>
      </c>
      <c r="B231">
        <v>33</v>
      </c>
      <c r="C231">
        <v>16</v>
      </c>
      <c r="D231">
        <v>17</v>
      </c>
      <c r="E231">
        <v>-1.48</v>
      </c>
      <c r="F231">
        <v>2534</v>
      </c>
      <c r="G231">
        <v>864</v>
      </c>
      <c r="H231">
        <v>1859</v>
      </c>
      <c r="I231">
        <v>492</v>
      </c>
      <c r="J231">
        <v>663</v>
      </c>
      <c r="K231">
        <v>275</v>
      </c>
      <c r="L231">
        <v>1063</v>
      </c>
      <c r="M231">
        <v>580</v>
      </c>
      <c r="N231">
        <v>191</v>
      </c>
      <c r="O231">
        <v>99</v>
      </c>
      <c r="P231">
        <v>426</v>
      </c>
      <c r="Q231">
        <v>534</v>
      </c>
      <c r="R231">
        <v>230</v>
      </c>
    </row>
    <row r="232" spans="1:18">
      <c r="A232" s="1" t="s">
        <v>321</v>
      </c>
      <c r="B232">
        <v>35</v>
      </c>
      <c r="C232">
        <v>20</v>
      </c>
      <c r="D232">
        <v>15</v>
      </c>
      <c r="E232">
        <v>11</v>
      </c>
      <c r="F232">
        <v>2419</v>
      </c>
      <c r="G232">
        <v>839</v>
      </c>
      <c r="H232">
        <v>1931</v>
      </c>
      <c r="I232">
        <v>477</v>
      </c>
      <c r="J232">
        <v>650</v>
      </c>
      <c r="K232">
        <v>328</v>
      </c>
      <c r="L232">
        <v>1215</v>
      </c>
      <c r="M232">
        <v>494</v>
      </c>
      <c r="N232">
        <v>206</v>
      </c>
      <c r="O232">
        <v>85</v>
      </c>
      <c r="P232">
        <v>438</v>
      </c>
      <c r="Q232">
        <v>623</v>
      </c>
      <c r="R232">
        <v>231</v>
      </c>
    </row>
    <row r="233" spans="1:18">
      <c r="A233" s="1" t="s">
        <v>183</v>
      </c>
      <c r="B233">
        <v>31</v>
      </c>
      <c r="C233">
        <v>14</v>
      </c>
      <c r="D233">
        <v>17</v>
      </c>
      <c r="E233">
        <v>3.16</v>
      </c>
      <c r="F233">
        <v>2174</v>
      </c>
      <c r="G233">
        <v>803</v>
      </c>
      <c r="H233">
        <v>1838</v>
      </c>
      <c r="I233">
        <v>381</v>
      </c>
      <c r="J233">
        <v>602</v>
      </c>
      <c r="K233">
        <v>332</v>
      </c>
      <c r="L233">
        <v>1152</v>
      </c>
      <c r="M233">
        <v>451</v>
      </c>
      <c r="N233">
        <v>200</v>
      </c>
      <c r="O233">
        <v>115</v>
      </c>
      <c r="P233">
        <v>448</v>
      </c>
      <c r="Q233">
        <v>504</v>
      </c>
      <c r="R233">
        <v>232</v>
      </c>
    </row>
    <row r="234" spans="1:18">
      <c r="A234" s="1" t="s">
        <v>340</v>
      </c>
      <c r="B234">
        <v>32</v>
      </c>
      <c r="C234">
        <v>12</v>
      </c>
      <c r="D234">
        <v>20</v>
      </c>
      <c r="E234">
        <v>11.53</v>
      </c>
      <c r="F234">
        <v>2178</v>
      </c>
      <c r="G234">
        <v>760</v>
      </c>
      <c r="H234">
        <v>1796</v>
      </c>
      <c r="I234">
        <v>378</v>
      </c>
      <c r="J234">
        <v>549</v>
      </c>
      <c r="K234">
        <v>295</v>
      </c>
      <c r="L234">
        <v>1093</v>
      </c>
      <c r="M234">
        <v>422</v>
      </c>
      <c r="N234">
        <v>183</v>
      </c>
      <c r="O234">
        <v>139</v>
      </c>
      <c r="P234">
        <v>386</v>
      </c>
      <c r="Q234">
        <v>516</v>
      </c>
      <c r="R234">
        <v>233</v>
      </c>
    </row>
    <row r="235" spans="1:18">
      <c r="A235" s="1" t="s">
        <v>329</v>
      </c>
      <c r="B235">
        <v>34</v>
      </c>
      <c r="C235">
        <v>20</v>
      </c>
      <c r="D235">
        <v>14</v>
      </c>
      <c r="E235">
        <v>12.21</v>
      </c>
      <c r="F235">
        <v>2423</v>
      </c>
      <c r="G235">
        <v>883</v>
      </c>
      <c r="H235">
        <v>1975</v>
      </c>
      <c r="I235">
        <v>431</v>
      </c>
      <c r="J235">
        <v>618</v>
      </c>
      <c r="K235">
        <v>305</v>
      </c>
      <c r="L235">
        <v>1263</v>
      </c>
      <c r="M235">
        <v>430</v>
      </c>
      <c r="N235">
        <v>203</v>
      </c>
      <c r="O235">
        <v>102</v>
      </c>
      <c r="P235">
        <v>401</v>
      </c>
      <c r="Q235">
        <v>527</v>
      </c>
      <c r="R235">
        <v>234</v>
      </c>
    </row>
    <row r="236" spans="1:18">
      <c r="A236" s="1" t="s">
        <v>184</v>
      </c>
      <c r="B236">
        <v>35</v>
      </c>
      <c r="C236">
        <v>26</v>
      </c>
      <c r="D236">
        <v>9</v>
      </c>
      <c r="E236">
        <v>-1.18</v>
      </c>
      <c r="F236">
        <v>2300</v>
      </c>
      <c r="G236">
        <v>823</v>
      </c>
      <c r="H236">
        <v>2026</v>
      </c>
      <c r="I236">
        <v>388</v>
      </c>
      <c r="J236">
        <v>585</v>
      </c>
      <c r="K236">
        <v>418</v>
      </c>
      <c r="L236">
        <v>1365</v>
      </c>
      <c r="M236">
        <v>439</v>
      </c>
      <c r="N236">
        <v>197</v>
      </c>
      <c r="O236">
        <v>160</v>
      </c>
      <c r="P236">
        <v>408</v>
      </c>
      <c r="Q236">
        <v>580</v>
      </c>
      <c r="R236">
        <v>235</v>
      </c>
    </row>
    <row r="237" spans="1:18">
      <c r="A237" s="1" t="s">
        <v>185</v>
      </c>
      <c r="B237">
        <v>32</v>
      </c>
      <c r="C237">
        <v>11</v>
      </c>
      <c r="D237">
        <v>21</v>
      </c>
      <c r="E237">
        <v>-1.91</v>
      </c>
      <c r="F237">
        <v>2314</v>
      </c>
      <c r="G237">
        <v>854</v>
      </c>
      <c r="H237">
        <v>1874</v>
      </c>
      <c r="I237">
        <v>340</v>
      </c>
      <c r="J237">
        <v>492</v>
      </c>
      <c r="K237">
        <v>335</v>
      </c>
      <c r="L237">
        <v>1147</v>
      </c>
      <c r="M237">
        <v>434</v>
      </c>
      <c r="N237">
        <v>152</v>
      </c>
      <c r="O237">
        <v>107</v>
      </c>
      <c r="P237">
        <v>447</v>
      </c>
      <c r="Q237">
        <v>575</v>
      </c>
      <c r="R237">
        <v>236</v>
      </c>
    </row>
    <row r="238" spans="1:18">
      <c r="A238" s="1" t="s">
        <v>186</v>
      </c>
      <c r="B238">
        <v>31</v>
      </c>
      <c r="C238">
        <v>18</v>
      </c>
      <c r="D238">
        <v>13</v>
      </c>
      <c r="E238">
        <v>4.29</v>
      </c>
      <c r="F238">
        <v>2275</v>
      </c>
      <c r="G238">
        <v>800</v>
      </c>
      <c r="H238">
        <v>1728</v>
      </c>
      <c r="I238">
        <v>472</v>
      </c>
      <c r="J238">
        <v>636</v>
      </c>
      <c r="K238">
        <v>310</v>
      </c>
      <c r="L238">
        <v>1091</v>
      </c>
      <c r="M238">
        <v>465</v>
      </c>
      <c r="N238">
        <v>185</v>
      </c>
      <c r="O238">
        <v>164</v>
      </c>
      <c r="P238">
        <v>384</v>
      </c>
      <c r="Q238">
        <v>536</v>
      </c>
      <c r="R238">
        <v>237</v>
      </c>
    </row>
    <row r="239" spans="1:18">
      <c r="A239" s="1" t="s">
        <v>288</v>
      </c>
      <c r="B239">
        <v>38</v>
      </c>
      <c r="C239">
        <v>25</v>
      </c>
      <c r="D239">
        <v>13</v>
      </c>
      <c r="E239">
        <v>6.13</v>
      </c>
      <c r="F239">
        <v>2661</v>
      </c>
      <c r="G239">
        <v>958</v>
      </c>
      <c r="H239">
        <v>2126</v>
      </c>
      <c r="I239">
        <v>450</v>
      </c>
      <c r="J239">
        <v>624</v>
      </c>
      <c r="K239">
        <v>361</v>
      </c>
      <c r="L239">
        <v>1307</v>
      </c>
      <c r="M239">
        <v>501</v>
      </c>
      <c r="N239">
        <v>290</v>
      </c>
      <c r="O239">
        <v>162</v>
      </c>
      <c r="P239">
        <v>442</v>
      </c>
      <c r="Q239">
        <v>665</v>
      </c>
      <c r="R239">
        <v>238</v>
      </c>
    </row>
    <row r="240" spans="1:18">
      <c r="A240" s="1" t="s">
        <v>187</v>
      </c>
      <c r="B240">
        <v>32</v>
      </c>
      <c r="C240">
        <v>14</v>
      </c>
      <c r="D240">
        <v>18</v>
      </c>
      <c r="E240">
        <v>1.97</v>
      </c>
      <c r="F240">
        <v>2138</v>
      </c>
      <c r="G240">
        <v>710</v>
      </c>
      <c r="H240">
        <v>1681</v>
      </c>
      <c r="I240">
        <v>520</v>
      </c>
      <c r="J240">
        <v>698</v>
      </c>
      <c r="K240">
        <v>285</v>
      </c>
      <c r="L240">
        <v>1039</v>
      </c>
      <c r="M240">
        <v>325</v>
      </c>
      <c r="N240">
        <v>199</v>
      </c>
      <c r="O240">
        <v>46</v>
      </c>
      <c r="P240">
        <v>423</v>
      </c>
      <c r="Q240">
        <v>630</v>
      </c>
      <c r="R240">
        <v>239</v>
      </c>
    </row>
    <row r="241" spans="1:18">
      <c r="A241" s="1" t="s">
        <v>188</v>
      </c>
      <c r="B241">
        <v>32</v>
      </c>
      <c r="C241">
        <v>14</v>
      </c>
      <c r="D241">
        <v>18</v>
      </c>
      <c r="E241">
        <v>11.51</v>
      </c>
      <c r="F241">
        <v>2229</v>
      </c>
      <c r="G241">
        <v>791</v>
      </c>
      <c r="H241">
        <v>1898</v>
      </c>
      <c r="I241">
        <v>425</v>
      </c>
      <c r="J241">
        <v>613</v>
      </c>
      <c r="K241">
        <v>382</v>
      </c>
      <c r="L241">
        <v>1174</v>
      </c>
      <c r="M241">
        <v>389</v>
      </c>
      <c r="N241">
        <v>245</v>
      </c>
      <c r="O241">
        <v>122</v>
      </c>
      <c r="P241">
        <v>399</v>
      </c>
      <c r="Q241">
        <v>597</v>
      </c>
      <c r="R241">
        <v>240</v>
      </c>
    </row>
    <row r="242" spans="1:18">
      <c r="A242" s="1" t="s">
        <v>289</v>
      </c>
      <c r="B242">
        <v>31</v>
      </c>
      <c r="C242">
        <v>19</v>
      </c>
      <c r="D242">
        <v>12</v>
      </c>
      <c r="E242">
        <v>-0.76</v>
      </c>
      <c r="F242">
        <v>2250</v>
      </c>
      <c r="G242">
        <v>821</v>
      </c>
      <c r="H242">
        <v>1810</v>
      </c>
      <c r="I242">
        <v>326</v>
      </c>
      <c r="J242">
        <v>511</v>
      </c>
      <c r="K242">
        <v>270</v>
      </c>
      <c r="L242">
        <v>1101</v>
      </c>
      <c r="M242">
        <v>465</v>
      </c>
      <c r="N242">
        <v>210</v>
      </c>
      <c r="O242">
        <v>76</v>
      </c>
      <c r="P242">
        <v>395</v>
      </c>
      <c r="Q242">
        <v>500</v>
      </c>
      <c r="R242">
        <v>241</v>
      </c>
    </row>
    <row r="243" spans="1:18">
      <c r="A243" s="1" t="s">
        <v>290</v>
      </c>
      <c r="B243">
        <v>34</v>
      </c>
      <c r="C243">
        <v>16</v>
      </c>
      <c r="D243">
        <v>18</v>
      </c>
      <c r="E243">
        <v>0.63</v>
      </c>
      <c r="F243">
        <v>2572</v>
      </c>
      <c r="G243">
        <v>865</v>
      </c>
      <c r="H243">
        <v>1949</v>
      </c>
      <c r="I243">
        <v>529</v>
      </c>
      <c r="J243">
        <v>696</v>
      </c>
      <c r="K243">
        <v>290</v>
      </c>
      <c r="L243">
        <v>1085</v>
      </c>
      <c r="M243">
        <v>479</v>
      </c>
      <c r="N243">
        <v>229</v>
      </c>
      <c r="O243">
        <v>95</v>
      </c>
      <c r="P243">
        <v>432</v>
      </c>
      <c r="Q243">
        <v>639</v>
      </c>
      <c r="R243">
        <v>242</v>
      </c>
    </row>
    <row r="244" spans="1:18">
      <c r="A244" s="1" t="s">
        <v>189</v>
      </c>
      <c r="B244">
        <v>33</v>
      </c>
      <c r="C244">
        <v>14</v>
      </c>
      <c r="D244">
        <v>19</v>
      </c>
      <c r="E244">
        <v>6.69</v>
      </c>
      <c r="F244">
        <v>2306</v>
      </c>
      <c r="G244">
        <v>769</v>
      </c>
      <c r="H244">
        <v>1841</v>
      </c>
      <c r="I244">
        <v>543</v>
      </c>
      <c r="J244">
        <v>779</v>
      </c>
      <c r="K244">
        <v>383</v>
      </c>
      <c r="L244">
        <v>1211</v>
      </c>
      <c r="M244">
        <v>387</v>
      </c>
      <c r="N244">
        <v>227</v>
      </c>
      <c r="O244">
        <v>126</v>
      </c>
      <c r="P244">
        <v>448</v>
      </c>
      <c r="Q244">
        <v>611</v>
      </c>
      <c r="R244">
        <v>243</v>
      </c>
    </row>
    <row r="245" spans="1:18">
      <c r="A245" s="1" t="s">
        <v>190</v>
      </c>
      <c r="B245">
        <v>32</v>
      </c>
      <c r="C245">
        <v>16</v>
      </c>
      <c r="D245">
        <v>16</v>
      </c>
      <c r="E245">
        <v>-5.78</v>
      </c>
      <c r="F245">
        <v>2475</v>
      </c>
      <c r="G245">
        <v>856</v>
      </c>
      <c r="H245">
        <v>2017</v>
      </c>
      <c r="I245">
        <v>525</v>
      </c>
      <c r="J245">
        <v>748</v>
      </c>
      <c r="K245">
        <v>491</v>
      </c>
      <c r="L245">
        <v>1282</v>
      </c>
      <c r="M245">
        <v>434</v>
      </c>
      <c r="N245">
        <v>264</v>
      </c>
      <c r="O245">
        <v>130</v>
      </c>
      <c r="P245">
        <v>449</v>
      </c>
      <c r="Q245">
        <v>681</v>
      </c>
      <c r="R245">
        <v>244</v>
      </c>
    </row>
    <row r="246" spans="1:18">
      <c r="A246" s="1" t="s">
        <v>191</v>
      </c>
      <c r="B246">
        <v>32</v>
      </c>
      <c r="C246">
        <v>7</v>
      </c>
      <c r="D246">
        <v>25</v>
      </c>
      <c r="E246">
        <v>0.51</v>
      </c>
      <c r="F246">
        <v>2078</v>
      </c>
      <c r="G246">
        <v>707</v>
      </c>
      <c r="H246">
        <v>1708</v>
      </c>
      <c r="I246">
        <v>448</v>
      </c>
      <c r="J246">
        <v>668</v>
      </c>
      <c r="K246">
        <v>233</v>
      </c>
      <c r="L246">
        <v>1032</v>
      </c>
      <c r="M246">
        <v>369</v>
      </c>
      <c r="N246">
        <v>175</v>
      </c>
      <c r="O246">
        <v>123</v>
      </c>
      <c r="P246">
        <v>425</v>
      </c>
      <c r="Q246">
        <v>588</v>
      </c>
      <c r="R246">
        <v>245</v>
      </c>
    </row>
    <row r="247" spans="1:18">
      <c r="A247" s="1" t="s">
        <v>192</v>
      </c>
      <c r="B247">
        <v>35</v>
      </c>
      <c r="C247">
        <v>22</v>
      </c>
      <c r="D247">
        <v>13</v>
      </c>
      <c r="E247">
        <v>-9.17</v>
      </c>
      <c r="F247">
        <v>2627</v>
      </c>
      <c r="G247">
        <v>903</v>
      </c>
      <c r="H247">
        <v>2061</v>
      </c>
      <c r="I247">
        <v>596</v>
      </c>
      <c r="J247">
        <v>875</v>
      </c>
      <c r="K247">
        <v>392</v>
      </c>
      <c r="L247">
        <v>1151</v>
      </c>
      <c r="M247">
        <v>445</v>
      </c>
      <c r="N247">
        <v>309</v>
      </c>
      <c r="O247">
        <v>55</v>
      </c>
      <c r="P247">
        <v>445</v>
      </c>
      <c r="Q247">
        <v>758</v>
      </c>
      <c r="R247">
        <v>246</v>
      </c>
    </row>
    <row r="248" spans="1:18">
      <c r="A248" s="1" t="s">
        <v>350</v>
      </c>
      <c r="B248">
        <v>36</v>
      </c>
      <c r="C248">
        <v>20</v>
      </c>
      <c r="D248">
        <v>16</v>
      </c>
      <c r="E248">
        <v>-5.35</v>
      </c>
      <c r="F248">
        <v>2817</v>
      </c>
      <c r="G248">
        <v>966</v>
      </c>
      <c r="H248">
        <v>2150</v>
      </c>
      <c r="I248">
        <v>491</v>
      </c>
      <c r="J248">
        <v>674</v>
      </c>
      <c r="K248">
        <v>324</v>
      </c>
      <c r="L248">
        <v>1248</v>
      </c>
      <c r="M248">
        <v>565</v>
      </c>
      <c r="N248">
        <v>214</v>
      </c>
      <c r="O248">
        <v>69</v>
      </c>
      <c r="P248">
        <v>358</v>
      </c>
      <c r="Q248">
        <v>617</v>
      </c>
      <c r="R248">
        <v>247</v>
      </c>
    </row>
    <row r="249" spans="1:18">
      <c r="A249" s="1" t="s">
        <v>193</v>
      </c>
      <c r="B249">
        <v>28</v>
      </c>
      <c r="C249">
        <v>16</v>
      </c>
      <c r="D249">
        <v>12</v>
      </c>
      <c r="E249">
        <v>-0.89</v>
      </c>
      <c r="F249">
        <v>1948</v>
      </c>
      <c r="G249">
        <v>685</v>
      </c>
      <c r="H249">
        <v>1666</v>
      </c>
      <c r="I249">
        <v>371</v>
      </c>
      <c r="J249">
        <v>502</v>
      </c>
      <c r="K249">
        <v>272</v>
      </c>
      <c r="L249">
        <v>1016</v>
      </c>
      <c r="M249">
        <v>295</v>
      </c>
      <c r="N249">
        <v>168</v>
      </c>
      <c r="O249">
        <v>72</v>
      </c>
      <c r="P249">
        <v>354</v>
      </c>
      <c r="Q249">
        <v>459</v>
      </c>
      <c r="R249">
        <v>248</v>
      </c>
    </row>
    <row r="250" spans="1:18">
      <c r="A250" s="1" t="s">
        <v>194</v>
      </c>
      <c r="B250">
        <v>34</v>
      </c>
      <c r="C250">
        <v>18</v>
      </c>
      <c r="D250">
        <v>16</v>
      </c>
      <c r="E250">
        <v>6.71</v>
      </c>
      <c r="F250">
        <v>2428</v>
      </c>
      <c r="G250">
        <v>835</v>
      </c>
      <c r="H250">
        <v>1973</v>
      </c>
      <c r="I250">
        <v>533</v>
      </c>
      <c r="J250">
        <v>771</v>
      </c>
      <c r="K250">
        <v>399</v>
      </c>
      <c r="L250">
        <v>1241</v>
      </c>
      <c r="M250">
        <v>491</v>
      </c>
      <c r="N250">
        <v>253</v>
      </c>
      <c r="O250">
        <v>136</v>
      </c>
      <c r="P250">
        <v>445</v>
      </c>
      <c r="Q250">
        <v>600</v>
      </c>
      <c r="R250">
        <v>249</v>
      </c>
    </row>
    <row r="251" spans="1:18">
      <c r="A251" s="1" t="s">
        <v>291</v>
      </c>
      <c r="B251">
        <v>36</v>
      </c>
      <c r="C251">
        <v>26</v>
      </c>
      <c r="D251">
        <v>10</v>
      </c>
      <c r="E251">
        <v>11.99</v>
      </c>
      <c r="F251">
        <v>2760</v>
      </c>
      <c r="G251">
        <v>967</v>
      </c>
      <c r="H251">
        <v>2145</v>
      </c>
      <c r="I251">
        <v>461</v>
      </c>
      <c r="J251">
        <v>641</v>
      </c>
      <c r="K251">
        <v>421</v>
      </c>
      <c r="L251">
        <v>1341</v>
      </c>
      <c r="M251">
        <v>518</v>
      </c>
      <c r="N251">
        <v>220</v>
      </c>
      <c r="O251">
        <v>143</v>
      </c>
      <c r="P251">
        <v>381</v>
      </c>
      <c r="Q251">
        <v>625</v>
      </c>
      <c r="R251">
        <v>250</v>
      </c>
    </row>
    <row r="252" spans="1:18">
      <c r="A252" s="1" t="s">
        <v>195</v>
      </c>
      <c r="B252">
        <v>31</v>
      </c>
      <c r="C252">
        <v>16</v>
      </c>
      <c r="D252">
        <v>15</v>
      </c>
      <c r="E252">
        <v>-8.0299999999999994</v>
      </c>
      <c r="F252">
        <v>2294</v>
      </c>
      <c r="G252">
        <v>739</v>
      </c>
      <c r="H252">
        <v>1730</v>
      </c>
      <c r="I252">
        <v>468</v>
      </c>
      <c r="J252">
        <v>646</v>
      </c>
      <c r="K252">
        <v>311</v>
      </c>
      <c r="L252">
        <v>1111</v>
      </c>
      <c r="M252">
        <v>393</v>
      </c>
      <c r="N252">
        <v>159</v>
      </c>
      <c r="O252">
        <v>62</v>
      </c>
      <c r="P252">
        <v>415</v>
      </c>
      <c r="Q252">
        <v>524</v>
      </c>
      <c r="R252">
        <v>251</v>
      </c>
    </row>
    <row r="253" spans="1:18">
      <c r="A253" s="1" t="s">
        <v>196</v>
      </c>
      <c r="B253">
        <v>33</v>
      </c>
      <c r="C253">
        <v>22</v>
      </c>
      <c r="D253">
        <v>11</v>
      </c>
      <c r="E253">
        <v>-1.95</v>
      </c>
      <c r="F253">
        <v>2440</v>
      </c>
      <c r="G253">
        <v>893</v>
      </c>
      <c r="H253">
        <v>1938</v>
      </c>
      <c r="I253">
        <v>369</v>
      </c>
      <c r="J253">
        <v>515</v>
      </c>
      <c r="K253">
        <v>335</v>
      </c>
      <c r="L253">
        <v>1170</v>
      </c>
      <c r="M253">
        <v>467</v>
      </c>
      <c r="N253">
        <v>196</v>
      </c>
      <c r="O253">
        <v>101</v>
      </c>
      <c r="P253">
        <v>358</v>
      </c>
      <c r="Q253">
        <v>528</v>
      </c>
      <c r="R253">
        <v>252</v>
      </c>
    </row>
    <row r="254" spans="1:18">
      <c r="A254" s="1" t="s">
        <v>197</v>
      </c>
      <c r="B254">
        <v>33</v>
      </c>
      <c r="C254">
        <v>18</v>
      </c>
      <c r="D254">
        <v>15</v>
      </c>
      <c r="E254">
        <v>1.19</v>
      </c>
      <c r="F254">
        <v>2293</v>
      </c>
      <c r="G254">
        <v>821</v>
      </c>
      <c r="H254">
        <v>1914</v>
      </c>
      <c r="I254">
        <v>479</v>
      </c>
      <c r="J254">
        <v>704</v>
      </c>
      <c r="K254">
        <v>375</v>
      </c>
      <c r="L254">
        <v>1194</v>
      </c>
      <c r="M254">
        <v>401</v>
      </c>
      <c r="N254">
        <v>235</v>
      </c>
      <c r="O254">
        <v>129</v>
      </c>
      <c r="P254">
        <v>405</v>
      </c>
      <c r="Q254">
        <v>582</v>
      </c>
      <c r="R254">
        <v>253</v>
      </c>
    </row>
    <row r="255" spans="1:18">
      <c r="A255" s="1" t="s">
        <v>198</v>
      </c>
      <c r="B255">
        <v>32</v>
      </c>
      <c r="C255">
        <v>13</v>
      </c>
      <c r="D255">
        <v>19</v>
      </c>
      <c r="E255">
        <v>-2.06</v>
      </c>
      <c r="F255">
        <v>2367</v>
      </c>
      <c r="G255">
        <v>795</v>
      </c>
      <c r="H255">
        <v>1867</v>
      </c>
      <c r="I255">
        <v>500</v>
      </c>
      <c r="J255">
        <v>729</v>
      </c>
      <c r="K255">
        <v>316</v>
      </c>
      <c r="L255">
        <v>1221</v>
      </c>
      <c r="M255">
        <v>425</v>
      </c>
      <c r="N255">
        <v>171</v>
      </c>
      <c r="O255">
        <v>104</v>
      </c>
      <c r="P255">
        <v>438</v>
      </c>
      <c r="Q255">
        <v>568</v>
      </c>
      <c r="R255">
        <v>254</v>
      </c>
    </row>
    <row r="256" spans="1:18">
      <c r="A256" s="1" t="s">
        <v>199</v>
      </c>
      <c r="B256">
        <v>33</v>
      </c>
      <c r="C256">
        <v>13</v>
      </c>
      <c r="D256">
        <v>20</v>
      </c>
      <c r="E256">
        <v>-0.79</v>
      </c>
      <c r="F256">
        <v>2314</v>
      </c>
      <c r="G256">
        <v>849</v>
      </c>
      <c r="H256">
        <v>1800</v>
      </c>
      <c r="I256">
        <v>365</v>
      </c>
      <c r="J256">
        <v>552</v>
      </c>
      <c r="K256">
        <v>196</v>
      </c>
      <c r="L256">
        <v>957</v>
      </c>
      <c r="M256">
        <v>519</v>
      </c>
      <c r="N256">
        <v>249</v>
      </c>
      <c r="O256">
        <v>101</v>
      </c>
      <c r="P256">
        <v>336</v>
      </c>
      <c r="Q256">
        <v>488</v>
      </c>
      <c r="R256">
        <v>255</v>
      </c>
    </row>
    <row r="257" spans="1:18">
      <c r="A257" s="1" t="s">
        <v>200</v>
      </c>
      <c r="B257">
        <v>31</v>
      </c>
      <c r="C257">
        <v>16</v>
      </c>
      <c r="D257">
        <v>15</v>
      </c>
      <c r="E257">
        <v>-6.51</v>
      </c>
      <c r="F257">
        <v>2381</v>
      </c>
      <c r="G257">
        <v>847</v>
      </c>
      <c r="H257">
        <v>1893</v>
      </c>
      <c r="I257">
        <v>465</v>
      </c>
      <c r="J257">
        <v>755</v>
      </c>
      <c r="K257">
        <v>363</v>
      </c>
      <c r="L257">
        <v>1144</v>
      </c>
      <c r="M257">
        <v>450</v>
      </c>
      <c r="N257">
        <v>282</v>
      </c>
      <c r="O257">
        <v>101</v>
      </c>
      <c r="P257">
        <v>415</v>
      </c>
      <c r="Q257">
        <v>591</v>
      </c>
      <c r="R257">
        <v>256</v>
      </c>
    </row>
    <row r="258" spans="1:18">
      <c r="A258" s="1" t="s">
        <v>201</v>
      </c>
      <c r="B258">
        <v>35</v>
      </c>
      <c r="C258">
        <v>18</v>
      </c>
      <c r="D258">
        <v>17</v>
      </c>
      <c r="E258">
        <v>-7.62</v>
      </c>
      <c r="F258">
        <v>2448</v>
      </c>
      <c r="G258">
        <v>861</v>
      </c>
      <c r="H258">
        <v>1991</v>
      </c>
      <c r="I258">
        <v>446</v>
      </c>
      <c r="J258">
        <v>638</v>
      </c>
      <c r="K258">
        <v>373</v>
      </c>
      <c r="L258">
        <v>1178</v>
      </c>
      <c r="M258">
        <v>487</v>
      </c>
      <c r="N258">
        <v>257</v>
      </c>
      <c r="O258">
        <v>92</v>
      </c>
      <c r="P258">
        <v>507</v>
      </c>
      <c r="Q258">
        <v>683</v>
      </c>
      <c r="R258">
        <v>257</v>
      </c>
    </row>
    <row r="259" spans="1:18">
      <c r="A259" s="1" t="s">
        <v>202</v>
      </c>
      <c r="B259">
        <v>31</v>
      </c>
      <c r="C259">
        <v>14</v>
      </c>
      <c r="D259">
        <v>17</v>
      </c>
      <c r="E259">
        <v>9.76</v>
      </c>
      <c r="F259">
        <v>2105</v>
      </c>
      <c r="G259">
        <v>771</v>
      </c>
      <c r="H259">
        <v>1842</v>
      </c>
      <c r="I259">
        <v>372</v>
      </c>
      <c r="J259">
        <v>584</v>
      </c>
      <c r="K259">
        <v>391</v>
      </c>
      <c r="L259">
        <v>1210</v>
      </c>
      <c r="M259">
        <v>390</v>
      </c>
      <c r="N259">
        <v>201</v>
      </c>
      <c r="O259">
        <v>124</v>
      </c>
      <c r="P259">
        <v>408</v>
      </c>
      <c r="Q259">
        <v>566</v>
      </c>
      <c r="R259">
        <v>258</v>
      </c>
    </row>
    <row r="260" spans="1:18">
      <c r="A260" s="1" t="s">
        <v>203</v>
      </c>
      <c r="B260">
        <v>31</v>
      </c>
      <c r="C260">
        <v>15</v>
      </c>
      <c r="D260">
        <v>16</v>
      </c>
      <c r="E260">
        <v>-6.78</v>
      </c>
      <c r="F260">
        <v>2197</v>
      </c>
      <c r="G260">
        <v>806</v>
      </c>
      <c r="H260">
        <v>1800</v>
      </c>
      <c r="I260">
        <v>410</v>
      </c>
      <c r="J260">
        <v>592</v>
      </c>
      <c r="K260">
        <v>308</v>
      </c>
      <c r="L260">
        <v>1050</v>
      </c>
      <c r="M260">
        <v>431</v>
      </c>
      <c r="N260">
        <v>239</v>
      </c>
      <c r="O260">
        <v>104</v>
      </c>
      <c r="P260">
        <v>404</v>
      </c>
      <c r="Q260">
        <v>566</v>
      </c>
      <c r="R260">
        <v>259</v>
      </c>
    </row>
    <row r="261" spans="1:18">
      <c r="A261" s="1" t="s">
        <v>204</v>
      </c>
      <c r="B261">
        <v>32</v>
      </c>
      <c r="C261">
        <v>15</v>
      </c>
      <c r="D261">
        <v>17</v>
      </c>
      <c r="E261">
        <v>-8.11</v>
      </c>
      <c r="F261">
        <v>2558</v>
      </c>
      <c r="G261">
        <v>885</v>
      </c>
      <c r="H261">
        <v>1926</v>
      </c>
      <c r="I261">
        <v>545</v>
      </c>
      <c r="J261">
        <v>722</v>
      </c>
      <c r="K261">
        <v>354</v>
      </c>
      <c r="L261">
        <v>1231</v>
      </c>
      <c r="M261">
        <v>471</v>
      </c>
      <c r="N261">
        <v>170</v>
      </c>
      <c r="O261">
        <v>133</v>
      </c>
      <c r="P261">
        <v>465</v>
      </c>
      <c r="Q261">
        <v>572</v>
      </c>
      <c r="R261">
        <v>260</v>
      </c>
    </row>
    <row r="262" spans="1:18">
      <c r="A262" s="1" t="s">
        <v>205</v>
      </c>
      <c r="B262">
        <v>33</v>
      </c>
      <c r="C262">
        <v>18</v>
      </c>
      <c r="D262">
        <v>15</v>
      </c>
      <c r="E262">
        <v>-6.16</v>
      </c>
      <c r="F262">
        <v>2517</v>
      </c>
      <c r="G262">
        <v>885</v>
      </c>
      <c r="H262">
        <v>2035</v>
      </c>
      <c r="I262">
        <v>493</v>
      </c>
      <c r="J262">
        <v>698</v>
      </c>
      <c r="K262">
        <v>430</v>
      </c>
      <c r="L262">
        <v>1246</v>
      </c>
      <c r="M262">
        <v>413</v>
      </c>
      <c r="N262">
        <v>221</v>
      </c>
      <c r="O262">
        <v>94</v>
      </c>
      <c r="P262">
        <v>402</v>
      </c>
      <c r="Q262">
        <v>598</v>
      </c>
      <c r="R262">
        <v>261</v>
      </c>
    </row>
    <row r="263" spans="1:18">
      <c r="A263" s="1" t="s">
        <v>206</v>
      </c>
      <c r="B263">
        <v>33</v>
      </c>
      <c r="C263">
        <v>14</v>
      </c>
      <c r="D263">
        <v>19</v>
      </c>
      <c r="E263">
        <v>1.66</v>
      </c>
      <c r="F263">
        <v>2328</v>
      </c>
      <c r="G263">
        <v>793</v>
      </c>
      <c r="H263">
        <v>1943</v>
      </c>
      <c r="I263">
        <v>462</v>
      </c>
      <c r="J263">
        <v>615</v>
      </c>
      <c r="K263">
        <v>258</v>
      </c>
      <c r="L263">
        <v>1145</v>
      </c>
      <c r="M263">
        <v>397</v>
      </c>
      <c r="N263">
        <v>186</v>
      </c>
      <c r="O263">
        <v>110</v>
      </c>
      <c r="P263">
        <v>305</v>
      </c>
      <c r="Q263">
        <v>497</v>
      </c>
      <c r="R263">
        <v>262</v>
      </c>
    </row>
    <row r="264" spans="1:18">
      <c r="A264" s="1" t="s">
        <v>292</v>
      </c>
      <c r="B264">
        <v>36</v>
      </c>
      <c r="C264">
        <v>23</v>
      </c>
      <c r="D264">
        <v>13</v>
      </c>
      <c r="E264">
        <v>2.23</v>
      </c>
      <c r="F264">
        <v>2399</v>
      </c>
      <c r="G264">
        <v>855</v>
      </c>
      <c r="H264">
        <v>2052</v>
      </c>
      <c r="I264">
        <v>484</v>
      </c>
      <c r="J264">
        <v>809</v>
      </c>
      <c r="K264">
        <v>492</v>
      </c>
      <c r="L264">
        <v>1428</v>
      </c>
      <c r="M264">
        <v>460</v>
      </c>
      <c r="N264">
        <v>254</v>
      </c>
      <c r="O264">
        <v>145</v>
      </c>
      <c r="P264">
        <v>464</v>
      </c>
      <c r="Q264">
        <v>634</v>
      </c>
      <c r="R264">
        <v>263</v>
      </c>
    </row>
    <row r="265" spans="1:18">
      <c r="A265" s="1" t="s">
        <v>207</v>
      </c>
      <c r="B265">
        <v>34</v>
      </c>
      <c r="C265">
        <v>22</v>
      </c>
      <c r="D265">
        <v>12</v>
      </c>
      <c r="E265">
        <v>4.4000000000000004</v>
      </c>
      <c r="F265">
        <v>2463</v>
      </c>
      <c r="G265">
        <v>899</v>
      </c>
      <c r="H265">
        <v>1905</v>
      </c>
      <c r="I265">
        <v>412</v>
      </c>
      <c r="J265">
        <v>555</v>
      </c>
      <c r="K265">
        <v>329</v>
      </c>
      <c r="L265">
        <v>1180</v>
      </c>
      <c r="M265">
        <v>341</v>
      </c>
      <c r="N265">
        <v>201</v>
      </c>
      <c r="O265">
        <v>87</v>
      </c>
      <c r="P265">
        <v>355</v>
      </c>
      <c r="Q265">
        <v>572</v>
      </c>
      <c r="R265">
        <v>264</v>
      </c>
    </row>
    <row r="266" spans="1:18">
      <c r="A266" s="1" t="s">
        <v>208</v>
      </c>
      <c r="B266">
        <v>32</v>
      </c>
      <c r="C266">
        <v>10</v>
      </c>
      <c r="D266">
        <v>22</v>
      </c>
      <c r="E266">
        <v>-6.4</v>
      </c>
      <c r="F266">
        <v>2012</v>
      </c>
      <c r="G266">
        <v>707</v>
      </c>
      <c r="H266">
        <v>1639</v>
      </c>
      <c r="I266">
        <v>414</v>
      </c>
      <c r="J266">
        <v>570</v>
      </c>
      <c r="K266">
        <v>293</v>
      </c>
      <c r="L266">
        <v>1032</v>
      </c>
      <c r="M266">
        <v>301</v>
      </c>
      <c r="N266">
        <v>172</v>
      </c>
      <c r="O266">
        <v>177</v>
      </c>
      <c r="P266">
        <v>488</v>
      </c>
      <c r="Q266">
        <v>614</v>
      </c>
      <c r="R266">
        <v>265</v>
      </c>
    </row>
    <row r="267" spans="1:18">
      <c r="A267" s="1" t="s">
        <v>209</v>
      </c>
      <c r="B267">
        <v>33</v>
      </c>
      <c r="C267">
        <v>21</v>
      </c>
      <c r="D267">
        <v>12</v>
      </c>
      <c r="E267">
        <v>-5.84</v>
      </c>
      <c r="F267">
        <v>2476</v>
      </c>
      <c r="G267">
        <v>889</v>
      </c>
      <c r="H267">
        <v>2011</v>
      </c>
      <c r="I267">
        <v>390</v>
      </c>
      <c r="J267">
        <v>518</v>
      </c>
      <c r="K267">
        <v>369</v>
      </c>
      <c r="L267">
        <v>1191</v>
      </c>
      <c r="M267">
        <v>555</v>
      </c>
      <c r="N267">
        <v>242</v>
      </c>
      <c r="O267">
        <v>94</v>
      </c>
      <c r="P267">
        <v>413</v>
      </c>
      <c r="Q267">
        <v>659</v>
      </c>
      <c r="R267">
        <v>266</v>
      </c>
    </row>
    <row r="268" spans="1:18">
      <c r="A268" s="1" t="s">
        <v>293</v>
      </c>
      <c r="B268">
        <v>33</v>
      </c>
      <c r="C268">
        <v>17</v>
      </c>
      <c r="D268">
        <v>16</v>
      </c>
      <c r="E268">
        <v>-2.0299999999999998</v>
      </c>
      <c r="F268">
        <v>2583</v>
      </c>
      <c r="G268">
        <v>921</v>
      </c>
      <c r="H268">
        <v>1951</v>
      </c>
      <c r="I268">
        <v>487</v>
      </c>
      <c r="J268">
        <v>666</v>
      </c>
      <c r="K268">
        <v>316</v>
      </c>
      <c r="L268">
        <v>1225</v>
      </c>
      <c r="M268">
        <v>461</v>
      </c>
      <c r="N268">
        <v>238</v>
      </c>
      <c r="O268">
        <v>127</v>
      </c>
      <c r="P268">
        <v>463</v>
      </c>
      <c r="Q268">
        <v>560</v>
      </c>
      <c r="R268">
        <v>267</v>
      </c>
    </row>
    <row r="269" spans="1:18">
      <c r="A269" s="1" t="s">
        <v>210</v>
      </c>
      <c r="B269">
        <v>34</v>
      </c>
      <c r="C269">
        <v>21</v>
      </c>
      <c r="D269">
        <v>13</v>
      </c>
      <c r="E269">
        <v>2.4700000000000002</v>
      </c>
      <c r="F269">
        <v>2437</v>
      </c>
      <c r="G269">
        <v>845</v>
      </c>
      <c r="H269">
        <v>1940</v>
      </c>
      <c r="I269">
        <v>486</v>
      </c>
      <c r="J269">
        <v>679</v>
      </c>
      <c r="K269">
        <v>346</v>
      </c>
      <c r="L269">
        <v>1228</v>
      </c>
      <c r="M269">
        <v>487</v>
      </c>
      <c r="N269">
        <v>197</v>
      </c>
      <c r="O269">
        <v>113</v>
      </c>
      <c r="P269">
        <v>424</v>
      </c>
      <c r="Q269">
        <v>638</v>
      </c>
      <c r="R269">
        <v>268</v>
      </c>
    </row>
    <row r="270" spans="1:18">
      <c r="A270" s="1" t="s">
        <v>211</v>
      </c>
      <c r="B270">
        <v>36</v>
      </c>
      <c r="C270">
        <v>21</v>
      </c>
      <c r="D270">
        <v>15</v>
      </c>
      <c r="E270">
        <v>3.61</v>
      </c>
      <c r="F270">
        <v>2591</v>
      </c>
      <c r="G270">
        <v>914</v>
      </c>
      <c r="H270">
        <v>2002</v>
      </c>
      <c r="I270">
        <v>479</v>
      </c>
      <c r="J270">
        <v>641</v>
      </c>
      <c r="K270">
        <v>290</v>
      </c>
      <c r="L270">
        <v>1238</v>
      </c>
      <c r="M270">
        <v>516</v>
      </c>
      <c r="N270">
        <v>204</v>
      </c>
      <c r="O270">
        <v>112</v>
      </c>
      <c r="P270">
        <v>466</v>
      </c>
      <c r="Q270">
        <v>667</v>
      </c>
      <c r="R270">
        <v>269</v>
      </c>
    </row>
    <row r="271" spans="1:18">
      <c r="A271" s="1" t="s">
        <v>212</v>
      </c>
      <c r="B271">
        <v>31</v>
      </c>
      <c r="C271">
        <v>21</v>
      </c>
      <c r="D271">
        <v>10</v>
      </c>
      <c r="E271">
        <v>1.1299999999999999</v>
      </c>
      <c r="F271">
        <v>2358</v>
      </c>
      <c r="G271">
        <v>864</v>
      </c>
      <c r="H271">
        <v>1851</v>
      </c>
      <c r="I271">
        <v>372</v>
      </c>
      <c r="J271">
        <v>568</v>
      </c>
      <c r="K271">
        <v>340</v>
      </c>
      <c r="L271">
        <v>1138</v>
      </c>
      <c r="M271">
        <v>439</v>
      </c>
      <c r="N271">
        <v>188</v>
      </c>
      <c r="O271">
        <v>105</v>
      </c>
      <c r="P271">
        <v>321</v>
      </c>
      <c r="Q271">
        <v>543</v>
      </c>
      <c r="R271">
        <v>270</v>
      </c>
    </row>
    <row r="272" spans="1:18">
      <c r="A272" s="1" t="s">
        <v>213</v>
      </c>
      <c r="B272">
        <v>31</v>
      </c>
      <c r="C272">
        <v>4</v>
      </c>
      <c r="D272">
        <v>27</v>
      </c>
      <c r="E272">
        <v>0.59</v>
      </c>
      <c r="F272">
        <v>2042</v>
      </c>
      <c r="G272">
        <v>713</v>
      </c>
      <c r="H272">
        <v>1765</v>
      </c>
      <c r="I272">
        <v>406</v>
      </c>
      <c r="J272">
        <v>620</v>
      </c>
      <c r="K272">
        <v>323</v>
      </c>
      <c r="L272">
        <v>1130</v>
      </c>
      <c r="M272">
        <v>423</v>
      </c>
      <c r="N272">
        <v>131</v>
      </c>
      <c r="O272">
        <v>52</v>
      </c>
      <c r="P272">
        <v>484</v>
      </c>
      <c r="Q272">
        <v>539</v>
      </c>
      <c r="R272">
        <v>271</v>
      </c>
    </row>
    <row r="273" spans="1:18">
      <c r="A273" s="1" t="s">
        <v>214</v>
      </c>
      <c r="B273">
        <v>31</v>
      </c>
      <c r="C273">
        <v>16</v>
      </c>
      <c r="D273">
        <v>15</v>
      </c>
      <c r="E273">
        <v>0.92</v>
      </c>
      <c r="F273">
        <v>2115</v>
      </c>
      <c r="G273">
        <v>735</v>
      </c>
      <c r="H273">
        <v>1653</v>
      </c>
      <c r="I273">
        <v>406</v>
      </c>
      <c r="J273">
        <v>567</v>
      </c>
      <c r="K273">
        <v>242</v>
      </c>
      <c r="L273">
        <v>1026</v>
      </c>
      <c r="M273">
        <v>416</v>
      </c>
      <c r="N273">
        <v>146</v>
      </c>
      <c r="O273">
        <v>111</v>
      </c>
      <c r="P273">
        <v>433</v>
      </c>
      <c r="Q273">
        <v>597</v>
      </c>
      <c r="R273">
        <v>272</v>
      </c>
    </row>
    <row r="274" spans="1:18">
      <c r="A274" s="1" t="s">
        <v>322</v>
      </c>
      <c r="B274">
        <v>31</v>
      </c>
      <c r="C274">
        <v>11</v>
      </c>
      <c r="D274">
        <v>20</v>
      </c>
      <c r="E274">
        <v>-9.0399999999999991</v>
      </c>
      <c r="F274">
        <v>2360</v>
      </c>
      <c r="G274">
        <v>825</v>
      </c>
      <c r="H274">
        <v>2080</v>
      </c>
      <c r="I274">
        <v>359</v>
      </c>
      <c r="J274">
        <v>531</v>
      </c>
      <c r="K274">
        <v>383</v>
      </c>
      <c r="L274">
        <v>1188</v>
      </c>
      <c r="M274">
        <v>462</v>
      </c>
      <c r="N274">
        <v>234</v>
      </c>
      <c r="O274">
        <v>96</v>
      </c>
      <c r="P274">
        <v>478</v>
      </c>
      <c r="Q274">
        <v>564</v>
      </c>
      <c r="R274">
        <v>273</v>
      </c>
    </row>
    <row r="275" spans="1:18">
      <c r="A275" s="1" t="s">
        <v>358</v>
      </c>
      <c r="B275">
        <v>33</v>
      </c>
      <c r="C275">
        <v>18</v>
      </c>
      <c r="D275">
        <v>15</v>
      </c>
      <c r="E275">
        <v>-3.85</v>
      </c>
      <c r="F275">
        <v>2420</v>
      </c>
      <c r="G275">
        <v>852</v>
      </c>
      <c r="H275">
        <v>1945</v>
      </c>
      <c r="I275">
        <v>478</v>
      </c>
      <c r="J275">
        <v>668</v>
      </c>
      <c r="K275">
        <v>336</v>
      </c>
      <c r="L275">
        <v>1221</v>
      </c>
      <c r="M275">
        <v>386</v>
      </c>
      <c r="N275">
        <v>141</v>
      </c>
      <c r="O275">
        <v>118</v>
      </c>
      <c r="P275">
        <v>403</v>
      </c>
      <c r="Q275">
        <v>657</v>
      </c>
      <c r="R275">
        <v>274</v>
      </c>
    </row>
    <row r="276" spans="1:18">
      <c r="A276" s="1" t="s">
        <v>294</v>
      </c>
      <c r="B276">
        <v>34</v>
      </c>
      <c r="C276">
        <v>20</v>
      </c>
      <c r="D276">
        <v>14</v>
      </c>
      <c r="E276">
        <v>8.34</v>
      </c>
      <c r="F276">
        <v>2508</v>
      </c>
      <c r="G276">
        <v>888</v>
      </c>
      <c r="H276">
        <v>2021</v>
      </c>
      <c r="I276">
        <v>492</v>
      </c>
      <c r="J276">
        <v>697</v>
      </c>
      <c r="K276">
        <v>361</v>
      </c>
      <c r="L276">
        <v>1213</v>
      </c>
      <c r="M276">
        <v>459</v>
      </c>
      <c r="N276">
        <v>235</v>
      </c>
      <c r="O276">
        <v>132</v>
      </c>
      <c r="P276">
        <v>423</v>
      </c>
      <c r="Q276">
        <v>638</v>
      </c>
      <c r="R276">
        <v>275</v>
      </c>
    </row>
    <row r="277" spans="1:18">
      <c r="A277" s="1" t="s">
        <v>215</v>
      </c>
      <c r="B277">
        <v>33</v>
      </c>
      <c r="C277">
        <v>17</v>
      </c>
      <c r="D277">
        <v>16</v>
      </c>
      <c r="E277">
        <v>-6.47</v>
      </c>
      <c r="F277">
        <v>2131</v>
      </c>
      <c r="G277">
        <v>772</v>
      </c>
      <c r="H277">
        <v>1779</v>
      </c>
      <c r="I277">
        <v>299</v>
      </c>
      <c r="J277">
        <v>440</v>
      </c>
      <c r="K277">
        <v>248</v>
      </c>
      <c r="L277">
        <v>973</v>
      </c>
      <c r="M277">
        <v>415</v>
      </c>
      <c r="N277">
        <v>190</v>
      </c>
      <c r="O277">
        <v>93</v>
      </c>
      <c r="P277">
        <v>321</v>
      </c>
      <c r="Q277">
        <v>462</v>
      </c>
      <c r="R277">
        <v>276</v>
      </c>
    </row>
    <row r="278" spans="1:18">
      <c r="A278" s="1" t="s">
        <v>216</v>
      </c>
      <c r="B278">
        <v>34</v>
      </c>
      <c r="C278">
        <v>17</v>
      </c>
      <c r="D278">
        <v>17</v>
      </c>
      <c r="E278">
        <v>-2.71</v>
      </c>
      <c r="F278">
        <v>2478</v>
      </c>
      <c r="G278">
        <v>867</v>
      </c>
      <c r="H278">
        <v>1883</v>
      </c>
      <c r="I278">
        <v>459</v>
      </c>
      <c r="J278">
        <v>669</v>
      </c>
      <c r="K278">
        <v>288</v>
      </c>
      <c r="L278">
        <v>1094</v>
      </c>
      <c r="M278">
        <v>471</v>
      </c>
      <c r="N278">
        <v>201</v>
      </c>
      <c r="O278">
        <v>141</v>
      </c>
      <c r="P278">
        <v>456</v>
      </c>
      <c r="Q278">
        <v>649</v>
      </c>
      <c r="R278">
        <v>277</v>
      </c>
    </row>
    <row r="279" spans="1:18">
      <c r="A279" s="1" t="s">
        <v>295</v>
      </c>
      <c r="B279">
        <v>34</v>
      </c>
      <c r="C279">
        <v>8</v>
      </c>
      <c r="D279">
        <v>26</v>
      </c>
      <c r="E279">
        <v>-8.3000000000000007</v>
      </c>
      <c r="F279">
        <v>2388</v>
      </c>
      <c r="G279">
        <v>811</v>
      </c>
      <c r="H279">
        <v>1891</v>
      </c>
      <c r="I279">
        <v>573</v>
      </c>
      <c r="J279">
        <v>772</v>
      </c>
      <c r="K279">
        <v>376</v>
      </c>
      <c r="L279">
        <v>1137</v>
      </c>
      <c r="M279">
        <v>386</v>
      </c>
      <c r="N279">
        <v>167</v>
      </c>
      <c r="O279">
        <v>60</v>
      </c>
      <c r="P279">
        <v>493</v>
      </c>
      <c r="Q279">
        <v>670</v>
      </c>
      <c r="R279">
        <v>278</v>
      </c>
    </row>
    <row r="280" spans="1:18">
      <c r="A280" s="1" t="s">
        <v>351</v>
      </c>
      <c r="B280">
        <v>32</v>
      </c>
      <c r="C280">
        <v>6</v>
      </c>
      <c r="D280">
        <v>26</v>
      </c>
      <c r="E280">
        <v>-4.2699999999999996</v>
      </c>
      <c r="F280">
        <v>2169</v>
      </c>
      <c r="G280">
        <v>775</v>
      </c>
      <c r="H280">
        <v>1872</v>
      </c>
      <c r="I280">
        <v>350</v>
      </c>
      <c r="J280">
        <v>492</v>
      </c>
      <c r="K280">
        <v>305</v>
      </c>
      <c r="L280">
        <v>1051</v>
      </c>
      <c r="M280">
        <v>434</v>
      </c>
      <c r="N280">
        <v>207</v>
      </c>
      <c r="O280">
        <v>94</v>
      </c>
      <c r="P280">
        <v>440</v>
      </c>
      <c r="Q280">
        <v>621</v>
      </c>
      <c r="R280">
        <v>279</v>
      </c>
    </row>
    <row r="281" spans="1:18">
      <c r="A281" s="1" t="s">
        <v>217</v>
      </c>
      <c r="B281">
        <v>32</v>
      </c>
      <c r="C281">
        <v>16</v>
      </c>
      <c r="D281">
        <v>16</v>
      </c>
      <c r="E281">
        <v>9.6300000000000008</v>
      </c>
      <c r="F281">
        <v>2327</v>
      </c>
      <c r="G281">
        <v>806</v>
      </c>
      <c r="H281">
        <v>1907</v>
      </c>
      <c r="I281">
        <v>473</v>
      </c>
      <c r="J281">
        <v>694</v>
      </c>
      <c r="K281">
        <v>383</v>
      </c>
      <c r="L281">
        <v>1160</v>
      </c>
      <c r="M281">
        <v>413</v>
      </c>
      <c r="N281">
        <v>202</v>
      </c>
      <c r="O281">
        <v>140</v>
      </c>
      <c r="P281">
        <v>433</v>
      </c>
      <c r="Q281">
        <v>623</v>
      </c>
      <c r="R281">
        <v>280</v>
      </c>
    </row>
    <row r="282" spans="1:18">
      <c r="A282" s="1" t="s">
        <v>341</v>
      </c>
      <c r="B282">
        <v>33</v>
      </c>
      <c r="C282">
        <v>24</v>
      </c>
      <c r="D282">
        <v>9</v>
      </c>
      <c r="E282">
        <v>-4.74</v>
      </c>
      <c r="F282">
        <v>2789</v>
      </c>
      <c r="G282">
        <v>984</v>
      </c>
      <c r="H282">
        <v>1965</v>
      </c>
      <c r="I282">
        <v>494</v>
      </c>
      <c r="J282">
        <v>635</v>
      </c>
      <c r="K282">
        <v>251</v>
      </c>
      <c r="L282">
        <v>1259</v>
      </c>
      <c r="M282">
        <v>489</v>
      </c>
      <c r="N282">
        <v>202</v>
      </c>
      <c r="O282">
        <v>65</v>
      </c>
      <c r="P282">
        <v>388</v>
      </c>
      <c r="Q282">
        <v>557</v>
      </c>
      <c r="R282">
        <v>281</v>
      </c>
    </row>
    <row r="283" spans="1:18">
      <c r="A283" s="1" t="s">
        <v>359</v>
      </c>
      <c r="B283">
        <v>30</v>
      </c>
      <c r="C283">
        <v>13</v>
      </c>
      <c r="D283">
        <v>17</v>
      </c>
      <c r="E283">
        <v>-3.06</v>
      </c>
      <c r="F283">
        <v>2118</v>
      </c>
      <c r="G283">
        <v>729</v>
      </c>
      <c r="H283">
        <v>1664</v>
      </c>
      <c r="I283">
        <v>433</v>
      </c>
      <c r="J283">
        <v>585</v>
      </c>
      <c r="K283">
        <v>219</v>
      </c>
      <c r="L283">
        <v>942</v>
      </c>
      <c r="M283">
        <v>382</v>
      </c>
      <c r="N283">
        <v>165</v>
      </c>
      <c r="O283">
        <v>68</v>
      </c>
      <c r="P283">
        <v>324</v>
      </c>
      <c r="Q283">
        <v>527</v>
      </c>
      <c r="R283">
        <v>282</v>
      </c>
    </row>
    <row r="284" spans="1:18">
      <c r="A284" s="1" t="s">
        <v>218</v>
      </c>
      <c r="B284">
        <v>38</v>
      </c>
      <c r="C284">
        <v>24</v>
      </c>
      <c r="D284">
        <v>14</v>
      </c>
      <c r="E284">
        <v>1.69</v>
      </c>
      <c r="F284">
        <v>2752</v>
      </c>
      <c r="G284">
        <v>911</v>
      </c>
      <c r="H284">
        <v>2120</v>
      </c>
      <c r="I284">
        <v>658</v>
      </c>
      <c r="J284">
        <v>1018</v>
      </c>
      <c r="K284">
        <v>496</v>
      </c>
      <c r="L284">
        <v>1483</v>
      </c>
      <c r="M284">
        <v>521</v>
      </c>
      <c r="N284">
        <v>306</v>
      </c>
      <c r="O284">
        <v>124</v>
      </c>
      <c r="P284">
        <v>604</v>
      </c>
      <c r="Q284">
        <v>790</v>
      </c>
      <c r="R284">
        <v>283</v>
      </c>
    </row>
    <row r="285" spans="1:18">
      <c r="A285" s="1" t="s">
        <v>296</v>
      </c>
      <c r="B285">
        <v>31</v>
      </c>
      <c r="C285">
        <v>10</v>
      </c>
      <c r="D285">
        <v>21</v>
      </c>
      <c r="E285">
        <v>-4.3899999999999997</v>
      </c>
      <c r="F285">
        <v>2216</v>
      </c>
      <c r="G285">
        <v>796</v>
      </c>
      <c r="H285">
        <v>1809</v>
      </c>
      <c r="I285">
        <v>358</v>
      </c>
      <c r="J285">
        <v>519</v>
      </c>
      <c r="K285">
        <v>284</v>
      </c>
      <c r="L285">
        <v>1081</v>
      </c>
      <c r="M285">
        <v>402</v>
      </c>
      <c r="N285">
        <v>182</v>
      </c>
      <c r="O285">
        <v>75</v>
      </c>
      <c r="P285">
        <v>447</v>
      </c>
      <c r="Q285">
        <v>615</v>
      </c>
      <c r="R285">
        <v>284</v>
      </c>
    </row>
    <row r="286" spans="1:18">
      <c r="A286" s="1" t="s">
        <v>219</v>
      </c>
      <c r="B286">
        <v>33</v>
      </c>
      <c r="C286">
        <v>17</v>
      </c>
      <c r="D286">
        <v>16</v>
      </c>
      <c r="E286">
        <v>-6.3</v>
      </c>
      <c r="F286">
        <v>2224</v>
      </c>
      <c r="G286">
        <v>765</v>
      </c>
      <c r="H286">
        <v>1735</v>
      </c>
      <c r="I286">
        <v>459</v>
      </c>
      <c r="J286">
        <v>640</v>
      </c>
      <c r="K286">
        <v>346</v>
      </c>
      <c r="L286">
        <v>1117</v>
      </c>
      <c r="M286">
        <v>452</v>
      </c>
      <c r="N286">
        <v>215</v>
      </c>
      <c r="O286">
        <v>80</v>
      </c>
      <c r="P286">
        <v>536</v>
      </c>
      <c r="Q286">
        <v>602</v>
      </c>
      <c r="R286">
        <v>285</v>
      </c>
    </row>
    <row r="287" spans="1:18">
      <c r="A287" s="1" t="s">
        <v>220</v>
      </c>
      <c r="B287">
        <v>33</v>
      </c>
      <c r="C287">
        <v>16</v>
      </c>
      <c r="D287">
        <v>17</v>
      </c>
      <c r="E287">
        <v>4.96</v>
      </c>
      <c r="F287">
        <v>2518</v>
      </c>
      <c r="G287">
        <v>937</v>
      </c>
      <c r="H287">
        <v>2039</v>
      </c>
      <c r="I287">
        <v>363</v>
      </c>
      <c r="J287">
        <v>563</v>
      </c>
      <c r="K287">
        <v>324</v>
      </c>
      <c r="L287">
        <v>1188</v>
      </c>
      <c r="M287">
        <v>536</v>
      </c>
      <c r="N287">
        <v>202</v>
      </c>
      <c r="O287">
        <v>117</v>
      </c>
      <c r="P287">
        <v>392</v>
      </c>
      <c r="Q287">
        <v>590</v>
      </c>
      <c r="R287">
        <v>286</v>
      </c>
    </row>
    <row r="288" spans="1:18">
      <c r="A288" s="1" t="s">
        <v>355</v>
      </c>
      <c r="B288">
        <v>31</v>
      </c>
      <c r="C288">
        <v>10</v>
      </c>
      <c r="D288">
        <v>21</v>
      </c>
      <c r="E288">
        <v>-5.0599999999999996</v>
      </c>
      <c r="F288">
        <v>2265</v>
      </c>
      <c r="G288">
        <v>794</v>
      </c>
      <c r="H288">
        <v>1898</v>
      </c>
      <c r="I288">
        <v>476</v>
      </c>
      <c r="J288">
        <v>677</v>
      </c>
      <c r="K288">
        <v>351</v>
      </c>
      <c r="L288">
        <v>1079</v>
      </c>
      <c r="M288">
        <v>382</v>
      </c>
      <c r="N288">
        <v>198</v>
      </c>
      <c r="O288">
        <v>70</v>
      </c>
      <c r="P288">
        <v>438</v>
      </c>
      <c r="Q288">
        <v>612</v>
      </c>
      <c r="R288">
        <v>287</v>
      </c>
    </row>
    <row r="289" spans="1:18">
      <c r="A289" s="1" t="s">
        <v>221</v>
      </c>
      <c r="B289">
        <v>32</v>
      </c>
      <c r="C289">
        <v>17</v>
      </c>
      <c r="D289">
        <v>15</v>
      </c>
      <c r="E289">
        <v>-0.17</v>
      </c>
      <c r="F289">
        <v>2194</v>
      </c>
      <c r="G289">
        <v>802</v>
      </c>
      <c r="H289">
        <v>1720</v>
      </c>
      <c r="I289">
        <v>377</v>
      </c>
      <c r="J289">
        <v>550</v>
      </c>
      <c r="K289">
        <v>289</v>
      </c>
      <c r="L289">
        <v>1081</v>
      </c>
      <c r="M289">
        <v>438</v>
      </c>
      <c r="N289">
        <v>212</v>
      </c>
      <c r="O289">
        <v>129</v>
      </c>
      <c r="P289">
        <v>447</v>
      </c>
      <c r="Q289">
        <v>474</v>
      </c>
      <c r="R289">
        <v>288</v>
      </c>
    </row>
    <row r="290" spans="1:18">
      <c r="A290" s="1" t="s">
        <v>222</v>
      </c>
      <c r="B290">
        <v>32</v>
      </c>
      <c r="C290">
        <v>15</v>
      </c>
      <c r="D290">
        <v>17</v>
      </c>
      <c r="E290">
        <v>4.12</v>
      </c>
      <c r="F290">
        <v>2303</v>
      </c>
      <c r="G290">
        <v>833</v>
      </c>
      <c r="H290">
        <v>1884</v>
      </c>
      <c r="I290">
        <v>374</v>
      </c>
      <c r="J290">
        <v>523</v>
      </c>
      <c r="K290">
        <v>365</v>
      </c>
      <c r="L290">
        <v>1135</v>
      </c>
      <c r="M290">
        <v>441</v>
      </c>
      <c r="N290">
        <v>189</v>
      </c>
      <c r="O290">
        <v>123</v>
      </c>
      <c r="P290">
        <v>350</v>
      </c>
      <c r="Q290">
        <v>515</v>
      </c>
      <c r="R290">
        <v>289</v>
      </c>
    </row>
    <row r="291" spans="1:18">
      <c r="A291" s="1" t="s">
        <v>223</v>
      </c>
      <c r="B291">
        <v>33</v>
      </c>
      <c r="C291">
        <v>20</v>
      </c>
      <c r="D291">
        <v>13</v>
      </c>
      <c r="E291">
        <v>-0.83</v>
      </c>
      <c r="F291">
        <v>2392</v>
      </c>
      <c r="G291">
        <v>899</v>
      </c>
      <c r="H291">
        <v>1929</v>
      </c>
      <c r="I291">
        <v>321</v>
      </c>
      <c r="J291">
        <v>489</v>
      </c>
      <c r="K291">
        <v>274</v>
      </c>
      <c r="L291">
        <v>1178</v>
      </c>
      <c r="M291">
        <v>553</v>
      </c>
      <c r="N291">
        <v>253</v>
      </c>
      <c r="O291">
        <v>110</v>
      </c>
      <c r="P291">
        <v>345</v>
      </c>
      <c r="Q291">
        <v>507</v>
      </c>
      <c r="R291">
        <v>290</v>
      </c>
    </row>
    <row r="292" spans="1:18">
      <c r="A292" s="1" t="s">
        <v>224</v>
      </c>
      <c r="B292">
        <v>34</v>
      </c>
      <c r="C292">
        <v>17</v>
      </c>
      <c r="D292">
        <v>17</v>
      </c>
      <c r="E292">
        <v>-6.22</v>
      </c>
      <c r="F292">
        <v>2573</v>
      </c>
      <c r="G292">
        <v>881</v>
      </c>
      <c r="H292">
        <v>1997</v>
      </c>
      <c r="I292">
        <v>539</v>
      </c>
      <c r="J292">
        <v>757</v>
      </c>
      <c r="K292">
        <v>282</v>
      </c>
      <c r="L292">
        <v>1250</v>
      </c>
      <c r="M292">
        <v>426</v>
      </c>
      <c r="N292">
        <v>199</v>
      </c>
      <c r="O292">
        <v>114</v>
      </c>
      <c r="P292">
        <v>466</v>
      </c>
      <c r="Q292">
        <v>696</v>
      </c>
      <c r="R292">
        <v>291</v>
      </c>
    </row>
    <row r="293" spans="1:18">
      <c r="A293" s="1" t="s">
        <v>225</v>
      </c>
      <c r="B293">
        <v>32</v>
      </c>
      <c r="C293">
        <v>7</v>
      </c>
      <c r="D293">
        <v>25</v>
      </c>
      <c r="E293">
        <v>-7.37</v>
      </c>
      <c r="F293">
        <v>2077</v>
      </c>
      <c r="G293">
        <v>752</v>
      </c>
      <c r="H293">
        <v>1710</v>
      </c>
      <c r="I293">
        <v>393</v>
      </c>
      <c r="J293">
        <v>588</v>
      </c>
      <c r="K293">
        <v>313</v>
      </c>
      <c r="L293">
        <v>980</v>
      </c>
      <c r="M293">
        <v>372</v>
      </c>
      <c r="N293">
        <v>216</v>
      </c>
      <c r="O293">
        <v>86</v>
      </c>
      <c r="P293">
        <v>511</v>
      </c>
      <c r="Q293">
        <v>716</v>
      </c>
      <c r="R293">
        <v>292</v>
      </c>
    </row>
    <row r="294" spans="1:18">
      <c r="A294" s="1" t="s">
        <v>297</v>
      </c>
      <c r="B294">
        <v>34</v>
      </c>
      <c r="C294">
        <v>18</v>
      </c>
      <c r="D294">
        <v>16</v>
      </c>
      <c r="E294">
        <v>0.25</v>
      </c>
      <c r="F294">
        <v>2250</v>
      </c>
      <c r="G294">
        <v>821</v>
      </c>
      <c r="H294">
        <v>1914</v>
      </c>
      <c r="I294">
        <v>400</v>
      </c>
      <c r="J294">
        <v>539</v>
      </c>
      <c r="K294">
        <v>333</v>
      </c>
      <c r="L294">
        <v>1183</v>
      </c>
      <c r="M294">
        <v>417</v>
      </c>
      <c r="N294">
        <v>199</v>
      </c>
      <c r="O294">
        <v>164</v>
      </c>
      <c r="P294">
        <v>421</v>
      </c>
      <c r="Q294">
        <v>553</v>
      </c>
      <c r="R294">
        <v>293</v>
      </c>
    </row>
    <row r="295" spans="1:18">
      <c r="A295" s="1" t="s">
        <v>226</v>
      </c>
      <c r="B295">
        <v>33</v>
      </c>
      <c r="C295">
        <v>17</v>
      </c>
      <c r="D295">
        <v>16</v>
      </c>
      <c r="E295">
        <v>-8.4499999999999993</v>
      </c>
      <c r="F295">
        <v>2345</v>
      </c>
      <c r="G295">
        <v>841</v>
      </c>
      <c r="H295">
        <v>1989</v>
      </c>
      <c r="I295">
        <v>393</v>
      </c>
      <c r="J295">
        <v>580</v>
      </c>
      <c r="K295">
        <v>346</v>
      </c>
      <c r="L295">
        <v>1191</v>
      </c>
      <c r="M295">
        <v>387</v>
      </c>
      <c r="N295">
        <v>194</v>
      </c>
      <c r="O295">
        <v>136</v>
      </c>
      <c r="P295">
        <v>413</v>
      </c>
      <c r="Q295">
        <v>635</v>
      </c>
      <c r="R295">
        <v>294</v>
      </c>
    </row>
    <row r="296" spans="1:18">
      <c r="A296" s="1" t="s">
        <v>298</v>
      </c>
      <c r="B296">
        <v>34</v>
      </c>
      <c r="C296">
        <v>21</v>
      </c>
      <c r="D296">
        <v>13</v>
      </c>
      <c r="E296">
        <v>5.5</v>
      </c>
      <c r="F296">
        <v>2623</v>
      </c>
      <c r="G296">
        <v>944</v>
      </c>
      <c r="H296">
        <v>2100</v>
      </c>
      <c r="I296">
        <v>446</v>
      </c>
      <c r="J296">
        <v>620</v>
      </c>
      <c r="K296">
        <v>264</v>
      </c>
      <c r="L296">
        <v>1120</v>
      </c>
      <c r="M296">
        <v>472</v>
      </c>
      <c r="N296">
        <v>302</v>
      </c>
      <c r="O296">
        <v>111</v>
      </c>
      <c r="P296">
        <v>357</v>
      </c>
      <c r="Q296">
        <v>650</v>
      </c>
      <c r="R296">
        <v>295</v>
      </c>
    </row>
    <row r="297" spans="1:18">
      <c r="A297" s="1" t="s">
        <v>342</v>
      </c>
      <c r="B297">
        <v>31</v>
      </c>
      <c r="C297">
        <v>15</v>
      </c>
      <c r="D297">
        <v>16</v>
      </c>
      <c r="E297">
        <v>5.13</v>
      </c>
      <c r="F297">
        <v>2255</v>
      </c>
      <c r="G297">
        <v>808</v>
      </c>
      <c r="H297">
        <v>1783</v>
      </c>
      <c r="I297">
        <v>432</v>
      </c>
      <c r="J297">
        <v>643</v>
      </c>
      <c r="K297">
        <v>322</v>
      </c>
      <c r="L297">
        <v>1147</v>
      </c>
      <c r="M297">
        <v>392</v>
      </c>
      <c r="N297">
        <v>186</v>
      </c>
      <c r="O297">
        <v>147</v>
      </c>
      <c r="P297">
        <v>467</v>
      </c>
      <c r="Q297">
        <v>586</v>
      </c>
      <c r="R297">
        <v>296</v>
      </c>
    </row>
    <row r="298" spans="1:18">
      <c r="A298" s="1" t="s">
        <v>227</v>
      </c>
      <c r="B298">
        <v>30</v>
      </c>
      <c r="C298">
        <v>14</v>
      </c>
      <c r="D298">
        <v>16</v>
      </c>
      <c r="E298">
        <v>-5.92</v>
      </c>
      <c r="F298">
        <v>2105</v>
      </c>
      <c r="G298">
        <v>745</v>
      </c>
      <c r="H298">
        <v>1696</v>
      </c>
      <c r="I298">
        <v>414</v>
      </c>
      <c r="J298">
        <v>607</v>
      </c>
      <c r="K298">
        <v>313</v>
      </c>
      <c r="L298">
        <v>1008</v>
      </c>
      <c r="M298">
        <v>348</v>
      </c>
      <c r="N298">
        <v>192</v>
      </c>
      <c r="O298">
        <v>113</v>
      </c>
      <c r="P298">
        <v>442</v>
      </c>
      <c r="Q298">
        <v>579</v>
      </c>
      <c r="R298">
        <v>297</v>
      </c>
    </row>
    <row r="299" spans="1:18">
      <c r="A299" s="1" t="s">
        <v>228</v>
      </c>
      <c r="B299">
        <v>31</v>
      </c>
      <c r="C299">
        <v>7</v>
      </c>
      <c r="D299">
        <v>24</v>
      </c>
      <c r="E299">
        <v>-3.46</v>
      </c>
      <c r="F299">
        <v>2151</v>
      </c>
      <c r="G299">
        <v>794</v>
      </c>
      <c r="H299">
        <v>1962</v>
      </c>
      <c r="I299">
        <v>348</v>
      </c>
      <c r="J299">
        <v>503</v>
      </c>
      <c r="K299">
        <v>359</v>
      </c>
      <c r="L299">
        <v>1110</v>
      </c>
      <c r="M299">
        <v>418</v>
      </c>
      <c r="N299">
        <v>210</v>
      </c>
      <c r="O299">
        <v>94</v>
      </c>
      <c r="P299">
        <v>394</v>
      </c>
      <c r="Q299">
        <v>536</v>
      </c>
      <c r="R299">
        <v>298</v>
      </c>
    </row>
    <row r="300" spans="1:18">
      <c r="A300" s="1" t="s">
        <v>229</v>
      </c>
      <c r="B300">
        <v>33</v>
      </c>
      <c r="C300">
        <v>24</v>
      </c>
      <c r="D300">
        <v>9</v>
      </c>
      <c r="E300">
        <v>-6.48</v>
      </c>
      <c r="F300">
        <v>2364</v>
      </c>
      <c r="G300">
        <v>815</v>
      </c>
      <c r="H300">
        <v>1937</v>
      </c>
      <c r="I300">
        <v>501</v>
      </c>
      <c r="J300">
        <v>695</v>
      </c>
      <c r="K300">
        <v>410</v>
      </c>
      <c r="L300">
        <v>1348</v>
      </c>
      <c r="M300">
        <v>372</v>
      </c>
      <c r="N300">
        <v>209</v>
      </c>
      <c r="O300">
        <v>142</v>
      </c>
      <c r="P300">
        <v>478</v>
      </c>
      <c r="Q300">
        <v>631</v>
      </c>
      <c r="R300">
        <v>299</v>
      </c>
    </row>
    <row r="301" spans="1:18">
      <c r="A301" s="1" t="s">
        <v>313</v>
      </c>
      <c r="B301">
        <v>34</v>
      </c>
      <c r="C301">
        <v>20</v>
      </c>
      <c r="D301">
        <v>14</v>
      </c>
      <c r="E301">
        <v>10.09</v>
      </c>
      <c r="F301">
        <v>2370</v>
      </c>
      <c r="G301">
        <v>808</v>
      </c>
      <c r="H301">
        <v>1907</v>
      </c>
      <c r="I301">
        <v>480</v>
      </c>
      <c r="J301">
        <v>701</v>
      </c>
      <c r="K301">
        <v>363</v>
      </c>
      <c r="L301">
        <v>1174</v>
      </c>
      <c r="M301">
        <v>408</v>
      </c>
      <c r="N301">
        <v>278</v>
      </c>
      <c r="O301">
        <v>162</v>
      </c>
      <c r="P301">
        <v>423</v>
      </c>
      <c r="Q301">
        <v>588</v>
      </c>
      <c r="R301">
        <v>300</v>
      </c>
    </row>
    <row r="302" spans="1:18">
      <c r="A302" s="1" t="s">
        <v>314</v>
      </c>
      <c r="B302">
        <v>33</v>
      </c>
      <c r="C302">
        <v>23</v>
      </c>
      <c r="D302">
        <v>10</v>
      </c>
      <c r="E302">
        <v>4.93</v>
      </c>
      <c r="F302">
        <v>2465</v>
      </c>
      <c r="G302">
        <v>873</v>
      </c>
      <c r="H302">
        <v>1998</v>
      </c>
      <c r="I302">
        <v>472</v>
      </c>
      <c r="J302">
        <v>649</v>
      </c>
      <c r="K302">
        <v>316</v>
      </c>
      <c r="L302">
        <v>1136</v>
      </c>
      <c r="M302">
        <v>476</v>
      </c>
      <c r="N302">
        <v>284</v>
      </c>
      <c r="O302">
        <v>73</v>
      </c>
      <c r="P302">
        <v>368</v>
      </c>
      <c r="Q302">
        <v>581</v>
      </c>
      <c r="R302">
        <v>301</v>
      </c>
    </row>
    <row r="303" spans="1:18">
      <c r="A303" s="1" t="s">
        <v>230</v>
      </c>
      <c r="B303">
        <v>31</v>
      </c>
      <c r="C303">
        <v>12</v>
      </c>
      <c r="D303">
        <v>19</v>
      </c>
      <c r="E303">
        <v>-4.32</v>
      </c>
      <c r="F303">
        <v>2356</v>
      </c>
      <c r="G303">
        <v>854</v>
      </c>
      <c r="H303">
        <v>1915</v>
      </c>
      <c r="I303">
        <v>398</v>
      </c>
      <c r="J303">
        <v>528</v>
      </c>
      <c r="K303">
        <v>351</v>
      </c>
      <c r="L303">
        <v>1062</v>
      </c>
      <c r="M303">
        <v>441</v>
      </c>
      <c r="N303">
        <v>223</v>
      </c>
      <c r="O303">
        <v>88</v>
      </c>
      <c r="P303">
        <v>418</v>
      </c>
      <c r="Q303">
        <v>490</v>
      </c>
      <c r="R303">
        <v>302</v>
      </c>
    </row>
    <row r="304" spans="1:18">
      <c r="A304" s="1" t="s">
        <v>231</v>
      </c>
      <c r="B304">
        <v>30</v>
      </c>
      <c r="C304">
        <v>9</v>
      </c>
      <c r="D304">
        <v>21</v>
      </c>
      <c r="E304">
        <v>-3.15</v>
      </c>
      <c r="F304">
        <v>2182</v>
      </c>
      <c r="G304">
        <v>751</v>
      </c>
      <c r="H304">
        <v>1739</v>
      </c>
      <c r="I304">
        <v>440</v>
      </c>
      <c r="J304">
        <v>628</v>
      </c>
      <c r="K304">
        <v>317</v>
      </c>
      <c r="L304">
        <v>1032</v>
      </c>
      <c r="M304">
        <v>342</v>
      </c>
      <c r="N304">
        <v>219</v>
      </c>
      <c r="O304">
        <v>78</v>
      </c>
      <c r="P304">
        <v>497</v>
      </c>
      <c r="Q304">
        <v>735</v>
      </c>
      <c r="R304">
        <v>303</v>
      </c>
    </row>
    <row r="305" spans="1:18">
      <c r="A305" s="1" t="s">
        <v>232</v>
      </c>
      <c r="B305">
        <v>31</v>
      </c>
      <c r="C305">
        <v>8</v>
      </c>
      <c r="D305">
        <v>23</v>
      </c>
      <c r="E305">
        <v>-3</v>
      </c>
      <c r="F305">
        <v>2104</v>
      </c>
      <c r="G305">
        <v>742</v>
      </c>
      <c r="H305">
        <v>1784</v>
      </c>
      <c r="I305">
        <v>407</v>
      </c>
      <c r="J305">
        <v>645</v>
      </c>
      <c r="K305">
        <v>330</v>
      </c>
      <c r="L305">
        <v>1122</v>
      </c>
      <c r="M305">
        <v>389</v>
      </c>
      <c r="N305">
        <v>226</v>
      </c>
      <c r="O305">
        <v>134</v>
      </c>
      <c r="P305">
        <v>517</v>
      </c>
      <c r="Q305">
        <v>554</v>
      </c>
      <c r="R305">
        <v>304</v>
      </c>
    </row>
    <row r="306" spans="1:18">
      <c r="A306" s="1" t="s">
        <v>315</v>
      </c>
      <c r="B306">
        <v>37</v>
      </c>
      <c r="C306">
        <v>31</v>
      </c>
      <c r="D306">
        <v>6</v>
      </c>
      <c r="E306">
        <v>10.16</v>
      </c>
      <c r="F306">
        <v>3035</v>
      </c>
      <c r="G306">
        <v>1106</v>
      </c>
      <c r="H306">
        <v>2231</v>
      </c>
      <c r="I306">
        <v>561</v>
      </c>
      <c r="J306">
        <v>744</v>
      </c>
      <c r="K306">
        <v>379</v>
      </c>
      <c r="L306">
        <v>1391</v>
      </c>
      <c r="M306">
        <v>660</v>
      </c>
      <c r="N306">
        <v>221</v>
      </c>
      <c r="O306">
        <v>199</v>
      </c>
      <c r="P306">
        <v>412</v>
      </c>
      <c r="Q306">
        <v>654</v>
      </c>
      <c r="R306">
        <v>305</v>
      </c>
    </row>
    <row r="307" spans="1:18">
      <c r="A307" s="1" t="s">
        <v>323</v>
      </c>
      <c r="B307">
        <v>32</v>
      </c>
      <c r="C307">
        <v>14</v>
      </c>
      <c r="D307">
        <v>18</v>
      </c>
      <c r="E307">
        <v>-5.68</v>
      </c>
      <c r="F307">
        <v>2126</v>
      </c>
      <c r="G307">
        <v>774</v>
      </c>
      <c r="H307">
        <v>1803</v>
      </c>
      <c r="I307">
        <v>376</v>
      </c>
      <c r="J307">
        <v>541</v>
      </c>
      <c r="K307">
        <v>349</v>
      </c>
      <c r="L307">
        <v>1158</v>
      </c>
      <c r="M307">
        <v>423</v>
      </c>
      <c r="N307">
        <v>197</v>
      </c>
      <c r="O307">
        <v>90</v>
      </c>
      <c r="P307">
        <v>456</v>
      </c>
      <c r="Q307">
        <v>610</v>
      </c>
      <c r="R307">
        <v>306</v>
      </c>
    </row>
    <row r="308" spans="1:18">
      <c r="A308" s="1" t="s">
        <v>233</v>
      </c>
      <c r="B308">
        <v>32</v>
      </c>
      <c r="C308">
        <v>14</v>
      </c>
      <c r="D308">
        <v>18</v>
      </c>
      <c r="E308">
        <v>8.59</v>
      </c>
      <c r="F308">
        <v>2253</v>
      </c>
      <c r="G308">
        <v>806</v>
      </c>
      <c r="H308">
        <v>1842</v>
      </c>
      <c r="I308">
        <v>437</v>
      </c>
      <c r="J308">
        <v>631</v>
      </c>
      <c r="K308">
        <v>372</v>
      </c>
      <c r="L308">
        <v>1195</v>
      </c>
      <c r="M308">
        <v>376</v>
      </c>
      <c r="N308">
        <v>215</v>
      </c>
      <c r="O308">
        <v>142</v>
      </c>
      <c r="P308">
        <v>444</v>
      </c>
      <c r="Q308">
        <v>521</v>
      </c>
      <c r="R308">
        <v>307</v>
      </c>
    </row>
    <row r="309" spans="1:18">
      <c r="A309" s="1" t="s">
        <v>234</v>
      </c>
      <c r="B309">
        <v>33</v>
      </c>
      <c r="C309">
        <v>17</v>
      </c>
      <c r="D309">
        <v>16</v>
      </c>
      <c r="E309">
        <v>0.84</v>
      </c>
      <c r="F309">
        <v>2284</v>
      </c>
      <c r="G309">
        <v>781</v>
      </c>
      <c r="H309">
        <v>1908</v>
      </c>
      <c r="I309">
        <v>488</v>
      </c>
      <c r="J309">
        <v>659</v>
      </c>
      <c r="K309">
        <v>372</v>
      </c>
      <c r="L309">
        <v>1235</v>
      </c>
      <c r="M309">
        <v>421</v>
      </c>
      <c r="N309">
        <v>211</v>
      </c>
      <c r="O309">
        <v>97</v>
      </c>
      <c r="P309">
        <v>467</v>
      </c>
      <c r="Q309">
        <v>630</v>
      </c>
      <c r="R309">
        <v>308</v>
      </c>
    </row>
    <row r="310" spans="1:18">
      <c r="A310" s="1" t="s">
        <v>235</v>
      </c>
      <c r="B310">
        <v>37</v>
      </c>
      <c r="C310">
        <v>23</v>
      </c>
      <c r="D310">
        <v>14</v>
      </c>
      <c r="E310">
        <v>9.6</v>
      </c>
      <c r="F310">
        <v>2730</v>
      </c>
      <c r="G310">
        <v>990</v>
      </c>
      <c r="H310">
        <v>2168</v>
      </c>
      <c r="I310">
        <v>469</v>
      </c>
      <c r="J310">
        <v>688</v>
      </c>
      <c r="K310">
        <v>395</v>
      </c>
      <c r="L310">
        <v>1347</v>
      </c>
      <c r="M310">
        <v>598</v>
      </c>
      <c r="N310">
        <v>255</v>
      </c>
      <c r="O310">
        <v>162</v>
      </c>
      <c r="P310">
        <v>499</v>
      </c>
      <c r="Q310">
        <v>586</v>
      </c>
      <c r="R310">
        <v>309</v>
      </c>
    </row>
    <row r="311" spans="1:18">
      <c r="A311" s="1" t="s">
        <v>236</v>
      </c>
      <c r="B311">
        <v>29</v>
      </c>
      <c r="C311">
        <v>8</v>
      </c>
      <c r="D311">
        <v>21</v>
      </c>
      <c r="E311">
        <v>-1.71</v>
      </c>
      <c r="F311">
        <v>1859</v>
      </c>
      <c r="G311">
        <v>639</v>
      </c>
      <c r="H311">
        <v>1592</v>
      </c>
      <c r="I311">
        <v>382</v>
      </c>
      <c r="J311">
        <v>578</v>
      </c>
      <c r="K311">
        <v>285</v>
      </c>
      <c r="L311">
        <v>1070</v>
      </c>
      <c r="M311">
        <v>307</v>
      </c>
      <c r="N311">
        <v>135</v>
      </c>
      <c r="O311">
        <v>84</v>
      </c>
      <c r="P311">
        <v>466</v>
      </c>
      <c r="Q311">
        <v>551</v>
      </c>
      <c r="R311">
        <v>310</v>
      </c>
    </row>
    <row r="312" spans="1:18">
      <c r="A312" s="1" t="s">
        <v>237</v>
      </c>
      <c r="B312">
        <v>37</v>
      </c>
      <c r="C312">
        <v>20</v>
      </c>
      <c r="D312">
        <v>17</v>
      </c>
      <c r="E312">
        <v>-1.61</v>
      </c>
      <c r="F312">
        <v>2634</v>
      </c>
      <c r="G312">
        <v>895</v>
      </c>
      <c r="H312">
        <v>2139</v>
      </c>
      <c r="I312">
        <v>641</v>
      </c>
      <c r="J312">
        <v>923</v>
      </c>
      <c r="K312">
        <v>358</v>
      </c>
      <c r="L312">
        <v>1215</v>
      </c>
      <c r="M312">
        <v>503</v>
      </c>
      <c r="N312">
        <v>345</v>
      </c>
      <c r="O312">
        <v>105</v>
      </c>
      <c r="P312">
        <v>471</v>
      </c>
      <c r="Q312">
        <v>763</v>
      </c>
      <c r="R312">
        <v>311</v>
      </c>
    </row>
    <row r="313" spans="1:18">
      <c r="A313" s="1" t="s">
        <v>238</v>
      </c>
      <c r="B313">
        <v>32</v>
      </c>
      <c r="C313">
        <v>17</v>
      </c>
      <c r="D313">
        <v>15</v>
      </c>
      <c r="E313">
        <v>0.05</v>
      </c>
      <c r="F313">
        <v>2481</v>
      </c>
      <c r="G313">
        <v>896</v>
      </c>
      <c r="H313">
        <v>2068</v>
      </c>
      <c r="I313">
        <v>395</v>
      </c>
      <c r="J313">
        <v>536</v>
      </c>
      <c r="K313">
        <v>323</v>
      </c>
      <c r="L313">
        <v>1216</v>
      </c>
      <c r="M313">
        <v>420</v>
      </c>
      <c r="N313">
        <v>213</v>
      </c>
      <c r="O313">
        <v>82</v>
      </c>
      <c r="P313">
        <v>402</v>
      </c>
      <c r="Q313">
        <v>581</v>
      </c>
      <c r="R313">
        <v>312</v>
      </c>
    </row>
    <row r="314" spans="1:18">
      <c r="A314" s="1" t="s">
        <v>239</v>
      </c>
      <c r="B314">
        <v>38</v>
      </c>
      <c r="C314">
        <v>24</v>
      </c>
      <c r="D314">
        <v>14</v>
      </c>
      <c r="E314">
        <v>-6.99</v>
      </c>
      <c r="F314">
        <v>3102</v>
      </c>
      <c r="G314">
        <v>1083</v>
      </c>
      <c r="H314">
        <v>2379</v>
      </c>
      <c r="I314">
        <v>660</v>
      </c>
      <c r="J314">
        <v>988</v>
      </c>
      <c r="K314">
        <v>467</v>
      </c>
      <c r="L314">
        <v>1503</v>
      </c>
      <c r="M314">
        <v>591</v>
      </c>
      <c r="N314">
        <v>309</v>
      </c>
      <c r="O314">
        <v>114</v>
      </c>
      <c r="P314">
        <v>589</v>
      </c>
      <c r="Q314">
        <v>679</v>
      </c>
      <c r="R314">
        <v>313</v>
      </c>
    </row>
    <row r="315" spans="1:18">
      <c r="A315" s="1" t="s">
        <v>240</v>
      </c>
      <c r="B315">
        <v>34</v>
      </c>
      <c r="C315">
        <v>24</v>
      </c>
      <c r="D315">
        <v>10</v>
      </c>
      <c r="E315">
        <v>-3</v>
      </c>
      <c r="F315">
        <v>2470</v>
      </c>
      <c r="G315">
        <v>876</v>
      </c>
      <c r="H315">
        <v>1971</v>
      </c>
      <c r="I315">
        <v>474</v>
      </c>
      <c r="J315">
        <v>694</v>
      </c>
      <c r="K315">
        <v>409</v>
      </c>
      <c r="L315">
        <v>1291</v>
      </c>
      <c r="M315">
        <v>493</v>
      </c>
      <c r="N315">
        <v>234</v>
      </c>
      <c r="O315">
        <v>84</v>
      </c>
      <c r="P315">
        <v>455</v>
      </c>
      <c r="Q315">
        <v>667</v>
      </c>
      <c r="R315">
        <v>314</v>
      </c>
    </row>
    <row r="316" spans="1:18">
      <c r="A316" s="1" t="s">
        <v>241</v>
      </c>
      <c r="B316">
        <v>38</v>
      </c>
      <c r="C316">
        <v>31</v>
      </c>
      <c r="D316">
        <v>7</v>
      </c>
      <c r="E316">
        <v>9.5299999999999994</v>
      </c>
      <c r="F316">
        <v>2765</v>
      </c>
      <c r="G316">
        <v>990</v>
      </c>
      <c r="H316">
        <v>2110</v>
      </c>
      <c r="I316">
        <v>508</v>
      </c>
      <c r="J316">
        <v>694</v>
      </c>
      <c r="K316">
        <v>315</v>
      </c>
      <c r="L316">
        <v>1297</v>
      </c>
      <c r="M316">
        <v>518</v>
      </c>
      <c r="N316">
        <v>278</v>
      </c>
      <c r="O316">
        <v>186</v>
      </c>
      <c r="P316">
        <v>457</v>
      </c>
      <c r="Q316">
        <v>663</v>
      </c>
      <c r="R316">
        <v>315</v>
      </c>
    </row>
    <row r="317" spans="1:18">
      <c r="A317" s="1" t="s">
        <v>362</v>
      </c>
      <c r="B317">
        <v>37</v>
      </c>
      <c r="C317">
        <v>21</v>
      </c>
      <c r="D317">
        <v>16</v>
      </c>
      <c r="E317">
        <v>11.46</v>
      </c>
      <c r="F317">
        <v>2628</v>
      </c>
      <c r="G317">
        <v>929</v>
      </c>
      <c r="H317">
        <v>2146</v>
      </c>
      <c r="I317">
        <v>445</v>
      </c>
      <c r="J317">
        <v>637</v>
      </c>
      <c r="K317">
        <v>358</v>
      </c>
      <c r="L317">
        <v>1264</v>
      </c>
      <c r="M317">
        <v>486</v>
      </c>
      <c r="N317">
        <v>227</v>
      </c>
      <c r="O317">
        <v>152</v>
      </c>
      <c r="P317">
        <v>401</v>
      </c>
      <c r="Q317">
        <v>627</v>
      </c>
      <c r="R317">
        <v>316</v>
      </c>
    </row>
    <row r="318" spans="1:18">
      <c r="A318" s="1" t="s">
        <v>242</v>
      </c>
      <c r="B318">
        <v>33</v>
      </c>
      <c r="C318">
        <v>25</v>
      </c>
      <c r="D318">
        <v>8</v>
      </c>
      <c r="E318">
        <v>0.71</v>
      </c>
      <c r="F318">
        <v>2537</v>
      </c>
      <c r="G318">
        <v>901</v>
      </c>
      <c r="H318">
        <v>1990</v>
      </c>
      <c r="I318">
        <v>410</v>
      </c>
      <c r="J318">
        <v>531</v>
      </c>
      <c r="K318">
        <v>327</v>
      </c>
      <c r="L318">
        <v>1281</v>
      </c>
      <c r="M318">
        <v>538</v>
      </c>
      <c r="N318">
        <v>170</v>
      </c>
      <c r="O318">
        <v>152</v>
      </c>
      <c r="P318">
        <v>402</v>
      </c>
      <c r="Q318">
        <v>517</v>
      </c>
      <c r="R318">
        <v>317</v>
      </c>
    </row>
    <row r="319" spans="1:18">
      <c r="A319" s="1" t="s">
        <v>243</v>
      </c>
      <c r="B319">
        <v>32</v>
      </c>
      <c r="C319">
        <v>10</v>
      </c>
      <c r="D319">
        <v>22</v>
      </c>
      <c r="E319">
        <v>-3.57</v>
      </c>
      <c r="F319">
        <v>2170</v>
      </c>
      <c r="G319">
        <v>810</v>
      </c>
      <c r="H319">
        <v>1860</v>
      </c>
      <c r="I319">
        <v>370</v>
      </c>
      <c r="J319">
        <v>532</v>
      </c>
      <c r="K319">
        <v>389</v>
      </c>
      <c r="L319">
        <v>1184</v>
      </c>
      <c r="M319">
        <v>319</v>
      </c>
      <c r="N319">
        <v>154</v>
      </c>
      <c r="O319">
        <v>94</v>
      </c>
      <c r="P319">
        <v>390</v>
      </c>
      <c r="Q319">
        <v>561</v>
      </c>
      <c r="R319">
        <v>318</v>
      </c>
    </row>
    <row r="320" spans="1:18">
      <c r="A320" s="1" t="s">
        <v>244</v>
      </c>
      <c r="B320">
        <v>30</v>
      </c>
      <c r="C320">
        <v>12</v>
      </c>
      <c r="D320">
        <v>18</v>
      </c>
      <c r="E320">
        <v>-1.01</v>
      </c>
      <c r="F320">
        <v>2179</v>
      </c>
      <c r="G320">
        <v>773</v>
      </c>
      <c r="H320">
        <v>1719</v>
      </c>
      <c r="I320">
        <v>397</v>
      </c>
      <c r="J320">
        <v>550</v>
      </c>
      <c r="K320">
        <v>277</v>
      </c>
      <c r="L320">
        <v>1021</v>
      </c>
      <c r="M320">
        <v>392</v>
      </c>
      <c r="N320">
        <v>171</v>
      </c>
      <c r="O320">
        <v>135</v>
      </c>
      <c r="P320">
        <v>408</v>
      </c>
      <c r="Q320">
        <v>523</v>
      </c>
      <c r="R320">
        <v>319</v>
      </c>
    </row>
    <row r="321" spans="1:18">
      <c r="A321" s="1" t="s">
        <v>245</v>
      </c>
      <c r="B321">
        <v>31</v>
      </c>
      <c r="C321">
        <v>4</v>
      </c>
      <c r="D321">
        <v>27</v>
      </c>
      <c r="E321">
        <v>3.63</v>
      </c>
      <c r="F321">
        <v>2082</v>
      </c>
      <c r="G321">
        <v>733</v>
      </c>
      <c r="H321">
        <v>1783</v>
      </c>
      <c r="I321">
        <v>403</v>
      </c>
      <c r="J321">
        <v>585</v>
      </c>
      <c r="K321">
        <v>298</v>
      </c>
      <c r="L321">
        <v>1131</v>
      </c>
      <c r="M321">
        <v>444</v>
      </c>
      <c r="N321">
        <v>147</v>
      </c>
      <c r="O321">
        <v>109</v>
      </c>
      <c r="P321">
        <v>467</v>
      </c>
      <c r="Q321">
        <v>535</v>
      </c>
      <c r="R321">
        <v>320</v>
      </c>
    </row>
    <row r="322" spans="1:18">
      <c r="A322" s="1" t="s">
        <v>299</v>
      </c>
      <c r="B322">
        <v>32</v>
      </c>
      <c r="C322">
        <v>18</v>
      </c>
      <c r="D322">
        <v>14</v>
      </c>
      <c r="E322">
        <v>3.86</v>
      </c>
      <c r="F322">
        <v>2296</v>
      </c>
      <c r="G322">
        <v>776</v>
      </c>
      <c r="H322">
        <v>1732</v>
      </c>
      <c r="I322">
        <v>522</v>
      </c>
      <c r="J322">
        <v>751</v>
      </c>
      <c r="K322">
        <v>239</v>
      </c>
      <c r="L322">
        <v>1119</v>
      </c>
      <c r="M322">
        <v>430</v>
      </c>
      <c r="N322">
        <v>176</v>
      </c>
      <c r="O322">
        <v>76</v>
      </c>
      <c r="P322">
        <v>404</v>
      </c>
      <c r="Q322">
        <v>529</v>
      </c>
      <c r="R322">
        <v>321</v>
      </c>
    </row>
    <row r="323" spans="1:18">
      <c r="A323" s="1" t="s">
        <v>324</v>
      </c>
      <c r="B323">
        <v>33</v>
      </c>
      <c r="C323">
        <v>17</v>
      </c>
      <c r="D323">
        <v>16</v>
      </c>
      <c r="E323">
        <v>6.78</v>
      </c>
      <c r="F323">
        <v>2580</v>
      </c>
      <c r="G323">
        <v>919</v>
      </c>
      <c r="H323">
        <v>2012</v>
      </c>
      <c r="I323">
        <v>486</v>
      </c>
      <c r="J323">
        <v>768</v>
      </c>
      <c r="K323">
        <v>380</v>
      </c>
      <c r="L323">
        <v>1361</v>
      </c>
      <c r="M323">
        <v>472</v>
      </c>
      <c r="N323">
        <v>194</v>
      </c>
      <c r="O323">
        <v>136</v>
      </c>
      <c r="P323">
        <v>467</v>
      </c>
      <c r="Q323">
        <v>563</v>
      </c>
      <c r="R323">
        <v>322</v>
      </c>
    </row>
    <row r="324" spans="1:18">
      <c r="A324" s="1" t="s">
        <v>316</v>
      </c>
      <c r="B324">
        <v>35</v>
      </c>
      <c r="C324">
        <v>28</v>
      </c>
      <c r="D324">
        <v>7</v>
      </c>
      <c r="E324">
        <v>0.89</v>
      </c>
      <c r="F324">
        <v>2753</v>
      </c>
      <c r="G324">
        <v>959</v>
      </c>
      <c r="H324">
        <v>2038</v>
      </c>
      <c r="I324">
        <v>559</v>
      </c>
      <c r="J324">
        <v>747</v>
      </c>
      <c r="K324">
        <v>377</v>
      </c>
      <c r="L324">
        <v>1405</v>
      </c>
      <c r="M324">
        <v>598</v>
      </c>
      <c r="N324">
        <v>215</v>
      </c>
      <c r="O324">
        <v>147</v>
      </c>
      <c r="P324">
        <v>449</v>
      </c>
      <c r="Q324">
        <v>649</v>
      </c>
      <c r="R324">
        <v>323</v>
      </c>
    </row>
    <row r="325" spans="1:18">
      <c r="A325" s="1" t="s">
        <v>334</v>
      </c>
      <c r="B325">
        <v>35</v>
      </c>
      <c r="C325">
        <v>25</v>
      </c>
      <c r="D325">
        <v>10</v>
      </c>
      <c r="E325">
        <v>-2.2999999999999998</v>
      </c>
      <c r="F325">
        <v>2697</v>
      </c>
      <c r="G325">
        <v>930</v>
      </c>
      <c r="H325">
        <v>1929</v>
      </c>
      <c r="I325">
        <v>554</v>
      </c>
      <c r="J325">
        <v>764</v>
      </c>
      <c r="K325">
        <v>318</v>
      </c>
      <c r="L325">
        <v>1271</v>
      </c>
      <c r="M325">
        <v>484</v>
      </c>
      <c r="N325">
        <v>201</v>
      </c>
      <c r="O325">
        <v>89</v>
      </c>
      <c r="P325">
        <v>487</v>
      </c>
      <c r="Q325">
        <v>612</v>
      </c>
      <c r="R325">
        <v>324</v>
      </c>
    </row>
    <row r="326" spans="1:18">
      <c r="A326" s="1" t="s">
        <v>300</v>
      </c>
      <c r="B326">
        <v>31</v>
      </c>
      <c r="C326">
        <v>17</v>
      </c>
      <c r="D326">
        <v>14</v>
      </c>
      <c r="E326">
        <v>5.0999999999999996</v>
      </c>
      <c r="F326">
        <v>2343</v>
      </c>
      <c r="G326">
        <v>805</v>
      </c>
      <c r="H326">
        <v>1735</v>
      </c>
      <c r="I326">
        <v>435</v>
      </c>
      <c r="J326">
        <v>616</v>
      </c>
      <c r="K326">
        <v>317</v>
      </c>
      <c r="L326">
        <v>1096</v>
      </c>
      <c r="M326">
        <v>440</v>
      </c>
      <c r="N326">
        <v>144</v>
      </c>
      <c r="O326">
        <v>80</v>
      </c>
      <c r="P326">
        <v>409</v>
      </c>
      <c r="Q326">
        <v>548</v>
      </c>
      <c r="R326">
        <v>325</v>
      </c>
    </row>
    <row r="327" spans="1:18">
      <c r="A327" s="1" t="s">
        <v>301</v>
      </c>
      <c r="B327">
        <v>33</v>
      </c>
      <c r="C327">
        <v>15</v>
      </c>
      <c r="D327">
        <v>18</v>
      </c>
      <c r="E327">
        <v>-1</v>
      </c>
      <c r="F327">
        <v>2205</v>
      </c>
      <c r="G327">
        <v>802</v>
      </c>
      <c r="H327">
        <v>1783</v>
      </c>
      <c r="I327">
        <v>416</v>
      </c>
      <c r="J327">
        <v>595</v>
      </c>
      <c r="K327">
        <v>294</v>
      </c>
      <c r="L327">
        <v>1115</v>
      </c>
      <c r="M327">
        <v>431</v>
      </c>
      <c r="N327">
        <v>202</v>
      </c>
      <c r="O327">
        <v>101</v>
      </c>
      <c r="P327">
        <v>439</v>
      </c>
      <c r="Q327">
        <v>546</v>
      </c>
      <c r="R327">
        <v>326</v>
      </c>
    </row>
    <row r="328" spans="1:18">
      <c r="A328" s="1" t="s">
        <v>246</v>
      </c>
      <c r="B328">
        <v>32</v>
      </c>
      <c r="C328">
        <v>9</v>
      </c>
      <c r="D328">
        <v>23</v>
      </c>
      <c r="E328">
        <v>7.79</v>
      </c>
      <c r="F328">
        <v>2180</v>
      </c>
      <c r="G328">
        <v>736</v>
      </c>
      <c r="H328">
        <v>1750</v>
      </c>
      <c r="I328">
        <v>478</v>
      </c>
      <c r="J328">
        <v>710</v>
      </c>
      <c r="K328">
        <v>325</v>
      </c>
      <c r="L328">
        <v>1139</v>
      </c>
      <c r="M328">
        <v>371</v>
      </c>
      <c r="N328">
        <v>154</v>
      </c>
      <c r="O328">
        <v>126</v>
      </c>
      <c r="P328">
        <v>454</v>
      </c>
      <c r="Q328">
        <v>568</v>
      </c>
      <c r="R328">
        <v>327</v>
      </c>
    </row>
    <row r="329" spans="1:18">
      <c r="A329" s="1" t="s">
        <v>247</v>
      </c>
      <c r="B329">
        <v>34</v>
      </c>
      <c r="C329">
        <v>27</v>
      </c>
      <c r="D329">
        <v>7</v>
      </c>
      <c r="E329">
        <v>-4.18</v>
      </c>
      <c r="F329">
        <v>2508</v>
      </c>
      <c r="G329">
        <v>864</v>
      </c>
      <c r="H329">
        <v>1887</v>
      </c>
      <c r="I329">
        <v>507</v>
      </c>
      <c r="J329">
        <v>678</v>
      </c>
      <c r="K329">
        <v>304</v>
      </c>
      <c r="L329">
        <v>1194</v>
      </c>
      <c r="M329">
        <v>399</v>
      </c>
      <c r="N329">
        <v>188</v>
      </c>
      <c r="O329">
        <v>136</v>
      </c>
      <c r="P329">
        <v>377</v>
      </c>
      <c r="Q329">
        <v>568</v>
      </c>
      <c r="R329">
        <v>328</v>
      </c>
    </row>
    <row r="330" spans="1:18">
      <c r="A330" s="1" t="s">
        <v>248</v>
      </c>
      <c r="B330">
        <v>36</v>
      </c>
      <c r="C330">
        <v>26</v>
      </c>
      <c r="D330">
        <v>10</v>
      </c>
      <c r="E330">
        <v>7.97</v>
      </c>
      <c r="F330">
        <v>2654</v>
      </c>
      <c r="G330">
        <v>884</v>
      </c>
      <c r="H330">
        <v>2019</v>
      </c>
      <c r="I330">
        <v>506</v>
      </c>
      <c r="J330">
        <v>695</v>
      </c>
      <c r="K330">
        <v>368</v>
      </c>
      <c r="L330">
        <v>1253</v>
      </c>
      <c r="M330">
        <v>503</v>
      </c>
      <c r="N330">
        <v>194</v>
      </c>
      <c r="O330">
        <v>106</v>
      </c>
      <c r="P330">
        <v>388</v>
      </c>
      <c r="Q330">
        <v>580</v>
      </c>
      <c r="R330">
        <v>329</v>
      </c>
    </row>
    <row r="331" spans="1:18">
      <c r="A331" s="1" t="s">
        <v>249</v>
      </c>
      <c r="B331">
        <v>33</v>
      </c>
      <c r="C331">
        <v>25</v>
      </c>
      <c r="D331">
        <v>8</v>
      </c>
      <c r="E331">
        <v>2.87</v>
      </c>
      <c r="F331">
        <v>2344</v>
      </c>
      <c r="G331">
        <v>820</v>
      </c>
      <c r="H331">
        <v>1872</v>
      </c>
      <c r="I331">
        <v>469</v>
      </c>
      <c r="J331">
        <v>669</v>
      </c>
      <c r="K331">
        <v>358</v>
      </c>
      <c r="L331">
        <v>1208</v>
      </c>
      <c r="M331">
        <v>450</v>
      </c>
      <c r="N331">
        <v>263</v>
      </c>
      <c r="O331">
        <v>148</v>
      </c>
      <c r="P331">
        <v>458</v>
      </c>
      <c r="Q331">
        <v>650</v>
      </c>
      <c r="R331">
        <v>330</v>
      </c>
    </row>
    <row r="332" spans="1:18">
      <c r="A332" s="1" t="s">
        <v>250</v>
      </c>
      <c r="B332">
        <v>32</v>
      </c>
      <c r="C332">
        <v>11</v>
      </c>
      <c r="D332">
        <v>21</v>
      </c>
      <c r="E332">
        <v>0.09</v>
      </c>
      <c r="F332">
        <v>2433</v>
      </c>
      <c r="G332">
        <v>843</v>
      </c>
      <c r="H332">
        <v>1974</v>
      </c>
      <c r="I332">
        <v>424</v>
      </c>
      <c r="J332">
        <v>581</v>
      </c>
      <c r="K332">
        <v>280</v>
      </c>
      <c r="L332">
        <v>1110</v>
      </c>
      <c r="M332">
        <v>442</v>
      </c>
      <c r="N332">
        <v>217</v>
      </c>
      <c r="O332">
        <v>61</v>
      </c>
      <c r="P332">
        <v>390</v>
      </c>
      <c r="Q332">
        <v>541</v>
      </c>
      <c r="R332">
        <v>331</v>
      </c>
    </row>
    <row r="333" spans="1:18">
      <c r="A333" s="1" t="s">
        <v>251</v>
      </c>
      <c r="B333">
        <v>35</v>
      </c>
      <c r="C333">
        <v>26</v>
      </c>
      <c r="D333">
        <v>9</v>
      </c>
      <c r="E333">
        <v>7.79</v>
      </c>
      <c r="F333">
        <v>2574</v>
      </c>
      <c r="G333">
        <v>893</v>
      </c>
      <c r="H333">
        <v>1900</v>
      </c>
      <c r="I333">
        <v>461</v>
      </c>
      <c r="J333">
        <v>606</v>
      </c>
      <c r="K333">
        <v>310</v>
      </c>
      <c r="L333">
        <v>1142</v>
      </c>
      <c r="M333">
        <v>531</v>
      </c>
      <c r="N333">
        <v>236</v>
      </c>
      <c r="O333">
        <v>78</v>
      </c>
      <c r="P333">
        <v>392</v>
      </c>
      <c r="Q333">
        <v>532</v>
      </c>
      <c r="R333">
        <v>332</v>
      </c>
    </row>
    <row r="334" spans="1:18">
      <c r="A334" s="1" t="s">
        <v>252</v>
      </c>
      <c r="B334">
        <v>38</v>
      </c>
      <c r="C334">
        <v>35</v>
      </c>
      <c r="D334">
        <v>3</v>
      </c>
      <c r="E334">
        <v>10.15</v>
      </c>
      <c r="F334">
        <v>2714</v>
      </c>
      <c r="G334">
        <v>974</v>
      </c>
      <c r="H334">
        <v>2056</v>
      </c>
      <c r="I334">
        <v>445</v>
      </c>
      <c r="J334">
        <v>598</v>
      </c>
      <c r="K334">
        <v>342</v>
      </c>
      <c r="L334">
        <v>1326</v>
      </c>
      <c r="M334">
        <v>544</v>
      </c>
      <c r="N334">
        <v>211</v>
      </c>
      <c r="O334">
        <v>149</v>
      </c>
      <c r="P334">
        <v>342</v>
      </c>
      <c r="Q334">
        <v>542</v>
      </c>
      <c r="R334">
        <v>333</v>
      </c>
    </row>
    <row r="335" spans="1:18">
      <c r="A335" s="1" t="s">
        <v>253</v>
      </c>
      <c r="B335">
        <v>30</v>
      </c>
      <c r="C335">
        <v>13</v>
      </c>
      <c r="D335">
        <v>17</v>
      </c>
      <c r="E335">
        <v>-7.63</v>
      </c>
      <c r="F335">
        <v>1974</v>
      </c>
      <c r="G335">
        <v>655</v>
      </c>
      <c r="H335">
        <v>1696</v>
      </c>
      <c r="I335">
        <v>428</v>
      </c>
      <c r="J335">
        <v>575</v>
      </c>
      <c r="K335">
        <v>378</v>
      </c>
      <c r="L335">
        <v>1095</v>
      </c>
      <c r="M335">
        <v>351</v>
      </c>
      <c r="N335">
        <v>184</v>
      </c>
      <c r="O335">
        <v>108</v>
      </c>
      <c r="P335">
        <v>414</v>
      </c>
      <c r="Q335">
        <v>639</v>
      </c>
      <c r="R335">
        <v>334</v>
      </c>
    </row>
    <row r="336" spans="1:18">
      <c r="A336" s="1" t="s">
        <v>254</v>
      </c>
      <c r="B336">
        <v>31</v>
      </c>
      <c r="C336">
        <v>11</v>
      </c>
      <c r="D336">
        <v>20</v>
      </c>
      <c r="E336">
        <v>8.4700000000000006</v>
      </c>
      <c r="F336">
        <v>2119</v>
      </c>
      <c r="G336">
        <v>714</v>
      </c>
      <c r="H336">
        <v>1812</v>
      </c>
      <c r="I336">
        <v>494</v>
      </c>
      <c r="J336">
        <v>681</v>
      </c>
      <c r="K336">
        <v>399</v>
      </c>
      <c r="L336">
        <v>1174</v>
      </c>
      <c r="M336">
        <v>329</v>
      </c>
      <c r="N336">
        <v>150</v>
      </c>
      <c r="O336">
        <v>77</v>
      </c>
      <c r="P336">
        <v>417</v>
      </c>
      <c r="Q336">
        <v>555</v>
      </c>
      <c r="R336">
        <v>335</v>
      </c>
    </row>
    <row r="337" spans="1:18">
      <c r="A337" s="1" t="s">
        <v>255</v>
      </c>
      <c r="B337">
        <v>32</v>
      </c>
      <c r="C337">
        <v>11</v>
      </c>
      <c r="D337">
        <v>21</v>
      </c>
      <c r="E337">
        <v>2.2000000000000002</v>
      </c>
      <c r="F337">
        <v>2393</v>
      </c>
      <c r="G337">
        <v>833</v>
      </c>
      <c r="H337">
        <v>1861</v>
      </c>
      <c r="I337">
        <v>426</v>
      </c>
      <c r="J337">
        <v>564</v>
      </c>
      <c r="K337">
        <v>276</v>
      </c>
      <c r="L337">
        <v>1076</v>
      </c>
      <c r="M337">
        <v>478</v>
      </c>
      <c r="N337">
        <v>169</v>
      </c>
      <c r="O337">
        <v>89</v>
      </c>
      <c r="P337">
        <v>440</v>
      </c>
      <c r="Q337">
        <v>554</v>
      </c>
      <c r="R337">
        <v>336</v>
      </c>
    </row>
    <row r="338" spans="1:18">
      <c r="A338" s="1" t="s">
        <v>256</v>
      </c>
      <c r="B338">
        <v>36</v>
      </c>
      <c r="C338">
        <v>27</v>
      </c>
      <c r="D338">
        <v>9</v>
      </c>
      <c r="E338">
        <v>7.01</v>
      </c>
      <c r="F338">
        <v>2511</v>
      </c>
      <c r="G338">
        <v>883</v>
      </c>
      <c r="H338">
        <v>1956</v>
      </c>
      <c r="I338">
        <v>472</v>
      </c>
      <c r="J338">
        <v>679</v>
      </c>
      <c r="K338">
        <v>334</v>
      </c>
      <c r="L338">
        <v>1129</v>
      </c>
      <c r="M338">
        <v>419</v>
      </c>
      <c r="N338">
        <v>323</v>
      </c>
      <c r="O338">
        <v>206</v>
      </c>
      <c r="P338">
        <v>479</v>
      </c>
      <c r="Q338">
        <v>653</v>
      </c>
      <c r="R338">
        <v>337</v>
      </c>
    </row>
    <row r="339" spans="1:18">
      <c r="A339" s="1" t="s">
        <v>257</v>
      </c>
      <c r="B339">
        <v>33</v>
      </c>
      <c r="C339">
        <v>18</v>
      </c>
      <c r="D339">
        <v>15</v>
      </c>
      <c r="E339">
        <v>-6.12</v>
      </c>
      <c r="F339">
        <v>2617</v>
      </c>
      <c r="G339">
        <v>920</v>
      </c>
      <c r="H339">
        <v>1934</v>
      </c>
      <c r="I339">
        <v>528</v>
      </c>
      <c r="J339">
        <v>708</v>
      </c>
      <c r="K339">
        <v>220</v>
      </c>
      <c r="L339">
        <v>1177</v>
      </c>
      <c r="M339">
        <v>383</v>
      </c>
      <c r="N339">
        <v>179</v>
      </c>
      <c r="O339">
        <v>140</v>
      </c>
      <c r="P339">
        <v>382</v>
      </c>
      <c r="Q339">
        <v>609</v>
      </c>
      <c r="R339">
        <v>338</v>
      </c>
    </row>
    <row r="340" spans="1:18">
      <c r="A340" s="1" t="s">
        <v>258</v>
      </c>
      <c r="B340">
        <v>36</v>
      </c>
      <c r="C340">
        <v>15</v>
      </c>
      <c r="D340">
        <v>21</v>
      </c>
      <c r="E340">
        <v>10.57</v>
      </c>
      <c r="F340">
        <v>2655</v>
      </c>
      <c r="G340">
        <v>901</v>
      </c>
      <c r="H340">
        <v>2181</v>
      </c>
      <c r="I340">
        <v>584</v>
      </c>
      <c r="J340">
        <v>849</v>
      </c>
      <c r="K340">
        <v>519</v>
      </c>
      <c r="L340">
        <v>1425</v>
      </c>
      <c r="M340">
        <v>488</v>
      </c>
      <c r="N340">
        <v>223</v>
      </c>
      <c r="O340">
        <v>126</v>
      </c>
      <c r="P340">
        <v>557</v>
      </c>
      <c r="Q340">
        <v>707</v>
      </c>
      <c r="R340">
        <v>339</v>
      </c>
    </row>
    <row r="341" spans="1:18">
      <c r="A341" s="1" t="s">
        <v>259</v>
      </c>
      <c r="B341">
        <v>32</v>
      </c>
      <c r="C341">
        <v>7</v>
      </c>
      <c r="D341">
        <v>25</v>
      </c>
      <c r="E341">
        <v>0.34</v>
      </c>
      <c r="F341">
        <v>2304</v>
      </c>
      <c r="G341">
        <v>792</v>
      </c>
      <c r="H341">
        <v>1744</v>
      </c>
      <c r="I341">
        <v>424</v>
      </c>
      <c r="J341">
        <v>628</v>
      </c>
      <c r="K341">
        <v>303</v>
      </c>
      <c r="L341">
        <v>1135</v>
      </c>
      <c r="M341">
        <v>389</v>
      </c>
      <c r="N341">
        <v>135</v>
      </c>
      <c r="O341">
        <v>53</v>
      </c>
      <c r="P341">
        <v>577</v>
      </c>
      <c r="Q341">
        <v>671</v>
      </c>
      <c r="R341">
        <v>340</v>
      </c>
    </row>
    <row r="342" spans="1:18">
      <c r="A342" s="1" t="s">
        <v>260</v>
      </c>
      <c r="B342">
        <v>31</v>
      </c>
      <c r="C342">
        <v>10</v>
      </c>
      <c r="D342">
        <v>21</v>
      </c>
      <c r="E342">
        <v>-5.18</v>
      </c>
      <c r="F342">
        <v>2198</v>
      </c>
      <c r="G342">
        <v>818</v>
      </c>
      <c r="H342">
        <v>1860</v>
      </c>
      <c r="I342">
        <v>321</v>
      </c>
      <c r="J342">
        <v>440</v>
      </c>
      <c r="K342">
        <v>254</v>
      </c>
      <c r="L342">
        <v>1100</v>
      </c>
      <c r="M342">
        <v>319</v>
      </c>
      <c r="N342">
        <v>165</v>
      </c>
      <c r="O342">
        <v>132</v>
      </c>
      <c r="P342">
        <v>353</v>
      </c>
      <c r="Q342">
        <v>487</v>
      </c>
      <c r="R342">
        <v>341</v>
      </c>
    </row>
    <row r="343" spans="1:18">
      <c r="A343" s="1" t="s">
        <v>261</v>
      </c>
      <c r="B343">
        <v>34</v>
      </c>
      <c r="C343">
        <v>20</v>
      </c>
      <c r="D343">
        <v>14</v>
      </c>
      <c r="E343">
        <v>0.96</v>
      </c>
      <c r="F343">
        <v>2429</v>
      </c>
      <c r="G343">
        <v>853</v>
      </c>
      <c r="H343">
        <v>1910</v>
      </c>
      <c r="I343">
        <v>524</v>
      </c>
      <c r="J343">
        <v>724</v>
      </c>
      <c r="K343">
        <v>338</v>
      </c>
      <c r="L343">
        <v>1256</v>
      </c>
      <c r="M343">
        <v>417</v>
      </c>
      <c r="N343">
        <v>235</v>
      </c>
      <c r="O343">
        <v>174</v>
      </c>
      <c r="P343">
        <v>466</v>
      </c>
      <c r="Q343">
        <v>528</v>
      </c>
      <c r="R343">
        <v>342</v>
      </c>
    </row>
    <row r="344" spans="1:18">
      <c r="A344" s="1" t="s">
        <v>262</v>
      </c>
      <c r="B344">
        <v>32</v>
      </c>
      <c r="C344">
        <v>8</v>
      </c>
      <c r="D344">
        <v>24</v>
      </c>
      <c r="E344">
        <v>1.48</v>
      </c>
      <c r="F344">
        <v>2246</v>
      </c>
      <c r="G344">
        <v>774</v>
      </c>
      <c r="H344">
        <v>1822</v>
      </c>
      <c r="I344">
        <v>470</v>
      </c>
      <c r="J344">
        <v>680</v>
      </c>
      <c r="K344">
        <v>345</v>
      </c>
      <c r="L344">
        <v>1197</v>
      </c>
      <c r="M344">
        <v>374</v>
      </c>
      <c r="N344">
        <v>147</v>
      </c>
      <c r="O344">
        <v>78</v>
      </c>
      <c r="P344">
        <v>490</v>
      </c>
      <c r="Q344">
        <v>564</v>
      </c>
      <c r="R344">
        <v>343</v>
      </c>
    </row>
    <row r="345" spans="1:18">
      <c r="A345" s="1" t="s">
        <v>263</v>
      </c>
      <c r="B345">
        <v>37</v>
      </c>
      <c r="C345">
        <v>22</v>
      </c>
      <c r="D345">
        <v>15</v>
      </c>
      <c r="E345">
        <v>5.91</v>
      </c>
      <c r="F345">
        <v>2609</v>
      </c>
      <c r="G345">
        <v>929</v>
      </c>
      <c r="H345">
        <v>2277</v>
      </c>
      <c r="I345">
        <v>475</v>
      </c>
      <c r="J345">
        <v>655</v>
      </c>
      <c r="K345">
        <v>452</v>
      </c>
      <c r="L345">
        <v>1417</v>
      </c>
      <c r="M345">
        <v>499</v>
      </c>
      <c r="N345">
        <v>174</v>
      </c>
      <c r="O345">
        <v>135</v>
      </c>
      <c r="P345">
        <v>446</v>
      </c>
      <c r="Q345">
        <v>705</v>
      </c>
      <c r="R345">
        <v>344</v>
      </c>
    </row>
    <row r="346" spans="1:18">
      <c r="A346" s="1" t="s">
        <v>264</v>
      </c>
      <c r="B346">
        <v>31</v>
      </c>
      <c r="C346">
        <v>14</v>
      </c>
      <c r="D346">
        <v>17</v>
      </c>
      <c r="E346">
        <v>-2.08</v>
      </c>
      <c r="F346">
        <v>2321</v>
      </c>
      <c r="G346">
        <v>841</v>
      </c>
      <c r="H346">
        <v>1773</v>
      </c>
      <c r="I346">
        <v>385</v>
      </c>
      <c r="J346">
        <v>576</v>
      </c>
      <c r="K346">
        <v>251</v>
      </c>
      <c r="L346">
        <v>1057</v>
      </c>
      <c r="M346">
        <v>529</v>
      </c>
      <c r="N346">
        <v>158</v>
      </c>
      <c r="O346">
        <v>146</v>
      </c>
      <c r="P346">
        <v>390</v>
      </c>
      <c r="Q346">
        <v>516</v>
      </c>
      <c r="R346">
        <v>345</v>
      </c>
    </row>
    <row r="347" spans="1:18">
      <c r="A347" s="1" t="s">
        <v>325</v>
      </c>
      <c r="B347">
        <v>30</v>
      </c>
      <c r="C347">
        <v>18</v>
      </c>
      <c r="D347">
        <v>12</v>
      </c>
      <c r="E347">
        <v>-3.74</v>
      </c>
      <c r="F347">
        <v>2499</v>
      </c>
      <c r="G347">
        <v>855</v>
      </c>
      <c r="H347">
        <v>1878</v>
      </c>
      <c r="I347">
        <v>417</v>
      </c>
      <c r="J347">
        <v>565</v>
      </c>
      <c r="K347">
        <v>330</v>
      </c>
      <c r="L347">
        <v>1232</v>
      </c>
      <c r="M347">
        <v>460</v>
      </c>
      <c r="N347">
        <v>134</v>
      </c>
      <c r="O347">
        <v>83</v>
      </c>
      <c r="P347">
        <v>456</v>
      </c>
      <c r="Q347">
        <v>535</v>
      </c>
      <c r="R347">
        <v>346</v>
      </c>
    </row>
    <row r="348" spans="1:18">
      <c r="A348" s="1" t="s">
        <v>367</v>
      </c>
      <c r="B348">
        <v>34</v>
      </c>
      <c r="C348">
        <v>23</v>
      </c>
      <c r="D348">
        <v>11</v>
      </c>
      <c r="E348">
        <v>11.01</v>
      </c>
      <c r="F348">
        <v>2333</v>
      </c>
      <c r="G348">
        <v>874</v>
      </c>
      <c r="H348">
        <v>1945</v>
      </c>
      <c r="I348">
        <v>344</v>
      </c>
      <c r="J348">
        <v>531</v>
      </c>
      <c r="K348">
        <v>283</v>
      </c>
      <c r="L348">
        <v>1197</v>
      </c>
      <c r="M348">
        <v>430</v>
      </c>
      <c r="N348">
        <v>177</v>
      </c>
      <c r="O348">
        <v>140</v>
      </c>
      <c r="P348">
        <v>327</v>
      </c>
      <c r="Q348">
        <v>511</v>
      </c>
      <c r="R348">
        <v>347</v>
      </c>
    </row>
    <row r="349" spans="1:18">
      <c r="A349" s="1" t="s">
        <v>265</v>
      </c>
      <c r="B349">
        <v>35</v>
      </c>
      <c r="C349">
        <v>30</v>
      </c>
      <c r="D349">
        <v>5</v>
      </c>
      <c r="E349">
        <v>0.8</v>
      </c>
      <c r="F349">
        <v>2879</v>
      </c>
      <c r="G349">
        <v>1044</v>
      </c>
      <c r="H349">
        <v>2132</v>
      </c>
      <c r="I349">
        <v>406</v>
      </c>
      <c r="J349">
        <v>577</v>
      </c>
      <c r="K349">
        <v>365</v>
      </c>
      <c r="L349">
        <v>1232</v>
      </c>
      <c r="M349">
        <v>528</v>
      </c>
      <c r="N349">
        <v>233</v>
      </c>
      <c r="O349">
        <v>105</v>
      </c>
      <c r="P349">
        <v>377</v>
      </c>
      <c r="Q349">
        <v>589</v>
      </c>
      <c r="R349">
        <v>348</v>
      </c>
    </row>
    <row r="350" spans="1:18">
      <c r="A350" s="1" t="s">
        <v>266</v>
      </c>
      <c r="B350">
        <v>35</v>
      </c>
      <c r="C350">
        <v>21</v>
      </c>
      <c r="D350">
        <v>14</v>
      </c>
      <c r="E350">
        <v>-0.89</v>
      </c>
      <c r="F350">
        <v>2561</v>
      </c>
      <c r="G350">
        <v>885</v>
      </c>
      <c r="H350">
        <v>2028</v>
      </c>
      <c r="I350">
        <v>510</v>
      </c>
      <c r="J350">
        <v>692</v>
      </c>
      <c r="K350">
        <v>382</v>
      </c>
      <c r="L350">
        <v>1229</v>
      </c>
      <c r="M350">
        <v>484</v>
      </c>
      <c r="N350">
        <v>214</v>
      </c>
      <c r="O350">
        <v>72</v>
      </c>
      <c r="P350">
        <v>402</v>
      </c>
      <c r="Q350">
        <v>545</v>
      </c>
      <c r="R350">
        <v>349</v>
      </c>
    </row>
    <row r="351" spans="1:18">
      <c r="A351" s="1" t="s">
        <v>267</v>
      </c>
      <c r="B351">
        <v>32</v>
      </c>
      <c r="C351">
        <v>8</v>
      </c>
      <c r="D351">
        <v>24</v>
      </c>
      <c r="E351">
        <v>0.19</v>
      </c>
      <c r="F351">
        <v>2105</v>
      </c>
      <c r="G351">
        <v>690</v>
      </c>
      <c r="H351">
        <v>1656</v>
      </c>
      <c r="I351">
        <v>477</v>
      </c>
      <c r="J351">
        <v>660</v>
      </c>
      <c r="K351">
        <v>167</v>
      </c>
      <c r="L351">
        <v>983</v>
      </c>
      <c r="M351">
        <v>331</v>
      </c>
      <c r="N351">
        <v>176</v>
      </c>
      <c r="O351">
        <v>88</v>
      </c>
      <c r="P351">
        <v>450</v>
      </c>
      <c r="Q351">
        <v>588</v>
      </c>
      <c r="R351">
        <v>350</v>
      </c>
    </row>
    <row r="352" spans="1:18">
      <c r="A352" s="1" t="s">
        <v>268</v>
      </c>
      <c r="B352">
        <v>35</v>
      </c>
      <c r="C352">
        <v>19</v>
      </c>
      <c r="D352">
        <v>16</v>
      </c>
      <c r="E352">
        <v>8.06</v>
      </c>
      <c r="F352">
        <v>2526</v>
      </c>
      <c r="G352">
        <v>922</v>
      </c>
      <c r="H352">
        <v>1977</v>
      </c>
      <c r="I352">
        <v>437</v>
      </c>
      <c r="J352">
        <v>644</v>
      </c>
      <c r="K352">
        <v>371</v>
      </c>
      <c r="L352">
        <v>1281</v>
      </c>
      <c r="M352">
        <v>519</v>
      </c>
      <c r="N352">
        <v>190</v>
      </c>
      <c r="O352">
        <v>128</v>
      </c>
      <c r="P352">
        <v>450</v>
      </c>
      <c r="Q352">
        <v>550</v>
      </c>
      <c r="R352">
        <v>351</v>
      </c>
    </row>
    <row r="353" spans="1:18">
      <c r="A353" s="1" t="s">
        <v>269</v>
      </c>
      <c r="B353">
        <v>30</v>
      </c>
      <c r="C353">
        <v>22</v>
      </c>
      <c r="D353">
        <v>8</v>
      </c>
      <c r="E353">
        <v>-1.24</v>
      </c>
      <c r="F353">
        <v>2427</v>
      </c>
      <c r="G353">
        <v>893</v>
      </c>
      <c r="H353">
        <v>1812</v>
      </c>
      <c r="I353">
        <v>411</v>
      </c>
      <c r="J353">
        <v>557</v>
      </c>
      <c r="K353">
        <v>259</v>
      </c>
      <c r="L353">
        <v>1157</v>
      </c>
      <c r="M353">
        <v>503</v>
      </c>
      <c r="N353">
        <v>177</v>
      </c>
      <c r="O353">
        <v>131</v>
      </c>
      <c r="P353">
        <v>392</v>
      </c>
      <c r="Q353">
        <v>510</v>
      </c>
      <c r="R353">
        <v>352</v>
      </c>
    </row>
    <row r="354" spans="1:18">
      <c r="A354" s="1" t="s">
        <v>270</v>
      </c>
      <c r="B354">
        <v>32</v>
      </c>
      <c r="C354">
        <v>12</v>
      </c>
      <c r="D354">
        <v>20</v>
      </c>
      <c r="E354">
        <v>-2.0499999999999998</v>
      </c>
      <c r="F354">
        <v>2415</v>
      </c>
      <c r="G354">
        <v>879</v>
      </c>
      <c r="H354">
        <v>2057</v>
      </c>
      <c r="I354">
        <v>354</v>
      </c>
      <c r="J354">
        <v>505</v>
      </c>
      <c r="K354">
        <v>418</v>
      </c>
      <c r="L354">
        <v>1207</v>
      </c>
      <c r="M354">
        <v>449</v>
      </c>
      <c r="N354">
        <v>210</v>
      </c>
      <c r="O354">
        <v>115</v>
      </c>
      <c r="P354">
        <v>423</v>
      </c>
      <c r="Q354">
        <v>656</v>
      </c>
      <c r="R354">
        <v>353</v>
      </c>
    </row>
    <row r="355" spans="1:18">
      <c r="R355">
        <v>354</v>
      </c>
    </row>
    <row r="356" spans="1:18">
      <c r="R356">
        <v>355</v>
      </c>
    </row>
    <row r="357" spans="1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53E1D-F00E-44E5-832B-4BD9FBA3F4B1}">
  <sheetPr codeName="Sheet21"/>
  <dimension ref="A1:Q357"/>
  <sheetViews>
    <sheetView workbookViewId="0"/>
  </sheetViews>
  <sheetFormatPr defaultColWidth="8.85546875" defaultRowHeight="15"/>
  <cols>
    <col min="1" max="1" width="26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>
      <c r="A2" s="1" t="s">
        <v>363</v>
      </c>
      <c r="B2">
        <v>25</v>
      </c>
      <c r="C2">
        <v>21</v>
      </c>
      <c r="D2">
        <v>4</v>
      </c>
      <c r="E2">
        <v>-8.01</v>
      </c>
      <c r="F2">
        <v>1924</v>
      </c>
      <c r="G2">
        <v>686</v>
      </c>
      <c r="H2">
        <v>1500</v>
      </c>
      <c r="I2">
        <v>358</v>
      </c>
      <c r="J2">
        <v>539</v>
      </c>
      <c r="K2">
        <v>282</v>
      </c>
      <c r="L2">
        <v>892</v>
      </c>
      <c r="M2">
        <v>450</v>
      </c>
      <c r="N2">
        <v>245</v>
      </c>
      <c r="O2">
        <v>79</v>
      </c>
      <c r="P2">
        <v>348</v>
      </c>
      <c r="Q2">
        <v>497</v>
      </c>
    </row>
    <row r="3" spans="1:17">
      <c r="A3" s="1" t="s">
        <v>17</v>
      </c>
      <c r="B3">
        <v>24</v>
      </c>
      <c r="C3">
        <v>5</v>
      </c>
      <c r="D3">
        <v>19</v>
      </c>
      <c r="E3">
        <v>0.4</v>
      </c>
      <c r="F3">
        <v>1416</v>
      </c>
      <c r="G3">
        <v>500</v>
      </c>
      <c r="H3">
        <v>1119</v>
      </c>
      <c r="I3">
        <v>244</v>
      </c>
      <c r="J3">
        <v>351</v>
      </c>
      <c r="K3">
        <v>109</v>
      </c>
      <c r="L3">
        <v>563</v>
      </c>
      <c r="M3">
        <v>294</v>
      </c>
      <c r="N3">
        <v>168</v>
      </c>
      <c r="O3">
        <v>55</v>
      </c>
      <c r="P3">
        <v>348</v>
      </c>
      <c r="Q3">
        <v>402</v>
      </c>
    </row>
    <row r="4" spans="1:17">
      <c r="A4" s="1" t="s">
        <v>18</v>
      </c>
      <c r="B4">
        <v>21</v>
      </c>
      <c r="C4">
        <v>14</v>
      </c>
      <c r="D4">
        <v>7</v>
      </c>
      <c r="E4">
        <v>-1.29</v>
      </c>
      <c r="F4">
        <v>1650</v>
      </c>
      <c r="G4">
        <v>573</v>
      </c>
      <c r="H4">
        <v>1280</v>
      </c>
      <c r="I4">
        <v>300</v>
      </c>
      <c r="J4">
        <v>396</v>
      </c>
      <c r="K4">
        <v>237</v>
      </c>
      <c r="L4">
        <v>815</v>
      </c>
      <c r="M4">
        <v>285</v>
      </c>
      <c r="N4">
        <v>110</v>
      </c>
      <c r="O4">
        <v>76</v>
      </c>
      <c r="P4">
        <v>255</v>
      </c>
      <c r="Q4">
        <v>380</v>
      </c>
    </row>
    <row r="5" spans="1:17">
      <c r="A5" s="1" t="s">
        <v>19</v>
      </c>
      <c r="B5">
        <v>15</v>
      </c>
      <c r="C5">
        <v>6</v>
      </c>
      <c r="D5">
        <v>9</v>
      </c>
      <c r="E5">
        <v>-15.09</v>
      </c>
      <c r="F5">
        <v>950</v>
      </c>
      <c r="G5">
        <v>347</v>
      </c>
      <c r="H5">
        <v>868</v>
      </c>
      <c r="I5">
        <v>173</v>
      </c>
      <c r="J5">
        <v>276</v>
      </c>
      <c r="K5">
        <v>160</v>
      </c>
      <c r="L5">
        <v>577</v>
      </c>
      <c r="M5">
        <v>165</v>
      </c>
      <c r="N5">
        <v>82</v>
      </c>
      <c r="O5">
        <v>54</v>
      </c>
      <c r="P5">
        <v>229</v>
      </c>
      <c r="Q5">
        <v>273</v>
      </c>
    </row>
    <row r="6" spans="1:17">
      <c r="A6" s="1" t="s">
        <v>20</v>
      </c>
      <c r="B6">
        <v>27</v>
      </c>
      <c r="C6">
        <v>21</v>
      </c>
      <c r="D6">
        <v>6</v>
      </c>
      <c r="E6">
        <v>-3.87</v>
      </c>
      <c r="F6">
        <v>1972</v>
      </c>
      <c r="G6">
        <v>735</v>
      </c>
      <c r="H6">
        <v>1619</v>
      </c>
      <c r="I6">
        <v>365</v>
      </c>
      <c r="J6">
        <v>526</v>
      </c>
      <c r="K6">
        <v>284</v>
      </c>
      <c r="L6">
        <v>992</v>
      </c>
      <c r="M6">
        <v>289</v>
      </c>
      <c r="N6">
        <v>218</v>
      </c>
      <c r="O6">
        <v>112</v>
      </c>
      <c r="P6">
        <v>286</v>
      </c>
      <c r="Q6">
        <v>416</v>
      </c>
    </row>
    <row r="7" spans="1:17">
      <c r="A7" s="1" t="s">
        <v>21</v>
      </c>
      <c r="B7">
        <v>18</v>
      </c>
      <c r="C7">
        <v>4</v>
      </c>
      <c r="D7">
        <v>14</v>
      </c>
      <c r="E7">
        <v>-17.07</v>
      </c>
      <c r="F7">
        <v>1156</v>
      </c>
      <c r="G7">
        <v>383</v>
      </c>
      <c r="H7">
        <v>1009</v>
      </c>
      <c r="I7">
        <v>279</v>
      </c>
      <c r="J7">
        <v>431</v>
      </c>
      <c r="K7">
        <v>205</v>
      </c>
      <c r="L7">
        <v>653</v>
      </c>
      <c r="M7">
        <v>175</v>
      </c>
      <c r="N7">
        <v>110</v>
      </c>
      <c r="O7">
        <v>43</v>
      </c>
      <c r="P7">
        <v>291</v>
      </c>
      <c r="Q7">
        <v>343</v>
      </c>
    </row>
    <row r="8" spans="1:17">
      <c r="A8" s="1" t="s">
        <v>22</v>
      </c>
      <c r="B8">
        <v>27</v>
      </c>
      <c r="C8">
        <v>21</v>
      </c>
      <c r="D8">
        <v>6</v>
      </c>
      <c r="E8">
        <v>10.28</v>
      </c>
      <c r="F8">
        <v>2149</v>
      </c>
      <c r="G8">
        <v>744</v>
      </c>
      <c r="H8">
        <v>1728</v>
      </c>
      <c r="I8">
        <v>373</v>
      </c>
      <c r="J8">
        <v>522</v>
      </c>
      <c r="K8">
        <v>325</v>
      </c>
      <c r="L8">
        <v>1088</v>
      </c>
      <c r="M8">
        <v>381</v>
      </c>
      <c r="N8">
        <v>234</v>
      </c>
      <c r="O8">
        <v>112</v>
      </c>
      <c r="P8">
        <v>385</v>
      </c>
      <c r="Q8">
        <v>506</v>
      </c>
    </row>
    <row r="9" spans="1:17">
      <c r="A9" s="1" t="s">
        <v>23</v>
      </c>
      <c r="B9">
        <v>16</v>
      </c>
      <c r="C9">
        <v>7</v>
      </c>
      <c r="D9">
        <v>9</v>
      </c>
      <c r="E9">
        <v>-4.21</v>
      </c>
      <c r="F9">
        <v>1110</v>
      </c>
      <c r="G9">
        <v>395</v>
      </c>
      <c r="H9">
        <v>883</v>
      </c>
      <c r="I9">
        <v>218</v>
      </c>
      <c r="J9">
        <v>301</v>
      </c>
      <c r="K9">
        <v>110</v>
      </c>
      <c r="L9">
        <v>480</v>
      </c>
      <c r="M9">
        <v>187</v>
      </c>
      <c r="N9">
        <v>98</v>
      </c>
      <c r="O9">
        <v>29</v>
      </c>
      <c r="P9">
        <v>201</v>
      </c>
      <c r="Q9">
        <v>285</v>
      </c>
    </row>
    <row r="10" spans="1:17">
      <c r="A10" s="1" t="s">
        <v>24</v>
      </c>
      <c r="B10">
        <v>18</v>
      </c>
      <c r="C10">
        <v>6</v>
      </c>
      <c r="D10">
        <v>12</v>
      </c>
      <c r="E10">
        <v>-10.27</v>
      </c>
      <c r="F10">
        <v>1201</v>
      </c>
      <c r="G10">
        <v>415</v>
      </c>
      <c r="H10">
        <v>1043</v>
      </c>
      <c r="I10">
        <v>264</v>
      </c>
      <c r="J10">
        <v>358</v>
      </c>
      <c r="K10">
        <v>192</v>
      </c>
      <c r="L10">
        <v>572</v>
      </c>
      <c r="M10">
        <v>163</v>
      </c>
      <c r="N10">
        <v>137</v>
      </c>
      <c r="O10">
        <v>30</v>
      </c>
      <c r="P10">
        <v>258</v>
      </c>
      <c r="Q10">
        <v>376</v>
      </c>
    </row>
    <row r="11" spans="1:17">
      <c r="A11" s="1" t="s">
        <v>25</v>
      </c>
      <c r="B11">
        <v>10</v>
      </c>
      <c r="C11">
        <v>4</v>
      </c>
      <c r="D11">
        <v>6</v>
      </c>
      <c r="E11">
        <v>1.66</v>
      </c>
      <c r="F11">
        <v>691</v>
      </c>
      <c r="G11">
        <v>248</v>
      </c>
      <c r="H11">
        <v>557</v>
      </c>
      <c r="I11">
        <v>105</v>
      </c>
      <c r="J11">
        <v>149</v>
      </c>
      <c r="K11">
        <v>78</v>
      </c>
      <c r="L11">
        <v>326</v>
      </c>
      <c r="M11">
        <v>128</v>
      </c>
      <c r="N11">
        <v>73</v>
      </c>
      <c r="O11">
        <v>47</v>
      </c>
      <c r="P11">
        <v>158</v>
      </c>
      <c r="Q11">
        <v>193</v>
      </c>
    </row>
    <row r="12" spans="1:17">
      <c r="A12" s="1" t="s">
        <v>271</v>
      </c>
      <c r="B12">
        <v>26</v>
      </c>
      <c r="C12">
        <v>15</v>
      </c>
      <c r="D12">
        <v>11</v>
      </c>
      <c r="E12">
        <v>-5.41</v>
      </c>
      <c r="F12">
        <v>1842</v>
      </c>
      <c r="G12">
        <v>629</v>
      </c>
      <c r="H12">
        <v>1501</v>
      </c>
      <c r="I12">
        <v>377</v>
      </c>
      <c r="J12">
        <v>510</v>
      </c>
      <c r="K12">
        <v>284</v>
      </c>
      <c r="L12">
        <v>929</v>
      </c>
      <c r="M12">
        <v>310</v>
      </c>
      <c r="N12">
        <v>198</v>
      </c>
      <c r="O12">
        <v>90</v>
      </c>
      <c r="P12">
        <v>304</v>
      </c>
      <c r="Q12">
        <v>357</v>
      </c>
    </row>
    <row r="13" spans="1:17">
      <c r="A13" s="1" t="s">
        <v>26</v>
      </c>
      <c r="B13">
        <v>23</v>
      </c>
      <c r="C13">
        <v>10</v>
      </c>
      <c r="D13">
        <v>13</v>
      </c>
      <c r="E13">
        <v>8.0500000000000007</v>
      </c>
      <c r="F13">
        <v>1721</v>
      </c>
      <c r="G13">
        <v>604</v>
      </c>
      <c r="H13">
        <v>1395</v>
      </c>
      <c r="I13">
        <v>346</v>
      </c>
      <c r="J13">
        <v>475</v>
      </c>
      <c r="K13">
        <v>185</v>
      </c>
      <c r="L13">
        <v>735</v>
      </c>
      <c r="M13">
        <v>299</v>
      </c>
      <c r="N13">
        <v>162</v>
      </c>
      <c r="O13">
        <v>79</v>
      </c>
      <c r="P13">
        <v>249</v>
      </c>
      <c r="Q13">
        <v>446</v>
      </c>
    </row>
    <row r="14" spans="1:17">
      <c r="A14" s="1" t="s">
        <v>356</v>
      </c>
      <c r="B14">
        <v>26</v>
      </c>
      <c r="C14">
        <v>17</v>
      </c>
      <c r="D14">
        <v>9</v>
      </c>
      <c r="E14">
        <v>6.09</v>
      </c>
      <c r="F14">
        <v>1961</v>
      </c>
      <c r="G14">
        <v>667</v>
      </c>
      <c r="H14">
        <v>1492</v>
      </c>
      <c r="I14">
        <v>453</v>
      </c>
      <c r="J14">
        <v>623</v>
      </c>
      <c r="K14">
        <v>305</v>
      </c>
      <c r="L14">
        <v>997</v>
      </c>
      <c r="M14">
        <v>403</v>
      </c>
      <c r="N14">
        <v>152</v>
      </c>
      <c r="O14">
        <v>104</v>
      </c>
      <c r="P14">
        <v>309</v>
      </c>
      <c r="Q14">
        <v>463</v>
      </c>
    </row>
    <row r="15" spans="1:17">
      <c r="A15" s="1" t="s">
        <v>27</v>
      </c>
      <c r="B15">
        <v>26</v>
      </c>
      <c r="C15">
        <v>11</v>
      </c>
      <c r="D15">
        <v>15</v>
      </c>
      <c r="E15">
        <v>-5.0199999999999996</v>
      </c>
      <c r="F15">
        <v>1786</v>
      </c>
      <c r="G15">
        <v>638</v>
      </c>
      <c r="H15">
        <v>1401</v>
      </c>
      <c r="I15">
        <v>363</v>
      </c>
      <c r="J15">
        <v>517</v>
      </c>
      <c r="K15">
        <v>261</v>
      </c>
      <c r="L15">
        <v>898</v>
      </c>
      <c r="M15">
        <v>354</v>
      </c>
      <c r="N15">
        <v>165</v>
      </c>
      <c r="O15">
        <v>86</v>
      </c>
      <c r="P15">
        <v>392</v>
      </c>
      <c r="Q15">
        <v>415</v>
      </c>
    </row>
    <row r="16" spans="1:17">
      <c r="A16" s="1" t="s">
        <v>28</v>
      </c>
      <c r="B16">
        <v>24</v>
      </c>
      <c r="C16">
        <v>4</v>
      </c>
      <c r="D16">
        <v>20</v>
      </c>
      <c r="E16">
        <v>-7.53</v>
      </c>
      <c r="F16">
        <v>1487</v>
      </c>
      <c r="G16">
        <v>504</v>
      </c>
      <c r="H16">
        <v>1303</v>
      </c>
      <c r="I16">
        <v>361</v>
      </c>
      <c r="J16">
        <v>502</v>
      </c>
      <c r="K16">
        <v>232</v>
      </c>
      <c r="L16">
        <v>778</v>
      </c>
      <c r="M16">
        <v>227</v>
      </c>
      <c r="N16">
        <v>154</v>
      </c>
      <c r="O16">
        <v>92</v>
      </c>
      <c r="P16">
        <v>382</v>
      </c>
      <c r="Q16">
        <v>440</v>
      </c>
    </row>
    <row r="17" spans="1:17">
      <c r="A17" s="1" t="s">
        <v>29</v>
      </c>
      <c r="B17">
        <v>24</v>
      </c>
      <c r="C17">
        <v>11</v>
      </c>
      <c r="D17">
        <v>13</v>
      </c>
      <c r="E17">
        <v>-5.47</v>
      </c>
      <c r="F17">
        <v>1741</v>
      </c>
      <c r="G17">
        <v>621</v>
      </c>
      <c r="H17">
        <v>1390</v>
      </c>
      <c r="I17">
        <v>345</v>
      </c>
      <c r="J17">
        <v>478</v>
      </c>
      <c r="K17">
        <v>265</v>
      </c>
      <c r="L17">
        <v>892</v>
      </c>
      <c r="M17">
        <v>347</v>
      </c>
      <c r="N17">
        <v>158</v>
      </c>
      <c r="O17">
        <v>68</v>
      </c>
      <c r="P17">
        <v>313</v>
      </c>
      <c r="Q17">
        <v>385</v>
      </c>
    </row>
    <row r="18" spans="1:17">
      <c r="A18" s="1" t="s">
        <v>302</v>
      </c>
      <c r="B18">
        <v>26</v>
      </c>
      <c r="C18">
        <v>21</v>
      </c>
      <c r="D18">
        <v>5</v>
      </c>
      <c r="E18">
        <v>5.9</v>
      </c>
      <c r="F18">
        <v>2166</v>
      </c>
      <c r="G18">
        <v>773</v>
      </c>
      <c r="H18">
        <v>1694</v>
      </c>
      <c r="I18">
        <v>411</v>
      </c>
      <c r="J18">
        <v>552</v>
      </c>
      <c r="K18">
        <v>310</v>
      </c>
      <c r="L18">
        <v>1041</v>
      </c>
      <c r="M18">
        <v>390</v>
      </c>
      <c r="N18">
        <v>212</v>
      </c>
      <c r="O18">
        <v>134</v>
      </c>
      <c r="P18">
        <v>332</v>
      </c>
      <c r="Q18">
        <v>438</v>
      </c>
    </row>
    <row r="19" spans="1:17">
      <c r="A19" s="1" t="s">
        <v>30</v>
      </c>
      <c r="B19">
        <v>20</v>
      </c>
      <c r="C19">
        <v>12</v>
      </c>
      <c r="D19">
        <v>8</v>
      </c>
      <c r="E19">
        <v>5.08</v>
      </c>
      <c r="F19">
        <v>1448</v>
      </c>
      <c r="G19">
        <v>539</v>
      </c>
      <c r="H19">
        <v>1167</v>
      </c>
      <c r="I19">
        <v>207</v>
      </c>
      <c r="J19">
        <v>329</v>
      </c>
      <c r="K19">
        <v>164</v>
      </c>
      <c r="L19">
        <v>701</v>
      </c>
      <c r="M19">
        <v>295</v>
      </c>
      <c r="N19">
        <v>128</v>
      </c>
      <c r="O19">
        <v>30</v>
      </c>
      <c r="P19">
        <v>258</v>
      </c>
      <c r="Q19">
        <v>312</v>
      </c>
    </row>
    <row r="20" spans="1:17">
      <c r="A20" s="1" t="s">
        <v>272</v>
      </c>
      <c r="B20">
        <v>27</v>
      </c>
      <c r="C20">
        <v>13</v>
      </c>
      <c r="D20">
        <v>14</v>
      </c>
      <c r="E20">
        <v>9.6999999999999993</v>
      </c>
      <c r="F20">
        <v>2084</v>
      </c>
      <c r="G20">
        <v>711</v>
      </c>
      <c r="H20">
        <v>1628</v>
      </c>
      <c r="I20">
        <v>417</v>
      </c>
      <c r="J20">
        <v>589</v>
      </c>
      <c r="K20">
        <v>348</v>
      </c>
      <c r="L20">
        <v>1063</v>
      </c>
      <c r="M20">
        <v>400</v>
      </c>
      <c r="N20">
        <v>168</v>
      </c>
      <c r="O20">
        <v>163</v>
      </c>
      <c r="P20">
        <v>438</v>
      </c>
      <c r="Q20">
        <v>482</v>
      </c>
    </row>
    <row r="21" spans="1:17">
      <c r="A21" s="1" t="s">
        <v>31</v>
      </c>
      <c r="B21">
        <v>27</v>
      </c>
      <c r="C21">
        <v>14</v>
      </c>
      <c r="D21">
        <v>13</v>
      </c>
      <c r="E21">
        <v>-7.68</v>
      </c>
      <c r="F21">
        <v>2007</v>
      </c>
      <c r="G21">
        <v>733</v>
      </c>
      <c r="H21">
        <v>1617</v>
      </c>
      <c r="I21">
        <v>347</v>
      </c>
      <c r="J21">
        <v>462</v>
      </c>
      <c r="K21">
        <v>341</v>
      </c>
      <c r="L21">
        <v>931</v>
      </c>
      <c r="M21">
        <v>357</v>
      </c>
      <c r="N21">
        <v>183</v>
      </c>
      <c r="O21">
        <v>54</v>
      </c>
      <c r="P21">
        <v>397</v>
      </c>
      <c r="Q21">
        <v>472</v>
      </c>
    </row>
    <row r="22" spans="1:17">
      <c r="A22" s="1" t="s">
        <v>273</v>
      </c>
      <c r="B22">
        <v>22</v>
      </c>
      <c r="C22">
        <v>10</v>
      </c>
      <c r="D22">
        <v>12</v>
      </c>
      <c r="E22">
        <v>-0.37</v>
      </c>
      <c r="F22">
        <v>1630</v>
      </c>
      <c r="G22">
        <v>581</v>
      </c>
      <c r="H22">
        <v>1309</v>
      </c>
      <c r="I22">
        <v>283</v>
      </c>
      <c r="J22">
        <v>379</v>
      </c>
      <c r="K22">
        <v>213</v>
      </c>
      <c r="L22">
        <v>804</v>
      </c>
      <c r="M22">
        <v>309</v>
      </c>
      <c r="N22">
        <v>121</v>
      </c>
      <c r="O22">
        <v>52</v>
      </c>
      <c r="P22">
        <v>316</v>
      </c>
      <c r="Q22">
        <v>416</v>
      </c>
    </row>
    <row r="23" spans="1:17">
      <c r="A23" s="1" t="s">
        <v>32</v>
      </c>
      <c r="B23">
        <v>21</v>
      </c>
      <c r="C23">
        <v>20</v>
      </c>
      <c r="D23">
        <v>1</v>
      </c>
      <c r="E23">
        <v>4.71</v>
      </c>
      <c r="F23">
        <v>1789</v>
      </c>
      <c r="G23">
        <v>662</v>
      </c>
      <c r="H23">
        <v>1334</v>
      </c>
      <c r="I23">
        <v>247</v>
      </c>
      <c r="J23">
        <v>360</v>
      </c>
      <c r="K23">
        <v>268</v>
      </c>
      <c r="L23">
        <v>764</v>
      </c>
      <c r="M23">
        <v>365</v>
      </c>
      <c r="N23">
        <v>198</v>
      </c>
      <c r="O23">
        <v>80</v>
      </c>
      <c r="P23">
        <v>253</v>
      </c>
      <c r="Q23">
        <v>356</v>
      </c>
    </row>
    <row r="24" spans="1:17">
      <c r="A24" s="1" t="s">
        <v>370</v>
      </c>
      <c r="B24">
        <v>20</v>
      </c>
      <c r="C24">
        <v>13</v>
      </c>
      <c r="D24">
        <v>7</v>
      </c>
      <c r="E24">
        <v>-6.14</v>
      </c>
      <c r="F24">
        <v>1486</v>
      </c>
      <c r="G24">
        <v>562</v>
      </c>
      <c r="H24">
        <v>1091</v>
      </c>
      <c r="I24">
        <v>234</v>
      </c>
      <c r="J24">
        <v>314</v>
      </c>
      <c r="K24">
        <v>159</v>
      </c>
      <c r="L24">
        <v>608</v>
      </c>
      <c r="M24">
        <v>316</v>
      </c>
      <c r="N24">
        <v>143</v>
      </c>
      <c r="O24">
        <v>42</v>
      </c>
      <c r="P24">
        <v>222</v>
      </c>
      <c r="Q24">
        <v>307</v>
      </c>
    </row>
    <row r="25" spans="1:17">
      <c r="A25" s="1" t="s">
        <v>33</v>
      </c>
      <c r="B25">
        <v>30</v>
      </c>
      <c r="C25">
        <v>26</v>
      </c>
      <c r="D25">
        <v>4</v>
      </c>
      <c r="E25">
        <v>-8.11</v>
      </c>
      <c r="F25">
        <v>2439</v>
      </c>
      <c r="G25">
        <v>894</v>
      </c>
      <c r="H25">
        <v>1829</v>
      </c>
      <c r="I25">
        <v>380</v>
      </c>
      <c r="J25">
        <v>515</v>
      </c>
      <c r="K25">
        <v>264</v>
      </c>
      <c r="L25">
        <v>1072</v>
      </c>
      <c r="M25">
        <v>547</v>
      </c>
      <c r="N25">
        <v>232</v>
      </c>
      <c r="O25">
        <v>87</v>
      </c>
      <c r="P25">
        <v>361</v>
      </c>
      <c r="Q25">
        <v>438</v>
      </c>
    </row>
    <row r="26" spans="1:17">
      <c r="A26" s="1" t="s">
        <v>303</v>
      </c>
      <c r="B26">
        <v>18</v>
      </c>
      <c r="C26">
        <v>4</v>
      </c>
      <c r="D26">
        <v>14</v>
      </c>
      <c r="E26">
        <v>-4.38</v>
      </c>
      <c r="F26">
        <v>1178</v>
      </c>
      <c r="G26">
        <v>430</v>
      </c>
      <c r="H26">
        <v>1039</v>
      </c>
      <c r="I26">
        <v>162</v>
      </c>
      <c r="J26">
        <v>241</v>
      </c>
      <c r="K26">
        <v>191</v>
      </c>
      <c r="L26">
        <v>642</v>
      </c>
      <c r="M26">
        <v>199</v>
      </c>
      <c r="N26">
        <v>90</v>
      </c>
      <c r="O26">
        <v>55</v>
      </c>
      <c r="P26">
        <v>250</v>
      </c>
      <c r="Q26">
        <v>307</v>
      </c>
    </row>
    <row r="27" spans="1:17">
      <c r="A27" s="1" t="s">
        <v>35</v>
      </c>
      <c r="B27">
        <v>25</v>
      </c>
      <c r="C27">
        <v>18</v>
      </c>
      <c r="D27">
        <v>7</v>
      </c>
      <c r="E27">
        <v>0.87</v>
      </c>
      <c r="F27">
        <v>1899</v>
      </c>
      <c r="G27">
        <v>667</v>
      </c>
      <c r="H27">
        <v>1471</v>
      </c>
      <c r="I27">
        <v>373</v>
      </c>
      <c r="J27">
        <v>502</v>
      </c>
      <c r="K27">
        <v>234</v>
      </c>
      <c r="L27">
        <v>899</v>
      </c>
      <c r="M27">
        <v>336</v>
      </c>
      <c r="N27">
        <v>165</v>
      </c>
      <c r="O27">
        <v>73</v>
      </c>
      <c r="P27">
        <v>287</v>
      </c>
      <c r="Q27">
        <v>422</v>
      </c>
    </row>
    <row r="28" spans="1:17">
      <c r="A28" s="1" t="s">
        <v>36</v>
      </c>
      <c r="B28">
        <v>19</v>
      </c>
      <c r="C28">
        <v>4</v>
      </c>
      <c r="D28">
        <v>15</v>
      </c>
      <c r="E28">
        <v>9.93</v>
      </c>
      <c r="F28">
        <v>1376</v>
      </c>
      <c r="G28">
        <v>482</v>
      </c>
      <c r="H28">
        <v>1140</v>
      </c>
      <c r="I28">
        <v>233</v>
      </c>
      <c r="J28">
        <v>331</v>
      </c>
      <c r="K28">
        <v>171</v>
      </c>
      <c r="L28">
        <v>636</v>
      </c>
      <c r="M28">
        <v>224</v>
      </c>
      <c r="N28">
        <v>135</v>
      </c>
      <c r="O28">
        <v>77</v>
      </c>
      <c r="P28">
        <v>254</v>
      </c>
      <c r="Q28">
        <v>311</v>
      </c>
    </row>
    <row r="29" spans="1:17">
      <c r="A29" s="1" t="s">
        <v>37</v>
      </c>
      <c r="B29">
        <v>18</v>
      </c>
      <c r="C29">
        <v>7</v>
      </c>
      <c r="D29">
        <v>11</v>
      </c>
      <c r="E29">
        <v>5.8</v>
      </c>
      <c r="F29">
        <v>1249</v>
      </c>
      <c r="G29">
        <v>451</v>
      </c>
      <c r="H29">
        <v>1034</v>
      </c>
      <c r="I29">
        <v>222</v>
      </c>
      <c r="J29">
        <v>296</v>
      </c>
      <c r="K29">
        <v>181</v>
      </c>
      <c r="L29">
        <v>636</v>
      </c>
      <c r="M29">
        <v>184</v>
      </c>
      <c r="N29">
        <v>98</v>
      </c>
      <c r="O29">
        <v>53</v>
      </c>
      <c r="P29">
        <v>223</v>
      </c>
      <c r="Q29">
        <v>305</v>
      </c>
    </row>
    <row r="30" spans="1:17">
      <c r="A30" s="1" t="s">
        <v>38</v>
      </c>
      <c r="B30">
        <v>24</v>
      </c>
      <c r="C30">
        <v>14</v>
      </c>
      <c r="D30">
        <v>10</v>
      </c>
      <c r="E30">
        <v>-1.07</v>
      </c>
      <c r="F30">
        <v>1896</v>
      </c>
      <c r="G30">
        <v>675</v>
      </c>
      <c r="H30">
        <v>1594</v>
      </c>
      <c r="I30">
        <v>342</v>
      </c>
      <c r="J30">
        <v>463</v>
      </c>
      <c r="K30">
        <v>300</v>
      </c>
      <c r="L30">
        <v>917</v>
      </c>
      <c r="M30">
        <v>310</v>
      </c>
      <c r="N30">
        <v>178</v>
      </c>
      <c r="O30">
        <v>49</v>
      </c>
      <c r="P30">
        <v>249</v>
      </c>
      <c r="Q30">
        <v>409</v>
      </c>
    </row>
    <row r="31" spans="1:17">
      <c r="A31" s="1" t="s">
        <v>39</v>
      </c>
      <c r="B31">
        <v>28</v>
      </c>
      <c r="C31">
        <v>12</v>
      </c>
      <c r="D31">
        <v>16</v>
      </c>
      <c r="E31">
        <v>1.68</v>
      </c>
      <c r="F31">
        <v>1948</v>
      </c>
      <c r="G31">
        <v>736</v>
      </c>
      <c r="H31">
        <v>1636</v>
      </c>
      <c r="I31">
        <v>284</v>
      </c>
      <c r="J31">
        <v>393</v>
      </c>
      <c r="K31">
        <v>284</v>
      </c>
      <c r="L31">
        <v>1033</v>
      </c>
      <c r="M31">
        <v>382</v>
      </c>
      <c r="N31">
        <v>144</v>
      </c>
      <c r="O31">
        <v>98</v>
      </c>
      <c r="P31">
        <v>346</v>
      </c>
      <c r="Q31">
        <v>455</v>
      </c>
    </row>
    <row r="32" spans="1:17">
      <c r="A32" s="1" t="s">
        <v>40</v>
      </c>
      <c r="B32">
        <v>24</v>
      </c>
      <c r="C32">
        <v>19</v>
      </c>
      <c r="D32">
        <v>5</v>
      </c>
      <c r="E32">
        <v>5.26</v>
      </c>
      <c r="F32">
        <v>1887</v>
      </c>
      <c r="G32">
        <v>694</v>
      </c>
      <c r="H32">
        <v>1429</v>
      </c>
      <c r="I32">
        <v>284</v>
      </c>
      <c r="J32">
        <v>393</v>
      </c>
      <c r="K32">
        <v>229</v>
      </c>
      <c r="L32">
        <v>945</v>
      </c>
      <c r="M32">
        <v>405</v>
      </c>
      <c r="N32">
        <v>112</v>
      </c>
      <c r="O32">
        <v>68</v>
      </c>
      <c r="P32">
        <v>317</v>
      </c>
      <c r="Q32">
        <v>423</v>
      </c>
    </row>
    <row r="33" spans="1:17">
      <c r="A33" s="1" t="s">
        <v>41</v>
      </c>
      <c r="B33">
        <v>0</v>
      </c>
      <c r="C33">
        <v>0</v>
      </c>
      <c r="D33">
        <v>0</v>
      </c>
    </row>
    <row r="34" spans="1:17">
      <c r="A34" s="1" t="s">
        <v>352</v>
      </c>
      <c r="B34">
        <v>20</v>
      </c>
      <c r="C34">
        <v>15</v>
      </c>
      <c r="D34">
        <v>5</v>
      </c>
      <c r="E34">
        <v>-5.77</v>
      </c>
      <c r="F34">
        <v>1693</v>
      </c>
      <c r="G34">
        <v>584</v>
      </c>
      <c r="H34">
        <v>1235</v>
      </c>
      <c r="I34">
        <v>335</v>
      </c>
      <c r="J34">
        <v>445</v>
      </c>
      <c r="K34">
        <v>214</v>
      </c>
      <c r="L34">
        <v>811</v>
      </c>
      <c r="M34">
        <v>320</v>
      </c>
      <c r="N34">
        <v>138</v>
      </c>
      <c r="O34">
        <v>70</v>
      </c>
      <c r="P34">
        <v>313</v>
      </c>
      <c r="Q34">
        <v>327</v>
      </c>
    </row>
    <row r="35" spans="1:17">
      <c r="A35" s="1" t="s">
        <v>42</v>
      </c>
      <c r="B35">
        <v>11</v>
      </c>
      <c r="C35">
        <v>5</v>
      </c>
      <c r="D35">
        <v>6</v>
      </c>
      <c r="E35">
        <v>-3.47</v>
      </c>
      <c r="F35">
        <v>824</v>
      </c>
      <c r="G35">
        <v>282</v>
      </c>
      <c r="H35">
        <v>618</v>
      </c>
      <c r="I35">
        <v>180</v>
      </c>
      <c r="J35">
        <v>234</v>
      </c>
      <c r="K35">
        <v>71</v>
      </c>
      <c r="L35">
        <v>374</v>
      </c>
      <c r="M35">
        <v>132</v>
      </c>
      <c r="N35">
        <v>64</v>
      </c>
      <c r="O35">
        <v>36</v>
      </c>
      <c r="P35">
        <v>142</v>
      </c>
      <c r="Q35">
        <v>195</v>
      </c>
    </row>
    <row r="36" spans="1:17">
      <c r="A36" s="1" t="s">
        <v>43</v>
      </c>
      <c r="B36">
        <v>21</v>
      </c>
      <c r="C36">
        <v>14</v>
      </c>
      <c r="D36">
        <v>7</v>
      </c>
      <c r="E36">
        <v>-1.3</v>
      </c>
      <c r="F36">
        <v>1737</v>
      </c>
      <c r="G36">
        <v>658</v>
      </c>
      <c r="H36">
        <v>1413</v>
      </c>
      <c r="I36">
        <v>277</v>
      </c>
      <c r="J36">
        <v>407</v>
      </c>
      <c r="K36">
        <v>309</v>
      </c>
      <c r="L36">
        <v>926</v>
      </c>
      <c r="M36">
        <v>348</v>
      </c>
      <c r="N36">
        <v>177</v>
      </c>
      <c r="O36">
        <v>86</v>
      </c>
      <c r="P36">
        <v>290</v>
      </c>
      <c r="Q36">
        <v>382</v>
      </c>
    </row>
    <row r="37" spans="1:17">
      <c r="A37" s="1" t="s">
        <v>304</v>
      </c>
      <c r="B37">
        <v>23</v>
      </c>
      <c r="C37">
        <v>9</v>
      </c>
      <c r="D37">
        <v>14</v>
      </c>
      <c r="E37">
        <v>10.69</v>
      </c>
      <c r="F37">
        <v>1462</v>
      </c>
      <c r="G37">
        <v>526</v>
      </c>
      <c r="H37">
        <v>1276</v>
      </c>
      <c r="I37">
        <v>247</v>
      </c>
      <c r="J37">
        <v>386</v>
      </c>
      <c r="K37">
        <v>207</v>
      </c>
      <c r="L37">
        <v>747</v>
      </c>
      <c r="M37">
        <v>284</v>
      </c>
      <c r="N37">
        <v>126</v>
      </c>
      <c r="O37">
        <v>46</v>
      </c>
      <c r="P37">
        <v>265</v>
      </c>
      <c r="Q37">
        <v>383</v>
      </c>
    </row>
    <row r="38" spans="1:17">
      <c r="A38" s="1" t="s">
        <v>44</v>
      </c>
      <c r="B38">
        <v>22</v>
      </c>
      <c r="C38">
        <v>3</v>
      </c>
      <c r="D38">
        <v>19</v>
      </c>
      <c r="E38">
        <v>-2.7</v>
      </c>
      <c r="F38">
        <v>1339</v>
      </c>
      <c r="G38">
        <v>473</v>
      </c>
      <c r="H38">
        <v>1206</v>
      </c>
      <c r="I38">
        <v>256</v>
      </c>
      <c r="J38">
        <v>358</v>
      </c>
      <c r="K38">
        <v>175</v>
      </c>
      <c r="L38">
        <v>715</v>
      </c>
      <c r="M38">
        <v>268</v>
      </c>
      <c r="N38">
        <v>135</v>
      </c>
      <c r="O38">
        <v>79</v>
      </c>
      <c r="P38">
        <v>312</v>
      </c>
      <c r="Q38">
        <v>408</v>
      </c>
    </row>
    <row r="39" spans="1:17">
      <c r="A39" s="1" t="s">
        <v>343</v>
      </c>
      <c r="B39">
        <v>25</v>
      </c>
      <c r="C39">
        <v>15</v>
      </c>
      <c r="D39">
        <v>10</v>
      </c>
      <c r="E39">
        <v>-3.55</v>
      </c>
      <c r="F39">
        <v>1755</v>
      </c>
      <c r="G39">
        <v>659</v>
      </c>
      <c r="H39">
        <v>1479</v>
      </c>
      <c r="I39">
        <v>294</v>
      </c>
      <c r="J39">
        <v>411</v>
      </c>
      <c r="K39">
        <v>339</v>
      </c>
      <c r="L39">
        <v>933</v>
      </c>
      <c r="M39">
        <v>354</v>
      </c>
      <c r="N39">
        <v>161</v>
      </c>
      <c r="O39">
        <v>77</v>
      </c>
      <c r="P39">
        <v>320</v>
      </c>
      <c r="Q39">
        <v>482</v>
      </c>
    </row>
    <row r="40" spans="1:17">
      <c r="A40" s="1" t="s">
        <v>45</v>
      </c>
      <c r="B40">
        <v>15</v>
      </c>
      <c r="C40">
        <v>6</v>
      </c>
      <c r="D40">
        <v>9</v>
      </c>
      <c r="E40">
        <v>-3.6</v>
      </c>
      <c r="F40">
        <v>1150</v>
      </c>
      <c r="G40">
        <v>403</v>
      </c>
      <c r="H40">
        <v>886</v>
      </c>
      <c r="I40">
        <v>226</v>
      </c>
      <c r="J40">
        <v>304</v>
      </c>
      <c r="K40">
        <v>125</v>
      </c>
      <c r="L40">
        <v>490</v>
      </c>
      <c r="M40">
        <v>206</v>
      </c>
      <c r="N40">
        <v>99</v>
      </c>
      <c r="O40">
        <v>31</v>
      </c>
      <c r="P40">
        <v>195</v>
      </c>
      <c r="Q40">
        <v>255</v>
      </c>
    </row>
    <row r="41" spans="1:17">
      <c r="A41" s="1" t="s">
        <v>46</v>
      </c>
      <c r="B41">
        <v>21</v>
      </c>
      <c r="C41">
        <v>9</v>
      </c>
      <c r="D41">
        <v>12</v>
      </c>
      <c r="E41">
        <v>-2.92</v>
      </c>
      <c r="F41">
        <v>1523</v>
      </c>
      <c r="G41">
        <v>540</v>
      </c>
      <c r="H41">
        <v>1254</v>
      </c>
      <c r="I41">
        <v>278</v>
      </c>
      <c r="J41">
        <v>387</v>
      </c>
      <c r="K41">
        <v>194</v>
      </c>
      <c r="L41">
        <v>699</v>
      </c>
      <c r="M41">
        <v>286</v>
      </c>
      <c r="N41">
        <v>135</v>
      </c>
      <c r="O41">
        <v>45</v>
      </c>
      <c r="P41">
        <v>248</v>
      </c>
      <c r="Q41">
        <v>366</v>
      </c>
    </row>
    <row r="42" spans="1:17">
      <c r="A42" s="1" t="s">
        <v>368</v>
      </c>
      <c r="B42">
        <v>22</v>
      </c>
      <c r="C42">
        <v>13</v>
      </c>
      <c r="D42">
        <v>9</v>
      </c>
      <c r="E42">
        <v>-6.13</v>
      </c>
      <c r="F42">
        <v>1754</v>
      </c>
      <c r="G42">
        <v>613</v>
      </c>
      <c r="H42">
        <v>1283</v>
      </c>
      <c r="I42">
        <v>319</v>
      </c>
      <c r="J42">
        <v>434</v>
      </c>
      <c r="K42">
        <v>215</v>
      </c>
      <c r="L42">
        <v>821</v>
      </c>
      <c r="M42">
        <v>393</v>
      </c>
      <c r="N42">
        <v>112</v>
      </c>
      <c r="O42">
        <v>53</v>
      </c>
      <c r="P42">
        <v>295</v>
      </c>
      <c r="Q42">
        <v>436</v>
      </c>
    </row>
    <row r="43" spans="1:17">
      <c r="A43" s="1" t="s">
        <v>330</v>
      </c>
      <c r="B43">
        <v>16</v>
      </c>
      <c r="C43">
        <v>9</v>
      </c>
      <c r="D43">
        <v>7</v>
      </c>
      <c r="E43">
        <v>-6.62</v>
      </c>
      <c r="F43">
        <v>1182</v>
      </c>
      <c r="G43">
        <v>404</v>
      </c>
      <c r="H43">
        <v>921</v>
      </c>
      <c r="I43">
        <v>279</v>
      </c>
      <c r="J43">
        <v>356</v>
      </c>
      <c r="K43">
        <v>150</v>
      </c>
      <c r="L43">
        <v>519</v>
      </c>
      <c r="M43">
        <v>174</v>
      </c>
      <c r="N43">
        <v>125</v>
      </c>
      <c r="O43">
        <v>45</v>
      </c>
      <c r="P43">
        <v>230</v>
      </c>
      <c r="Q43">
        <v>324</v>
      </c>
    </row>
    <row r="44" spans="1:17">
      <c r="A44" s="1" t="s">
        <v>47</v>
      </c>
      <c r="B44">
        <v>24</v>
      </c>
      <c r="C44">
        <v>16</v>
      </c>
      <c r="D44">
        <v>8</v>
      </c>
      <c r="E44">
        <v>-2.2200000000000002</v>
      </c>
      <c r="F44">
        <v>1751</v>
      </c>
      <c r="G44">
        <v>663</v>
      </c>
      <c r="H44">
        <v>1464</v>
      </c>
      <c r="I44">
        <v>306</v>
      </c>
      <c r="J44">
        <v>407</v>
      </c>
      <c r="K44">
        <v>283</v>
      </c>
      <c r="L44">
        <v>968</v>
      </c>
      <c r="M44">
        <v>298</v>
      </c>
      <c r="N44">
        <v>187</v>
      </c>
      <c r="O44">
        <v>93</v>
      </c>
      <c r="P44">
        <v>316</v>
      </c>
      <c r="Q44">
        <v>399</v>
      </c>
    </row>
    <row r="45" spans="1:17">
      <c r="A45" s="1" t="s">
        <v>305</v>
      </c>
      <c r="B45">
        <v>20</v>
      </c>
      <c r="C45">
        <v>13</v>
      </c>
      <c r="D45">
        <v>7</v>
      </c>
      <c r="E45">
        <v>-4.0199999999999996</v>
      </c>
      <c r="F45">
        <v>1421</v>
      </c>
      <c r="G45">
        <v>527</v>
      </c>
      <c r="H45">
        <v>1158</v>
      </c>
      <c r="I45">
        <v>181</v>
      </c>
      <c r="J45">
        <v>261</v>
      </c>
      <c r="K45">
        <v>175</v>
      </c>
      <c r="L45">
        <v>742</v>
      </c>
      <c r="M45">
        <v>286</v>
      </c>
      <c r="N45">
        <v>103</v>
      </c>
      <c r="O45">
        <v>48</v>
      </c>
      <c r="P45">
        <v>246</v>
      </c>
      <c r="Q45">
        <v>348</v>
      </c>
    </row>
    <row r="46" spans="1:17">
      <c r="A46" s="1" t="s">
        <v>371</v>
      </c>
      <c r="B46">
        <v>17</v>
      </c>
      <c r="C46">
        <v>7</v>
      </c>
      <c r="D46">
        <v>10</v>
      </c>
      <c r="E46">
        <v>-7.0000000000000007E-2</v>
      </c>
      <c r="F46">
        <v>1214</v>
      </c>
      <c r="G46">
        <v>447</v>
      </c>
      <c r="H46">
        <v>973</v>
      </c>
      <c r="I46">
        <v>132</v>
      </c>
      <c r="J46">
        <v>207</v>
      </c>
      <c r="K46">
        <v>99</v>
      </c>
      <c r="L46">
        <v>501</v>
      </c>
      <c r="M46">
        <v>294</v>
      </c>
      <c r="N46">
        <v>116</v>
      </c>
      <c r="O46">
        <v>37</v>
      </c>
      <c r="P46">
        <v>225</v>
      </c>
      <c r="Q46">
        <v>232</v>
      </c>
    </row>
    <row r="47" spans="1:17">
      <c r="A47" s="1" t="s">
        <v>48</v>
      </c>
      <c r="B47">
        <v>23</v>
      </c>
      <c r="C47">
        <v>19</v>
      </c>
      <c r="D47">
        <v>4</v>
      </c>
      <c r="E47">
        <v>-3.8</v>
      </c>
      <c r="F47">
        <v>1744</v>
      </c>
      <c r="G47">
        <v>637</v>
      </c>
      <c r="H47">
        <v>1310</v>
      </c>
      <c r="I47">
        <v>312</v>
      </c>
      <c r="J47">
        <v>420</v>
      </c>
      <c r="K47">
        <v>217</v>
      </c>
      <c r="L47">
        <v>809</v>
      </c>
      <c r="M47">
        <v>389</v>
      </c>
      <c r="N47">
        <v>173</v>
      </c>
      <c r="O47">
        <v>69</v>
      </c>
      <c r="P47">
        <v>257</v>
      </c>
      <c r="Q47">
        <v>376</v>
      </c>
    </row>
    <row r="48" spans="1:17">
      <c r="A48" s="1" t="s">
        <v>49</v>
      </c>
      <c r="B48">
        <v>27</v>
      </c>
      <c r="C48">
        <v>8</v>
      </c>
      <c r="D48">
        <v>19</v>
      </c>
      <c r="E48">
        <v>7.23</v>
      </c>
      <c r="F48">
        <v>1763</v>
      </c>
      <c r="G48">
        <v>615</v>
      </c>
      <c r="H48">
        <v>1437</v>
      </c>
      <c r="I48">
        <v>345</v>
      </c>
      <c r="J48">
        <v>498</v>
      </c>
      <c r="K48">
        <v>221</v>
      </c>
      <c r="L48">
        <v>856</v>
      </c>
      <c r="M48">
        <v>326</v>
      </c>
      <c r="N48">
        <v>120</v>
      </c>
      <c r="O48">
        <v>60</v>
      </c>
      <c r="P48">
        <v>344</v>
      </c>
      <c r="Q48">
        <v>476</v>
      </c>
    </row>
    <row r="49" spans="1:17">
      <c r="A49" s="1" t="s">
        <v>50</v>
      </c>
      <c r="B49">
        <v>26</v>
      </c>
      <c r="C49">
        <v>17</v>
      </c>
      <c r="D49">
        <v>9</v>
      </c>
      <c r="E49">
        <v>-7.29</v>
      </c>
      <c r="F49">
        <v>1864</v>
      </c>
      <c r="G49">
        <v>678</v>
      </c>
      <c r="H49">
        <v>1358</v>
      </c>
      <c r="I49">
        <v>316</v>
      </c>
      <c r="J49">
        <v>462</v>
      </c>
      <c r="K49">
        <v>162</v>
      </c>
      <c r="L49">
        <v>747</v>
      </c>
      <c r="M49">
        <v>381</v>
      </c>
      <c r="N49">
        <v>158</v>
      </c>
      <c r="O49">
        <v>56</v>
      </c>
      <c r="P49">
        <v>313</v>
      </c>
      <c r="Q49">
        <v>443</v>
      </c>
    </row>
    <row r="50" spans="1:17">
      <c r="A50" s="1" t="s">
        <v>51</v>
      </c>
      <c r="B50">
        <v>12</v>
      </c>
      <c r="C50">
        <v>7</v>
      </c>
      <c r="D50">
        <v>5</v>
      </c>
      <c r="E50">
        <v>-6.19</v>
      </c>
      <c r="F50">
        <v>839</v>
      </c>
      <c r="G50">
        <v>293</v>
      </c>
      <c r="H50">
        <v>720</v>
      </c>
      <c r="I50">
        <v>165</v>
      </c>
      <c r="J50">
        <v>231</v>
      </c>
      <c r="K50">
        <v>120</v>
      </c>
      <c r="L50">
        <v>419</v>
      </c>
      <c r="M50">
        <v>153</v>
      </c>
      <c r="N50">
        <v>68</v>
      </c>
      <c r="O50">
        <v>43</v>
      </c>
      <c r="P50">
        <v>150</v>
      </c>
      <c r="Q50">
        <v>211</v>
      </c>
    </row>
    <row r="51" spans="1:17">
      <c r="A51" s="1" t="s">
        <v>344</v>
      </c>
      <c r="B51">
        <v>24</v>
      </c>
      <c r="C51">
        <v>5</v>
      </c>
      <c r="D51">
        <v>19</v>
      </c>
      <c r="E51">
        <v>-1.73</v>
      </c>
      <c r="F51">
        <v>1701</v>
      </c>
      <c r="G51">
        <v>606</v>
      </c>
      <c r="H51">
        <v>1388</v>
      </c>
      <c r="I51">
        <v>319</v>
      </c>
      <c r="J51">
        <v>445</v>
      </c>
      <c r="K51">
        <v>246</v>
      </c>
      <c r="L51">
        <v>889</v>
      </c>
      <c r="M51">
        <v>322</v>
      </c>
      <c r="N51">
        <v>121</v>
      </c>
      <c r="O51">
        <v>64</v>
      </c>
      <c r="P51">
        <v>419</v>
      </c>
      <c r="Q51">
        <v>433</v>
      </c>
    </row>
    <row r="52" spans="1:17">
      <c r="A52" s="1" t="s">
        <v>274</v>
      </c>
      <c r="B52">
        <v>21</v>
      </c>
      <c r="C52">
        <v>5</v>
      </c>
      <c r="D52">
        <v>16</v>
      </c>
      <c r="E52">
        <v>-4.1399999999999997</v>
      </c>
      <c r="F52">
        <v>1439</v>
      </c>
      <c r="G52">
        <v>522</v>
      </c>
      <c r="H52">
        <v>1230</v>
      </c>
      <c r="I52">
        <v>245</v>
      </c>
      <c r="J52">
        <v>349</v>
      </c>
      <c r="K52">
        <v>179</v>
      </c>
      <c r="L52">
        <v>664</v>
      </c>
      <c r="M52">
        <v>270</v>
      </c>
      <c r="N52">
        <v>145</v>
      </c>
      <c r="O52">
        <v>54</v>
      </c>
      <c r="P52">
        <v>298</v>
      </c>
      <c r="Q52">
        <v>359</v>
      </c>
    </row>
    <row r="53" spans="1:17">
      <c r="A53" s="1" t="s">
        <v>53</v>
      </c>
      <c r="B53">
        <v>21</v>
      </c>
      <c r="C53">
        <v>10</v>
      </c>
      <c r="D53">
        <v>11</v>
      </c>
      <c r="E53">
        <v>8.73</v>
      </c>
      <c r="F53">
        <v>1412</v>
      </c>
      <c r="G53">
        <v>497</v>
      </c>
      <c r="H53">
        <v>1153</v>
      </c>
      <c r="I53">
        <v>251</v>
      </c>
      <c r="J53">
        <v>341</v>
      </c>
      <c r="K53">
        <v>197</v>
      </c>
      <c r="L53">
        <v>694</v>
      </c>
      <c r="M53">
        <v>255</v>
      </c>
      <c r="N53">
        <v>143</v>
      </c>
      <c r="O53">
        <v>65</v>
      </c>
      <c r="P53">
        <v>310</v>
      </c>
      <c r="Q53">
        <v>358</v>
      </c>
    </row>
    <row r="54" spans="1:17">
      <c r="A54" s="1" t="s">
        <v>54</v>
      </c>
      <c r="B54">
        <v>23</v>
      </c>
      <c r="C54">
        <v>7</v>
      </c>
      <c r="D54">
        <v>16</v>
      </c>
      <c r="E54">
        <v>-2.99</v>
      </c>
      <c r="F54">
        <v>1766</v>
      </c>
      <c r="G54">
        <v>631</v>
      </c>
      <c r="H54">
        <v>1417</v>
      </c>
      <c r="I54">
        <v>352</v>
      </c>
      <c r="J54">
        <v>523</v>
      </c>
      <c r="K54">
        <v>241</v>
      </c>
      <c r="L54">
        <v>833</v>
      </c>
      <c r="M54">
        <v>246</v>
      </c>
      <c r="N54">
        <v>188</v>
      </c>
      <c r="O54">
        <v>67</v>
      </c>
      <c r="P54">
        <v>307</v>
      </c>
      <c r="Q54">
        <v>396</v>
      </c>
    </row>
    <row r="55" spans="1:17">
      <c r="A55" s="1" t="s">
        <v>55</v>
      </c>
      <c r="B55">
        <v>21</v>
      </c>
      <c r="C55">
        <v>3</v>
      </c>
      <c r="D55">
        <v>18</v>
      </c>
      <c r="E55">
        <v>-5.54</v>
      </c>
      <c r="F55">
        <v>1375</v>
      </c>
      <c r="G55">
        <v>480</v>
      </c>
      <c r="H55">
        <v>1182</v>
      </c>
      <c r="I55">
        <v>255</v>
      </c>
      <c r="J55">
        <v>357</v>
      </c>
      <c r="K55">
        <v>214</v>
      </c>
      <c r="L55">
        <v>778</v>
      </c>
      <c r="M55">
        <v>217</v>
      </c>
      <c r="N55">
        <v>129</v>
      </c>
      <c r="O55">
        <v>80</v>
      </c>
      <c r="P55">
        <v>346</v>
      </c>
      <c r="Q55">
        <v>385</v>
      </c>
    </row>
    <row r="56" spans="1:17">
      <c r="A56" s="1" t="s">
        <v>56</v>
      </c>
      <c r="B56">
        <v>24</v>
      </c>
      <c r="C56">
        <v>9</v>
      </c>
      <c r="D56">
        <v>15</v>
      </c>
      <c r="E56">
        <v>-1.95</v>
      </c>
      <c r="F56">
        <v>1525</v>
      </c>
      <c r="G56">
        <v>528</v>
      </c>
      <c r="H56">
        <v>1207</v>
      </c>
      <c r="I56">
        <v>331</v>
      </c>
      <c r="J56">
        <v>454</v>
      </c>
      <c r="K56">
        <v>163</v>
      </c>
      <c r="L56">
        <v>741</v>
      </c>
      <c r="M56">
        <v>274</v>
      </c>
      <c r="N56">
        <v>133</v>
      </c>
      <c r="O56">
        <v>70</v>
      </c>
      <c r="P56">
        <v>325</v>
      </c>
      <c r="Q56">
        <v>350</v>
      </c>
    </row>
    <row r="57" spans="1:17">
      <c r="A57" s="1" t="s">
        <v>57</v>
      </c>
      <c r="B57">
        <v>26</v>
      </c>
      <c r="C57">
        <v>18</v>
      </c>
      <c r="D57">
        <v>8</v>
      </c>
      <c r="E57">
        <v>-2.39</v>
      </c>
      <c r="F57">
        <v>1888</v>
      </c>
      <c r="G57">
        <v>667</v>
      </c>
      <c r="H57">
        <v>1522</v>
      </c>
      <c r="I57">
        <v>336</v>
      </c>
      <c r="J57">
        <v>429</v>
      </c>
      <c r="K57">
        <v>217</v>
      </c>
      <c r="L57">
        <v>881</v>
      </c>
      <c r="M57">
        <v>319</v>
      </c>
      <c r="N57">
        <v>178</v>
      </c>
      <c r="O57">
        <v>48</v>
      </c>
      <c r="P57">
        <v>289</v>
      </c>
      <c r="Q57">
        <v>370</v>
      </c>
    </row>
    <row r="58" spans="1:17">
      <c r="A58" s="1" t="s">
        <v>58</v>
      </c>
      <c r="B58">
        <v>9</v>
      </c>
      <c r="C58">
        <v>0</v>
      </c>
      <c r="D58">
        <v>9</v>
      </c>
      <c r="E58">
        <v>1.91</v>
      </c>
      <c r="F58">
        <v>499</v>
      </c>
      <c r="G58">
        <v>180</v>
      </c>
      <c r="H58">
        <v>497</v>
      </c>
      <c r="I58">
        <v>88</v>
      </c>
      <c r="J58">
        <v>126</v>
      </c>
      <c r="K58">
        <v>54</v>
      </c>
      <c r="L58">
        <v>234</v>
      </c>
      <c r="M58">
        <v>89</v>
      </c>
      <c r="N58">
        <v>49</v>
      </c>
      <c r="O58">
        <v>13</v>
      </c>
      <c r="P58">
        <v>140</v>
      </c>
      <c r="Q58">
        <v>178</v>
      </c>
    </row>
    <row r="59" spans="1:17">
      <c r="A59" s="1" t="s">
        <v>335</v>
      </c>
      <c r="B59">
        <v>19</v>
      </c>
      <c r="C59">
        <v>9</v>
      </c>
      <c r="D59">
        <v>10</v>
      </c>
      <c r="E59">
        <v>6.95</v>
      </c>
      <c r="F59">
        <v>1315</v>
      </c>
      <c r="G59">
        <v>474</v>
      </c>
      <c r="H59">
        <v>1106</v>
      </c>
      <c r="I59">
        <v>237</v>
      </c>
      <c r="J59">
        <v>361</v>
      </c>
      <c r="K59">
        <v>195</v>
      </c>
      <c r="L59">
        <v>677</v>
      </c>
      <c r="M59">
        <v>281</v>
      </c>
      <c r="N59">
        <v>126</v>
      </c>
      <c r="O59">
        <v>68</v>
      </c>
      <c r="P59">
        <v>281</v>
      </c>
      <c r="Q59">
        <v>370</v>
      </c>
    </row>
    <row r="60" spans="1:17">
      <c r="A60" s="1" t="s">
        <v>59</v>
      </c>
      <c r="B60">
        <v>25</v>
      </c>
      <c r="C60">
        <v>13</v>
      </c>
      <c r="D60">
        <v>12</v>
      </c>
      <c r="E60">
        <v>-0.95</v>
      </c>
      <c r="F60">
        <v>2019</v>
      </c>
      <c r="G60">
        <v>708</v>
      </c>
      <c r="H60">
        <v>1566</v>
      </c>
      <c r="I60">
        <v>347</v>
      </c>
      <c r="J60">
        <v>495</v>
      </c>
      <c r="K60">
        <v>237</v>
      </c>
      <c r="L60">
        <v>944</v>
      </c>
      <c r="M60">
        <v>389</v>
      </c>
      <c r="N60">
        <v>136</v>
      </c>
      <c r="O60">
        <v>108</v>
      </c>
      <c r="P60">
        <v>302</v>
      </c>
      <c r="Q60">
        <v>405</v>
      </c>
    </row>
    <row r="61" spans="1:17">
      <c r="A61" s="1" t="s">
        <v>60</v>
      </c>
      <c r="B61">
        <v>22</v>
      </c>
      <c r="C61">
        <v>16</v>
      </c>
      <c r="D61">
        <v>6</v>
      </c>
      <c r="E61">
        <v>10.53</v>
      </c>
      <c r="F61">
        <v>1438</v>
      </c>
      <c r="G61">
        <v>518</v>
      </c>
      <c r="H61">
        <v>1215</v>
      </c>
      <c r="I61">
        <v>222</v>
      </c>
      <c r="J61">
        <v>292</v>
      </c>
      <c r="K61">
        <v>192</v>
      </c>
      <c r="L61">
        <v>726</v>
      </c>
      <c r="M61">
        <v>290</v>
      </c>
      <c r="N61">
        <v>135</v>
      </c>
      <c r="O61">
        <v>63</v>
      </c>
      <c r="P61">
        <v>277</v>
      </c>
      <c r="Q61">
        <v>347</v>
      </c>
    </row>
    <row r="62" spans="1:17">
      <c r="A62" s="1" t="s">
        <v>61</v>
      </c>
      <c r="B62">
        <v>24</v>
      </c>
      <c r="C62">
        <v>17</v>
      </c>
      <c r="D62">
        <v>7</v>
      </c>
      <c r="E62">
        <v>-4.4400000000000004</v>
      </c>
      <c r="F62">
        <v>1707</v>
      </c>
      <c r="G62">
        <v>624</v>
      </c>
      <c r="H62">
        <v>1391</v>
      </c>
      <c r="I62">
        <v>304</v>
      </c>
      <c r="J62">
        <v>455</v>
      </c>
      <c r="K62">
        <v>262</v>
      </c>
      <c r="L62">
        <v>835</v>
      </c>
      <c r="M62">
        <v>325</v>
      </c>
      <c r="N62">
        <v>172</v>
      </c>
      <c r="O62">
        <v>52</v>
      </c>
      <c r="P62">
        <v>315</v>
      </c>
      <c r="Q62">
        <v>469</v>
      </c>
    </row>
    <row r="63" spans="1:17">
      <c r="A63" s="1" t="s">
        <v>62</v>
      </c>
      <c r="B63">
        <v>22</v>
      </c>
      <c r="C63">
        <v>16</v>
      </c>
      <c r="D63">
        <v>6</v>
      </c>
      <c r="E63">
        <v>-8.17</v>
      </c>
      <c r="F63">
        <v>1775</v>
      </c>
      <c r="G63">
        <v>629</v>
      </c>
      <c r="H63">
        <v>1357</v>
      </c>
      <c r="I63">
        <v>318</v>
      </c>
      <c r="J63">
        <v>438</v>
      </c>
      <c r="K63">
        <v>303</v>
      </c>
      <c r="L63">
        <v>954</v>
      </c>
      <c r="M63">
        <v>345</v>
      </c>
      <c r="N63">
        <v>186</v>
      </c>
      <c r="O63">
        <v>90</v>
      </c>
      <c r="P63">
        <v>322</v>
      </c>
      <c r="Q63">
        <v>361</v>
      </c>
    </row>
    <row r="64" spans="1:17">
      <c r="A64" s="1" t="s">
        <v>63</v>
      </c>
      <c r="B64">
        <v>13</v>
      </c>
      <c r="C64">
        <v>12</v>
      </c>
      <c r="D64">
        <v>1</v>
      </c>
      <c r="E64">
        <v>2.06</v>
      </c>
      <c r="F64">
        <v>1105</v>
      </c>
      <c r="G64">
        <v>400</v>
      </c>
      <c r="H64">
        <v>809</v>
      </c>
      <c r="I64">
        <v>194</v>
      </c>
      <c r="J64">
        <v>265</v>
      </c>
      <c r="K64">
        <v>119</v>
      </c>
      <c r="L64">
        <v>517</v>
      </c>
      <c r="M64">
        <v>219</v>
      </c>
      <c r="N64">
        <v>92</v>
      </c>
      <c r="O64">
        <v>46</v>
      </c>
      <c r="P64">
        <v>133</v>
      </c>
      <c r="Q64">
        <v>209</v>
      </c>
    </row>
    <row r="65" spans="1:17">
      <c r="A65" s="1" t="s">
        <v>64</v>
      </c>
      <c r="B65">
        <v>18</v>
      </c>
      <c r="C65">
        <v>9</v>
      </c>
      <c r="D65">
        <v>9</v>
      </c>
      <c r="E65">
        <v>-2.62</v>
      </c>
      <c r="F65">
        <v>1266</v>
      </c>
      <c r="G65">
        <v>452</v>
      </c>
      <c r="H65">
        <v>1004</v>
      </c>
      <c r="I65">
        <v>214</v>
      </c>
      <c r="J65">
        <v>304</v>
      </c>
      <c r="K65">
        <v>147</v>
      </c>
      <c r="L65">
        <v>594</v>
      </c>
      <c r="M65">
        <v>190</v>
      </c>
      <c r="N65">
        <v>98</v>
      </c>
      <c r="O65">
        <v>52</v>
      </c>
      <c r="P65">
        <v>195</v>
      </c>
      <c r="Q65">
        <v>314</v>
      </c>
    </row>
    <row r="66" spans="1:17">
      <c r="A66" s="1" t="s">
        <v>65</v>
      </c>
      <c r="B66">
        <v>22</v>
      </c>
      <c r="C66">
        <v>17</v>
      </c>
      <c r="D66">
        <v>5</v>
      </c>
      <c r="E66">
        <v>-0.73</v>
      </c>
      <c r="F66">
        <v>1669</v>
      </c>
      <c r="G66">
        <v>572</v>
      </c>
      <c r="H66">
        <v>1187</v>
      </c>
      <c r="I66">
        <v>330</v>
      </c>
      <c r="J66">
        <v>414</v>
      </c>
      <c r="K66">
        <v>160</v>
      </c>
      <c r="L66">
        <v>768</v>
      </c>
      <c r="M66">
        <v>334</v>
      </c>
      <c r="N66">
        <v>121</v>
      </c>
      <c r="O66">
        <v>54</v>
      </c>
      <c r="P66">
        <v>311</v>
      </c>
      <c r="Q66">
        <v>381</v>
      </c>
    </row>
    <row r="67" spans="1:17">
      <c r="A67" s="1" t="s">
        <v>66</v>
      </c>
      <c r="B67">
        <v>27</v>
      </c>
      <c r="C67">
        <v>20</v>
      </c>
      <c r="D67">
        <v>7</v>
      </c>
      <c r="E67">
        <v>6.76</v>
      </c>
      <c r="F67">
        <v>1990</v>
      </c>
      <c r="G67">
        <v>703</v>
      </c>
      <c r="H67">
        <v>1537</v>
      </c>
      <c r="I67">
        <v>381</v>
      </c>
      <c r="J67">
        <v>457</v>
      </c>
      <c r="K67">
        <v>257</v>
      </c>
      <c r="L67">
        <v>947</v>
      </c>
      <c r="M67">
        <v>369</v>
      </c>
      <c r="N67">
        <v>144</v>
      </c>
      <c r="O67">
        <v>77</v>
      </c>
      <c r="P67">
        <v>303</v>
      </c>
      <c r="Q67">
        <v>442</v>
      </c>
    </row>
    <row r="68" spans="1:17">
      <c r="A68" s="1" t="s">
        <v>67</v>
      </c>
      <c r="B68">
        <v>0</v>
      </c>
      <c r="C68">
        <v>0</v>
      </c>
      <c r="D68">
        <v>0</v>
      </c>
    </row>
    <row r="69" spans="1:17">
      <c r="A69" s="1" t="s">
        <v>275</v>
      </c>
      <c r="B69">
        <v>20</v>
      </c>
      <c r="C69">
        <v>14</v>
      </c>
      <c r="D69">
        <v>6</v>
      </c>
      <c r="E69">
        <v>9.2200000000000006</v>
      </c>
      <c r="F69">
        <v>1446</v>
      </c>
      <c r="G69">
        <v>528</v>
      </c>
      <c r="H69">
        <v>1189</v>
      </c>
      <c r="I69">
        <v>253</v>
      </c>
      <c r="J69">
        <v>349</v>
      </c>
      <c r="K69">
        <v>257</v>
      </c>
      <c r="L69">
        <v>753</v>
      </c>
      <c r="M69">
        <v>257</v>
      </c>
      <c r="N69">
        <v>124</v>
      </c>
      <c r="O69">
        <v>107</v>
      </c>
      <c r="P69">
        <v>242</v>
      </c>
      <c r="Q69">
        <v>385</v>
      </c>
    </row>
    <row r="70" spans="1:17">
      <c r="A70" s="1" t="s">
        <v>68</v>
      </c>
      <c r="B70">
        <v>21</v>
      </c>
      <c r="C70">
        <v>9</v>
      </c>
      <c r="D70">
        <v>12</v>
      </c>
      <c r="E70">
        <v>-5.81</v>
      </c>
      <c r="F70">
        <v>1541</v>
      </c>
      <c r="G70">
        <v>509</v>
      </c>
      <c r="H70">
        <v>1236</v>
      </c>
      <c r="I70">
        <v>335</v>
      </c>
      <c r="J70">
        <v>535</v>
      </c>
      <c r="K70">
        <v>158</v>
      </c>
      <c r="L70">
        <v>759</v>
      </c>
      <c r="M70">
        <v>272</v>
      </c>
      <c r="N70">
        <v>182</v>
      </c>
      <c r="O70">
        <v>68</v>
      </c>
      <c r="P70">
        <v>328</v>
      </c>
      <c r="Q70">
        <v>372</v>
      </c>
    </row>
    <row r="71" spans="1:17">
      <c r="A71" s="1" t="s">
        <v>69</v>
      </c>
      <c r="B71">
        <v>0</v>
      </c>
      <c r="C71">
        <v>0</v>
      </c>
      <c r="D71">
        <v>0</v>
      </c>
    </row>
    <row r="72" spans="1:17">
      <c r="A72" s="1" t="s">
        <v>326</v>
      </c>
      <c r="B72">
        <v>25</v>
      </c>
      <c r="C72">
        <v>18</v>
      </c>
      <c r="D72">
        <v>7</v>
      </c>
      <c r="E72">
        <v>8.69</v>
      </c>
      <c r="F72">
        <v>1961</v>
      </c>
      <c r="G72">
        <v>722</v>
      </c>
      <c r="H72">
        <v>1498</v>
      </c>
      <c r="I72">
        <v>272</v>
      </c>
      <c r="J72">
        <v>418</v>
      </c>
      <c r="K72">
        <v>205</v>
      </c>
      <c r="L72">
        <v>896</v>
      </c>
      <c r="M72">
        <v>404</v>
      </c>
      <c r="N72">
        <v>181</v>
      </c>
      <c r="O72">
        <v>90</v>
      </c>
      <c r="P72">
        <v>275</v>
      </c>
      <c r="Q72">
        <v>385</v>
      </c>
    </row>
    <row r="73" spans="1:17">
      <c r="A73" s="1" t="s">
        <v>70</v>
      </c>
      <c r="B73">
        <v>0</v>
      </c>
      <c r="C73">
        <v>0</v>
      </c>
      <c r="D73">
        <v>0</v>
      </c>
    </row>
    <row r="74" spans="1:17">
      <c r="A74" s="1" t="s">
        <v>71</v>
      </c>
      <c r="B74">
        <v>21</v>
      </c>
      <c r="C74">
        <v>13</v>
      </c>
      <c r="D74">
        <v>8</v>
      </c>
      <c r="E74">
        <v>4.13</v>
      </c>
      <c r="F74">
        <v>1518</v>
      </c>
      <c r="G74">
        <v>550</v>
      </c>
      <c r="H74">
        <v>1162</v>
      </c>
      <c r="I74">
        <v>209</v>
      </c>
      <c r="J74">
        <v>305</v>
      </c>
      <c r="K74">
        <v>190</v>
      </c>
      <c r="L74">
        <v>734</v>
      </c>
      <c r="M74">
        <v>318</v>
      </c>
      <c r="N74">
        <v>108</v>
      </c>
      <c r="O74">
        <v>54</v>
      </c>
      <c r="P74">
        <v>226</v>
      </c>
      <c r="Q74">
        <v>312</v>
      </c>
    </row>
    <row r="75" spans="1:17">
      <c r="A75" s="1" t="s">
        <v>276</v>
      </c>
      <c r="B75">
        <v>23</v>
      </c>
      <c r="C75">
        <v>14</v>
      </c>
      <c r="D75">
        <v>9</v>
      </c>
      <c r="E75">
        <v>5.14</v>
      </c>
      <c r="F75">
        <v>1614</v>
      </c>
      <c r="G75">
        <v>567</v>
      </c>
      <c r="H75">
        <v>1189</v>
      </c>
      <c r="I75">
        <v>295</v>
      </c>
      <c r="J75">
        <v>410</v>
      </c>
      <c r="K75">
        <v>159</v>
      </c>
      <c r="L75">
        <v>766</v>
      </c>
      <c r="M75">
        <v>316</v>
      </c>
      <c r="N75">
        <v>103</v>
      </c>
      <c r="O75">
        <v>45</v>
      </c>
      <c r="P75">
        <v>335</v>
      </c>
      <c r="Q75">
        <v>356</v>
      </c>
    </row>
    <row r="76" spans="1:17">
      <c r="A76" s="1" t="s">
        <v>72</v>
      </c>
      <c r="B76">
        <v>19</v>
      </c>
      <c r="C76">
        <v>3</v>
      </c>
      <c r="D76">
        <v>16</v>
      </c>
      <c r="E76">
        <v>-5.83</v>
      </c>
      <c r="F76">
        <v>1345</v>
      </c>
      <c r="G76">
        <v>468</v>
      </c>
      <c r="H76">
        <v>1183</v>
      </c>
      <c r="I76">
        <v>257</v>
      </c>
      <c r="J76">
        <v>357</v>
      </c>
      <c r="K76">
        <v>205</v>
      </c>
      <c r="L76">
        <v>678</v>
      </c>
      <c r="M76">
        <v>216</v>
      </c>
      <c r="N76">
        <v>123</v>
      </c>
      <c r="O76">
        <v>69</v>
      </c>
      <c r="P76">
        <v>321</v>
      </c>
      <c r="Q76">
        <v>405</v>
      </c>
    </row>
    <row r="77" spans="1:17">
      <c r="A77" s="1" t="s">
        <v>73</v>
      </c>
      <c r="B77">
        <v>14</v>
      </c>
      <c r="C77">
        <v>7</v>
      </c>
      <c r="D77">
        <v>7</v>
      </c>
      <c r="E77">
        <v>-4.4400000000000004</v>
      </c>
      <c r="F77">
        <v>938</v>
      </c>
      <c r="G77">
        <v>326</v>
      </c>
      <c r="H77">
        <v>733</v>
      </c>
      <c r="I77">
        <v>188</v>
      </c>
      <c r="J77">
        <v>266</v>
      </c>
      <c r="K77">
        <v>121</v>
      </c>
      <c r="L77">
        <v>491</v>
      </c>
      <c r="M77">
        <v>176</v>
      </c>
      <c r="N77">
        <v>66</v>
      </c>
      <c r="O77">
        <v>52</v>
      </c>
      <c r="P77">
        <v>207</v>
      </c>
      <c r="Q77">
        <v>238</v>
      </c>
    </row>
    <row r="78" spans="1:17">
      <c r="A78" s="1" t="s">
        <v>74</v>
      </c>
      <c r="B78">
        <v>21</v>
      </c>
      <c r="C78">
        <v>2</v>
      </c>
      <c r="D78">
        <v>19</v>
      </c>
      <c r="E78">
        <v>-6.52</v>
      </c>
      <c r="F78">
        <v>1466</v>
      </c>
      <c r="G78">
        <v>519</v>
      </c>
      <c r="H78">
        <v>1172</v>
      </c>
      <c r="I78">
        <v>287</v>
      </c>
      <c r="J78">
        <v>398</v>
      </c>
      <c r="K78">
        <v>156</v>
      </c>
      <c r="L78">
        <v>636</v>
      </c>
      <c r="M78">
        <v>251</v>
      </c>
      <c r="N78">
        <v>120</v>
      </c>
      <c r="O78">
        <v>54</v>
      </c>
      <c r="P78">
        <v>311</v>
      </c>
      <c r="Q78">
        <v>431</v>
      </c>
    </row>
    <row r="79" spans="1:17">
      <c r="A79" s="1" t="s">
        <v>277</v>
      </c>
      <c r="B79">
        <v>17</v>
      </c>
      <c r="C79">
        <v>4</v>
      </c>
      <c r="D79">
        <v>13</v>
      </c>
      <c r="E79">
        <v>9.52</v>
      </c>
      <c r="F79">
        <v>1120</v>
      </c>
      <c r="G79">
        <v>435</v>
      </c>
      <c r="H79">
        <v>1043</v>
      </c>
      <c r="I79">
        <v>155</v>
      </c>
      <c r="J79">
        <v>229</v>
      </c>
      <c r="K79">
        <v>206</v>
      </c>
      <c r="L79">
        <v>639</v>
      </c>
      <c r="M79">
        <v>202</v>
      </c>
      <c r="N79">
        <v>119</v>
      </c>
      <c r="O79">
        <v>69</v>
      </c>
      <c r="P79">
        <v>270</v>
      </c>
      <c r="Q79">
        <v>327</v>
      </c>
    </row>
    <row r="80" spans="1:17">
      <c r="A80" s="1" t="s">
        <v>75</v>
      </c>
      <c r="B80">
        <v>22</v>
      </c>
      <c r="C80">
        <v>12</v>
      </c>
      <c r="D80">
        <v>10</v>
      </c>
      <c r="E80">
        <v>-4.92</v>
      </c>
      <c r="F80">
        <v>1683</v>
      </c>
      <c r="G80">
        <v>598</v>
      </c>
      <c r="H80">
        <v>1290</v>
      </c>
      <c r="I80">
        <v>262</v>
      </c>
      <c r="J80">
        <v>326</v>
      </c>
      <c r="K80">
        <v>197</v>
      </c>
      <c r="L80">
        <v>719</v>
      </c>
      <c r="M80">
        <v>315</v>
      </c>
      <c r="N80">
        <v>150</v>
      </c>
      <c r="O80">
        <v>54</v>
      </c>
      <c r="P80">
        <v>253</v>
      </c>
      <c r="Q80">
        <v>313</v>
      </c>
    </row>
    <row r="81" spans="1:17">
      <c r="A81" s="1" t="s">
        <v>372</v>
      </c>
      <c r="B81">
        <v>21</v>
      </c>
      <c r="C81">
        <v>8</v>
      </c>
      <c r="D81">
        <v>13</v>
      </c>
      <c r="E81">
        <v>-4.21</v>
      </c>
      <c r="F81">
        <v>1461</v>
      </c>
      <c r="G81">
        <v>514</v>
      </c>
      <c r="H81">
        <v>1227</v>
      </c>
      <c r="I81">
        <v>305</v>
      </c>
      <c r="J81">
        <v>427</v>
      </c>
      <c r="K81">
        <v>200</v>
      </c>
      <c r="L81">
        <v>740</v>
      </c>
      <c r="M81">
        <v>321</v>
      </c>
      <c r="N81">
        <v>143</v>
      </c>
      <c r="O81">
        <v>43</v>
      </c>
      <c r="P81">
        <v>320</v>
      </c>
      <c r="Q81">
        <v>439</v>
      </c>
    </row>
    <row r="82" spans="1:17">
      <c r="A82" s="1" t="s">
        <v>76</v>
      </c>
      <c r="B82">
        <v>28</v>
      </c>
      <c r="C82">
        <v>25</v>
      </c>
      <c r="D82">
        <v>3</v>
      </c>
      <c r="E82">
        <v>-2.0299999999999998</v>
      </c>
      <c r="F82">
        <v>2180</v>
      </c>
      <c r="G82">
        <v>844</v>
      </c>
      <c r="H82">
        <v>1702</v>
      </c>
      <c r="I82">
        <v>295</v>
      </c>
      <c r="J82">
        <v>416</v>
      </c>
      <c r="K82">
        <v>292</v>
      </c>
      <c r="L82">
        <v>1020</v>
      </c>
      <c r="M82">
        <v>388</v>
      </c>
      <c r="N82">
        <v>201</v>
      </c>
      <c r="O82">
        <v>86</v>
      </c>
      <c r="P82">
        <v>291</v>
      </c>
      <c r="Q82">
        <v>441</v>
      </c>
    </row>
    <row r="83" spans="1:17">
      <c r="A83" s="1" t="s">
        <v>77</v>
      </c>
      <c r="B83">
        <v>16</v>
      </c>
      <c r="C83">
        <v>9</v>
      </c>
      <c r="D83">
        <v>7</v>
      </c>
      <c r="E83">
        <v>-4.3099999999999996</v>
      </c>
      <c r="F83">
        <v>1141</v>
      </c>
      <c r="G83">
        <v>417</v>
      </c>
      <c r="H83">
        <v>884</v>
      </c>
      <c r="I83">
        <v>198</v>
      </c>
      <c r="J83">
        <v>255</v>
      </c>
      <c r="K83">
        <v>141</v>
      </c>
      <c r="L83">
        <v>536</v>
      </c>
      <c r="M83">
        <v>249</v>
      </c>
      <c r="N83">
        <v>84</v>
      </c>
      <c r="O83">
        <v>41</v>
      </c>
      <c r="P83">
        <v>209</v>
      </c>
      <c r="Q83">
        <v>258</v>
      </c>
    </row>
    <row r="84" spans="1:17">
      <c r="A84" s="1" t="s">
        <v>373</v>
      </c>
      <c r="B84">
        <v>22</v>
      </c>
      <c r="C84">
        <v>11</v>
      </c>
      <c r="D84">
        <v>11</v>
      </c>
      <c r="E84">
        <v>9.82</v>
      </c>
      <c r="F84">
        <v>1668</v>
      </c>
      <c r="G84">
        <v>634</v>
      </c>
      <c r="H84">
        <v>1360</v>
      </c>
      <c r="I84">
        <v>220</v>
      </c>
      <c r="J84">
        <v>316</v>
      </c>
      <c r="K84">
        <v>244</v>
      </c>
      <c r="L84">
        <v>775</v>
      </c>
      <c r="M84">
        <v>354</v>
      </c>
      <c r="N84">
        <v>180</v>
      </c>
      <c r="O84">
        <v>102</v>
      </c>
      <c r="P84">
        <v>285</v>
      </c>
      <c r="Q84">
        <v>380</v>
      </c>
    </row>
    <row r="85" spans="1:17">
      <c r="A85" s="1" t="s">
        <v>78</v>
      </c>
      <c r="B85">
        <v>18</v>
      </c>
      <c r="C85">
        <v>9</v>
      </c>
      <c r="D85">
        <v>9</v>
      </c>
      <c r="E85">
        <v>3.62</v>
      </c>
      <c r="F85">
        <v>1205</v>
      </c>
      <c r="G85">
        <v>438</v>
      </c>
      <c r="H85">
        <v>1040</v>
      </c>
      <c r="I85">
        <v>214</v>
      </c>
      <c r="J85">
        <v>329</v>
      </c>
      <c r="K85">
        <v>205</v>
      </c>
      <c r="L85">
        <v>654</v>
      </c>
      <c r="M85">
        <v>241</v>
      </c>
      <c r="N85">
        <v>121</v>
      </c>
      <c r="O85">
        <v>80</v>
      </c>
      <c r="P85">
        <v>240</v>
      </c>
      <c r="Q85">
        <v>310</v>
      </c>
    </row>
    <row r="86" spans="1:17">
      <c r="A86" s="1" t="s">
        <v>79</v>
      </c>
      <c r="B86">
        <v>17</v>
      </c>
      <c r="C86">
        <v>8</v>
      </c>
      <c r="D86">
        <v>9</v>
      </c>
      <c r="E86">
        <v>4.01</v>
      </c>
      <c r="F86">
        <v>1138</v>
      </c>
      <c r="G86">
        <v>405</v>
      </c>
      <c r="H86">
        <v>978</v>
      </c>
      <c r="I86">
        <v>226</v>
      </c>
      <c r="J86">
        <v>314</v>
      </c>
      <c r="K86">
        <v>169</v>
      </c>
      <c r="L86">
        <v>588</v>
      </c>
      <c r="M86">
        <v>268</v>
      </c>
      <c r="N86">
        <v>103</v>
      </c>
      <c r="O86">
        <v>53</v>
      </c>
      <c r="P86">
        <v>224</v>
      </c>
      <c r="Q86">
        <v>291</v>
      </c>
    </row>
    <row r="87" spans="1:17">
      <c r="A87" s="1" t="s">
        <v>80</v>
      </c>
      <c r="B87">
        <v>24</v>
      </c>
      <c r="C87">
        <v>13</v>
      </c>
      <c r="D87">
        <v>11</v>
      </c>
      <c r="E87">
        <v>0.52</v>
      </c>
      <c r="F87">
        <v>1671</v>
      </c>
      <c r="G87">
        <v>595</v>
      </c>
      <c r="H87">
        <v>1362</v>
      </c>
      <c r="I87">
        <v>289</v>
      </c>
      <c r="J87">
        <v>414</v>
      </c>
      <c r="K87">
        <v>244</v>
      </c>
      <c r="L87">
        <v>861</v>
      </c>
      <c r="M87">
        <v>286</v>
      </c>
      <c r="N87">
        <v>182</v>
      </c>
      <c r="O87">
        <v>62</v>
      </c>
      <c r="P87">
        <v>327</v>
      </c>
      <c r="Q87">
        <v>419</v>
      </c>
    </row>
    <row r="88" spans="1:17">
      <c r="A88" s="1" t="s">
        <v>81</v>
      </c>
      <c r="B88">
        <v>27</v>
      </c>
      <c r="C88">
        <v>9</v>
      </c>
      <c r="D88">
        <v>18</v>
      </c>
      <c r="E88">
        <v>-6.52</v>
      </c>
      <c r="F88">
        <v>1874</v>
      </c>
      <c r="G88">
        <v>707</v>
      </c>
      <c r="H88">
        <v>1623</v>
      </c>
      <c r="I88">
        <v>274</v>
      </c>
      <c r="J88">
        <v>417</v>
      </c>
      <c r="K88">
        <v>285</v>
      </c>
      <c r="L88">
        <v>944</v>
      </c>
      <c r="M88">
        <v>360</v>
      </c>
      <c r="N88">
        <v>193</v>
      </c>
      <c r="O88">
        <v>88</v>
      </c>
      <c r="P88">
        <v>383</v>
      </c>
      <c r="Q88">
        <v>435</v>
      </c>
    </row>
    <row r="89" spans="1:17">
      <c r="A89" s="1" t="s">
        <v>82</v>
      </c>
      <c r="B89">
        <v>29</v>
      </c>
      <c r="C89">
        <v>22</v>
      </c>
      <c r="D89">
        <v>7</v>
      </c>
      <c r="E89">
        <v>-7.6</v>
      </c>
      <c r="F89">
        <v>2372</v>
      </c>
      <c r="G89">
        <v>871</v>
      </c>
      <c r="H89">
        <v>1946</v>
      </c>
      <c r="I89">
        <v>351</v>
      </c>
      <c r="J89">
        <v>497</v>
      </c>
      <c r="K89">
        <v>306</v>
      </c>
      <c r="L89">
        <v>1033</v>
      </c>
      <c r="M89">
        <v>461</v>
      </c>
      <c r="N89">
        <v>299</v>
      </c>
      <c r="O89">
        <v>103</v>
      </c>
      <c r="P89">
        <v>372</v>
      </c>
      <c r="Q89">
        <v>533</v>
      </c>
    </row>
    <row r="90" spans="1:17">
      <c r="A90" s="1" t="s">
        <v>83</v>
      </c>
      <c r="B90">
        <v>18</v>
      </c>
      <c r="C90">
        <v>6</v>
      </c>
      <c r="D90">
        <v>12</v>
      </c>
      <c r="E90">
        <v>0.02</v>
      </c>
      <c r="F90">
        <v>1267</v>
      </c>
      <c r="G90">
        <v>448</v>
      </c>
      <c r="H90">
        <v>1077</v>
      </c>
      <c r="I90">
        <v>243</v>
      </c>
      <c r="J90">
        <v>326</v>
      </c>
      <c r="K90">
        <v>169</v>
      </c>
      <c r="L90">
        <v>594</v>
      </c>
      <c r="M90">
        <v>198</v>
      </c>
      <c r="N90">
        <v>160</v>
      </c>
      <c r="O90">
        <v>42</v>
      </c>
      <c r="P90">
        <v>221</v>
      </c>
      <c r="Q90">
        <v>274</v>
      </c>
    </row>
    <row r="91" spans="1:17">
      <c r="A91" s="1" t="s">
        <v>84</v>
      </c>
      <c r="B91">
        <v>20</v>
      </c>
      <c r="C91">
        <v>13</v>
      </c>
      <c r="D91">
        <v>7</v>
      </c>
      <c r="E91">
        <v>-4.57</v>
      </c>
      <c r="F91">
        <v>1586</v>
      </c>
      <c r="G91">
        <v>564</v>
      </c>
      <c r="H91">
        <v>1207</v>
      </c>
      <c r="I91">
        <v>283</v>
      </c>
      <c r="J91">
        <v>358</v>
      </c>
      <c r="K91">
        <v>154</v>
      </c>
      <c r="L91">
        <v>705</v>
      </c>
      <c r="M91">
        <v>305</v>
      </c>
      <c r="N91">
        <v>99</v>
      </c>
      <c r="O91">
        <v>58</v>
      </c>
      <c r="P91">
        <v>225</v>
      </c>
      <c r="Q91">
        <v>349</v>
      </c>
    </row>
    <row r="92" spans="1:17">
      <c r="A92" s="1" t="s">
        <v>85</v>
      </c>
      <c r="B92">
        <v>16</v>
      </c>
      <c r="C92">
        <v>8</v>
      </c>
      <c r="D92">
        <v>8</v>
      </c>
      <c r="E92">
        <v>-4.18</v>
      </c>
      <c r="F92">
        <v>1045</v>
      </c>
      <c r="G92">
        <v>373</v>
      </c>
      <c r="H92">
        <v>896</v>
      </c>
      <c r="I92">
        <v>174</v>
      </c>
      <c r="J92">
        <v>239</v>
      </c>
      <c r="K92">
        <v>133</v>
      </c>
      <c r="L92">
        <v>542</v>
      </c>
      <c r="M92">
        <v>173</v>
      </c>
      <c r="N92">
        <v>88</v>
      </c>
      <c r="O92">
        <v>35</v>
      </c>
      <c r="P92">
        <v>189</v>
      </c>
      <c r="Q92">
        <v>314</v>
      </c>
    </row>
    <row r="93" spans="1:17">
      <c r="A93" s="1" t="s">
        <v>86</v>
      </c>
      <c r="B93">
        <v>25</v>
      </c>
      <c r="C93">
        <v>9</v>
      </c>
      <c r="D93">
        <v>16</v>
      </c>
      <c r="E93">
        <v>0.46</v>
      </c>
      <c r="F93">
        <v>1619</v>
      </c>
      <c r="G93">
        <v>571</v>
      </c>
      <c r="H93">
        <v>1299</v>
      </c>
      <c r="I93">
        <v>237</v>
      </c>
      <c r="J93">
        <v>330</v>
      </c>
      <c r="K93">
        <v>149</v>
      </c>
      <c r="L93">
        <v>670</v>
      </c>
      <c r="M93">
        <v>291</v>
      </c>
      <c r="N93">
        <v>122</v>
      </c>
      <c r="O93">
        <v>56</v>
      </c>
      <c r="P93">
        <v>274</v>
      </c>
      <c r="Q93">
        <v>377</v>
      </c>
    </row>
    <row r="94" spans="1:17">
      <c r="A94" s="1" t="s">
        <v>87</v>
      </c>
      <c r="B94">
        <v>23</v>
      </c>
      <c r="C94">
        <v>7</v>
      </c>
      <c r="D94">
        <v>16</v>
      </c>
      <c r="E94">
        <v>-5.56</v>
      </c>
      <c r="F94">
        <v>1427</v>
      </c>
      <c r="G94">
        <v>501</v>
      </c>
      <c r="H94">
        <v>1249</v>
      </c>
      <c r="I94">
        <v>286</v>
      </c>
      <c r="J94">
        <v>413</v>
      </c>
      <c r="K94">
        <v>227</v>
      </c>
      <c r="L94">
        <v>803</v>
      </c>
      <c r="M94">
        <v>240</v>
      </c>
      <c r="N94">
        <v>106</v>
      </c>
      <c r="O94">
        <v>50</v>
      </c>
      <c r="P94">
        <v>304</v>
      </c>
      <c r="Q94">
        <v>417</v>
      </c>
    </row>
    <row r="95" spans="1:17">
      <c r="A95" s="1" t="s">
        <v>88</v>
      </c>
      <c r="B95">
        <v>24</v>
      </c>
      <c r="C95">
        <v>9</v>
      </c>
      <c r="D95">
        <v>15</v>
      </c>
      <c r="E95">
        <v>-4.53</v>
      </c>
      <c r="F95">
        <v>1801</v>
      </c>
      <c r="G95">
        <v>645</v>
      </c>
      <c r="H95">
        <v>1432</v>
      </c>
      <c r="I95">
        <v>317</v>
      </c>
      <c r="J95">
        <v>445</v>
      </c>
      <c r="K95">
        <v>244</v>
      </c>
      <c r="L95">
        <v>813</v>
      </c>
      <c r="M95">
        <v>287</v>
      </c>
      <c r="N95">
        <v>182</v>
      </c>
      <c r="O95">
        <v>93</v>
      </c>
      <c r="P95">
        <v>340</v>
      </c>
      <c r="Q95">
        <v>439</v>
      </c>
    </row>
    <row r="96" spans="1:17">
      <c r="A96" s="1" t="s">
        <v>89</v>
      </c>
      <c r="B96">
        <v>19</v>
      </c>
      <c r="C96">
        <v>8</v>
      </c>
      <c r="D96">
        <v>11</v>
      </c>
      <c r="E96">
        <v>-8.7100000000000009</v>
      </c>
      <c r="F96">
        <v>1239</v>
      </c>
      <c r="G96">
        <v>471</v>
      </c>
      <c r="H96">
        <v>1063</v>
      </c>
      <c r="I96">
        <v>205</v>
      </c>
      <c r="J96">
        <v>316</v>
      </c>
      <c r="K96">
        <v>195</v>
      </c>
      <c r="L96">
        <v>670</v>
      </c>
      <c r="M96">
        <v>246</v>
      </c>
      <c r="N96">
        <v>122</v>
      </c>
      <c r="O96">
        <v>49</v>
      </c>
      <c r="P96">
        <v>321</v>
      </c>
      <c r="Q96">
        <v>337</v>
      </c>
    </row>
    <row r="97" spans="1:17">
      <c r="A97" s="1" t="s">
        <v>90</v>
      </c>
      <c r="B97">
        <v>21</v>
      </c>
      <c r="C97">
        <v>12</v>
      </c>
      <c r="D97">
        <v>9</v>
      </c>
      <c r="E97">
        <v>-5.56</v>
      </c>
      <c r="F97">
        <v>1651</v>
      </c>
      <c r="G97">
        <v>605</v>
      </c>
      <c r="H97">
        <v>1297</v>
      </c>
      <c r="I97">
        <v>237</v>
      </c>
      <c r="J97">
        <v>364</v>
      </c>
      <c r="K97">
        <v>266</v>
      </c>
      <c r="L97">
        <v>857</v>
      </c>
      <c r="M97">
        <v>306</v>
      </c>
      <c r="N97">
        <v>163</v>
      </c>
      <c r="O97">
        <v>59</v>
      </c>
      <c r="P97">
        <v>288</v>
      </c>
      <c r="Q97">
        <v>378</v>
      </c>
    </row>
    <row r="98" spans="1:17">
      <c r="A98" s="1" t="s">
        <v>346</v>
      </c>
      <c r="B98">
        <v>18</v>
      </c>
      <c r="C98">
        <v>10</v>
      </c>
      <c r="D98">
        <v>8</v>
      </c>
      <c r="E98">
        <v>-7</v>
      </c>
      <c r="F98">
        <v>1292</v>
      </c>
      <c r="G98">
        <v>483</v>
      </c>
      <c r="H98">
        <v>1126</v>
      </c>
      <c r="I98">
        <v>180</v>
      </c>
      <c r="J98">
        <v>271</v>
      </c>
      <c r="K98">
        <v>206</v>
      </c>
      <c r="L98">
        <v>700</v>
      </c>
      <c r="M98">
        <v>246</v>
      </c>
      <c r="N98">
        <v>134</v>
      </c>
      <c r="O98">
        <v>77</v>
      </c>
      <c r="P98">
        <v>265</v>
      </c>
      <c r="Q98">
        <v>280</v>
      </c>
    </row>
    <row r="99" spans="1:17">
      <c r="A99" s="1" t="s">
        <v>91</v>
      </c>
      <c r="B99">
        <v>26</v>
      </c>
      <c r="C99">
        <v>9</v>
      </c>
      <c r="D99">
        <v>17</v>
      </c>
      <c r="E99">
        <v>-2.84</v>
      </c>
      <c r="F99">
        <v>1914</v>
      </c>
      <c r="G99">
        <v>690</v>
      </c>
      <c r="H99">
        <v>1604</v>
      </c>
      <c r="I99">
        <v>261</v>
      </c>
      <c r="J99">
        <v>392</v>
      </c>
      <c r="K99">
        <v>252</v>
      </c>
      <c r="L99">
        <v>847</v>
      </c>
      <c r="M99">
        <v>388</v>
      </c>
      <c r="N99">
        <v>219</v>
      </c>
      <c r="O99">
        <v>105</v>
      </c>
      <c r="P99">
        <v>380</v>
      </c>
      <c r="Q99">
        <v>463</v>
      </c>
    </row>
    <row r="100" spans="1:17">
      <c r="A100" s="1" t="s">
        <v>92</v>
      </c>
      <c r="B100">
        <v>20</v>
      </c>
      <c r="C100">
        <v>15</v>
      </c>
      <c r="D100">
        <v>5</v>
      </c>
      <c r="E100">
        <v>9.09</v>
      </c>
      <c r="F100">
        <v>1592</v>
      </c>
      <c r="G100">
        <v>568</v>
      </c>
      <c r="H100">
        <v>1204</v>
      </c>
      <c r="I100">
        <v>288</v>
      </c>
      <c r="J100">
        <v>391</v>
      </c>
      <c r="K100">
        <v>233</v>
      </c>
      <c r="L100">
        <v>747</v>
      </c>
      <c r="M100">
        <v>299</v>
      </c>
      <c r="N100">
        <v>154</v>
      </c>
      <c r="O100">
        <v>101</v>
      </c>
      <c r="P100">
        <v>272</v>
      </c>
      <c r="Q100">
        <v>365</v>
      </c>
    </row>
    <row r="101" spans="1:17">
      <c r="A101" s="1" t="s">
        <v>347</v>
      </c>
      <c r="B101">
        <v>20</v>
      </c>
      <c r="C101">
        <v>13</v>
      </c>
      <c r="D101">
        <v>7</v>
      </c>
      <c r="E101">
        <v>10.53</v>
      </c>
      <c r="F101">
        <v>1512</v>
      </c>
      <c r="G101">
        <v>540</v>
      </c>
      <c r="H101">
        <v>1144</v>
      </c>
      <c r="I101">
        <v>294</v>
      </c>
      <c r="J101">
        <v>387</v>
      </c>
      <c r="K101">
        <v>200</v>
      </c>
      <c r="L101">
        <v>709</v>
      </c>
      <c r="M101">
        <v>244</v>
      </c>
      <c r="N101">
        <v>150</v>
      </c>
      <c r="O101">
        <v>115</v>
      </c>
      <c r="P101">
        <v>293</v>
      </c>
      <c r="Q101">
        <v>381</v>
      </c>
    </row>
    <row r="102" spans="1:17">
      <c r="A102" s="1" t="s">
        <v>93</v>
      </c>
      <c r="B102">
        <v>14</v>
      </c>
      <c r="C102">
        <v>2</v>
      </c>
      <c r="D102">
        <v>12</v>
      </c>
      <c r="E102">
        <v>4.4000000000000004</v>
      </c>
      <c r="F102">
        <v>725</v>
      </c>
      <c r="G102">
        <v>257</v>
      </c>
      <c r="H102">
        <v>716</v>
      </c>
      <c r="I102">
        <v>132</v>
      </c>
      <c r="J102">
        <v>197</v>
      </c>
      <c r="K102">
        <v>95</v>
      </c>
      <c r="L102">
        <v>415</v>
      </c>
      <c r="M102">
        <v>153</v>
      </c>
      <c r="N102">
        <v>87</v>
      </c>
      <c r="O102">
        <v>28</v>
      </c>
      <c r="P102">
        <v>187</v>
      </c>
      <c r="Q102">
        <v>221</v>
      </c>
    </row>
    <row r="103" spans="1:17">
      <c r="A103" s="1" t="s">
        <v>306</v>
      </c>
      <c r="B103">
        <v>22</v>
      </c>
      <c r="C103">
        <v>11</v>
      </c>
      <c r="D103">
        <v>11</v>
      </c>
      <c r="E103">
        <v>0.54</v>
      </c>
      <c r="F103">
        <v>1444</v>
      </c>
      <c r="G103">
        <v>501</v>
      </c>
      <c r="H103">
        <v>1186</v>
      </c>
      <c r="I103">
        <v>295</v>
      </c>
      <c r="J103">
        <v>441</v>
      </c>
      <c r="K103">
        <v>243</v>
      </c>
      <c r="L103">
        <v>784</v>
      </c>
      <c r="M103">
        <v>225</v>
      </c>
      <c r="N103">
        <v>144</v>
      </c>
      <c r="O103">
        <v>62</v>
      </c>
      <c r="P103">
        <v>306</v>
      </c>
      <c r="Q103">
        <v>384</v>
      </c>
    </row>
    <row r="104" spans="1:17">
      <c r="A104" s="1" t="s">
        <v>94</v>
      </c>
      <c r="B104">
        <v>25</v>
      </c>
      <c r="C104">
        <v>16</v>
      </c>
      <c r="D104">
        <v>9</v>
      </c>
      <c r="E104">
        <v>-1.22</v>
      </c>
      <c r="F104">
        <v>1990</v>
      </c>
      <c r="G104">
        <v>730</v>
      </c>
      <c r="H104">
        <v>1499</v>
      </c>
      <c r="I104">
        <v>288</v>
      </c>
      <c r="J104">
        <v>398</v>
      </c>
      <c r="K104">
        <v>223</v>
      </c>
      <c r="L104">
        <v>879</v>
      </c>
      <c r="M104">
        <v>416</v>
      </c>
      <c r="N104">
        <v>205</v>
      </c>
      <c r="O104">
        <v>84</v>
      </c>
      <c r="P104">
        <v>313</v>
      </c>
      <c r="Q104">
        <v>428</v>
      </c>
    </row>
    <row r="105" spans="1:17">
      <c r="A105" s="1" t="s">
        <v>318</v>
      </c>
      <c r="B105">
        <v>26</v>
      </c>
      <c r="C105">
        <v>11</v>
      </c>
      <c r="D105">
        <v>15</v>
      </c>
      <c r="E105">
        <v>-5.42</v>
      </c>
      <c r="F105">
        <v>1837</v>
      </c>
      <c r="G105">
        <v>651</v>
      </c>
      <c r="H105">
        <v>1465</v>
      </c>
      <c r="I105">
        <v>303</v>
      </c>
      <c r="J105">
        <v>439</v>
      </c>
      <c r="K105">
        <v>239</v>
      </c>
      <c r="L105">
        <v>895</v>
      </c>
      <c r="M105">
        <v>339</v>
      </c>
      <c r="N105">
        <v>153</v>
      </c>
      <c r="O105">
        <v>125</v>
      </c>
      <c r="P105">
        <v>304</v>
      </c>
      <c r="Q105">
        <v>492</v>
      </c>
    </row>
    <row r="106" spans="1:17">
      <c r="A106" s="1" t="s">
        <v>95</v>
      </c>
      <c r="B106">
        <v>22</v>
      </c>
      <c r="C106">
        <v>13</v>
      </c>
      <c r="D106">
        <v>9</v>
      </c>
      <c r="E106">
        <v>1.6</v>
      </c>
      <c r="F106">
        <v>1569</v>
      </c>
      <c r="G106">
        <v>578</v>
      </c>
      <c r="H106">
        <v>1347</v>
      </c>
      <c r="I106">
        <v>253</v>
      </c>
      <c r="J106">
        <v>394</v>
      </c>
      <c r="K106">
        <v>254</v>
      </c>
      <c r="L106">
        <v>834</v>
      </c>
      <c r="M106">
        <v>287</v>
      </c>
      <c r="N106">
        <v>159</v>
      </c>
      <c r="O106">
        <v>93</v>
      </c>
      <c r="P106">
        <v>282</v>
      </c>
      <c r="Q106">
        <v>353</v>
      </c>
    </row>
    <row r="107" spans="1:17">
      <c r="A107" s="1" t="s">
        <v>96</v>
      </c>
      <c r="B107">
        <v>17</v>
      </c>
      <c r="C107">
        <v>5</v>
      </c>
      <c r="D107">
        <v>12</v>
      </c>
      <c r="E107">
        <v>-0.32</v>
      </c>
      <c r="F107">
        <v>1158</v>
      </c>
      <c r="G107">
        <v>411</v>
      </c>
      <c r="H107">
        <v>928</v>
      </c>
      <c r="I107">
        <v>234</v>
      </c>
      <c r="J107">
        <v>335</v>
      </c>
      <c r="K107">
        <v>136</v>
      </c>
      <c r="L107">
        <v>582</v>
      </c>
      <c r="M107">
        <v>194</v>
      </c>
      <c r="N107">
        <v>107</v>
      </c>
      <c r="O107">
        <v>46</v>
      </c>
      <c r="P107">
        <v>233</v>
      </c>
      <c r="Q107">
        <v>247</v>
      </c>
    </row>
    <row r="108" spans="1:17">
      <c r="A108" s="1" t="s">
        <v>97</v>
      </c>
      <c r="B108">
        <v>21</v>
      </c>
      <c r="C108">
        <v>9</v>
      </c>
      <c r="D108">
        <v>12</v>
      </c>
      <c r="E108">
        <v>10.67</v>
      </c>
      <c r="F108">
        <v>1505</v>
      </c>
      <c r="G108">
        <v>529</v>
      </c>
      <c r="H108">
        <v>1245</v>
      </c>
      <c r="I108">
        <v>268</v>
      </c>
      <c r="J108">
        <v>355</v>
      </c>
      <c r="K108">
        <v>244</v>
      </c>
      <c r="L108">
        <v>839</v>
      </c>
      <c r="M108">
        <v>284</v>
      </c>
      <c r="N108">
        <v>122</v>
      </c>
      <c r="O108">
        <v>86</v>
      </c>
      <c r="P108">
        <v>332</v>
      </c>
      <c r="Q108">
        <v>345</v>
      </c>
    </row>
    <row r="109" spans="1:17">
      <c r="A109" s="1" t="s">
        <v>98</v>
      </c>
      <c r="B109">
        <v>26</v>
      </c>
      <c r="C109">
        <v>13</v>
      </c>
      <c r="D109">
        <v>13</v>
      </c>
      <c r="E109">
        <v>-5.77</v>
      </c>
      <c r="F109">
        <v>1860</v>
      </c>
      <c r="G109">
        <v>686</v>
      </c>
      <c r="H109">
        <v>1536</v>
      </c>
      <c r="I109">
        <v>294</v>
      </c>
      <c r="J109">
        <v>463</v>
      </c>
      <c r="K109">
        <v>306</v>
      </c>
      <c r="L109">
        <v>964</v>
      </c>
      <c r="M109">
        <v>322</v>
      </c>
      <c r="N109">
        <v>210</v>
      </c>
      <c r="O109">
        <v>101</v>
      </c>
      <c r="P109">
        <v>374</v>
      </c>
      <c r="Q109">
        <v>444</v>
      </c>
    </row>
    <row r="110" spans="1:17">
      <c r="A110" s="1" t="s">
        <v>99</v>
      </c>
      <c r="B110">
        <v>20</v>
      </c>
      <c r="C110">
        <v>15</v>
      </c>
      <c r="D110">
        <v>5</v>
      </c>
      <c r="E110">
        <v>-4</v>
      </c>
      <c r="F110">
        <v>1610</v>
      </c>
      <c r="G110">
        <v>597</v>
      </c>
      <c r="H110">
        <v>1262</v>
      </c>
      <c r="I110">
        <v>253</v>
      </c>
      <c r="J110">
        <v>377</v>
      </c>
      <c r="K110">
        <v>230</v>
      </c>
      <c r="L110">
        <v>749</v>
      </c>
      <c r="M110">
        <v>340</v>
      </c>
      <c r="N110">
        <v>143</v>
      </c>
      <c r="O110">
        <v>88</v>
      </c>
      <c r="P110">
        <v>234</v>
      </c>
      <c r="Q110">
        <v>337</v>
      </c>
    </row>
    <row r="111" spans="1:17">
      <c r="A111" s="1" t="s">
        <v>100</v>
      </c>
      <c r="B111">
        <v>23</v>
      </c>
      <c r="C111">
        <v>15</v>
      </c>
      <c r="D111">
        <v>8</v>
      </c>
      <c r="E111">
        <v>8.41</v>
      </c>
      <c r="F111">
        <v>1738</v>
      </c>
      <c r="G111">
        <v>640</v>
      </c>
      <c r="H111">
        <v>1347</v>
      </c>
      <c r="I111">
        <v>281</v>
      </c>
      <c r="J111">
        <v>385</v>
      </c>
      <c r="K111">
        <v>183</v>
      </c>
      <c r="L111">
        <v>716</v>
      </c>
      <c r="M111">
        <v>373</v>
      </c>
      <c r="N111">
        <v>206</v>
      </c>
      <c r="O111">
        <v>78</v>
      </c>
      <c r="P111">
        <v>260</v>
      </c>
      <c r="Q111">
        <v>360</v>
      </c>
    </row>
    <row r="112" spans="1:17">
      <c r="A112" s="1" t="s">
        <v>101</v>
      </c>
      <c r="B112">
        <v>25</v>
      </c>
      <c r="C112">
        <v>14</v>
      </c>
      <c r="D112">
        <v>11</v>
      </c>
      <c r="E112">
        <v>8.52</v>
      </c>
      <c r="F112">
        <v>1944</v>
      </c>
      <c r="G112">
        <v>708</v>
      </c>
      <c r="H112">
        <v>1543</v>
      </c>
      <c r="I112">
        <v>371</v>
      </c>
      <c r="J112">
        <v>538</v>
      </c>
      <c r="K112">
        <v>308</v>
      </c>
      <c r="L112">
        <v>939</v>
      </c>
      <c r="M112">
        <v>374</v>
      </c>
      <c r="N112">
        <v>214</v>
      </c>
      <c r="O112">
        <v>61</v>
      </c>
      <c r="P112">
        <v>420</v>
      </c>
      <c r="Q112">
        <v>466</v>
      </c>
    </row>
    <row r="113" spans="1:17">
      <c r="A113" s="1" t="s">
        <v>374</v>
      </c>
      <c r="B113">
        <v>24</v>
      </c>
      <c r="C113">
        <v>24</v>
      </c>
      <c r="D113">
        <v>0</v>
      </c>
      <c r="E113">
        <v>2.93</v>
      </c>
      <c r="F113">
        <v>2229</v>
      </c>
      <c r="G113">
        <v>826</v>
      </c>
      <c r="H113">
        <v>1493</v>
      </c>
      <c r="I113">
        <v>404</v>
      </c>
      <c r="J113">
        <v>552</v>
      </c>
      <c r="K113">
        <v>232</v>
      </c>
      <c r="L113">
        <v>906</v>
      </c>
      <c r="M113">
        <v>449</v>
      </c>
      <c r="N113">
        <v>206</v>
      </c>
      <c r="O113">
        <v>72</v>
      </c>
      <c r="P113">
        <v>295</v>
      </c>
      <c r="Q113">
        <v>406</v>
      </c>
    </row>
    <row r="114" spans="1:17">
      <c r="A114" s="1" t="s">
        <v>102</v>
      </c>
      <c r="B114">
        <v>22</v>
      </c>
      <c r="C114">
        <v>11</v>
      </c>
      <c r="D114">
        <v>11</v>
      </c>
      <c r="E114">
        <v>-12.96</v>
      </c>
      <c r="F114">
        <v>1482</v>
      </c>
      <c r="G114">
        <v>514</v>
      </c>
      <c r="H114">
        <v>1202</v>
      </c>
      <c r="I114">
        <v>340</v>
      </c>
      <c r="J114">
        <v>509</v>
      </c>
      <c r="K114">
        <v>181</v>
      </c>
      <c r="L114">
        <v>751</v>
      </c>
      <c r="M114">
        <v>313</v>
      </c>
      <c r="N114">
        <v>182</v>
      </c>
      <c r="O114">
        <v>67</v>
      </c>
      <c r="P114">
        <v>335</v>
      </c>
      <c r="Q114">
        <v>392</v>
      </c>
    </row>
    <row r="115" spans="1:17">
      <c r="A115" s="1" t="s">
        <v>364</v>
      </c>
      <c r="B115">
        <v>21</v>
      </c>
      <c r="C115">
        <v>15</v>
      </c>
      <c r="D115">
        <v>6</v>
      </c>
      <c r="E115">
        <v>-5.65</v>
      </c>
      <c r="F115">
        <v>1583</v>
      </c>
      <c r="G115">
        <v>592</v>
      </c>
      <c r="H115">
        <v>1203</v>
      </c>
      <c r="I115">
        <v>259</v>
      </c>
      <c r="J115">
        <v>383</v>
      </c>
      <c r="K115">
        <v>215</v>
      </c>
      <c r="L115">
        <v>831</v>
      </c>
      <c r="M115">
        <v>348</v>
      </c>
      <c r="N115">
        <v>101</v>
      </c>
      <c r="O115">
        <v>61</v>
      </c>
      <c r="P115">
        <v>278</v>
      </c>
      <c r="Q115">
        <v>364</v>
      </c>
    </row>
    <row r="116" spans="1:17">
      <c r="A116" s="1" t="s">
        <v>103</v>
      </c>
      <c r="B116">
        <v>25</v>
      </c>
      <c r="C116">
        <v>8</v>
      </c>
      <c r="D116">
        <v>17</v>
      </c>
      <c r="E116">
        <v>-4.05</v>
      </c>
      <c r="F116">
        <v>1790</v>
      </c>
      <c r="G116">
        <v>656</v>
      </c>
      <c r="H116">
        <v>1507</v>
      </c>
      <c r="I116">
        <v>308</v>
      </c>
      <c r="J116">
        <v>411</v>
      </c>
      <c r="K116">
        <v>228</v>
      </c>
      <c r="L116">
        <v>817</v>
      </c>
      <c r="M116">
        <v>352</v>
      </c>
      <c r="N116">
        <v>138</v>
      </c>
      <c r="O116">
        <v>90</v>
      </c>
      <c r="P116">
        <v>269</v>
      </c>
      <c r="Q116">
        <v>405</v>
      </c>
    </row>
    <row r="117" spans="1:17">
      <c r="A117" s="1" t="s">
        <v>104</v>
      </c>
      <c r="B117">
        <v>25</v>
      </c>
      <c r="C117">
        <v>11</v>
      </c>
      <c r="D117">
        <v>14</v>
      </c>
      <c r="E117">
        <v>-8.56</v>
      </c>
      <c r="F117">
        <v>1721</v>
      </c>
      <c r="G117">
        <v>619</v>
      </c>
      <c r="H117">
        <v>1437</v>
      </c>
      <c r="I117">
        <v>298</v>
      </c>
      <c r="J117">
        <v>411</v>
      </c>
      <c r="K117">
        <v>196</v>
      </c>
      <c r="L117">
        <v>844</v>
      </c>
      <c r="M117">
        <v>292</v>
      </c>
      <c r="N117">
        <v>152</v>
      </c>
      <c r="O117">
        <v>149</v>
      </c>
      <c r="P117">
        <v>318</v>
      </c>
      <c r="Q117">
        <v>426</v>
      </c>
    </row>
    <row r="118" spans="1:17">
      <c r="A118" s="1" t="s">
        <v>105</v>
      </c>
      <c r="B118">
        <v>22</v>
      </c>
      <c r="C118">
        <v>14</v>
      </c>
      <c r="D118">
        <v>8</v>
      </c>
      <c r="E118">
        <v>-5.32</v>
      </c>
      <c r="F118">
        <v>1451</v>
      </c>
      <c r="G118">
        <v>523</v>
      </c>
      <c r="H118">
        <v>1196</v>
      </c>
      <c r="I118">
        <v>234</v>
      </c>
      <c r="J118">
        <v>333</v>
      </c>
      <c r="K118">
        <v>180</v>
      </c>
      <c r="L118">
        <v>726</v>
      </c>
      <c r="M118">
        <v>246</v>
      </c>
      <c r="N118">
        <v>152</v>
      </c>
      <c r="O118">
        <v>43</v>
      </c>
      <c r="P118">
        <v>282</v>
      </c>
      <c r="Q118">
        <v>356</v>
      </c>
    </row>
    <row r="119" spans="1:17">
      <c r="A119" s="1" t="s">
        <v>106</v>
      </c>
      <c r="B119">
        <v>0</v>
      </c>
      <c r="C119">
        <v>0</v>
      </c>
      <c r="D119">
        <v>0</v>
      </c>
    </row>
    <row r="120" spans="1:17">
      <c r="A120" s="1" t="s">
        <v>107</v>
      </c>
      <c r="B120">
        <v>20</v>
      </c>
      <c r="C120">
        <v>11</v>
      </c>
      <c r="D120">
        <v>9</v>
      </c>
      <c r="E120">
        <v>-4.4000000000000004</v>
      </c>
      <c r="F120">
        <v>1451</v>
      </c>
      <c r="G120">
        <v>515</v>
      </c>
      <c r="H120">
        <v>1156</v>
      </c>
      <c r="I120">
        <v>262</v>
      </c>
      <c r="J120">
        <v>364</v>
      </c>
      <c r="K120">
        <v>210</v>
      </c>
      <c r="L120">
        <v>721</v>
      </c>
      <c r="M120">
        <v>236</v>
      </c>
      <c r="N120">
        <v>115</v>
      </c>
      <c r="O120">
        <v>30</v>
      </c>
      <c r="P120">
        <v>277</v>
      </c>
      <c r="Q120">
        <v>338</v>
      </c>
    </row>
    <row r="121" spans="1:17">
      <c r="A121" s="1" t="s">
        <v>108</v>
      </c>
      <c r="B121">
        <v>24</v>
      </c>
      <c r="C121">
        <v>9</v>
      </c>
      <c r="D121">
        <v>15</v>
      </c>
      <c r="E121">
        <v>-7</v>
      </c>
      <c r="F121">
        <v>1600</v>
      </c>
      <c r="G121">
        <v>564</v>
      </c>
      <c r="H121">
        <v>1357</v>
      </c>
      <c r="I121">
        <v>357</v>
      </c>
      <c r="J121">
        <v>520</v>
      </c>
      <c r="K121">
        <v>279</v>
      </c>
      <c r="L121">
        <v>851</v>
      </c>
      <c r="M121">
        <v>292</v>
      </c>
      <c r="N121">
        <v>158</v>
      </c>
      <c r="O121">
        <v>90</v>
      </c>
      <c r="P121">
        <v>303</v>
      </c>
      <c r="Q121">
        <v>428</v>
      </c>
    </row>
    <row r="122" spans="1:17">
      <c r="A122" s="1" t="s">
        <v>307</v>
      </c>
      <c r="B122">
        <v>21</v>
      </c>
      <c r="C122">
        <v>12</v>
      </c>
      <c r="D122">
        <v>9</v>
      </c>
      <c r="E122">
        <v>-1.66</v>
      </c>
      <c r="F122">
        <v>1542</v>
      </c>
      <c r="G122">
        <v>547</v>
      </c>
      <c r="H122">
        <v>1232</v>
      </c>
      <c r="I122">
        <v>291</v>
      </c>
      <c r="J122">
        <v>397</v>
      </c>
      <c r="K122">
        <v>223</v>
      </c>
      <c r="L122">
        <v>744</v>
      </c>
      <c r="M122">
        <v>269</v>
      </c>
      <c r="N122">
        <v>140</v>
      </c>
      <c r="O122">
        <v>57</v>
      </c>
      <c r="P122">
        <v>259</v>
      </c>
      <c r="Q122">
        <v>338</v>
      </c>
    </row>
    <row r="123" spans="1:17">
      <c r="A123" s="1" t="s">
        <v>109</v>
      </c>
      <c r="B123">
        <v>16</v>
      </c>
      <c r="C123">
        <v>5</v>
      </c>
      <c r="D123">
        <v>11</v>
      </c>
      <c r="E123">
        <v>5.44</v>
      </c>
      <c r="F123">
        <v>1130</v>
      </c>
      <c r="G123">
        <v>423</v>
      </c>
      <c r="H123">
        <v>951</v>
      </c>
      <c r="I123">
        <v>173</v>
      </c>
      <c r="J123">
        <v>248</v>
      </c>
      <c r="K123">
        <v>150</v>
      </c>
      <c r="L123">
        <v>521</v>
      </c>
      <c r="M123">
        <v>190</v>
      </c>
      <c r="N123">
        <v>108</v>
      </c>
      <c r="O123">
        <v>61</v>
      </c>
      <c r="P123">
        <v>206</v>
      </c>
      <c r="Q123">
        <v>305</v>
      </c>
    </row>
    <row r="124" spans="1:17">
      <c r="A124" s="1" t="s">
        <v>353</v>
      </c>
      <c r="B124">
        <v>23</v>
      </c>
      <c r="C124">
        <v>5</v>
      </c>
      <c r="D124">
        <v>18</v>
      </c>
      <c r="E124">
        <v>-4.8</v>
      </c>
      <c r="F124">
        <v>1644</v>
      </c>
      <c r="G124">
        <v>587</v>
      </c>
      <c r="H124">
        <v>1368</v>
      </c>
      <c r="I124">
        <v>279</v>
      </c>
      <c r="J124">
        <v>380</v>
      </c>
      <c r="K124">
        <v>208</v>
      </c>
      <c r="L124">
        <v>776</v>
      </c>
      <c r="M124">
        <v>331</v>
      </c>
      <c r="N124">
        <v>156</v>
      </c>
      <c r="O124">
        <v>87</v>
      </c>
      <c r="P124">
        <v>391</v>
      </c>
      <c r="Q124">
        <v>392</v>
      </c>
    </row>
    <row r="125" spans="1:17">
      <c r="A125" s="1" t="s">
        <v>110</v>
      </c>
      <c r="B125">
        <v>23</v>
      </c>
      <c r="C125">
        <v>20</v>
      </c>
      <c r="D125">
        <v>3</v>
      </c>
      <c r="E125">
        <v>3.95</v>
      </c>
      <c r="F125">
        <v>1785</v>
      </c>
      <c r="G125">
        <v>628</v>
      </c>
      <c r="H125">
        <v>1425</v>
      </c>
      <c r="I125">
        <v>315</v>
      </c>
      <c r="J125">
        <v>429</v>
      </c>
      <c r="K125">
        <v>337</v>
      </c>
      <c r="L125">
        <v>950</v>
      </c>
      <c r="M125">
        <v>317</v>
      </c>
      <c r="N125">
        <v>201</v>
      </c>
      <c r="O125">
        <v>106</v>
      </c>
      <c r="P125">
        <v>255</v>
      </c>
      <c r="Q125">
        <v>437</v>
      </c>
    </row>
    <row r="126" spans="1:17">
      <c r="A126" s="1" t="s">
        <v>111</v>
      </c>
      <c r="B126">
        <v>5</v>
      </c>
      <c r="C126">
        <v>1</v>
      </c>
      <c r="D126">
        <v>4</v>
      </c>
      <c r="E126">
        <v>-1.93</v>
      </c>
      <c r="F126">
        <v>363</v>
      </c>
      <c r="G126">
        <v>123</v>
      </c>
      <c r="H126">
        <v>283</v>
      </c>
      <c r="I126">
        <v>79</v>
      </c>
      <c r="J126">
        <v>110</v>
      </c>
      <c r="K126">
        <v>41</v>
      </c>
      <c r="L126">
        <v>177</v>
      </c>
      <c r="M126">
        <v>74</v>
      </c>
      <c r="N126">
        <v>26</v>
      </c>
      <c r="O126">
        <v>25</v>
      </c>
      <c r="P126">
        <v>72</v>
      </c>
      <c r="Q126">
        <v>89</v>
      </c>
    </row>
    <row r="127" spans="1:17">
      <c r="A127" s="1" t="s">
        <v>112</v>
      </c>
      <c r="B127">
        <v>23</v>
      </c>
      <c r="C127">
        <v>13</v>
      </c>
      <c r="D127">
        <v>10</v>
      </c>
      <c r="E127">
        <v>-6.77</v>
      </c>
      <c r="F127">
        <v>1574</v>
      </c>
      <c r="G127">
        <v>541</v>
      </c>
      <c r="H127">
        <v>1203</v>
      </c>
      <c r="I127">
        <v>329</v>
      </c>
      <c r="J127">
        <v>465</v>
      </c>
      <c r="K127">
        <v>229</v>
      </c>
      <c r="L127">
        <v>831</v>
      </c>
      <c r="M127">
        <v>270</v>
      </c>
      <c r="N127">
        <v>105</v>
      </c>
      <c r="O127">
        <v>81</v>
      </c>
      <c r="P127">
        <v>345</v>
      </c>
      <c r="Q127">
        <v>413</v>
      </c>
    </row>
    <row r="128" spans="1:17">
      <c r="A128" s="1" t="s">
        <v>113</v>
      </c>
      <c r="B128">
        <v>21</v>
      </c>
      <c r="C128">
        <v>1</v>
      </c>
      <c r="D128">
        <v>20</v>
      </c>
      <c r="E128">
        <v>-3.96</v>
      </c>
      <c r="F128">
        <v>1279</v>
      </c>
      <c r="G128">
        <v>464</v>
      </c>
      <c r="H128">
        <v>1083</v>
      </c>
      <c r="I128">
        <v>235</v>
      </c>
      <c r="J128">
        <v>322</v>
      </c>
      <c r="K128">
        <v>148</v>
      </c>
      <c r="L128">
        <v>625</v>
      </c>
      <c r="M128">
        <v>254</v>
      </c>
      <c r="N128">
        <v>105</v>
      </c>
      <c r="O128">
        <v>42</v>
      </c>
      <c r="P128">
        <v>343</v>
      </c>
      <c r="Q128">
        <v>398</v>
      </c>
    </row>
    <row r="129" spans="1:17">
      <c r="A129" s="1" t="s">
        <v>114</v>
      </c>
      <c r="B129">
        <v>22</v>
      </c>
      <c r="C129">
        <v>9</v>
      </c>
      <c r="D129">
        <v>13</v>
      </c>
      <c r="E129">
        <v>-6.31</v>
      </c>
      <c r="F129">
        <v>1489</v>
      </c>
      <c r="G129">
        <v>558</v>
      </c>
      <c r="H129">
        <v>1301</v>
      </c>
      <c r="I129">
        <v>195</v>
      </c>
      <c r="J129">
        <v>296</v>
      </c>
      <c r="K129">
        <v>183</v>
      </c>
      <c r="L129">
        <v>766</v>
      </c>
      <c r="M129">
        <v>297</v>
      </c>
      <c r="N129">
        <v>81</v>
      </c>
      <c r="O129">
        <v>68</v>
      </c>
      <c r="P129">
        <v>291</v>
      </c>
      <c r="Q129">
        <v>409</v>
      </c>
    </row>
    <row r="130" spans="1:17">
      <c r="A130" s="1" t="s">
        <v>115</v>
      </c>
      <c r="B130">
        <v>25</v>
      </c>
      <c r="C130">
        <v>7</v>
      </c>
      <c r="D130">
        <v>18</v>
      </c>
      <c r="E130">
        <v>0.89</v>
      </c>
      <c r="F130">
        <v>1799</v>
      </c>
      <c r="G130">
        <v>679</v>
      </c>
      <c r="H130">
        <v>1477</v>
      </c>
      <c r="I130">
        <v>246</v>
      </c>
      <c r="J130">
        <v>372</v>
      </c>
      <c r="K130">
        <v>206</v>
      </c>
      <c r="L130">
        <v>881</v>
      </c>
      <c r="M130">
        <v>345</v>
      </c>
      <c r="N130">
        <v>150</v>
      </c>
      <c r="O130">
        <v>84</v>
      </c>
      <c r="P130">
        <v>345</v>
      </c>
      <c r="Q130">
        <v>411</v>
      </c>
    </row>
    <row r="131" spans="1:17">
      <c r="A131" s="1" t="s">
        <v>348</v>
      </c>
      <c r="B131">
        <v>26</v>
      </c>
      <c r="C131">
        <v>20</v>
      </c>
      <c r="D131">
        <v>6</v>
      </c>
      <c r="E131">
        <v>12.09</v>
      </c>
      <c r="F131">
        <v>2098</v>
      </c>
      <c r="G131">
        <v>758</v>
      </c>
      <c r="H131">
        <v>1516</v>
      </c>
      <c r="I131">
        <v>402</v>
      </c>
      <c r="J131">
        <v>586</v>
      </c>
      <c r="K131">
        <v>274</v>
      </c>
      <c r="L131">
        <v>1044</v>
      </c>
      <c r="M131">
        <v>420</v>
      </c>
      <c r="N131">
        <v>146</v>
      </c>
      <c r="O131">
        <v>73</v>
      </c>
      <c r="P131">
        <v>350</v>
      </c>
      <c r="Q131">
        <v>462</v>
      </c>
    </row>
    <row r="132" spans="1:17">
      <c r="A132" s="1" t="s">
        <v>365</v>
      </c>
      <c r="B132">
        <v>21</v>
      </c>
      <c r="C132">
        <v>8</v>
      </c>
      <c r="D132">
        <v>13</v>
      </c>
      <c r="E132">
        <v>-8.01</v>
      </c>
      <c r="F132">
        <v>1427</v>
      </c>
      <c r="G132">
        <v>499</v>
      </c>
      <c r="H132">
        <v>1120</v>
      </c>
      <c r="I132">
        <v>266</v>
      </c>
      <c r="J132">
        <v>377</v>
      </c>
      <c r="K132">
        <v>160</v>
      </c>
      <c r="L132">
        <v>651</v>
      </c>
      <c r="M132">
        <v>260</v>
      </c>
      <c r="N132">
        <v>114</v>
      </c>
      <c r="O132">
        <v>39</v>
      </c>
      <c r="P132">
        <v>295</v>
      </c>
      <c r="Q132">
        <v>370</v>
      </c>
    </row>
    <row r="133" spans="1:17">
      <c r="A133" s="1" t="s">
        <v>308</v>
      </c>
      <c r="B133">
        <v>25</v>
      </c>
      <c r="C133">
        <v>15</v>
      </c>
      <c r="D133">
        <v>10</v>
      </c>
      <c r="E133">
        <v>2.4</v>
      </c>
      <c r="F133">
        <v>1662</v>
      </c>
      <c r="G133">
        <v>580</v>
      </c>
      <c r="H133">
        <v>1338</v>
      </c>
      <c r="I133">
        <v>353</v>
      </c>
      <c r="J133">
        <v>481</v>
      </c>
      <c r="K133">
        <v>207</v>
      </c>
      <c r="L133">
        <v>796</v>
      </c>
      <c r="M133">
        <v>267</v>
      </c>
      <c r="N133">
        <v>164</v>
      </c>
      <c r="O133">
        <v>73</v>
      </c>
      <c r="P133">
        <v>302</v>
      </c>
      <c r="Q133">
        <v>373</v>
      </c>
    </row>
    <row r="134" spans="1:17">
      <c r="A134" s="1" t="s">
        <v>327</v>
      </c>
      <c r="B134">
        <v>26</v>
      </c>
      <c r="C134">
        <v>12</v>
      </c>
      <c r="D134">
        <v>14</v>
      </c>
      <c r="E134">
        <v>13.76</v>
      </c>
      <c r="F134">
        <v>1832</v>
      </c>
      <c r="G134">
        <v>633</v>
      </c>
      <c r="H134">
        <v>1454</v>
      </c>
      <c r="I134">
        <v>410</v>
      </c>
      <c r="J134">
        <v>611</v>
      </c>
      <c r="K134">
        <v>232</v>
      </c>
      <c r="L134">
        <v>900</v>
      </c>
      <c r="M134">
        <v>362</v>
      </c>
      <c r="N134">
        <v>149</v>
      </c>
      <c r="O134">
        <v>97</v>
      </c>
      <c r="P134">
        <v>313</v>
      </c>
      <c r="Q134">
        <v>465</v>
      </c>
    </row>
    <row r="135" spans="1:17">
      <c r="A135" s="1" t="s">
        <v>309</v>
      </c>
      <c r="B135">
        <v>13</v>
      </c>
      <c r="C135">
        <v>8</v>
      </c>
      <c r="D135">
        <v>5</v>
      </c>
      <c r="E135">
        <v>-6.88</v>
      </c>
      <c r="F135">
        <v>971</v>
      </c>
      <c r="G135">
        <v>336</v>
      </c>
      <c r="H135">
        <v>741</v>
      </c>
      <c r="I135">
        <v>193</v>
      </c>
      <c r="J135">
        <v>259</v>
      </c>
      <c r="K135">
        <v>143</v>
      </c>
      <c r="L135">
        <v>471</v>
      </c>
      <c r="M135">
        <v>196</v>
      </c>
      <c r="N135">
        <v>92</v>
      </c>
      <c r="O135">
        <v>60</v>
      </c>
      <c r="P135">
        <v>209</v>
      </c>
      <c r="Q135">
        <v>297</v>
      </c>
    </row>
    <row r="136" spans="1:17">
      <c r="A136" s="1" t="s">
        <v>310</v>
      </c>
      <c r="B136">
        <v>23</v>
      </c>
      <c r="C136">
        <v>2</v>
      </c>
      <c r="D136">
        <v>21</v>
      </c>
      <c r="E136">
        <v>10.78</v>
      </c>
      <c r="F136">
        <v>1501</v>
      </c>
      <c r="G136">
        <v>561</v>
      </c>
      <c r="H136">
        <v>1341</v>
      </c>
      <c r="I136">
        <v>212</v>
      </c>
      <c r="J136">
        <v>272</v>
      </c>
      <c r="K136">
        <v>193</v>
      </c>
      <c r="L136">
        <v>723</v>
      </c>
      <c r="M136">
        <v>264</v>
      </c>
      <c r="N136">
        <v>147</v>
      </c>
      <c r="O136">
        <v>73</v>
      </c>
      <c r="P136">
        <v>346</v>
      </c>
      <c r="Q136">
        <v>427</v>
      </c>
    </row>
    <row r="137" spans="1:17">
      <c r="A137" s="1" t="s">
        <v>116</v>
      </c>
      <c r="B137">
        <v>26</v>
      </c>
      <c r="C137">
        <v>19</v>
      </c>
      <c r="D137">
        <v>7</v>
      </c>
      <c r="E137">
        <v>10.65</v>
      </c>
      <c r="F137">
        <v>2219</v>
      </c>
      <c r="G137">
        <v>783</v>
      </c>
      <c r="H137">
        <v>1656</v>
      </c>
      <c r="I137">
        <v>387</v>
      </c>
      <c r="J137">
        <v>545</v>
      </c>
      <c r="K137">
        <v>300</v>
      </c>
      <c r="L137">
        <v>1056</v>
      </c>
      <c r="M137">
        <v>501</v>
      </c>
      <c r="N137">
        <v>149</v>
      </c>
      <c r="O137">
        <v>111</v>
      </c>
      <c r="P137">
        <v>246</v>
      </c>
      <c r="Q137">
        <v>388</v>
      </c>
    </row>
    <row r="138" spans="1:17">
      <c r="A138" s="1" t="s">
        <v>319</v>
      </c>
      <c r="B138">
        <v>23</v>
      </c>
      <c r="C138">
        <v>8</v>
      </c>
      <c r="D138">
        <v>15</v>
      </c>
      <c r="E138">
        <v>-7.48</v>
      </c>
      <c r="F138">
        <v>1728</v>
      </c>
      <c r="G138">
        <v>631</v>
      </c>
      <c r="H138">
        <v>1259</v>
      </c>
      <c r="I138">
        <v>262</v>
      </c>
      <c r="J138">
        <v>380</v>
      </c>
      <c r="K138">
        <v>177</v>
      </c>
      <c r="L138">
        <v>721</v>
      </c>
      <c r="M138">
        <v>328</v>
      </c>
      <c r="N138">
        <v>156</v>
      </c>
      <c r="O138">
        <v>64</v>
      </c>
      <c r="P138">
        <v>393</v>
      </c>
      <c r="Q138">
        <v>413</v>
      </c>
    </row>
    <row r="139" spans="1:17">
      <c r="A139" s="1" t="s">
        <v>117</v>
      </c>
      <c r="B139">
        <v>18</v>
      </c>
      <c r="C139">
        <v>8</v>
      </c>
      <c r="D139">
        <v>10</v>
      </c>
      <c r="E139">
        <v>-5.83</v>
      </c>
      <c r="F139">
        <v>1281</v>
      </c>
      <c r="G139">
        <v>452</v>
      </c>
      <c r="H139">
        <v>1069</v>
      </c>
      <c r="I139">
        <v>234</v>
      </c>
      <c r="J139">
        <v>326</v>
      </c>
      <c r="K139">
        <v>168</v>
      </c>
      <c r="L139">
        <v>608</v>
      </c>
      <c r="M139">
        <v>239</v>
      </c>
      <c r="N139">
        <v>124</v>
      </c>
      <c r="O139">
        <v>40</v>
      </c>
      <c r="P139">
        <v>250</v>
      </c>
      <c r="Q139">
        <v>340</v>
      </c>
    </row>
    <row r="140" spans="1:17">
      <c r="A140" s="1" t="s">
        <v>278</v>
      </c>
      <c r="B140">
        <v>16</v>
      </c>
      <c r="C140">
        <v>11</v>
      </c>
      <c r="D140">
        <v>5</v>
      </c>
      <c r="E140">
        <v>-13.85</v>
      </c>
      <c r="F140">
        <v>1026</v>
      </c>
      <c r="G140">
        <v>346</v>
      </c>
      <c r="H140">
        <v>888</v>
      </c>
      <c r="I140">
        <v>247</v>
      </c>
      <c r="J140">
        <v>366</v>
      </c>
      <c r="K140">
        <v>168</v>
      </c>
      <c r="L140">
        <v>590</v>
      </c>
      <c r="M140">
        <v>169</v>
      </c>
      <c r="N140">
        <v>130</v>
      </c>
      <c r="O140">
        <v>51</v>
      </c>
      <c r="P140">
        <v>252</v>
      </c>
      <c r="Q140">
        <v>310</v>
      </c>
    </row>
    <row r="141" spans="1:17">
      <c r="A141" s="1" t="s">
        <v>118</v>
      </c>
      <c r="B141">
        <v>27</v>
      </c>
      <c r="C141">
        <v>18</v>
      </c>
      <c r="D141">
        <v>9</v>
      </c>
      <c r="E141">
        <v>-5.52</v>
      </c>
      <c r="F141">
        <v>2005</v>
      </c>
      <c r="G141">
        <v>723</v>
      </c>
      <c r="H141">
        <v>1568</v>
      </c>
      <c r="I141">
        <v>340</v>
      </c>
      <c r="J141">
        <v>496</v>
      </c>
      <c r="K141">
        <v>299</v>
      </c>
      <c r="L141">
        <v>1048</v>
      </c>
      <c r="M141">
        <v>383</v>
      </c>
      <c r="N141">
        <v>135</v>
      </c>
      <c r="O141">
        <v>94</v>
      </c>
      <c r="P141">
        <v>360</v>
      </c>
      <c r="Q141">
        <v>413</v>
      </c>
    </row>
    <row r="142" spans="1:17">
      <c r="A142" s="1" t="s">
        <v>119</v>
      </c>
      <c r="B142">
        <v>24</v>
      </c>
      <c r="C142">
        <v>11</v>
      </c>
      <c r="D142">
        <v>13</v>
      </c>
      <c r="E142">
        <v>-6.44</v>
      </c>
      <c r="F142">
        <v>1622</v>
      </c>
      <c r="G142">
        <v>577</v>
      </c>
      <c r="H142">
        <v>1320</v>
      </c>
      <c r="I142">
        <v>298</v>
      </c>
      <c r="J142">
        <v>449</v>
      </c>
      <c r="K142">
        <v>206</v>
      </c>
      <c r="L142">
        <v>800</v>
      </c>
      <c r="M142">
        <v>269</v>
      </c>
      <c r="N142">
        <v>164</v>
      </c>
      <c r="O142">
        <v>63</v>
      </c>
      <c r="P142">
        <v>343</v>
      </c>
      <c r="Q142">
        <v>372</v>
      </c>
    </row>
    <row r="143" spans="1:17">
      <c r="A143" s="1" t="s">
        <v>120</v>
      </c>
      <c r="B143">
        <v>19</v>
      </c>
      <c r="C143">
        <v>13</v>
      </c>
      <c r="D143">
        <v>6</v>
      </c>
      <c r="E143">
        <v>-2.4</v>
      </c>
      <c r="F143">
        <v>1491</v>
      </c>
      <c r="G143">
        <v>517</v>
      </c>
      <c r="H143">
        <v>1139</v>
      </c>
      <c r="I143">
        <v>297</v>
      </c>
      <c r="J143">
        <v>447</v>
      </c>
      <c r="K143">
        <v>212</v>
      </c>
      <c r="L143">
        <v>711</v>
      </c>
      <c r="M143">
        <v>266</v>
      </c>
      <c r="N143">
        <v>142</v>
      </c>
      <c r="O143">
        <v>35</v>
      </c>
      <c r="P143">
        <v>233</v>
      </c>
      <c r="Q143">
        <v>357</v>
      </c>
    </row>
    <row r="144" spans="1:17">
      <c r="A144" s="1" t="s">
        <v>121</v>
      </c>
      <c r="B144">
        <v>27</v>
      </c>
      <c r="C144">
        <v>8</v>
      </c>
      <c r="D144">
        <v>19</v>
      </c>
      <c r="E144">
        <v>9.14</v>
      </c>
      <c r="F144">
        <v>1653</v>
      </c>
      <c r="G144">
        <v>599</v>
      </c>
      <c r="H144">
        <v>1465</v>
      </c>
      <c r="I144">
        <v>279</v>
      </c>
      <c r="J144">
        <v>420</v>
      </c>
      <c r="K144">
        <v>271</v>
      </c>
      <c r="L144">
        <v>887</v>
      </c>
      <c r="M144">
        <v>349</v>
      </c>
      <c r="N144">
        <v>141</v>
      </c>
      <c r="O144">
        <v>43</v>
      </c>
      <c r="P144">
        <v>401</v>
      </c>
      <c r="Q144">
        <v>465</v>
      </c>
    </row>
    <row r="145" spans="1:17">
      <c r="A145" s="1" t="s">
        <v>375</v>
      </c>
      <c r="B145">
        <v>27</v>
      </c>
      <c r="C145">
        <v>19</v>
      </c>
      <c r="D145">
        <v>8</v>
      </c>
      <c r="E145">
        <v>10.36</v>
      </c>
      <c r="F145">
        <v>1978</v>
      </c>
      <c r="G145">
        <v>711</v>
      </c>
      <c r="H145">
        <v>1620</v>
      </c>
      <c r="I145">
        <v>355</v>
      </c>
      <c r="J145">
        <v>500</v>
      </c>
      <c r="K145">
        <v>311</v>
      </c>
      <c r="L145">
        <v>1037</v>
      </c>
      <c r="M145">
        <v>370</v>
      </c>
      <c r="N145">
        <v>182</v>
      </c>
      <c r="O145">
        <v>113</v>
      </c>
      <c r="P145">
        <v>334</v>
      </c>
      <c r="Q145">
        <v>417</v>
      </c>
    </row>
    <row r="146" spans="1:17">
      <c r="A146" s="1" t="s">
        <v>336</v>
      </c>
      <c r="B146">
        <v>24</v>
      </c>
      <c r="C146">
        <v>5</v>
      </c>
      <c r="D146">
        <v>19</v>
      </c>
      <c r="E146">
        <v>-3.29</v>
      </c>
      <c r="F146">
        <v>1571</v>
      </c>
      <c r="G146">
        <v>571</v>
      </c>
      <c r="H146">
        <v>1359</v>
      </c>
      <c r="I146">
        <v>265</v>
      </c>
      <c r="J146">
        <v>402</v>
      </c>
      <c r="K146">
        <v>215</v>
      </c>
      <c r="L146">
        <v>815</v>
      </c>
      <c r="M146">
        <v>260</v>
      </c>
      <c r="N146">
        <v>138</v>
      </c>
      <c r="O146">
        <v>60</v>
      </c>
      <c r="P146">
        <v>341</v>
      </c>
      <c r="Q146">
        <v>429</v>
      </c>
    </row>
    <row r="147" spans="1:17">
      <c r="A147" s="1" t="s">
        <v>122</v>
      </c>
      <c r="B147">
        <v>22</v>
      </c>
      <c r="C147">
        <v>15</v>
      </c>
      <c r="D147">
        <v>7</v>
      </c>
      <c r="E147">
        <v>-0.93</v>
      </c>
      <c r="F147">
        <v>1701</v>
      </c>
      <c r="G147">
        <v>615</v>
      </c>
      <c r="H147">
        <v>1380</v>
      </c>
      <c r="I147">
        <v>293</v>
      </c>
      <c r="J147">
        <v>377</v>
      </c>
      <c r="K147">
        <v>282</v>
      </c>
      <c r="L147">
        <v>873</v>
      </c>
      <c r="M147">
        <v>319</v>
      </c>
      <c r="N147">
        <v>149</v>
      </c>
      <c r="O147">
        <v>76</v>
      </c>
      <c r="P147">
        <v>296</v>
      </c>
      <c r="Q147">
        <v>371</v>
      </c>
    </row>
    <row r="148" spans="1:17">
      <c r="A148" s="1" t="s">
        <v>354</v>
      </c>
      <c r="B148">
        <v>24</v>
      </c>
      <c r="C148">
        <v>9</v>
      </c>
      <c r="D148">
        <v>15</v>
      </c>
      <c r="E148">
        <v>12.48</v>
      </c>
      <c r="F148">
        <v>1688</v>
      </c>
      <c r="G148">
        <v>589</v>
      </c>
      <c r="H148">
        <v>1413</v>
      </c>
      <c r="I148">
        <v>361</v>
      </c>
      <c r="J148">
        <v>492</v>
      </c>
      <c r="K148">
        <v>290</v>
      </c>
      <c r="L148">
        <v>921</v>
      </c>
      <c r="M148">
        <v>294</v>
      </c>
      <c r="N148">
        <v>152</v>
      </c>
      <c r="O148">
        <v>146</v>
      </c>
      <c r="P148">
        <v>344</v>
      </c>
      <c r="Q148">
        <v>433</v>
      </c>
    </row>
    <row r="149" spans="1:17">
      <c r="A149" s="1" t="s">
        <v>123</v>
      </c>
      <c r="B149">
        <v>25</v>
      </c>
      <c r="C149">
        <v>9</v>
      </c>
      <c r="D149">
        <v>16</v>
      </c>
      <c r="E149">
        <v>4.28</v>
      </c>
      <c r="F149">
        <v>1702</v>
      </c>
      <c r="G149">
        <v>633</v>
      </c>
      <c r="H149">
        <v>1453</v>
      </c>
      <c r="I149">
        <v>241</v>
      </c>
      <c r="J149">
        <v>352</v>
      </c>
      <c r="K149">
        <v>234</v>
      </c>
      <c r="L149">
        <v>829</v>
      </c>
      <c r="M149">
        <v>318</v>
      </c>
      <c r="N149">
        <v>186</v>
      </c>
      <c r="O149">
        <v>83</v>
      </c>
      <c r="P149">
        <v>361</v>
      </c>
      <c r="Q149">
        <v>431</v>
      </c>
    </row>
    <row r="150" spans="1:17">
      <c r="A150" s="1" t="s">
        <v>279</v>
      </c>
      <c r="B150">
        <v>15</v>
      </c>
      <c r="C150">
        <v>9</v>
      </c>
      <c r="D150">
        <v>6</v>
      </c>
      <c r="E150">
        <v>-2.66</v>
      </c>
      <c r="F150">
        <v>1165</v>
      </c>
      <c r="G150">
        <v>405</v>
      </c>
      <c r="H150">
        <v>928</v>
      </c>
      <c r="I150">
        <v>226</v>
      </c>
      <c r="J150">
        <v>281</v>
      </c>
      <c r="K150">
        <v>133</v>
      </c>
      <c r="L150">
        <v>525</v>
      </c>
      <c r="M150">
        <v>243</v>
      </c>
      <c r="N150">
        <v>94</v>
      </c>
      <c r="O150">
        <v>51</v>
      </c>
      <c r="P150">
        <v>163</v>
      </c>
      <c r="Q150">
        <v>280</v>
      </c>
    </row>
    <row r="151" spans="1:17">
      <c r="A151" s="1" t="s">
        <v>280</v>
      </c>
      <c r="B151">
        <v>25</v>
      </c>
      <c r="C151">
        <v>8</v>
      </c>
      <c r="D151">
        <v>17</v>
      </c>
      <c r="E151">
        <v>-6.57</v>
      </c>
      <c r="F151">
        <v>1640</v>
      </c>
      <c r="G151">
        <v>589</v>
      </c>
      <c r="H151">
        <v>1446</v>
      </c>
      <c r="I151">
        <v>340</v>
      </c>
      <c r="J151">
        <v>462</v>
      </c>
      <c r="K151">
        <v>255</v>
      </c>
      <c r="L151">
        <v>883</v>
      </c>
      <c r="M151">
        <v>303</v>
      </c>
      <c r="N151">
        <v>181</v>
      </c>
      <c r="O151">
        <v>101</v>
      </c>
      <c r="P151">
        <v>354</v>
      </c>
      <c r="Q151">
        <v>420</v>
      </c>
    </row>
    <row r="152" spans="1:17">
      <c r="A152" s="1" t="s">
        <v>124</v>
      </c>
      <c r="B152">
        <v>15</v>
      </c>
      <c r="C152">
        <v>4</v>
      </c>
      <c r="D152">
        <v>11</v>
      </c>
      <c r="E152">
        <v>-0.64</v>
      </c>
      <c r="F152">
        <v>1025</v>
      </c>
      <c r="G152">
        <v>388</v>
      </c>
      <c r="H152">
        <v>901</v>
      </c>
      <c r="I152">
        <v>176</v>
      </c>
      <c r="J152">
        <v>251</v>
      </c>
      <c r="K152">
        <v>137</v>
      </c>
      <c r="L152">
        <v>521</v>
      </c>
      <c r="M152">
        <v>191</v>
      </c>
      <c r="N152">
        <v>90</v>
      </c>
      <c r="O152">
        <v>32</v>
      </c>
      <c r="P152">
        <v>196</v>
      </c>
      <c r="Q152">
        <v>268</v>
      </c>
    </row>
    <row r="153" spans="1:17">
      <c r="A153" s="1" t="s">
        <v>125</v>
      </c>
      <c r="B153">
        <v>27</v>
      </c>
      <c r="C153">
        <v>22</v>
      </c>
      <c r="D153">
        <v>5</v>
      </c>
      <c r="E153">
        <v>-6.28</v>
      </c>
      <c r="F153">
        <v>2018</v>
      </c>
      <c r="G153">
        <v>733</v>
      </c>
      <c r="H153">
        <v>1488</v>
      </c>
      <c r="I153">
        <v>273</v>
      </c>
      <c r="J153">
        <v>354</v>
      </c>
      <c r="K153">
        <v>187</v>
      </c>
      <c r="L153">
        <v>897</v>
      </c>
      <c r="M153">
        <v>430</v>
      </c>
      <c r="N153">
        <v>125</v>
      </c>
      <c r="O153">
        <v>63</v>
      </c>
      <c r="P153">
        <v>262</v>
      </c>
      <c r="Q153">
        <v>393</v>
      </c>
    </row>
    <row r="154" spans="1:17">
      <c r="A154" s="1" t="s">
        <v>320</v>
      </c>
      <c r="B154">
        <v>27</v>
      </c>
      <c r="C154">
        <v>15</v>
      </c>
      <c r="D154">
        <v>12</v>
      </c>
      <c r="E154">
        <v>-5.36</v>
      </c>
      <c r="F154">
        <v>1922</v>
      </c>
      <c r="G154">
        <v>687</v>
      </c>
      <c r="H154">
        <v>1493</v>
      </c>
      <c r="I154">
        <v>348</v>
      </c>
      <c r="J154">
        <v>503</v>
      </c>
      <c r="K154">
        <v>208</v>
      </c>
      <c r="L154">
        <v>918</v>
      </c>
      <c r="M154">
        <v>364</v>
      </c>
      <c r="N154">
        <v>167</v>
      </c>
      <c r="O154">
        <v>53</v>
      </c>
      <c r="P154">
        <v>326</v>
      </c>
      <c r="Q154">
        <v>376</v>
      </c>
    </row>
    <row r="155" spans="1:17">
      <c r="A155" s="1" t="s">
        <v>126</v>
      </c>
      <c r="B155">
        <v>16</v>
      </c>
      <c r="C155">
        <v>5</v>
      </c>
      <c r="D155">
        <v>11</v>
      </c>
      <c r="E155">
        <v>-4.25</v>
      </c>
      <c r="F155">
        <v>1156</v>
      </c>
      <c r="G155">
        <v>400</v>
      </c>
      <c r="H155">
        <v>914</v>
      </c>
      <c r="I155">
        <v>248</v>
      </c>
      <c r="J155">
        <v>366</v>
      </c>
      <c r="K155">
        <v>125</v>
      </c>
      <c r="L155">
        <v>550</v>
      </c>
      <c r="M155">
        <v>183</v>
      </c>
      <c r="N155">
        <v>99</v>
      </c>
      <c r="O155">
        <v>50</v>
      </c>
      <c r="P155">
        <v>258</v>
      </c>
      <c r="Q155">
        <v>307</v>
      </c>
    </row>
    <row r="156" spans="1:17">
      <c r="A156" s="1" t="s">
        <v>127</v>
      </c>
      <c r="B156">
        <v>18</v>
      </c>
      <c r="C156">
        <v>9</v>
      </c>
      <c r="D156">
        <v>9</v>
      </c>
      <c r="E156">
        <v>-6.66</v>
      </c>
      <c r="F156">
        <v>1332</v>
      </c>
      <c r="G156">
        <v>479</v>
      </c>
      <c r="H156">
        <v>1155</v>
      </c>
      <c r="I156">
        <v>240</v>
      </c>
      <c r="J156">
        <v>360</v>
      </c>
      <c r="K156">
        <v>240</v>
      </c>
      <c r="L156">
        <v>705</v>
      </c>
      <c r="M156">
        <v>293</v>
      </c>
      <c r="N156">
        <v>152</v>
      </c>
      <c r="O156">
        <v>69</v>
      </c>
      <c r="P156">
        <v>259</v>
      </c>
      <c r="Q156">
        <v>315</v>
      </c>
    </row>
    <row r="157" spans="1:17">
      <c r="A157" s="1" t="s">
        <v>331</v>
      </c>
      <c r="B157">
        <v>28</v>
      </c>
      <c r="C157">
        <v>12</v>
      </c>
      <c r="D157">
        <v>16</v>
      </c>
      <c r="E157">
        <v>-6.18</v>
      </c>
      <c r="F157">
        <v>1854</v>
      </c>
      <c r="G157">
        <v>662</v>
      </c>
      <c r="H157">
        <v>1527</v>
      </c>
      <c r="I157">
        <v>330</v>
      </c>
      <c r="J157">
        <v>481</v>
      </c>
      <c r="K157">
        <v>268</v>
      </c>
      <c r="L157">
        <v>929</v>
      </c>
      <c r="M157">
        <v>295</v>
      </c>
      <c r="N157">
        <v>173</v>
      </c>
      <c r="O157">
        <v>50</v>
      </c>
      <c r="P157">
        <v>367</v>
      </c>
      <c r="Q157">
        <v>485</v>
      </c>
    </row>
    <row r="158" spans="1:17">
      <c r="A158" s="1" t="s">
        <v>281</v>
      </c>
      <c r="B158">
        <v>25</v>
      </c>
      <c r="C158">
        <v>17</v>
      </c>
      <c r="D158">
        <v>8</v>
      </c>
      <c r="E158">
        <v>-5.34</v>
      </c>
      <c r="F158">
        <v>1861</v>
      </c>
      <c r="G158">
        <v>684</v>
      </c>
      <c r="H158">
        <v>1539</v>
      </c>
      <c r="I158">
        <v>317</v>
      </c>
      <c r="J158">
        <v>453</v>
      </c>
      <c r="K158">
        <v>309</v>
      </c>
      <c r="L158">
        <v>990</v>
      </c>
      <c r="M158">
        <v>321</v>
      </c>
      <c r="N158">
        <v>141</v>
      </c>
      <c r="O158">
        <v>119</v>
      </c>
      <c r="P158">
        <v>375</v>
      </c>
      <c r="Q158">
        <v>434</v>
      </c>
    </row>
    <row r="159" spans="1:17">
      <c r="A159" s="1" t="s">
        <v>128</v>
      </c>
      <c r="B159">
        <v>26</v>
      </c>
      <c r="C159">
        <v>7</v>
      </c>
      <c r="D159">
        <v>19</v>
      </c>
      <c r="E159">
        <v>-5.58</v>
      </c>
      <c r="F159">
        <v>1670</v>
      </c>
      <c r="G159">
        <v>609</v>
      </c>
      <c r="H159">
        <v>1464</v>
      </c>
      <c r="I159">
        <v>258</v>
      </c>
      <c r="J159">
        <v>367</v>
      </c>
      <c r="K159">
        <v>205</v>
      </c>
      <c r="L159">
        <v>791</v>
      </c>
      <c r="M159">
        <v>355</v>
      </c>
      <c r="N159">
        <v>193</v>
      </c>
      <c r="O159">
        <v>74</v>
      </c>
      <c r="P159">
        <v>338</v>
      </c>
      <c r="Q159">
        <v>433</v>
      </c>
    </row>
    <row r="160" spans="1:17">
      <c r="A160" s="1" t="s">
        <v>282</v>
      </c>
      <c r="B160">
        <v>24</v>
      </c>
      <c r="C160">
        <v>16</v>
      </c>
      <c r="D160">
        <v>8</v>
      </c>
      <c r="E160">
        <v>8.2899999999999991</v>
      </c>
      <c r="F160">
        <v>1984</v>
      </c>
      <c r="G160">
        <v>697</v>
      </c>
      <c r="H160">
        <v>1487</v>
      </c>
      <c r="I160">
        <v>396</v>
      </c>
      <c r="J160">
        <v>531</v>
      </c>
      <c r="K160">
        <v>268</v>
      </c>
      <c r="L160">
        <v>915</v>
      </c>
      <c r="M160">
        <v>300</v>
      </c>
      <c r="N160">
        <v>194</v>
      </c>
      <c r="O160">
        <v>66</v>
      </c>
      <c r="P160">
        <v>292</v>
      </c>
      <c r="Q160">
        <v>424</v>
      </c>
    </row>
    <row r="161" spans="1:17">
      <c r="A161" s="1" t="s">
        <v>129</v>
      </c>
      <c r="B161">
        <v>26</v>
      </c>
      <c r="C161">
        <v>20</v>
      </c>
      <c r="D161">
        <v>6</v>
      </c>
      <c r="E161">
        <v>-1.62</v>
      </c>
      <c r="F161">
        <v>1936</v>
      </c>
      <c r="G161">
        <v>688</v>
      </c>
      <c r="H161">
        <v>1536</v>
      </c>
      <c r="I161">
        <v>363</v>
      </c>
      <c r="J161">
        <v>533</v>
      </c>
      <c r="K161">
        <v>267</v>
      </c>
      <c r="L161">
        <v>1016</v>
      </c>
      <c r="M161">
        <v>323</v>
      </c>
      <c r="N161">
        <v>176</v>
      </c>
      <c r="O161">
        <v>67</v>
      </c>
      <c r="P161">
        <v>332</v>
      </c>
      <c r="Q161">
        <v>397</v>
      </c>
    </row>
    <row r="162" spans="1:17">
      <c r="A162" s="1" t="s">
        <v>283</v>
      </c>
      <c r="B162">
        <v>19</v>
      </c>
      <c r="C162">
        <v>13</v>
      </c>
      <c r="D162">
        <v>6</v>
      </c>
      <c r="E162">
        <v>9.6999999999999993</v>
      </c>
      <c r="F162">
        <v>1303</v>
      </c>
      <c r="G162">
        <v>475</v>
      </c>
      <c r="H162">
        <v>1084</v>
      </c>
      <c r="I162">
        <v>253</v>
      </c>
      <c r="J162">
        <v>353</v>
      </c>
      <c r="K162">
        <v>211</v>
      </c>
      <c r="L162">
        <v>725</v>
      </c>
      <c r="M162">
        <v>214</v>
      </c>
      <c r="N162">
        <v>92</v>
      </c>
      <c r="O162">
        <v>36</v>
      </c>
      <c r="P162">
        <v>221</v>
      </c>
      <c r="Q162">
        <v>321</v>
      </c>
    </row>
    <row r="163" spans="1:17">
      <c r="A163" s="1" t="s">
        <v>130</v>
      </c>
      <c r="B163">
        <v>27</v>
      </c>
      <c r="C163">
        <v>23</v>
      </c>
      <c r="D163">
        <v>4</v>
      </c>
      <c r="E163">
        <v>-0.2</v>
      </c>
      <c r="F163">
        <v>1927</v>
      </c>
      <c r="G163">
        <v>709</v>
      </c>
      <c r="H163">
        <v>1412</v>
      </c>
      <c r="I163">
        <v>318</v>
      </c>
      <c r="J163">
        <v>443</v>
      </c>
      <c r="K163">
        <v>197</v>
      </c>
      <c r="L163">
        <v>886</v>
      </c>
      <c r="M163">
        <v>423</v>
      </c>
      <c r="N163">
        <v>189</v>
      </c>
      <c r="O163">
        <v>63</v>
      </c>
      <c r="P163">
        <v>321</v>
      </c>
      <c r="Q163">
        <v>384</v>
      </c>
    </row>
    <row r="164" spans="1:17">
      <c r="A164" s="1" t="s">
        <v>131</v>
      </c>
      <c r="B164">
        <v>22</v>
      </c>
      <c r="C164">
        <v>13</v>
      </c>
      <c r="D164">
        <v>9</v>
      </c>
      <c r="E164">
        <v>3.11</v>
      </c>
      <c r="F164">
        <v>1529</v>
      </c>
      <c r="G164">
        <v>525</v>
      </c>
      <c r="H164">
        <v>1147</v>
      </c>
      <c r="I164">
        <v>344</v>
      </c>
      <c r="J164">
        <v>474</v>
      </c>
      <c r="K164">
        <v>215</v>
      </c>
      <c r="L164">
        <v>772</v>
      </c>
      <c r="M164">
        <v>280</v>
      </c>
      <c r="N164">
        <v>103</v>
      </c>
      <c r="O164">
        <v>58</v>
      </c>
      <c r="P164">
        <v>351</v>
      </c>
      <c r="Q164">
        <v>417</v>
      </c>
    </row>
    <row r="165" spans="1:17">
      <c r="A165" s="1" t="s">
        <v>132</v>
      </c>
      <c r="B165">
        <v>15</v>
      </c>
      <c r="C165">
        <v>5</v>
      </c>
      <c r="D165">
        <v>10</v>
      </c>
      <c r="E165">
        <v>-1.33</v>
      </c>
      <c r="F165">
        <v>1087</v>
      </c>
      <c r="G165">
        <v>406</v>
      </c>
      <c r="H165">
        <v>878</v>
      </c>
      <c r="I165">
        <v>198</v>
      </c>
      <c r="J165">
        <v>326</v>
      </c>
      <c r="K165">
        <v>169</v>
      </c>
      <c r="L165">
        <v>565</v>
      </c>
      <c r="M165">
        <v>195</v>
      </c>
      <c r="N165">
        <v>112</v>
      </c>
      <c r="O165">
        <v>52</v>
      </c>
      <c r="P165">
        <v>218</v>
      </c>
      <c r="Q165">
        <v>278</v>
      </c>
    </row>
    <row r="166" spans="1:17">
      <c r="A166" s="1" t="s">
        <v>133</v>
      </c>
      <c r="B166">
        <v>9</v>
      </c>
      <c r="C166">
        <v>2</v>
      </c>
      <c r="D166">
        <v>7</v>
      </c>
      <c r="E166">
        <v>-3.22</v>
      </c>
      <c r="F166">
        <v>478</v>
      </c>
      <c r="G166">
        <v>172</v>
      </c>
      <c r="H166">
        <v>452</v>
      </c>
      <c r="I166">
        <v>70</v>
      </c>
      <c r="J166">
        <v>123</v>
      </c>
      <c r="K166">
        <v>69</v>
      </c>
      <c r="L166">
        <v>281</v>
      </c>
      <c r="M166">
        <v>108</v>
      </c>
      <c r="N166">
        <v>51</v>
      </c>
      <c r="O166">
        <v>40</v>
      </c>
      <c r="P166">
        <v>147</v>
      </c>
      <c r="Q166">
        <v>161</v>
      </c>
    </row>
    <row r="167" spans="1:17">
      <c r="A167" s="1" t="s">
        <v>134</v>
      </c>
      <c r="B167">
        <v>19</v>
      </c>
      <c r="C167">
        <v>7</v>
      </c>
      <c r="D167">
        <v>12</v>
      </c>
      <c r="E167">
        <v>-7.22</v>
      </c>
      <c r="F167">
        <v>1210</v>
      </c>
      <c r="G167">
        <v>417</v>
      </c>
      <c r="H167">
        <v>1096</v>
      </c>
      <c r="I167">
        <v>263</v>
      </c>
      <c r="J167">
        <v>392</v>
      </c>
      <c r="K167">
        <v>233</v>
      </c>
      <c r="L167">
        <v>680</v>
      </c>
      <c r="M167">
        <v>225</v>
      </c>
      <c r="N167">
        <v>145</v>
      </c>
      <c r="O167">
        <v>69</v>
      </c>
      <c r="P167">
        <v>278</v>
      </c>
      <c r="Q167">
        <v>427</v>
      </c>
    </row>
    <row r="168" spans="1:17">
      <c r="A168" s="1" t="s">
        <v>135</v>
      </c>
      <c r="B168">
        <v>20</v>
      </c>
      <c r="C168">
        <v>12</v>
      </c>
      <c r="D168">
        <v>8</v>
      </c>
      <c r="E168">
        <v>-7.66</v>
      </c>
      <c r="F168">
        <v>1270</v>
      </c>
      <c r="G168">
        <v>455</v>
      </c>
      <c r="H168">
        <v>1053</v>
      </c>
      <c r="I168">
        <v>226</v>
      </c>
      <c r="J168">
        <v>330</v>
      </c>
      <c r="K168">
        <v>144</v>
      </c>
      <c r="L168">
        <v>698</v>
      </c>
      <c r="M168">
        <v>222</v>
      </c>
      <c r="N168">
        <v>111</v>
      </c>
      <c r="O168">
        <v>78</v>
      </c>
      <c r="P168">
        <v>291</v>
      </c>
      <c r="Q168">
        <v>349</v>
      </c>
    </row>
    <row r="169" spans="1:17">
      <c r="A169" s="1" t="s">
        <v>136</v>
      </c>
      <c r="B169">
        <v>26</v>
      </c>
      <c r="C169">
        <v>13</v>
      </c>
      <c r="D169">
        <v>13</v>
      </c>
      <c r="E169">
        <v>9.41</v>
      </c>
      <c r="F169">
        <v>1834</v>
      </c>
      <c r="G169">
        <v>640</v>
      </c>
      <c r="H169">
        <v>1426</v>
      </c>
      <c r="I169">
        <v>380</v>
      </c>
      <c r="J169">
        <v>516</v>
      </c>
      <c r="K169">
        <v>251</v>
      </c>
      <c r="L169">
        <v>947</v>
      </c>
      <c r="M169">
        <v>326</v>
      </c>
      <c r="N169">
        <v>132</v>
      </c>
      <c r="O169">
        <v>96</v>
      </c>
      <c r="P169">
        <v>372</v>
      </c>
      <c r="Q169">
        <v>447</v>
      </c>
    </row>
    <row r="170" spans="1:17">
      <c r="A170" s="1" t="s">
        <v>137</v>
      </c>
      <c r="B170">
        <v>21</v>
      </c>
      <c r="C170">
        <v>15</v>
      </c>
      <c r="D170">
        <v>6</v>
      </c>
      <c r="E170">
        <v>-1.1299999999999999</v>
      </c>
      <c r="F170">
        <v>1690</v>
      </c>
      <c r="G170">
        <v>628</v>
      </c>
      <c r="H170">
        <v>1315</v>
      </c>
      <c r="I170">
        <v>240</v>
      </c>
      <c r="J170">
        <v>330</v>
      </c>
      <c r="K170">
        <v>173</v>
      </c>
      <c r="L170">
        <v>745</v>
      </c>
      <c r="M170">
        <v>336</v>
      </c>
      <c r="N170">
        <v>164</v>
      </c>
      <c r="O170">
        <v>110</v>
      </c>
      <c r="P170">
        <v>251</v>
      </c>
      <c r="Q170">
        <v>319</v>
      </c>
    </row>
    <row r="171" spans="1:17">
      <c r="A171" s="1" t="s">
        <v>138</v>
      </c>
      <c r="B171">
        <v>20</v>
      </c>
      <c r="C171">
        <v>14</v>
      </c>
      <c r="D171">
        <v>6</v>
      </c>
      <c r="E171">
        <v>-4.79</v>
      </c>
      <c r="F171">
        <v>1391</v>
      </c>
      <c r="G171">
        <v>483</v>
      </c>
      <c r="H171">
        <v>1099</v>
      </c>
      <c r="I171">
        <v>286</v>
      </c>
      <c r="J171">
        <v>402</v>
      </c>
      <c r="K171">
        <v>175</v>
      </c>
      <c r="L171">
        <v>730</v>
      </c>
      <c r="M171">
        <v>219</v>
      </c>
      <c r="N171">
        <v>102</v>
      </c>
      <c r="O171">
        <v>35</v>
      </c>
      <c r="P171">
        <v>258</v>
      </c>
      <c r="Q171">
        <v>336</v>
      </c>
    </row>
    <row r="172" spans="1:17">
      <c r="A172" s="1" t="s">
        <v>139</v>
      </c>
      <c r="B172">
        <v>0</v>
      </c>
      <c r="C172">
        <v>0</v>
      </c>
      <c r="D172">
        <v>0</v>
      </c>
    </row>
    <row r="173" spans="1:17">
      <c r="A173" s="1" t="s">
        <v>332</v>
      </c>
      <c r="B173">
        <v>26</v>
      </c>
      <c r="C173">
        <v>15</v>
      </c>
      <c r="D173">
        <v>11</v>
      </c>
      <c r="E173">
        <v>12.72</v>
      </c>
      <c r="F173">
        <v>1800</v>
      </c>
      <c r="G173">
        <v>629</v>
      </c>
      <c r="H173">
        <v>1376</v>
      </c>
      <c r="I173">
        <v>330</v>
      </c>
      <c r="J173">
        <v>468</v>
      </c>
      <c r="K173">
        <v>171</v>
      </c>
      <c r="L173">
        <v>873</v>
      </c>
      <c r="M173">
        <v>347</v>
      </c>
      <c r="N173">
        <v>131</v>
      </c>
      <c r="O173">
        <v>90</v>
      </c>
      <c r="P173">
        <v>289</v>
      </c>
      <c r="Q173">
        <v>383</v>
      </c>
    </row>
    <row r="174" spans="1:17">
      <c r="A174" s="1" t="s">
        <v>366</v>
      </c>
      <c r="B174">
        <v>22</v>
      </c>
      <c r="C174">
        <v>11</v>
      </c>
      <c r="D174">
        <v>11</v>
      </c>
      <c r="E174">
        <v>-2.72</v>
      </c>
      <c r="F174">
        <v>1525</v>
      </c>
      <c r="G174">
        <v>542</v>
      </c>
      <c r="H174">
        <v>1179</v>
      </c>
      <c r="I174">
        <v>298</v>
      </c>
      <c r="J174">
        <v>452</v>
      </c>
      <c r="K174">
        <v>191</v>
      </c>
      <c r="L174">
        <v>756</v>
      </c>
      <c r="M174">
        <v>262</v>
      </c>
      <c r="N174">
        <v>112</v>
      </c>
      <c r="O174">
        <v>84</v>
      </c>
      <c r="P174">
        <v>320</v>
      </c>
      <c r="Q174">
        <v>451</v>
      </c>
    </row>
    <row r="175" spans="1:17">
      <c r="A175" s="1" t="s">
        <v>140</v>
      </c>
      <c r="B175">
        <v>15</v>
      </c>
      <c r="C175">
        <v>8</v>
      </c>
      <c r="D175">
        <v>7</v>
      </c>
      <c r="E175">
        <v>2.3199999999999998</v>
      </c>
      <c r="F175">
        <v>1151</v>
      </c>
      <c r="G175">
        <v>394</v>
      </c>
      <c r="H175">
        <v>920</v>
      </c>
      <c r="I175">
        <v>231</v>
      </c>
      <c r="J175">
        <v>315</v>
      </c>
      <c r="K175">
        <v>136</v>
      </c>
      <c r="L175">
        <v>517</v>
      </c>
      <c r="M175">
        <v>224</v>
      </c>
      <c r="N175">
        <v>110</v>
      </c>
      <c r="O175">
        <v>61</v>
      </c>
      <c r="P175">
        <v>181</v>
      </c>
      <c r="Q175">
        <v>261</v>
      </c>
    </row>
    <row r="176" spans="1:17">
      <c r="A176" s="1" t="s">
        <v>141</v>
      </c>
      <c r="B176">
        <v>23</v>
      </c>
      <c r="C176">
        <v>10</v>
      </c>
      <c r="D176">
        <v>13</v>
      </c>
      <c r="E176">
        <v>-10.82</v>
      </c>
      <c r="F176">
        <v>1859</v>
      </c>
      <c r="G176">
        <v>694</v>
      </c>
      <c r="H176">
        <v>1403</v>
      </c>
      <c r="I176">
        <v>274</v>
      </c>
      <c r="J176">
        <v>399</v>
      </c>
      <c r="K176">
        <v>244</v>
      </c>
      <c r="L176">
        <v>854</v>
      </c>
      <c r="M176">
        <v>428</v>
      </c>
      <c r="N176">
        <v>167</v>
      </c>
      <c r="O176">
        <v>45</v>
      </c>
      <c r="P176">
        <v>339</v>
      </c>
      <c r="Q176">
        <v>395</v>
      </c>
    </row>
    <row r="177" spans="1:17">
      <c r="A177" s="1" t="s">
        <v>142</v>
      </c>
      <c r="B177">
        <v>21</v>
      </c>
      <c r="C177">
        <v>15</v>
      </c>
      <c r="D177">
        <v>6</v>
      </c>
      <c r="E177">
        <v>2.04</v>
      </c>
      <c r="F177">
        <v>1522</v>
      </c>
      <c r="G177">
        <v>552</v>
      </c>
      <c r="H177">
        <v>1256</v>
      </c>
      <c r="I177">
        <v>260</v>
      </c>
      <c r="J177">
        <v>417</v>
      </c>
      <c r="K177">
        <v>263</v>
      </c>
      <c r="L177">
        <v>853</v>
      </c>
      <c r="M177">
        <v>341</v>
      </c>
      <c r="N177">
        <v>190</v>
      </c>
      <c r="O177">
        <v>108</v>
      </c>
      <c r="P177">
        <v>348</v>
      </c>
      <c r="Q177">
        <v>408</v>
      </c>
    </row>
    <row r="178" spans="1:17">
      <c r="A178" s="1" t="s">
        <v>143</v>
      </c>
      <c r="B178">
        <v>27</v>
      </c>
      <c r="C178">
        <v>17</v>
      </c>
      <c r="D178">
        <v>10</v>
      </c>
      <c r="E178">
        <v>-1.33</v>
      </c>
      <c r="F178">
        <v>2091</v>
      </c>
      <c r="G178">
        <v>781</v>
      </c>
      <c r="H178">
        <v>1616</v>
      </c>
      <c r="I178">
        <v>295</v>
      </c>
      <c r="J178">
        <v>414</v>
      </c>
      <c r="K178">
        <v>231</v>
      </c>
      <c r="L178">
        <v>967</v>
      </c>
      <c r="M178">
        <v>455</v>
      </c>
      <c r="N178">
        <v>194</v>
      </c>
      <c r="O178">
        <v>84</v>
      </c>
      <c r="P178">
        <v>350</v>
      </c>
      <c r="Q178">
        <v>413</v>
      </c>
    </row>
    <row r="179" spans="1:17">
      <c r="A179" s="1" t="s">
        <v>376</v>
      </c>
      <c r="B179">
        <v>18</v>
      </c>
      <c r="C179">
        <v>9</v>
      </c>
      <c r="D179">
        <v>9</v>
      </c>
      <c r="E179">
        <v>-6.52</v>
      </c>
      <c r="F179">
        <v>1193</v>
      </c>
      <c r="G179">
        <v>434</v>
      </c>
      <c r="H179">
        <v>967</v>
      </c>
      <c r="I179">
        <v>199</v>
      </c>
      <c r="J179">
        <v>300</v>
      </c>
      <c r="K179">
        <v>124</v>
      </c>
      <c r="L179">
        <v>556</v>
      </c>
      <c r="M179">
        <v>216</v>
      </c>
      <c r="N179">
        <v>144</v>
      </c>
      <c r="O179">
        <v>68</v>
      </c>
      <c r="P179">
        <v>245</v>
      </c>
      <c r="Q179">
        <v>305</v>
      </c>
    </row>
    <row r="180" spans="1:17">
      <c r="A180" s="1" t="s">
        <v>284</v>
      </c>
      <c r="B180">
        <v>24</v>
      </c>
      <c r="C180">
        <v>8</v>
      </c>
      <c r="D180">
        <v>16</v>
      </c>
      <c r="E180">
        <v>8.65</v>
      </c>
      <c r="F180">
        <v>1582</v>
      </c>
      <c r="G180">
        <v>570</v>
      </c>
      <c r="H180">
        <v>1362</v>
      </c>
      <c r="I180">
        <v>307</v>
      </c>
      <c r="J180">
        <v>443</v>
      </c>
      <c r="K180">
        <v>234</v>
      </c>
      <c r="L180">
        <v>851</v>
      </c>
      <c r="M180">
        <v>269</v>
      </c>
      <c r="N180">
        <v>160</v>
      </c>
      <c r="O180">
        <v>94</v>
      </c>
      <c r="P180">
        <v>304</v>
      </c>
      <c r="Q180">
        <v>299</v>
      </c>
    </row>
    <row r="181" spans="1:17">
      <c r="A181" s="1" t="s">
        <v>144</v>
      </c>
      <c r="B181">
        <v>22</v>
      </c>
      <c r="C181">
        <v>12</v>
      </c>
      <c r="D181">
        <v>10</v>
      </c>
      <c r="E181">
        <v>-1.96</v>
      </c>
      <c r="F181">
        <v>1600</v>
      </c>
      <c r="G181">
        <v>573</v>
      </c>
      <c r="H181">
        <v>1307</v>
      </c>
      <c r="I181">
        <v>263</v>
      </c>
      <c r="J181">
        <v>341</v>
      </c>
      <c r="K181">
        <v>217</v>
      </c>
      <c r="L181">
        <v>766</v>
      </c>
      <c r="M181">
        <v>268</v>
      </c>
      <c r="N181">
        <v>98</v>
      </c>
      <c r="O181">
        <v>56</v>
      </c>
      <c r="P181">
        <v>240</v>
      </c>
      <c r="Q181">
        <v>370</v>
      </c>
    </row>
    <row r="182" spans="1:17">
      <c r="A182" s="1" t="s">
        <v>377</v>
      </c>
      <c r="B182">
        <v>25</v>
      </c>
      <c r="C182">
        <v>14</v>
      </c>
      <c r="D182">
        <v>11</v>
      </c>
      <c r="E182">
        <v>12.33</v>
      </c>
      <c r="F182">
        <v>1737</v>
      </c>
      <c r="G182">
        <v>622</v>
      </c>
      <c r="H182">
        <v>1467</v>
      </c>
      <c r="I182">
        <v>329</v>
      </c>
      <c r="J182">
        <v>453</v>
      </c>
      <c r="K182">
        <v>276</v>
      </c>
      <c r="L182">
        <v>940</v>
      </c>
      <c r="M182">
        <v>406</v>
      </c>
      <c r="N182">
        <v>111</v>
      </c>
      <c r="O182">
        <v>121</v>
      </c>
      <c r="P182">
        <v>326</v>
      </c>
      <c r="Q182">
        <v>494</v>
      </c>
    </row>
    <row r="183" spans="1:17">
      <c r="A183" s="1" t="s">
        <v>145</v>
      </c>
      <c r="B183">
        <v>21</v>
      </c>
      <c r="C183">
        <v>19</v>
      </c>
      <c r="D183">
        <v>2</v>
      </c>
      <c r="E183">
        <v>12.36</v>
      </c>
      <c r="F183">
        <v>1620</v>
      </c>
      <c r="G183">
        <v>592</v>
      </c>
      <c r="H183">
        <v>1205</v>
      </c>
      <c r="I183">
        <v>276</v>
      </c>
      <c r="J183">
        <v>359</v>
      </c>
      <c r="K183">
        <v>191</v>
      </c>
      <c r="L183">
        <v>799</v>
      </c>
      <c r="M183">
        <v>319</v>
      </c>
      <c r="N183">
        <v>95</v>
      </c>
      <c r="O183">
        <v>95</v>
      </c>
      <c r="P183">
        <v>248</v>
      </c>
      <c r="Q183">
        <v>314</v>
      </c>
    </row>
    <row r="184" spans="1:17">
      <c r="A184" s="1" t="s">
        <v>146</v>
      </c>
      <c r="B184">
        <v>22</v>
      </c>
      <c r="C184">
        <v>5</v>
      </c>
      <c r="D184">
        <v>17</v>
      </c>
      <c r="E184">
        <v>-0.77</v>
      </c>
      <c r="F184">
        <v>1370</v>
      </c>
      <c r="G184">
        <v>495</v>
      </c>
      <c r="H184">
        <v>1276</v>
      </c>
      <c r="I184">
        <v>217</v>
      </c>
      <c r="J184">
        <v>319</v>
      </c>
      <c r="K184">
        <v>217</v>
      </c>
      <c r="L184">
        <v>743</v>
      </c>
      <c r="M184">
        <v>219</v>
      </c>
      <c r="N184">
        <v>159</v>
      </c>
      <c r="O184">
        <v>50</v>
      </c>
      <c r="P184">
        <v>333</v>
      </c>
      <c r="Q184">
        <v>360</v>
      </c>
    </row>
    <row r="185" spans="1:17">
      <c r="A185" s="1" t="s">
        <v>147</v>
      </c>
      <c r="B185">
        <v>21</v>
      </c>
      <c r="C185">
        <v>10</v>
      </c>
      <c r="D185">
        <v>11</v>
      </c>
      <c r="E185">
        <v>-5.97</v>
      </c>
      <c r="F185">
        <v>1597</v>
      </c>
      <c r="G185">
        <v>561</v>
      </c>
      <c r="H185">
        <v>1279</v>
      </c>
      <c r="I185">
        <v>319</v>
      </c>
      <c r="J185">
        <v>434</v>
      </c>
      <c r="K185">
        <v>179</v>
      </c>
      <c r="L185">
        <v>729</v>
      </c>
      <c r="M185">
        <v>272</v>
      </c>
      <c r="N185">
        <v>128</v>
      </c>
      <c r="O185">
        <v>45</v>
      </c>
      <c r="P185">
        <v>236</v>
      </c>
      <c r="Q185">
        <v>386</v>
      </c>
    </row>
    <row r="186" spans="1:17">
      <c r="A186" s="1" t="s">
        <v>148</v>
      </c>
      <c r="B186">
        <v>27</v>
      </c>
      <c r="C186">
        <v>13</v>
      </c>
      <c r="D186">
        <v>14</v>
      </c>
      <c r="E186">
        <v>12.9</v>
      </c>
      <c r="F186">
        <v>1977</v>
      </c>
      <c r="G186">
        <v>658</v>
      </c>
      <c r="H186">
        <v>1668</v>
      </c>
      <c r="I186">
        <v>467</v>
      </c>
      <c r="J186">
        <v>618</v>
      </c>
      <c r="K186">
        <v>315</v>
      </c>
      <c r="L186">
        <v>984</v>
      </c>
      <c r="M186">
        <v>374</v>
      </c>
      <c r="N186">
        <v>169</v>
      </c>
      <c r="O186">
        <v>122</v>
      </c>
      <c r="P186">
        <v>296</v>
      </c>
      <c r="Q186">
        <v>502</v>
      </c>
    </row>
    <row r="187" spans="1:17">
      <c r="A187" s="1" t="s">
        <v>149</v>
      </c>
      <c r="B187">
        <v>27</v>
      </c>
      <c r="C187">
        <v>14</v>
      </c>
      <c r="D187">
        <v>13</v>
      </c>
      <c r="E187">
        <v>6.25</v>
      </c>
      <c r="F187">
        <v>1875</v>
      </c>
      <c r="G187">
        <v>699</v>
      </c>
      <c r="H187">
        <v>1535</v>
      </c>
      <c r="I187">
        <v>332</v>
      </c>
      <c r="J187">
        <v>518</v>
      </c>
      <c r="K187">
        <v>329</v>
      </c>
      <c r="L187">
        <v>1049</v>
      </c>
      <c r="M187">
        <v>351</v>
      </c>
      <c r="N187">
        <v>176</v>
      </c>
      <c r="O187">
        <v>128</v>
      </c>
      <c r="P187">
        <v>402</v>
      </c>
      <c r="Q187">
        <v>421</v>
      </c>
    </row>
    <row r="188" spans="1:17">
      <c r="A188" s="1" t="s">
        <v>150</v>
      </c>
      <c r="B188">
        <v>23</v>
      </c>
      <c r="C188">
        <v>2</v>
      </c>
      <c r="D188">
        <v>21</v>
      </c>
      <c r="E188">
        <v>-7.78</v>
      </c>
      <c r="F188">
        <v>1300</v>
      </c>
      <c r="G188">
        <v>458</v>
      </c>
      <c r="H188">
        <v>1284</v>
      </c>
      <c r="I188">
        <v>177</v>
      </c>
      <c r="J188">
        <v>312</v>
      </c>
      <c r="K188">
        <v>155</v>
      </c>
      <c r="L188">
        <v>709</v>
      </c>
      <c r="M188">
        <v>256</v>
      </c>
      <c r="N188">
        <v>104</v>
      </c>
      <c r="O188">
        <v>67</v>
      </c>
      <c r="P188">
        <v>415</v>
      </c>
      <c r="Q188">
        <v>413</v>
      </c>
    </row>
    <row r="189" spans="1:17">
      <c r="A189" s="1" t="s">
        <v>151</v>
      </c>
      <c r="B189">
        <v>25</v>
      </c>
      <c r="C189">
        <v>15</v>
      </c>
      <c r="D189">
        <v>10</v>
      </c>
      <c r="E189">
        <v>6.39</v>
      </c>
      <c r="F189">
        <v>1717</v>
      </c>
      <c r="G189">
        <v>624</v>
      </c>
      <c r="H189">
        <v>1411</v>
      </c>
      <c r="I189">
        <v>339</v>
      </c>
      <c r="J189">
        <v>488</v>
      </c>
      <c r="K189">
        <v>298</v>
      </c>
      <c r="L189">
        <v>904</v>
      </c>
      <c r="M189">
        <v>309</v>
      </c>
      <c r="N189">
        <v>198</v>
      </c>
      <c r="O189">
        <v>94</v>
      </c>
      <c r="P189">
        <v>349</v>
      </c>
      <c r="Q189">
        <v>429</v>
      </c>
    </row>
    <row r="190" spans="1:17">
      <c r="A190" s="1" t="s">
        <v>152</v>
      </c>
      <c r="B190">
        <v>23</v>
      </c>
      <c r="C190">
        <v>11</v>
      </c>
      <c r="D190">
        <v>12</v>
      </c>
      <c r="E190">
        <v>-3.08</v>
      </c>
      <c r="F190">
        <v>1618</v>
      </c>
      <c r="G190">
        <v>617</v>
      </c>
      <c r="H190">
        <v>1234</v>
      </c>
      <c r="I190">
        <v>238</v>
      </c>
      <c r="J190">
        <v>362</v>
      </c>
      <c r="K190">
        <v>166</v>
      </c>
      <c r="L190">
        <v>699</v>
      </c>
      <c r="M190">
        <v>339</v>
      </c>
      <c r="N190">
        <v>186</v>
      </c>
      <c r="O190">
        <v>50</v>
      </c>
      <c r="P190">
        <v>294</v>
      </c>
      <c r="Q190">
        <v>505</v>
      </c>
    </row>
    <row r="191" spans="1:17">
      <c r="A191" s="1" t="s">
        <v>153</v>
      </c>
      <c r="B191">
        <v>24</v>
      </c>
      <c r="C191">
        <v>17</v>
      </c>
      <c r="D191">
        <v>7</v>
      </c>
      <c r="E191">
        <v>0.37</v>
      </c>
      <c r="F191">
        <v>1762</v>
      </c>
      <c r="G191">
        <v>637</v>
      </c>
      <c r="H191">
        <v>1332</v>
      </c>
      <c r="I191">
        <v>308</v>
      </c>
      <c r="J191">
        <v>415</v>
      </c>
      <c r="K191">
        <v>188</v>
      </c>
      <c r="L191">
        <v>887</v>
      </c>
      <c r="M191">
        <v>325</v>
      </c>
      <c r="N191">
        <v>112</v>
      </c>
      <c r="O191">
        <v>69</v>
      </c>
      <c r="P191">
        <v>305</v>
      </c>
      <c r="Q191">
        <v>369</v>
      </c>
    </row>
    <row r="192" spans="1:17">
      <c r="A192" s="1" t="s">
        <v>328</v>
      </c>
      <c r="B192">
        <v>23</v>
      </c>
      <c r="C192">
        <v>15</v>
      </c>
      <c r="D192">
        <v>8</v>
      </c>
      <c r="E192">
        <v>11.21</v>
      </c>
      <c r="F192">
        <v>1704</v>
      </c>
      <c r="G192">
        <v>598</v>
      </c>
      <c r="H192">
        <v>1327</v>
      </c>
      <c r="I192">
        <v>348</v>
      </c>
      <c r="J192">
        <v>499</v>
      </c>
      <c r="K192">
        <v>231</v>
      </c>
      <c r="L192">
        <v>821</v>
      </c>
      <c r="M192">
        <v>306</v>
      </c>
      <c r="N192">
        <v>151</v>
      </c>
      <c r="O192">
        <v>81</v>
      </c>
      <c r="P192">
        <v>303</v>
      </c>
      <c r="Q192">
        <v>453</v>
      </c>
    </row>
    <row r="193" spans="1:17">
      <c r="A193" s="1" t="s">
        <v>154</v>
      </c>
      <c r="B193">
        <v>19</v>
      </c>
      <c r="C193">
        <v>12</v>
      </c>
      <c r="D193">
        <v>7</v>
      </c>
      <c r="E193">
        <v>-6.31</v>
      </c>
      <c r="F193">
        <v>1461</v>
      </c>
      <c r="G193">
        <v>499</v>
      </c>
      <c r="H193">
        <v>1166</v>
      </c>
      <c r="I193">
        <v>315</v>
      </c>
      <c r="J193">
        <v>446</v>
      </c>
      <c r="K193">
        <v>191</v>
      </c>
      <c r="L193">
        <v>722</v>
      </c>
      <c r="M193">
        <v>270</v>
      </c>
      <c r="N193">
        <v>153</v>
      </c>
      <c r="O193">
        <v>67</v>
      </c>
      <c r="P193">
        <v>261</v>
      </c>
      <c r="Q193">
        <v>394</v>
      </c>
    </row>
    <row r="194" spans="1:17">
      <c r="A194" s="1" t="s">
        <v>155</v>
      </c>
      <c r="B194">
        <v>20</v>
      </c>
      <c r="C194">
        <v>11</v>
      </c>
      <c r="D194">
        <v>9</v>
      </c>
      <c r="E194">
        <v>-6.26</v>
      </c>
      <c r="F194">
        <v>1497</v>
      </c>
      <c r="G194">
        <v>518</v>
      </c>
      <c r="H194">
        <v>1127</v>
      </c>
      <c r="I194">
        <v>329</v>
      </c>
      <c r="J194">
        <v>439</v>
      </c>
      <c r="K194">
        <v>169</v>
      </c>
      <c r="L194">
        <v>663</v>
      </c>
      <c r="M194">
        <v>237</v>
      </c>
      <c r="N194">
        <v>113</v>
      </c>
      <c r="O194">
        <v>41</v>
      </c>
      <c r="P194">
        <v>250</v>
      </c>
      <c r="Q194">
        <v>376</v>
      </c>
    </row>
    <row r="195" spans="1:17">
      <c r="A195" s="1" t="s">
        <v>156</v>
      </c>
      <c r="B195">
        <v>25</v>
      </c>
      <c r="C195">
        <v>13</v>
      </c>
      <c r="D195">
        <v>12</v>
      </c>
      <c r="E195">
        <v>-2.29</v>
      </c>
      <c r="F195">
        <v>1782</v>
      </c>
      <c r="G195">
        <v>624</v>
      </c>
      <c r="H195">
        <v>1350</v>
      </c>
      <c r="I195">
        <v>398</v>
      </c>
      <c r="J195">
        <v>503</v>
      </c>
      <c r="K195">
        <v>197</v>
      </c>
      <c r="L195">
        <v>844</v>
      </c>
      <c r="M195">
        <v>324</v>
      </c>
      <c r="N195">
        <v>114</v>
      </c>
      <c r="O195">
        <v>65</v>
      </c>
      <c r="P195">
        <v>333</v>
      </c>
      <c r="Q195">
        <v>508</v>
      </c>
    </row>
    <row r="196" spans="1:17">
      <c r="A196" s="1" t="s">
        <v>157</v>
      </c>
      <c r="B196">
        <v>30</v>
      </c>
      <c r="C196">
        <v>23</v>
      </c>
      <c r="D196">
        <v>7</v>
      </c>
      <c r="E196">
        <v>-4.34</v>
      </c>
      <c r="F196">
        <v>2065</v>
      </c>
      <c r="G196">
        <v>738</v>
      </c>
      <c r="H196">
        <v>1601</v>
      </c>
      <c r="I196">
        <v>392</v>
      </c>
      <c r="J196">
        <v>575</v>
      </c>
      <c r="K196">
        <v>309</v>
      </c>
      <c r="L196">
        <v>1125</v>
      </c>
      <c r="M196">
        <v>382</v>
      </c>
      <c r="N196">
        <v>132</v>
      </c>
      <c r="O196">
        <v>150</v>
      </c>
      <c r="P196">
        <v>459</v>
      </c>
      <c r="Q196">
        <v>432</v>
      </c>
    </row>
    <row r="197" spans="1:17">
      <c r="A197" s="1" t="s">
        <v>158</v>
      </c>
      <c r="B197">
        <v>19</v>
      </c>
      <c r="C197">
        <v>12</v>
      </c>
      <c r="D197">
        <v>7</v>
      </c>
      <c r="E197">
        <v>-10.93</v>
      </c>
      <c r="F197">
        <v>1533</v>
      </c>
      <c r="G197">
        <v>532</v>
      </c>
      <c r="H197">
        <v>1208</v>
      </c>
      <c r="I197">
        <v>307</v>
      </c>
      <c r="J197">
        <v>414</v>
      </c>
      <c r="K197">
        <v>251</v>
      </c>
      <c r="L197">
        <v>743</v>
      </c>
      <c r="M197">
        <v>295</v>
      </c>
      <c r="N197">
        <v>148</v>
      </c>
      <c r="O197">
        <v>71</v>
      </c>
      <c r="P197">
        <v>292</v>
      </c>
      <c r="Q197">
        <v>393</v>
      </c>
    </row>
    <row r="198" spans="1:17">
      <c r="A198" s="1" t="s">
        <v>159</v>
      </c>
      <c r="B198">
        <v>21</v>
      </c>
      <c r="C198">
        <v>11</v>
      </c>
      <c r="D198">
        <v>10</v>
      </c>
      <c r="E198">
        <v>-4.95</v>
      </c>
      <c r="F198">
        <v>1329</v>
      </c>
      <c r="G198">
        <v>485</v>
      </c>
      <c r="H198">
        <v>1135</v>
      </c>
      <c r="I198">
        <v>218</v>
      </c>
      <c r="J198">
        <v>323</v>
      </c>
      <c r="K198">
        <v>226</v>
      </c>
      <c r="L198">
        <v>775</v>
      </c>
      <c r="M198">
        <v>249</v>
      </c>
      <c r="N198">
        <v>96</v>
      </c>
      <c r="O198">
        <v>81</v>
      </c>
      <c r="P198">
        <v>281</v>
      </c>
      <c r="Q198">
        <v>317</v>
      </c>
    </row>
    <row r="199" spans="1:17">
      <c r="A199" s="1" t="s">
        <v>160</v>
      </c>
      <c r="B199">
        <v>26</v>
      </c>
      <c r="C199">
        <v>13</v>
      </c>
      <c r="D199">
        <v>13</v>
      </c>
      <c r="E199">
        <v>-7.6</v>
      </c>
      <c r="F199">
        <v>1986</v>
      </c>
      <c r="G199">
        <v>757</v>
      </c>
      <c r="H199">
        <v>1522</v>
      </c>
      <c r="I199">
        <v>260</v>
      </c>
      <c r="J199">
        <v>387</v>
      </c>
      <c r="K199">
        <v>239</v>
      </c>
      <c r="L199">
        <v>939</v>
      </c>
      <c r="M199">
        <v>435</v>
      </c>
      <c r="N199">
        <v>175</v>
      </c>
      <c r="O199">
        <v>91</v>
      </c>
      <c r="P199">
        <v>347</v>
      </c>
      <c r="Q199">
        <v>432</v>
      </c>
    </row>
    <row r="200" spans="1:17">
      <c r="A200" s="1" t="s">
        <v>161</v>
      </c>
      <c r="B200">
        <v>18</v>
      </c>
      <c r="C200">
        <v>15</v>
      </c>
      <c r="D200">
        <v>3</v>
      </c>
      <c r="E200">
        <v>-0.38</v>
      </c>
      <c r="F200">
        <v>1287</v>
      </c>
      <c r="G200">
        <v>466</v>
      </c>
      <c r="H200">
        <v>1042</v>
      </c>
      <c r="I200">
        <v>244</v>
      </c>
      <c r="J200">
        <v>344</v>
      </c>
      <c r="K200">
        <v>204</v>
      </c>
      <c r="L200">
        <v>631</v>
      </c>
      <c r="M200">
        <v>222</v>
      </c>
      <c r="N200">
        <v>147</v>
      </c>
      <c r="O200">
        <v>43</v>
      </c>
      <c r="P200">
        <v>223</v>
      </c>
      <c r="Q200">
        <v>301</v>
      </c>
    </row>
    <row r="201" spans="1:17">
      <c r="A201" s="1" t="s">
        <v>360</v>
      </c>
      <c r="B201">
        <v>25</v>
      </c>
      <c r="C201">
        <v>5</v>
      </c>
      <c r="D201">
        <v>20</v>
      </c>
      <c r="E201">
        <v>-2.44</v>
      </c>
      <c r="F201">
        <v>1683</v>
      </c>
      <c r="G201">
        <v>625</v>
      </c>
      <c r="H201">
        <v>1494</v>
      </c>
      <c r="I201">
        <v>300</v>
      </c>
      <c r="J201">
        <v>436</v>
      </c>
      <c r="K201">
        <v>212</v>
      </c>
      <c r="L201">
        <v>853</v>
      </c>
      <c r="M201">
        <v>236</v>
      </c>
      <c r="N201">
        <v>141</v>
      </c>
      <c r="O201">
        <v>75</v>
      </c>
      <c r="P201">
        <v>327</v>
      </c>
      <c r="Q201">
        <v>471</v>
      </c>
    </row>
    <row r="202" spans="1:17">
      <c r="A202" s="1" t="s">
        <v>162</v>
      </c>
      <c r="B202">
        <v>25</v>
      </c>
      <c r="C202">
        <v>7</v>
      </c>
      <c r="D202">
        <v>18</v>
      </c>
      <c r="E202">
        <v>13.53</v>
      </c>
      <c r="F202">
        <v>1745</v>
      </c>
      <c r="G202">
        <v>621</v>
      </c>
      <c r="H202">
        <v>1488</v>
      </c>
      <c r="I202">
        <v>298</v>
      </c>
      <c r="J202">
        <v>472</v>
      </c>
      <c r="K202">
        <v>225</v>
      </c>
      <c r="L202">
        <v>922</v>
      </c>
      <c r="M202">
        <v>334</v>
      </c>
      <c r="N202">
        <v>179</v>
      </c>
      <c r="O202">
        <v>83</v>
      </c>
      <c r="P202">
        <v>353</v>
      </c>
      <c r="Q202">
        <v>435</v>
      </c>
    </row>
    <row r="203" spans="1:17">
      <c r="A203" s="1" t="s">
        <v>285</v>
      </c>
      <c r="B203">
        <v>25</v>
      </c>
      <c r="C203">
        <v>11</v>
      </c>
      <c r="D203">
        <v>14</v>
      </c>
      <c r="E203">
        <v>1.39</v>
      </c>
      <c r="F203">
        <v>1742</v>
      </c>
      <c r="G203">
        <v>656</v>
      </c>
      <c r="H203">
        <v>1474</v>
      </c>
      <c r="I203">
        <v>220</v>
      </c>
      <c r="J203">
        <v>312</v>
      </c>
      <c r="K203">
        <v>261</v>
      </c>
      <c r="L203">
        <v>903</v>
      </c>
      <c r="M203">
        <v>327</v>
      </c>
      <c r="N203">
        <v>159</v>
      </c>
      <c r="O203">
        <v>69</v>
      </c>
      <c r="P203">
        <v>309</v>
      </c>
      <c r="Q203">
        <v>460</v>
      </c>
    </row>
    <row r="204" spans="1:17">
      <c r="A204" s="1" t="s">
        <v>163</v>
      </c>
      <c r="B204">
        <v>24</v>
      </c>
      <c r="C204">
        <v>15</v>
      </c>
      <c r="D204">
        <v>9</v>
      </c>
      <c r="E204">
        <v>1.17</v>
      </c>
      <c r="F204">
        <v>1757</v>
      </c>
      <c r="G204">
        <v>596</v>
      </c>
      <c r="H204">
        <v>1331</v>
      </c>
      <c r="I204">
        <v>378</v>
      </c>
      <c r="J204">
        <v>501</v>
      </c>
      <c r="K204">
        <v>191</v>
      </c>
      <c r="L204">
        <v>854</v>
      </c>
      <c r="M204">
        <v>347</v>
      </c>
      <c r="N204">
        <v>133</v>
      </c>
      <c r="O204">
        <v>72</v>
      </c>
      <c r="P204">
        <v>303</v>
      </c>
      <c r="Q204">
        <v>473</v>
      </c>
    </row>
    <row r="205" spans="1:17">
      <c r="A205" s="1" t="s">
        <v>164</v>
      </c>
      <c r="B205">
        <v>19</v>
      </c>
      <c r="C205">
        <v>10</v>
      </c>
      <c r="D205">
        <v>9</v>
      </c>
      <c r="E205">
        <v>-5.55</v>
      </c>
      <c r="F205">
        <v>1278</v>
      </c>
      <c r="G205">
        <v>452</v>
      </c>
      <c r="H205">
        <v>1124</v>
      </c>
      <c r="I205">
        <v>245</v>
      </c>
      <c r="J205">
        <v>358</v>
      </c>
      <c r="K205">
        <v>205</v>
      </c>
      <c r="L205">
        <v>706</v>
      </c>
      <c r="M205">
        <v>213</v>
      </c>
      <c r="N205">
        <v>104</v>
      </c>
      <c r="O205">
        <v>55</v>
      </c>
      <c r="P205">
        <v>209</v>
      </c>
      <c r="Q205">
        <v>344</v>
      </c>
    </row>
    <row r="206" spans="1:17">
      <c r="A206" s="1" t="s">
        <v>165</v>
      </c>
      <c r="B206">
        <v>17</v>
      </c>
      <c r="C206">
        <v>10</v>
      </c>
      <c r="D206">
        <v>7</v>
      </c>
      <c r="E206">
        <v>-6.44</v>
      </c>
      <c r="F206">
        <v>1211</v>
      </c>
      <c r="G206">
        <v>421</v>
      </c>
      <c r="H206">
        <v>996</v>
      </c>
      <c r="I206">
        <v>224</v>
      </c>
      <c r="J206">
        <v>310</v>
      </c>
      <c r="K206">
        <v>214</v>
      </c>
      <c r="L206">
        <v>624</v>
      </c>
      <c r="M206">
        <v>219</v>
      </c>
      <c r="N206">
        <v>88</v>
      </c>
      <c r="O206">
        <v>39</v>
      </c>
      <c r="P206">
        <v>206</v>
      </c>
      <c r="Q206">
        <v>294</v>
      </c>
    </row>
    <row r="207" spans="1:17">
      <c r="A207" s="1" t="s">
        <v>166</v>
      </c>
      <c r="B207">
        <v>21</v>
      </c>
      <c r="C207">
        <v>6</v>
      </c>
      <c r="D207">
        <v>15</v>
      </c>
      <c r="E207">
        <v>-1.58</v>
      </c>
      <c r="F207">
        <v>1359</v>
      </c>
      <c r="G207">
        <v>515</v>
      </c>
      <c r="H207">
        <v>1247</v>
      </c>
      <c r="I207">
        <v>236</v>
      </c>
      <c r="J207">
        <v>397</v>
      </c>
      <c r="K207">
        <v>283</v>
      </c>
      <c r="L207">
        <v>816</v>
      </c>
      <c r="M207">
        <v>262</v>
      </c>
      <c r="N207">
        <v>118</v>
      </c>
      <c r="O207">
        <v>85</v>
      </c>
      <c r="P207">
        <v>311</v>
      </c>
      <c r="Q207">
        <v>372</v>
      </c>
    </row>
    <row r="208" spans="1:17">
      <c r="A208" s="1" t="s">
        <v>167</v>
      </c>
      <c r="B208">
        <v>23</v>
      </c>
      <c r="C208">
        <v>9</v>
      </c>
      <c r="D208">
        <v>14</v>
      </c>
      <c r="E208">
        <v>-8.84</v>
      </c>
      <c r="F208">
        <v>1740</v>
      </c>
      <c r="G208">
        <v>653</v>
      </c>
      <c r="H208">
        <v>1383</v>
      </c>
      <c r="I208">
        <v>308</v>
      </c>
      <c r="J208">
        <v>421</v>
      </c>
      <c r="K208">
        <v>235</v>
      </c>
      <c r="L208">
        <v>818</v>
      </c>
      <c r="M208">
        <v>365</v>
      </c>
      <c r="N208">
        <v>169</v>
      </c>
      <c r="O208">
        <v>65</v>
      </c>
      <c r="P208">
        <v>385</v>
      </c>
      <c r="Q208">
        <v>479</v>
      </c>
    </row>
    <row r="209" spans="1:17">
      <c r="A209" s="1" t="s">
        <v>168</v>
      </c>
      <c r="B209">
        <v>18</v>
      </c>
      <c r="C209">
        <v>8</v>
      </c>
      <c r="D209">
        <v>10</v>
      </c>
      <c r="E209">
        <v>-6.07</v>
      </c>
      <c r="F209">
        <v>1162</v>
      </c>
      <c r="G209">
        <v>407</v>
      </c>
      <c r="H209">
        <v>990</v>
      </c>
      <c r="I209">
        <v>230</v>
      </c>
      <c r="J209">
        <v>326</v>
      </c>
      <c r="K209">
        <v>141</v>
      </c>
      <c r="L209">
        <v>564</v>
      </c>
      <c r="M209">
        <v>213</v>
      </c>
      <c r="N209">
        <v>101</v>
      </c>
      <c r="O209">
        <v>33</v>
      </c>
      <c r="P209">
        <v>178</v>
      </c>
      <c r="Q209">
        <v>295</v>
      </c>
    </row>
    <row r="210" spans="1:17">
      <c r="A210" s="1" t="s">
        <v>169</v>
      </c>
      <c r="B210">
        <v>23</v>
      </c>
      <c r="C210">
        <v>17</v>
      </c>
      <c r="D210">
        <v>6</v>
      </c>
      <c r="E210">
        <v>-9.36</v>
      </c>
      <c r="F210">
        <v>1827</v>
      </c>
      <c r="G210">
        <v>685</v>
      </c>
      <c r="H210">
        <v>1487</v>
      </c>
      <c r="I210">
        <v>272</v>
      </c>
      <c r="J210">
        <v>405</v>
      </c>
      <c r="K210">
        <v>252</v>
      </c>
      <c r="L210">
        <v>876</v>
      </c>
      <c r="M210">
        <v>313</v>
      </c>
      <c r="N210">
        <v>211</v>
      </c>
      <c r="O210">
        <v>75</v>
      </c>
      <c r="P210">
        <v>300</v>
      </c>
      <c r="Q210">
        <v>429</v>
      </c>
    </row>
    <row r="211" spans="1:17">
      <c r="A211" s="1" t="s">
        <v>337</v>
      </c>
      <c r="B211">
        <v>19</v>
      </c>
      <c r="C211">
        <v>7</v>
      </c>
      <c r="D211">
        <v>12</v>
      </c>
      <c r="E211">
        <v>-4.75</v>
      </c>
      <c r="F211">
        <v>1256</v>
      </c>
      <c r="G211">
        <v>440</v>
      </c>
      <c r="H211">
        <v>1088</v>
      </c>
      <c r="I211">
        <v>257</v>
      </c>
      <c r="J211">
        <v>372</v>
      </c>
      <c r="K211">
        <v>168</v>
      </c>
      <c r="L211">
        <v>596</v>
      </c>
      <c r="M211">
        <v>181</v>
      </c>
      <c r="N211">
        <v>127</v>
      </c>
      <c r="O211">
        <v>42</v>
      </c>
      <c r="P211">
        <v>212</v>
      </c>
      <c r="Q211">
        <v>336</v>
      </c>
    </row>
    <row r="212" spans="1:17">
      <c r="A212" s="1" t="s">
        <v>170</v>
      </c>
      <c r="B212">
        <v>21</v>
      </c>
      <c r="C212">
        <v>14</v>
      </c>
      <c r="D212">
        <v>7</v>
      </c>
      <c r="E212">
        <v>-9.65</v>
      </c>
      <c r="F212">
        <v>1572</v>
      </c>
      <c r="G212">
        <v>540</v>
      </c>
      <c r="H212">
        <v>1240</v>
      </c>
      <c r="I212">
        <v>333</v>
      </c>
      <c r="J212">
        <v>477</v>
      </c>
      <c r="K212">
        <v>215</v>
      </c>
      <c r="L212">
        <v>772</v>
      </c>
      <c r="M212">
        <v>248</v>
      </c>
      <c r="N212">
        <v>131</v>
      </c>
      <c r="O212">
        <v>67</v>
      </c>
      <c r="P212">
        <v>275</v>
      </c>
      <c r="Q212">
        <v>409</v>
      </c>
    </row>
    <row r="213" spans="1:17">
      <c r="A213" s="1" t="s">
        <v>369</v>
      </c>
      <c r="B213">
        <v>23</v>
      </c>
      <c r="C213">
        <v>13</v>
      </c>
      <c r="D213">
        <v>10</v>
      </c>
      <c r="E213">
        <v>-6.47</v>
      </c>
      <c r="F213">
        <v>1681</v>
      </c>
      <c r="G213">
        <v>597</v>
      </c>
      <c r="H213">
        <v>1401</v>
      </c>
      <c r="I213">
        <v>307</v>
      </c>
      <c r="J213">
        <v>412</v>
      </c>
      <c r="K213">
        <v>258</v>
      </c>
      <c r="L213">
        <v>909</v>
      </c>
      <c r="M213">
        <v>259</v>
      </c>
      <c r="N213">
        <v>136</v>
      </c>
      <c r="O213">
        <v>72</v>
      </c>
      <c r="P213">
        <v>323</v>
      </c>
      <c r="Q213">
        <v>409</v>
      </c>
    </row>
    <row r="214" spans="1:17">
      <c r="A214" s="1" t="s">
        <v>171</v>
      </c>
      <c r="B214">
        <v>20</v>
      </c>
      <c r="C214">
        <v>10</v>
      </c>
      <c r="D214">
        <v>10</v>
      </c>
      <c r="E214">
        <v>-6.97</v>
      </c>
      <c r="F214">
        <v>1468</v>
      </c>
      <c r="G214">
        <v>548</v>
      </c>
      <c r="H214">
        <v>1151</v>
      </c>
      <c r="I214">
        <v>211</v>
      </c>
      <c r="J214">
        <v>348</v>
      </c>
      <c r="K214">
        <v>186</v>
      </c>
      <c r="L214">
        <v>669</v>
      </c>
      <c r="M214">
        <v>254</v>
      </c>
      <c r="N214">
        <v>140</v>
      </c>
      <c r="O214">
        <v>87</v>
      </c>
      <c r="P214">
        <v>302</v>
      </c>
      <c r="Q214">
        <v>368</v>
      </c>
    </row>
    <row r="215" spans="1:17">
      <c r="A215" s="1" t="s">
        <v>172</v>
      </c>
      <c r="B215">
        <v>21</v>
      </c>
      <c r="C215">
        <v>11</v>
      </c>
      <c r="D215">
        <v>10</v>
      </c>
      <c r="E215">
        <v>-7.35</v>
      </c>
      <c r="F215">
        <v>1517</v>
      </c>
      <c r="G215">
        <v>536</v>
      </c>
      <c r="H215">
        <v>1273</v>
      </c>
      <c r="I215">
        <v>308</v>
      </c>
      <c r="J215">
        <v>468</v>
      </c>
      <c r="K215">
        <v>228</v>
      </c>
      <c r="L215">
        <v>736</v>
      </c>
      <c r="M215">
        <v>285</v>
      </c>
      <c r="N215">
        <v>183</v>
      </c>
      <c r="O215">
        <v>56</v>
      </c>
      <c r="P215">
        <v>294</v>
      </c>
      <c r="Q215">
        <v>367</v>
      </c>
    </row>
    <row r="216" spans="1:17">
      <c r="A216" s="1" t="s">
        <v>349</v>
      </c>
      <c r="B216">
        <v>13</v>
      </c>
      <c r="C216">
        <v>5</v>
      </c>
      <c r="D216">
        <v>8</v>
      </c>
      <c r="E216">
        <v>-8.07</v>
      </c>
      <c r="F216">
        <v>884</v>
      </c>
      <c r="G216">
        <v>314</v>
      </c>
      <c r="H216">
        <v>731</v>
      </c>
      <c r="I216">
        <v>166</v>
      </c>
      <c r="J216">
        <v>236</v>
      </c>
      <c r="K216">
        <v>114</v>
      </c>
      <c r="L216">
        <v>422</v>
      </c>
      <c r="M216">
        <v>160</v>
      </c>
      <c r="N216">
        <v>99</v>
      </c>
      <c r="O216">
        <v>34</v>
      </c>
      <c r="P216">
        <v>192</v>
      </c>
      <c r="Q216">
        <v>270</v>
      </c>
    </row>
    <row r="217" spans="1:17">
      <c r="A217" s="1" t="s">
        <v>173</v>
      </c>
      <c r="B217">
        <v>27</v>
      </c>
      <c r="C217">
        <v>19</v>
      </c>
      <c r="D217">
        <v>8</v>
      </c>
      <c r="E217">
        <v>-2.63</v>
      </c>
      <c r="F217">
        <v>1989</v>
      </c>
      <c r="G217">
        <v>750</v>
      </c>
      <c r="H217">
        <v>1771</v>
      </c>
      <c r="I217">
        <v>286</v>
      </c>
      <c r="J217">
        <v>412</v>
      </c>
      <c r="K217">
        <v>348</v>
      </c>
      <c r="L217">
        <v>1075</v>
      </c>
      <c r="M217">
        <v>334</v>
      </c>
      <c r="N217">
        <v>202</v>
      </c>
      <c r="O217">
        <v>108</v>
      </c>
      <c r="P217">
        <v>307</v>
      </c>
      <c r="Q217">
        <v>498</v>
      </c>
    </row>
    <row r="218" spans="1:17">
      <c r="A218" s="1" t="s">
        <v>174</v>
      </c>
      <c r="B218">
        <v>22</v>
      </c>
      <c r="C218">
        <v>13</v>
      </c>
      <c r="D218">
        <v>9</v>
      </c>
      <c r="E218">
        <v>7.11</v>
      </c>
      <c r="F218">
        <v>1616</v>
      </c>
      <c r="G218">
        <v>595</v>
      </c>
      <c r="H218">
        <v>1257</v>
      </c>
      <c r="I218">
        <v>278</v>
      </c>
      <c r="J218">
        <v>399</v>
      </c>
      <c r="K218">
        <v>214</v>
      </c>
      <c r="L218">
        <v>715</v>
      </c>
      <c r="M218">
        <v>288</v>
      </c>
      <c r="N218">
        <v>186</v>
      </c>
      <c r="O218">
        <v>104</v>
      </c>
      <c r="P218">
        <v>284</v>
      </c>
      <c r="Q218">
        <v>358</v>
      </c>
    </row>
    <row r="219" spans="1:17">
      <c r="A219" s="1" t="s">
        <v>286</v>
      </c>
      <c r="B219">
        <v>17</v>
      </c>
      <c r="C219">
        <v>7</v>
      </c>
      <c r="D219">
        <v>10</v>
      </c>
      <c r="E219">
        <v>-5.63</v>
      </c>
      <c r="F219">
        <v>1297</v>
      </c>
      <c r="G219">
        <v>442</v>
      </c>
      <c r="H219">
        <v>1011</v>
      </c>
      <c r="I219">
        <v>285</v>
      </c>
      <c r="J219">
        <v>372</v>
      </c>
      <c r="K219">
        <v>162</v>
      </c>
      <c r="L219">
        <v>548</v>
      </c>
      <c r="M219">
        <v>206</v>
      </c>
      <c r="N219">
        <v>103</v>
      </c>
      <c r="O219">
        <v>60</v>
      </c>
      <c r="P219">
        <v>190</v>
      </c>
      <c r="Q219">
        <v>306</v>
      </c>
    </row>
    <row r="220" spans="1:17">
      <c r="A220" s="1" t="s">
        <v>312</v>
      </c>
      <c r="B220">
        <v>25</v>
      </c>
      <c r="C220">
        <v>16</v>
      </c>
      <c r="D220">
        <v>9</v>
      </c>
      <c r="E220">
        <v>9.89</v>
      </c>
      <c r="F220">
        <v>1871</v>
      </c>
      <c r="G220">
        <v>686</v>
      </c>
      <c r="H220">
        <v>1553</v>
      </c>
      <c r="I220">
        <v>365</v>
      </c>
      <c r="J220">
        <v>544</v>
      </c>
      <c r="K220">
        <v>383</v>
      </c>
      <c r="L220">
        <v>1069</v>
      </c>
      <c r="M220">
        <v>393</v>
      </c>
      <c r="N220">
        <v>178</v>
      </c>
      <c r="O220">
        <v>109</v>
      </c>
      <c r="P220">
        <v>379</v>
      </c>
      <c r="Q220">
        <v>422</v>
      </c>
    </row>
    <row r="221" spans="1:17">
      <c r="A221" s="1" t="s">
        <v>338</v>
      </c>
      <c r="B221">
        <v>24</v>
      </c>
      <c r="C221">
        <v>13</v>
      </c>
      <c r="D221">
        <v>11</v>
      </c>
      <c r="E221">
        <v>-3.11</v>
      </c>
      <c r="F221">
        <v>1663</v>
      </c>
      <c r="G221">
        <v>586</v>
      </c>
      <c r="H221">
        <v>1315</v>
      </c>
      <c r="I221">
        <v>323</v>
      </c>
      <c r="J221">
        <v>425</v>
      </c>
      <c r="K221">
        <v>216</v>
      </c>
      <c r="L221">
        <v>882</v>
      </c>
      <c r="M221">
        <v>252</v>
      </c>
      <c r="N221">
        <v>91</v>
      </c>
      <c r="O221">
        <v>62</v>
      </c>
      <c r="P221">
        <v>304</v>
      </c>
      <c r="Q221">
        <v>378</v>
      </c>
    </row>
    <row r="222" spans="1:17">
      <c r="A222" s="1" t="s">
        <v>357</v>
      </c>
      <c r="B222">
        <v>25</v>
      </c>
      <c r="C222">
        <v>9</v>
      </c>
      <c r="D222">
        <v>16</v>
      </c>
      <c r="E222">
        <v>-3.86</v>
      </c>
      <c r="F222">
        <v>1722</v>
      </c>
      <c r="G222">
        <v>600</v>
      </c>
      <c r="H222">
        <v>1397</v>
      </c>
      <c r="I222">
        <v>335</v>
      </c>
      <c r="J222">
        <v>478</v>
      </c>
      <c r="K222">
        <v>203</v>
      </c>
      <c r="L222">
        <v>805</v>
      </c>
      <c r="M222">
        <v>296</v>
      </c>
      <c r="N222">
        <v>131</v>
      </c>
      <c r="O222">
        <v>54</v>
      </c>
      <c r="P222">
        <v>326</v>
      </c>
      <c r="Q222">
        <v>432</v>
      </c>
    </row>
    <row r="223" spans="1:17">
      <c r="A223" s="1" t="s">
        <v>339</v>
      </c>
      <c r="B223">
        <v>23</v>
      </c>
      <c r="C223">
        <v>8</v>
      </c>
      <c r="D223">
        <v>15</v>
      </c>
      <c r="E223">
        <v>-4.18</v>
      </c>
      <c r="F223">
        <v>1601</v>
      </c>
      <c r="G223">
        <v>570</v>
      </c>
      <c r="H223">
        <v>1282</v>
      </c>
      <c r="I223">
        <v>232</v>
      </c>
      <c r="J223">
        <v>325</v>
      </c>
      <c r="K223">
        <v>204</v>
      </c>
      <c r="L223">
        <v>751</v>
      </c>
      <c r="M223">
        <v>296</v>
      </c>
      <c r="N223">
        <v>102</v>
      </c>
      <c r="O223">
        <v>76</v>
      </c>
      <c r="P223">
        <v>344</v>
      </c>
      <c r="Q223">
        <v>386</v>
      </c>
    </row>
    <row r="224" spans="1:17">
      <c r="A224" s="1" t="s">
        <v>175</v>
      </c>
      <c r="B224">
        <v>22</v>
      </c>
      <c r="C224">
        <v>13</v>
      </c>
      <c r="D224">
        <v>9</v>
      </c>
      <c r="E224">
        <v>0.02</v>
      </c>
      <c r="F224">
        <v>1563</v>
      </c>
      <c r="G224">
        <v>576</v>
      </c>
      <c r="H224">
        <v>1190</v>
      </c>
      <c r="I224">
        <v>244</v>
      </c>
      <c r="J224">
        <v>334</v>
      </c>
      <c r="K224">
        <v>186</v>
      </c>
      <c r="L224">
        <v>734</v>
      </c>
      <c r="M224">
        <v>297</v>
      </c>
      <c r="N224">
        <v>152</v>
      </c>
      <c r="O224">
        <v>63</v>
      </c>
      <c r="P224">
        <v>301</v>
      </c>
      <c r="Q224">
        <v>352</v>
      </c>
    </row>
    <row r="225" spans="1:17">
      <c r="A225" s="1" t="s">
        <v>176</v>
      </c>
      <c r="B225">
        <v>17</v>
      </c>
      <c r="C225">
        <v>9</v>
      </c>
      <c r="D225">
        <v>8</v>
      </c>
      <c r="E225">
        <v>1.43</v>
      </c>
      <c r="F225">
        <v>1147</v>
      </c>
      <c r="G225">
        <v>408</v>
      </c>
      <c r="H225">
        <v>925</v>
      </c>
      <c r="I225">
        <v>183</v>
      </c>
      <c r="J225">
        <v>248</v>
      </c>
      <c r="K225">
        <v>103</v>
      </c>
      <c r="L225">
        <v>557</v>
      </c>
      <c r="M225">
        <v>216</v>
      </c>
      <c r="N225">
        <v>104</v>
      </c>
      <c r="O225">
        <v>33</v>
      </c>
      <c r="P225">
        <v>237</v>
      </c>
      <c r="Q225">
        <v>269</v>
      </c>
    </row>
    <row r="226" spans="1:17">
      <c r="A226" s="1" t="s">
        <v>287</v>
      </c>
      <c r="B226">
        <v>20</v>
      </c>
      <c r="C226">
        <v>5</v>
      </c>
      <c r="D226">
        <v>15</v>
      </c>
      <c r="E226">
        <v>-2.42</v>
      </c>
      <c r="F226">
        <v>1253</v>
      </c>
      <c r="G226">
        <v>452</v>
      </c>
      <c r="H226">
        <v>1092</v>
      </c>
      <c r="I226">
        <v>226</v>
      </c>
      <c r="J226">
        <v>332</v>
      </c>
      <c r="K226">
        <v>168</v>
      </c>
      <c r="L226">
        <v>570</v>
      </c>
      <c r="M226">
        <v>211</v>
      </c>
      <c r="N226">
        <v>109</v>
      </c>
      <c r="O226">
        <v>29</v>
      </c>
      <c r="P226">
        <v>231</v>
      </c>
      <c r="Q226">
        <v>351</v>
      </c>
    </row>
    <row r="227" spans="1:17">
      <c r="A227" s="1" t="s">
        <v>333</v>
      </c>
      <c r="B227">
        <v>20</v>
      </c>
      <c r="C227">
        <v>10</v>
      </c>
      <c r="D227">
        <v>10</v>
      </c>
      <c r="E227">
        <v>-5.28</v>
      </c>
      <c r="F227">
        <v>1378</v>
      </c>
      <c r="G227">
        <v>488</v>
      </c>
      <c r="H227">
        <v>1100</v>
      </c>
      <c r="I227">
        <v>226</v>
      </c>
      <c r="J227">
        <v>343</v>
      </c>
      <c r="K227">
        <v>154</v>
      </c>
      <c r="L227">
        <v>687</v>
      </c>
      <c r="M227">
        <v>215</v>
      </c>
      <c r="N227">
        <v>90</v>
      </c>
      <c r="O227">
        <v>49</v>
      </c>
      <c r="P227">
        <v>280</v>
      </c>
      <c r="Q227">
        <v>360</v>
      </c>
    </row>
    <row r="228" spans="1:17">
      <c r="A228" s="1" t="s">
        <v>177</v>
      </c>
      <c r="B228">
        <v>19</v>
      </c>
      <c r="C228">
        <v>3</v>
      </c>
      <c r="D228">
        <v>16</v>
      </c>
      <c r="E228">
        <v>-1.58</v>
      </c>
      <c r="F228">
        <v>1184</v>
      </c>
      <c r="G228">
        <v>456</v>
      </c>
      <c r="H228">
        <v>1143</v>
      </c>
      <c r="I228">
        <v>168</v>
      </c>
      <c r="J228">
        <v>273</v>
      </c>
      <c r="K228">
        <v>243</v>
      </c>
      <c r="L228">
        <v>684</v>
      </c>
      <c r="M228">
        <v>204</v>
      </c>
      <c r="N228">
        <v>110</v>
      </c>
      <c r="O228">
        <v>65</v>
      </c>
      <c r="P228">
        <v>261</v>
      </c>
      <c r="Q228">
        <v>342</v>
      </c>
    </row>
    <row r="229" spans="1:17">
      <c r="A229" s="1" t="s">
        <v>178</v>
      </c>
      <c r="B229">
        <v>25</v>
      </c>
      <c r="C229">
        <v>10</v>
      </c>
      <c r="D229">
        <v>15</v>
      </c>
      <c r="E229">
        <v>2.78</v>
      </c>
      <c r="F229">
        <v>1738</v>
      </c>
      <c r="G229">
        <v>647</v>
      </c>
      <c r="H229">
        <v>1461</v>
      </c>
      <c r="I229">
        <v>258</v>
      </c>
      <c r="J229">
        <v>378</v>
      </c>
      <c r="K229">
        <v>229</v>
      </c>
      <c r="L229">
        <v>894</v>
      </c>
      <c r="M229">
        <v>329</v>
      </c>
      <c r="N229">
        <v>161</v>
      </c>
      <c r="O229">
        <v>64</v>
      </c>
      <c r="P229">
        <v>326</v>
      </c>
      <c r="Q229">
        <v>380</v>
      </c>
    </row>
    <row r="230" spans="1:17">
      <c r="A230" s="1" t="s">
        <v>361</v>
      </c>
      <c r="B230">
        <v>24</v>
      </c>
      <c r="C230">
        <v>14</v>
      </c>
      <c r="D230">
        <v>10</v>
      </c>
      <c r="E230">
        <v>-5.63</v>
      </c>
      <c r="F230">
        <v>1726</v>
      </c>
      <c r="G230">
        <v>635</v>
      </c>
      <c r="H230">
        <v>1407</v>
      </c>
      <c r="I230">
        <v>284</v>
      </c>
      <c r="J230">
        <v>403</v>
      </c>
      <c r="K230">
        <v>286</v>
      </c>
      <c r="L230">
        <v>827</v>
      </c>
      <c r="M230">
        <v>281</v>
      </c>
      <c r="N230">
        <v>159</v>
      </c>
      <c r="O230">
        <v>38</v>
      </c>
      <c r="P230">
        <v>303</v>
      </c>
      <c r="Q230">
        <v>397</v>
      </c>
    </row>
    <row r="231" spans="1:17">
      <c r="A231" s="1" t="s">
        <v>179</v>
      </c>
      <c r="B231">
        <v>27</v>
      </c>
      <c r="C231">
        <v>10</v>
      </c>
      <c r="D231">
        <v>17</v>
      </c>
      <c r="E231">
        <v>-4.47</v>
      </c>
      <c r="F231">
        <v>1948</v>
      </c>
      <c r="G231">
        <v>718</v>
      </c>
      <c r="H231">
        <v>1663</v>
      </c>
      <c r="I231">
        <v>316</v>
      </c>
      <c r="J231">
        <v>471</v>
      </c>
      <c r="K231">
        <v>275</v>
      </c>
      <c r="L231">
        <v>957</v>
      </c>
      <c r="M231">
        <v>346</v>
      </c>
      <c r="N231">
        <v>182</v>
      </c>
      <c r="O231">
        <v>81</v>
      </c>
      <c r="P231">
        <v>394</v>
      </c>
      <c r="Q231">
        <v>503</v>
      </c>
    </row>
    <row r="232" spans="1:17">
      <c r="A232" s="1" t="s">
        <v>180</v>
      </c>
      <c r="B232">
        <v>22</v>
      </c>
      <c r="C232">
        <v>8</v>
      </c>
      <c r="D232">
        <v>14</v>
      </c>
      <c r="E232">
        <v>13.54</v>
      </c>
      <c r="F232">
        <v>1561</v>
      </c>
      <c r="G232">
        <v>557</v>
      </c>
      <c r="H232">
        <v>1283</v>
      </c>
      <c r="I232">
        <v>263</v>
      </c>
      <c r="J232">
        <v>358</v>
      </c>
      <c r="K232">
        <v>164</v>
      </c>
      <c r="L232">
        <v>739</v>
      </c>
      <c r="M232">
        <v>322</v>
      </c>
      <c r="N232">
        <v>131</v>
      </c>
      <c r="O232">
        <v>58</v>
      </c>
      <c r="P232">
        <v>258</v>
      </c>
      <c r="Q232">
        <v>387</v>
      </c>
    </row>
    <row r="233" spans="1:17">
      <c r="A233" s="1" t="s">
        <v>181</v>
      </c>
      <c r="B233">
        <v>24</v>
      </c>
      <c r="C233">
        <v>10</v>
      </c>
      <c r="D233">
        <v>14</v>
      </c>
      <c r="E233">
        <v>10.6</v>
      </c>
      <c r="F233">
        <v>1751</v>
      </c>
      <c r="G233">
        <v>630</v>
      </c>
      <c r="H233">
        <v>1360</v>
      </c>
      <c r="I233">
        <v>274</v>
      </c>
      <c r="J233">
        <v>356</v>
      </c>
      <c r="K233">
        <v>166</v>
      </c>
      <c r="L233">
        <v>805</v>
      </c>
      <c r="M233">
        <v>364</v>
      </c>
      <c r="N233">
        <v>102</v>
      </c>
      <c r="O233">
        <v>91</v>
      </c>
      <c r="P233">
        <v>251</v>
      </c>
      <c r="Q233">
        <v>306</v>
      </c>
    </row>
    <row r="234" spans="1:17">
      <c r="A234" s="1" t="s">
        <v>182</v>
      </c>
      <c r="B234">
        <v>28</v>
      </c>
      <c r="C234">
        <v>11</v>
      </c>
      <c r="D234">
        <v>17</v>
      </c>
      <c r="E234">
        <v>-1.33</v>
      </c>
      <c r="F234">
        <v>2102</v>
      </c>
      <c r="G234">
        <v>726</v>
      </c>
      <c r="H234">
        <v>1736</v>
      </c>
      <c r="I234">
        <v>409</v>
      </c>
      <c r="J234">
        <v>573</v>
      </c>
      <c r="K234">
        <v>325</v>
      </c>
      <c r="L234">
        <v>982</v>
      </c>
      <c r="M234">
        <v>414</v>
      </c>
      <c r="N234">
        <v>238</v>
      </c>
      <c r="O234">
        <v>50</v>
      </c>
      <c r="P234">
        <v>372</v>
      </c>
      <c r="Q234">
        <v>417</v>
      </c>
    </row>
    <row r="235" spans="1:17">
      <c r="A235" s="1" t="s">
        <v>321</v>
      </c>
      <c r="B235">
        <v>26</v>
      </c>
      <c r="C235">
        <v>18</v>
      </c>
      <c r="D235">
        <v>8</v>
      </c>
      <c r="E235">
        <v>13.04</v>
      </c>
      <c r="F235">
        <v>1998</v>
      </c>
      <c r="G235">
        <v>679</v>
      </c>
      <c r="H235">
        <v>1475</v>
      </c>
      <c r="I235">
        <v>428</v>
      </c>
      <c r="J235">
        <v>556</v>
      </c>
      <c r="K235">
        <v>253</v>
      </c>
      <c r="L235">
        <v>934</v>
      </c>
      <c r="M235">
        <v>329</v>
      </c>
      <c r="N235">
        <v>119</v>
      </c>
      <c r="O235">
        <v>86</v>
      </c>
      <c r="P235">
        <v>271</v>
      </c>
      <c r="Q235">
        <v>470</v>
      </c>
    </row>
    <row r="236" spans="1:17">
      <c r="A236" s="1" t="s">
        <v>183</v>
      </c>
      <c r="B236">
        <v>20</v>
      </c>
      <c r="C236">
        <v>13</v>
      </c>
      <c r="D236">
        <v>7</v>
      </c>
      <c r="E236">
        <v>-1.88</v>
      </c>
      <c r="F236">
        <v>1604</v>
      </c>
      <c r="G236">
        <v>592</v>
      </c>
      <c r="H236">
        <v>1222</v>
      </c>
      <c r="I236">
        <v>251</v>
      </c>
      <c r="J236">
        <v>357</v>
      </c>
      <c r="K236">
        <v>191</v>
      </c>
      <c r="L236">
        <v>690</v>
      </c>
      <c r="M236">
        <v>362</v>
      </c>
      <c r="N236">
        <v>136</v>
      </c>
      <c r="O236">
        <v>47</v>
      </c>
      <c r="P236">
        <v>239</v>
      </c>
      <c r="Q236">
        <v>320</v>
      </c>
    </row>
    <row r="237" spans="1:17">
      <c r="A237" s="1" t="s">
        <v>340</v>
      </c>
      <c r="B237">
        <v>25</v>
      </c>
      <c r="C237">
        <v>18</v>
      </c>
      <c r="D237">
        <v>7</v>
      </c>
      <c r="E237">
        <v>9.23</v>
      </c>
      <c r="F237">
        <v>1917</v>
      </c>
      <c r="G237">
        <v>687</v>
      </c>
      <c r="H237">
        <v>1473</v>
      </c>
      <c r="I237">
        <v>383</v>
      </c>
      <c r="J237">
        <v>539</v>
      </c>
      <c r="K237">
        <v>275</v>
      </c>
      <c r="L237">
        <v>968</v>
      </c>
      <c r="M237">
        <v>328</v>
      </c>
      <c r="N237">
        <v>184</v>
      </c>
      <c r="O237">
        <v>105</v>
      </c>
      <c r="P237">
        <v>400</v>
      </c>
      <c r="Q237">
        <v>424</v>
      </c>
    </row>
    <row r="238" spans="1:17">
      <c r="A238" s="1" t="s">
        <v>329</v>
      </c>
      <c r="B238">
        <v>23</v>
      </c>
      <c r="C238">
        <v>14</v>
      </c>
      <c r="D238">
        <v>9</v>
      </c>
      <c r="E238">
        <v>8.34</v>
      </c>
      <c r="F238">
        <v>1728</v>
      </c>
      <c r="G238">
        <v>619</v>
      </c>
      <c r="H238">
        <v>1413</v>
      </c>
      <c r="I238">
        <v>305</v>
      </c>
      <c r="J238">
        <v>411</v>
      </c>
      <c r="K238">
        <v>234</v>
      </c>
      <c r="L238">
        <v>838</v>
      </c>
      <c r="M238">
        <v>307</v>
      </c>
      <c r="N238">
        <v>169</v>
      </c>
      <c r="O238">
        <v>76</v>
      </c>
      <c r="P238">
        <v>244</v>
      </c>
      <c r="Q238">
        <v>339</v>
      </c>
    </row>
    <row r="239" spans="1:17">
      <c r="A239" s="1" t="s">
        <v>184</v>
      </c>
      <c r="B239">
        <v>22</v>
      </c>
      <c r="C239">
        <v>15</v>
      </c>
      <c r="D239">
        <v>7</v>
      </c>
      <c r="E239">
        <v>-0.82</v>
      </c>
      <c r="F239">
        <v>1516</v>
      </c>
      <c r="G239">
        <v>563</v>
      </c>
      <c r="H239">
        <v>1255</v>
      </c>
      <c r="I239">
        <v>279</v>
      </c>
      <c r="J239">
        <v>404</v>
      </c>
      <c r="K239">
        <v>216</v>
      </c>
      <c r="L239">
        <v>795</v>
      </c>
      <c r="M239">
        <v>274</v>
      </c>
      <c r="N239">
        <v>167</v>
      </c>
      <c r="O239">
        <v>81</v>
      </c>
      <c r="P239">
        <v>280</v>
      </c>
      <c r="Q239">
        <v>353</v>
      </c>
    </row>
    <row r="240" spans="1:17">
      <c r="A240" s="1" t="s">
        <v>185</v>
      </c>
      <c r="B240">
        <v>23</v>
      </c>
      <c r="C240">
        <v>13</v>
      </c>
      <c r="D240">
        <v>10</v>
      </c>
      <c r="E240">
        <v>-2.23</v>
      </c>
      <c r="F240">
        <v>1885</v>
      </c>
      <c r="G240">
        <v>651</v>
      </c>
      <c r="H240">
        <v>1442</v>
      </c>
      <c r="I240">
        <v>317</v>
      </c>
      <c r="J240">
        <v>390</v>
      </c>
      <c r="K240">
        <v>204</v>
      </c>
      <c r="L240">
        <v>825</v>
      </c>
      <c r="M240">
        <v>288</v>
      </c>
      <c r="N240">
        <v>146</v>
      </c>
      <c r="O240">
        <v>89</v>
      </c>
      <c r="P240">
        <v>269</v>
      </c>
      <c r="Q240">
        <v>407</v>
      </c>
    </row>
    <row r="241" spans="1:17">
      <c r="A241" s="1" t="s">
        <v>186</v>
      </c>
      <c r="B241">
        <v>25</v>
      </c>
      <c r="C241">
        <v>14</v>
      </c>
      <c r="D241">
        <v>11</v>
      </c>
      <c r="E241">
        <v>6.84</v>
      </c>
      <c r="F241">
        <v>1754</v>
      </c>
      <c r="G241">
        <v>609</v>
      </c>
      <c r="H241">
        <v>1422</v>
      </c>
      <c r="I241">
        <v>366</v>
      </c>
      <c r="J241">
        <v>481</v>
      </c>
      <c r="K241">
        <v>263</v>
      </c>
      <c r="L241">
        <v>857</v>
      </c>
      <c r="M241">
        <v>368</v>
      </c>
      <c r="N241">
        <v>155</v>
      </c>
      <c r="O241">
        <v>88</v>
      </c>
      <c r="P241">
        <v>283</v>
      </c>
      <c r="Q241">
        <v>468</v>
      </c>
    </row>
    <row r="242" spans="1:17">
      <c r="A242" s="1" t="s">
        <v>288</v>
      </c>
      <c r="B242">
        <v>23</v>
      </c>
      <c r="C242">
        <v>18</v>
      </c>
      <c r="D242">
        <v>5</v>
      </c>
      <c r="E242">
        <v>6.82</v>
      </c>
      <c r="F242">
        <v>1699</v>
      </c>
      <c r="G242">
        <v>629</v>
      </c>
      <c r="H242">
        <v>1352</v>
      </c>
      <c r="I242">
        <v>254</v>
      </c>
      <c r="J242">
        <v>356</v>
      </c>
      <c r="K242">
        <v>219</v>
      </c>
      <c r="L242">
        <v>777</v>
      </c>
      <c r="M242">
        <v>300</v>
      </c>
      <c r="N242">
        <v>174</v>
      </c>
      <c r="O242">
        <v>86</v>
      </c>
      <c r="P242">
        <v>267</v>
      </c>
      <c r="Q242">
        <v>366</v>
      </c>
    </row>
    <row r="243" spans="1:17">
      <c r="A243" s="1" t="s">
        <v>187</v>
      </c>
      <c r="B243">
        <v>18</v>
      </c>
      <c r="C243">
        <v>9</v>
      </c>
      <c r="D243">
        <v>9</v>
      </c>
      <c r="E243">
        <v>4.28</v>
      </c>
      <c r="F243">
        <v>1256</v>
      </c>
      <c r="G243">
        <v>479</v>
      </c>
      <c r="H243">
        <v>1093</v>
      </c>
      <c r="I243">
        <v>205</v>
      </c>
      <c r="J243">
        <v>302</v>
      </c>
      <c r="K243">
        <v>182</v>
      </c>
      <c r="L243">
        <v>622</v>
      </c>
      <c r="M243">
        <v>233</v>
      </c>
      <c r="N243">
        <v>116</v>
      </c>
      <c r="O243">
        <v>61</v>
      </c>
      <c r="P243">
        <v>215</v>
      </c>
      <c r="Q243">
        <v>335</v>
      </c>
    </row>
    <row r="244" spans="1:17">
      <c r="A244" s="1" t="s">
        <v>188</v>
      </c>
      <c r="B244">
        <v>22</v>
      </c>
      <c r="C244">
        <v>9</v>
      </c>
      <c r="D244">
        <v>13</v>
      </c>
      <c r="E244">
        <v>15.6</v>
      </c>
      <c r="F244">
        <v>1604</v>
      </c>
      <c r="G244">
        <v>569</v>
      </c>
      <c r="H244">
        <v>1389</v>
      </c>
      <c r="I244">
        <v>268</v>
      </c>
      <c r="J244">
        <v>369</v>
      </c>
      <c r="K244">
        <v>271</v>
      </c>
      <c r="L244">
        <v>797</v>
      </c>
      <c r="M244">
        <v>293</v>
      </c>
      <c r="N244">
        <v>174</v>
      </c>
      <c r="O244">
        <v>54</v>
      </c>
      <c r="P244">
        <v>253</v>
      </c>
      <c r="Q244">
        <v>394</v>
      </c>
    </row>
    <row r="245" spans="1:17">
      <c r="A245" s="1" t="s">
        <v>289</v>
      </c>
      <c r="B245">
        <v>0</v>
      </c>
      <c r="C245">
        <v>0</v>
      </c>
      <c r="D245">
        <v>0</v>
      </c>
    </row>
    <row r="246" spans="1:17">
      <c r="A246" s="1" t="s">
        <v>290</v>
      </c>
      <c r="B246">
        <v>23</v>
      </c>
      <c r="C246">
        <v>12</v>
      </c>
      <c r="D246">
        <v>11</v>
      </c>
      <c r="E246">
        <v>4.83</v>
      </c>
      <c r="F246">
        <v>1753</v>
      </c>
      <c r="G246">
        <v>621</v>
      </c>
      <c r="H246">
        <v>1354</v>
      </c>
      <c r="I246">
        <v>348</v>
      </c>
      <c r="J246">
        <v>444</v>
      </c>
      <c r="K246">
        <v>185</v>
      </c>
      <c r="L246">
        <v>801</v>
      </c>
      <c r="M246">
        <v>370</v>
      </c>
      <c r="N246">
        <v>145</v>
      </c>
      <c r="O246">
        <v>68</v>
      </c>
      <c r="P246">
        <v>305</v>
      </c>
      <c r="Q246">
        <v>437</v>
      </c>
    </row>
    <row r="247" spans="1:17">
      <c r="A247" s="1" t="s">
        <v>189</v>
      </c>
      <c r="B247">
        <v>21</v>
      </c>
      <c r="C247">
        <v>10</v>
      </c>
      <c r="D247">
        <v>11</v>
      </c>
      <c r="E247">
        <v>8.06</v>
      </c>
      <c r="F247">
        <v>1493</v>
      </c>
      <c r="G247">
        <v>525</v>
      </c>
      <c r="H247">
        <v>1222</v>
      </c>
      <c r="I247">
        <v>309</v>
      </c>
      <c r="J247">
        <v>459</v>
      </c>
      <c r="K247">
        <v>267</v>
      </c>
      <c r="L247">
        <v>806</v>
      </c>
      <c r="M247">
        <v>312</v>
      </c>
      <c r="N247">
        <v>130</v>
      </c>
      <c r="O247">
        <v>75</v>
      </c>
      <c r="P247">
        <v>263</v>
      </c>
      <c r="Q247">
        <v>362</v>
      </c>
    </row>
    <row r="248" spans="1:17">
      <c r="A248" s="1" t="s">
        <v>190</v>
      </c>
      <c r="B248">
        <v>21</v>
      </c>
      <c r="C248">
        <v>9</v>
      </c>
      <c r="D248">
        <v>12</v>
      </c>
      <c r="E248">
        <v>-5.38</v>
      </c>
      <c r="F248">
        <v>1446</v>
      </c>
      <c r="G248">
        <v>513</v>
      </c>
      <c r="H248">
        <v>1279</v>
      </c>
      <c r="I248">
        <v>274</v>
      </c>
      <c r="J248">
        <v>411</v>
      </c>
      <c r="K248">
        <v>276</v>
      </c>
      <c r="L248">
        <v>800</v>
      </c>
      <c r="M248">
        <v>240</v>
      </c>
      <c r="N248">
        <v>172</v>
      </c>
      <c r="O248">
        <v>66</v>
      </c>
      <c r="P248">
        <v>288</v>
      </c>
      <c r="Q248">
        <v>420</v>
      </c>
    </row>
    <row r="249" spans="1:17">
      <c r="A249" s="1" t="s">
        <v>191</v>
      </c>
      <c r="B249">
        <v>21</v>
      </c>
      <c r="C249">
        <v>6</v>
      </c>
      <c r="D249">
        <v>15</v>
      </c>
      <c r="E249">
        <v>3.76</v>
      </c>
      <c r="F249">
        <v>1459</v>
      </c>
      <c r="G249">
        <v>488</v>
      </c>
      <c r="H249">
        <v>1187</v>
      </c>
      <c r="I249">
        <v>330</v>
      </c>
      <c r="J249">
        <v>426</v>
      </c>
      <c r="K249">
        <v>138</v>
      </c>
      <c r="L249">
        <v>600</v>
      </c>
      <c r="M249">
        <v>250</v>
      </c>
      <c r="N249">
        <v>132</v>
      </c>
      <c r="O249">
        <v>61</v>
      </c>
      <c r="P249">
        <v>292</v>
      </c>
      <c r="Q249">
        <v>340</v>
      </c>
    </row>
    <row r="250" spans="1:17">
      <c r="A250" s="1" t="s">
        <v>192</v>
      </c>
      <c r="B250">
        <v>18</v>
      </c>
      <c r="C250">
        <v>14</v>
      </c>
      <c r="D250">
        <v>4</v>
      </c>
      <c r="E250">
        <v>-14.47</v>
      </c>
      <c r="F250">
        <v>1270</v>
      </c>
      <c r="G250">
        <v>482</v>
      </c>
      <c r="H250">
        <v>1064</v>
      </c>
      <c r="I250">
        <v>190</v>
      </c>
      <c r="J250">
        <v>285</v>
      </c>
      <c r="K250">
        <v>191</v>
      </c>
      <c r="L250">
        <v>615</v>
      </c>
      <c r="M250">
        <v>302</v>
      </c>
      <c r="N250">
        <v>182</v>
      </c>
      <c r="O250">
        <v>78</v>
      </c>
      <c r="P250">
        <v>257</v>
      </c>
      <c r="Q250">
        <v>378</v>
      </c>
    </row>
    <row r="251" spans="1:17">
      <c r="A251" s="1" t="s">
        <v>350</v>
      </c>
      <c r="B251">
        <v>22</v>
      </c>
      <c r="C251">
        <v>7</v>
      </c>
      <c r="D251">
        <v>15</v>
      </c>
      <c r="E251">
        <v>-8.3800000000000008</v>
      </c>
      <c r="F251">
        <v>1411</v>
      </c>
      <c r="G251">
        <v>499</v>
      </c>
      <c r="H251">
        <v>1199</v>
      </c>
      <c r="I251">
        <v>285</v>
      </c>
      <c r="J251">
        <v>416</v>
      </c>
      <c r="K251">
        <v>248</v>
      </c>
      <c r="L251">
        <v>739</v>
      </c>
      <c r="M251">
        <v>235</v>
      </c>
      <c r="N251">
        <v>154</v>
      </c>
      <c r="O251">
        <v>49</v>
      </c>
      <c r="P251">
        <v>334</v>
      </c>
      <c r="Q251">
        <v>440</v>
      </c>
    </row>
    <row r="252" spans="1:17">
      <c r="A252" s="1" t="s">
        <v>193</v>
      </c>
      <c r="B252">
        <v>0</v>
      </c>
      <c r="C252">
        <v>0</v>
      </c>
      <c r="D252">
        <v>0</v>
      </c>
    </row>
    <row r="253" spans="1:17">
      <c r="A253" s="1" t="s">
        <v>194</v>
      </c>
      <c r="B253">
        <v>25</v>
      </c>
      <c r="C253">
        <v>13</v>
      </c>
      <c r="D253">
        <v>12</v>
      </c>
      <c r="E253">
        <v>10.23</v>
      </c>
      <c r="F253">
        <v>1754</v>
      </c>
      <c r="G253">
        <v>637</v>
      </c>
      <c r="H253">
        <v>1472</v>
      </c>
      <c r="I253">
        <v>323</v>
      </c>
      <c r="J253">
        <v>454</v>
      </c>
      <c r="K253">
        <v>262</v>
      </c>
      <c r="L253">
        <v>893</v>
      </c>
      <c r="M253">
        <v>340</v>
      </c>
      <c r="N253">
        <v>141</v>
      </c>
      <c r="O253">
        <v>77</v>
      </c>
      <c r="P253">
        <v>290</v>
      </c>
      <c r="Q253">
        <v>422</v>
      </c>
    </row>
    <row r="254" spans="1:17">
      <c r="A254" s="1" t="s">
        <v>291</v>
      </c>
      <c r="B254">
        <v>26</v>
      </c>
      <c r="C254">
        <v>18</v>
      </c>
      <c r="D254">
        <v>8</v>
      </c>
      <c r="E254">
        <v>12.48</v>
      </c>
      <c r="F254">
        <v>1842</v>
      </c>
      <c r="G254">
        <v>662</v>
      </c>
      <c r="H254">
        <v>1465</v>
      </c>
      <c r="I254">
        <v>335</v>
      </c>
      <c r="J254">
        <v>465</v>
      </c>
      <c r="K254">
        <v>281</v>
      </c>
      <c r="L254">
        <v>980</v>
      </c>
      <c r="M254">
        <v>370</v>
      </c>
      <c r="N254">
        <v>136</v>
      </c>
      <c r="O254">
        <v>85</v>
      </c>
      <c r="P254">
        <v>330</v>
      </c>
      <c r="Q254">
        <v>458</v>
      </c>
    </row>
    <row r="255" spans="1:17">
      <c r="A255" s="1" t="s">
        <v>195</v>
      </c>
      <c r="B255">
        <v>21</v>
      </c>
      <c r="C255">
        <v>9</v>
      </c>
      <c r="D255">
        <v>12</v>
      </c>
      <c r="E255">
        <v>-6.81</v>
      </c>
      <c r="F255">
        <v>1437</v>
      </c>
      <c r="G255">
        <v>489</v>
      </c>
      <c r="H255">
        <v>1201</v>
      </c>
      <c r="I255">
        <v>297</v>
      </c>
      <c r="J255">
        <v>425</v>
      </c>
      <c r="K255">
        <v>160</v>
      </c>
      <c r="L255">
        <v>760</v>
      </c>
      <c r="M255">
        <v>267</v>
      </c>
      <c r="N255">
        <v>118</v>
      </c>
      <c r="O255">
        <v>98</v>
      </c>
      <c r="P255">
        <v>301</v>
      </c>
      <c r="Q255">
        <v>403</v>
      </c>
    </row>
    <row r="256" spans="1:17">
      <c r="A256" s="1" t="s">
        <v>196</v>
      </c>
      <c r="B256">
        <v>27</v>
      </c>
      <c r="C256">
        <v>15</v>
      </c>
      <c r="D256">
        <v>12</v>
      </c>
      <c r="E256">
        <v>-5.91</v>
      </c>
      <c r="F256">
        <v>1826</v>
      </c>
      <c r="G256">
        <v>644</v>
      </c>
      <c r="H256">
        <v>1408</v>
      </c>
      <c r="I256">
        <v>380</v>
      </c>
      <c r="J256">
        <v>558</v>
      </c>
      <c r="K256">
        <v>297</v>
      </c>
      <c r="L256">
        <v>999</v>
      </c>
      <c r="M256">
        <v>301</v>
      </c>
      <c r="N256">
        <v>164</v>
      </c>
      <c r="O256">
        <v>48</v>
      </c>
      <c r="P256">
        <v>403</v>
      </c>
      <c r="Q256">
        <v>424</v>
      </c>
    </row>
    <row r="257" spans="1:17">
      <c r="A257" s="1" t="s">
        <v>197</v>
      </c>
      <c r="B257">
        <v>25</v>
      </c>
      <c r="C257">
        <v>10</v>
      </c>
      <c r="D257">
        <v>15</v>
      </c>
      <c r="E257">
        <v>5.91</v>
      </c>
      <c r="F257">
        <v>1786</v>
      </c>
      <c r="G257">
        <v>635</v>
      </c>
      <c r="H257">
        <v>1436</v>
      </c>
      <c r="I257">
        <v>373</v>
      </c>
      <c r="J257">
        <v>558</v>
      </c>
      <c r="K257">
        <v>266</v>
      </c>
      <c r="L257">
        <v>962</v>
      </c>
      <c r="M257">
        <v>303</v>
      </c>
      <c r="N257">
        <v>164</v>
      </c>
      <c r="O257">
        <v>114</v>
      </c>
      <c r="P257">
        <v>353</v>
      </c>
      <c r="Q257">
        <v>444</v>
      </c>
    </row>
    <row r="258" spans="1:17">
      <c r="A258" s="1" t="s">
        <v>198</v>
      </c>
      <c r="B258">
        <v>25</v>
      </c>
      <c r="C258">
        <v>13</v>
      </c>
      <c r="D258">
        <v>12</v>
      </c>
      <c r="E258">
        <v>-1.69</v>
      </c>
      <c r="F258">
        <v>1875</v>
      </c>
      <c r="G258">
        <v>661</v>
      </c>
      <c r="H258">
        <v>1510</v>
      </c>
      <c r="I258">
        <v>293</v>
      </c>
      <c r="J258">
        <v>403</v>
      </c>
      <c r="K258">
        <v>252</v>
      </c>
      <c r="L258">
        <v>943</v>
      </c>
      <c r="M258">
        <v>382</v>
      </c>
      <c r="N258">
        <v>137</v>
      </c>
      <c r="O258">
        <v>53</v>
      </c>
      <c r="P258">
        <v>378</v>
      </c>
      <c r="Q258">
        <v>352</v>
      </c>
    </row>
    <row r="259" spans="1:17">
      <c r="A259" s="1" t="s">
        <v>199</v>
      </c>
      <c r="B259">
        <v>21</v>
      </c>
      <c r="C259">
        <v>13</v>
      </c>
      <c r="D259">
        <v>8</v>
      </c>
      <c r="E259">
        <v>5.73</v>
      </c>
      <c r="F259">
        <v>1574</v>
      </c>
      <c r="G259">
        <v>575</v>
      </c>
      <c r="H259">
        <v>1213</v>
      </c>
      <c r="I259">
        <v>268</v>
      </c>
      <c r="J259">
        <v>367</v>
      </c>
      <c r="K259">
        <v>135</v>
      </c>
      <c r="L259">
        <v>635</v>
      </c>
      <c r="M259">
        <v>305</v>
      </c>
      <c r="N259">
        <v>186</v>
      </c>
      <c r="O259">
        <v>44</v>
      </c>
      <c r="P259">
        <v>222</v>
      </c>
      <c r="Q259">
        <v>320</v>
      </c>
    </row>
    <row r="260" spans="1:17">
      <c r="A260" s="1" t="s">
        <v>200</v>
      </c>
      <c r="B260">
        <v>21</v>
      </c>
      <c r="C260">
        <v>5</v>
      </c>
      <c r="D260">
        <v>16</v>
      </c>
      <c r="E260">
        <v>-4.6900000000000004</v>
      </c>
      <c r="F260">
        <v>1415</v>
      </c>
      <c r="G260">
        <v>519</v>
      </c>
      <c r="H260">
        <v>1226</v>
      </c>
      <c r="I260">
        <v>243</v>
      </c>
      <c r="J260">
        <v>333</v>
      </c>
      <c r="K260">
        <v>193</v>
      </c>
      <c r="L260">
        <v>710</v>
      </c>
      <c r="M260">
        <v>261</v>
      </c>
      <c r="N260">
        <v>107</v>
      </c>
      <c r="O260">
        <v>43</v>
      </c>
      <c r="P260">
        <v>264</v>
      </c>
      <c r="Q260">
        <v>399</v>
      </c>
    </row>
    <row r="261" spans="1:17">
      <c r="A261" s="1" t="s">
        <v>201</v>
      </c>
      <c r="B261">
        <v>19</v>
      </c>
      <c r="C261">
        <v>4</v>
      </c>
      <c r="D261">
        <v>15</v>
      </c>
      <c r="E261">
        <v>-4.26</v>
      </c>
      <c r="F261">
        <v>1374</v>
      </c>
      <c r="G261">
        <v>518</v>
      </c>
      <c r="H261">
        <v>1169</v>
      </c>
      <c r="I261">
        <v>196</v>
      </c>
      <c r="J261">
        <v>299</v>
      </c>
      <c r="K261">
        <v>207</v>
      </c>
      <c r="L261">
        <v>646</v>
      </c>
      <c r="M261">
        <v>299</v>
      </c>
      <c r="N261">
        <v>124</v>
      </c>
      <c r="O261">
        <v>57</v>
      </c>
      <c r="P261">
        <v>254</v>
      </c>
      <c r="Q261">
        <v>348</v>
      </c>
    </row>
    <row r="262" spans="1:17">
      <c r="A262" s="1" t="s">
        <v>202</v>
      </c>
      <c r="B262">
        <v>24</v>
      </c>
      <c r="C262">
        <v>14</v>
      </c>
      <c r="D262">
        <v>10</v>
      </c>
      <c r="E262">
        <v>13.24</v>
      </c>
      <c r="F262">
        <v>1690</v>
      </c>
      <c r="G262">
        <v>647</v>
      </c>
      <c r="H262">
        <v>1430</v>
      </c>
      <c r="I262">
        <v>247</v>
      </c>
      <c r="J262">
        <v>396</v>
      </c>
      <c r="K262">
        <v>239</v>
      </c>
      <c r="L262">
        <v>858</v>
      </c>
      <c r="M262">
        <v>336</v>
      </c>
      <c r="N262">
        <v>190</v>
      </c>
      <c r="O262">
        <v>127</v>
      </c>
      <c r="P262">
        <v>271</v>
      </c>
      <c r="Q262">
        <v>417</v>
      </c>
    </row>
    <row r="263" spans="1:17">
      <c r="A263" s="1" t="s">
        <v>203</v>
      </c>
      <c r="B263">
        <v>19</v>
      </c>
      <c r="C263">
        <v>8</v>
      </c>
      <c r="D263">
        <v>11</v>
      </c>
      <c r="E263">
        <v>-4.2699999999999996</v>
      </c>
      <c r="F263">
        <v>1360</v>
      </c>
      <c r="G263">
        <v>497</v>
      </c>
      <c r="H263">
        <v>1096</v>
      </c>
      <c r="I263">
        <v>240</v>
      </c>
      <c r="J263">
        <v>352</v>
      </c>
      <c r="K263">
        <v>182</v>
      </c>
      <c r="L263">
        <v>608</v>
      </c>
      <c r="M263">
        <v>246</v>
      </c>
      <c r="N263">
        <v>133</v>
      </c>
      <c r="O263">
        <v>43</v>
      </c>
      <c r="P263">
        <v>198</v>
      </c>
      <c r="Q263">
        <v>342</v>
      </c>
    </row>
    <row r="264" spans="1:17">
      <c r="A264" s="1" t="s">
        <v>204</v>
      </c>
      <c r="B264">
        <v>18</v>
      </c>
      <c r="C264">
        <v>9</v>
      </c>
      <c r="D264">
        <v>9</v>
      </c>
      <c r="E264">
        <v>-5.39</v>
      </c>
      <c r="F264">
        <v>1265</v>
      </c>
      <c r="G264">
        <v>431</v>
      </c>
      <c r="H264">
        <v>1046</v>
      </c>
      <c r="I264">
        <v>260</v>
      </c>
      <c r="J264">
        <v>351</v>
      </c>
      <c r="K264">
        <v>195</v>
      </c>
      <c r="L264">
        <v>647</v>
      </c>
      <c r="M264">
        <v>241</v>
      </c>
      <c r="N264">
        <v>88</v>
      </c>
      <c r="O264">
        <v>38</v>
      </c>
      <c r="P264">
        <v>233</v>
      </c>
      <c r="Q264">
        <v>299</v>
      </c>
    </row>
    <row r="265" spans="1:17">
      <c r="A265" s="1" t="s">
        <v>205</v>
      </c>
      <c r="B265">
        <v>22</v>
      </c>
      <c r="C265">
        <v>6</v>
      </c>
      <c r="D265">
        <v>16</v>
      </c>
      <c r="E265">
        <v>-3.78</v>
      </c>
      <c r="F265">
        <v>1515</v>
      </c>
      <c r="G265">
        <v>541</v>
      </c>
      <c r="H265">
        <v>1266</v>
      </c>
      <c r="I265">
        <v>304</v>
      </c>
      <c r="J265">
        <v>426</v>
      </c>
      <c r="K265">
        <v>228</v>
      </c>
      <c r="L265">
        <v>779</v>
      </c>
      <c r="M265">
        <v>282</v>
      </c>
      <c r="N265">
        <v>127</v>
      </c>
      <c r="O265">
        <v>47</v>
      </c>
      <c r="P265">
        <v>312</v>
      </c>
      <c r="Q265">
        <v>378</v>
      </c>
    </row>
    <row r="266" spans="1:17">
      <c r="A266" s="1" t="s">
        <v>206</v>
      </c>
      <c r="B266">
        <v>20</v>
      </c>
      <c r="C266">
        <v>5</v>
      </c>
      <c r="D266">
        <v>15</v>
      </c>
      <c r="E266">
        <v>7.04</v>
      </c>
      <c r="F266">
        <v>1443</v>
      </c>
      <c r="G266">
        <v>506</v>
      </c>
      <c r="H266">
        <v>1238</v>
      </c>
      <c r="I266">
        <v>240</v>
      </c>
      <c r="J266">
        <v>331</v>
      </c>
      <c r="K266">
        <v>165</v>
      </c>
      <c r="L266">
        <v>675</v>
      </c>
      <c r="M266">
        <v>287</v>
      </c>
      <c r="N266">
        <v>120</v>
      </c>
      <c r="O266">
        <v>36</v>
      </c>
      <c r="P266">
        <v>281</v>
      </c>
      <c r="Q266">
        <v>358</v>
      </c>
    </row>
    <row r="267" spans="1:17">
      <c r="A267" s="1" t="s">
        <v>292</v>
      </c>
      <c r="B267">
        <v>20</v>
      </c>
      <c r="C267">
        <v>14</v>
      </c>
      <c r="D267">
        <v>6</v>
      </c>
      <c r="E267">
        <v>2.81</v>
      </c>
      <c r="F267">
        <v>1507</v>
      </c>
      <c r="G267">
        <v>559</v>
      </c>
      <c r="H267">
        <v>1205</v>
      </c>
      <c r="I267">
        <v>258</v>
      </c>
      <c r="J267">
        <v>367</v>
      </c>
      <c r="K267">
        <v>249</v>
      </c>
      <c r="L267">
        <v>774</v>
      </c>
      <c r="M267">
        <v>353</v>
      </c>
      <c r="N267">
        <v>141</v>
      </c>
      <c r="O267">
        <v>63</v>
      </c>
      <c r="P267">
        <v>241</v>
      </c>
      <c r="Q267">
        <v>341</v>
      </c>
    </row>
    <row r="268" spans="1:17">
      <c r="A268" s="1" t="s">
        <v>207</v>
      </c>
      <c r="B268">
        <v>22</v>
      </c>
      <c r="C268">
        <v>14</v>
      </c>
      <c r="D268">
        <v>8</v>
      </c>
      <c r="E268">
        <v>4.97</v>
      </c>
      <c r="F268">
        <v>1420</v>
      </c>
      <c r="G268">
        <v>516</v>
      </c>
      <c r="H268">
        <v>1218</v>
      </c>
      <c r="I268">
        <v>249</v>
      </c>
      <c r="J268">
        <v>342</v>
      </c>
      <c r="K268">
        <v>190</v>
      </c>
      <c r="L268">
        <v>761</v>
      </c>
      <c r="M268">
        <v>236</v>
      </c>
      <c r="N268">
        <v>136</v>
      </c>
      <c r="O268">
        <v>68</v>
      </c>
      <c r="P268">
        <v>247</v>
      </c>
      <c r="Q268">
        <v>376</v>
      </c>
    </row>
    <row r="269" spans="1:17">
      <c r="A269" s="1" t="s">
        <v>208</v>
      </c>
      <c r="B269">
        <v>23</v>
      </c>
      <c r="C269">
        <v>13</v>
      </c>
      <c r="D269">
        <v>10</v>
      </c>
      <c r="E269">
        <v>-5.51</v>
      </c>
      <c r="F269">
        <v>1458</v>
      </c>
      <c r="G269">
        <v>508</v>
      </c>
      <c r="H269">
        <v>1288</v>
      </c>
      <c r="I269">
        <v>301</v>
      </c>
      <c r="J269">
        <v>433</v>
      </c>
      <c r="K269">
        <v>257</v>
      </c>
      <c r="L269">
        <v>860</v>
      </c>
      <c r="M269">
        <v>267</v>
      </c>
      <c r="N269">
        <v>192</v>
      </c>
      <c r="O269">
        <v>124</v>
      </c>
      <c r="P269">
        <v>345</v>
      </c>
      <c r="Q269">
        <v>470</v>
      </c>
    </row>
    <row r="270" spans="1:17">
      <c r="A270" s="1" t="s">
        <v>209</v>
      </c>
      <c r="B270">
        <v>27</v>
      </c>
      <c r="C270">
        <v>19</v>
      </c>
      <c r="D270">
        <v>8</v>
      </c>
      <c r="E270">
        <v>-4.38</v>
      </c>
      <c r="F270">
        <v>2160</v>
      </c>
      <c r="G270">
        <v>769</v>
      </c>
      <c r="H270">
        <v>1697</v>
      </c>
      <c r="I270">
        <v>377</v>
      </c>
      <c r="J270">
        <v>544</v>
      </c>
      <c r="K270">
        <v>306</v>
      </c>
      <c r="L270">
        <v>995</v>
      </c>
      <c r="M270">
        <v>420</v>
      </c>
      <c r="N270">
        <v>232</v>
      </c>
      <c r="O270">
        <v>84</v>
      </c>
      <c r="P270">
        <v>386</v>
      </c>
      <c r="Q270">
        <v>553</v>
      </c>
    </row>
    <row r="271" spans="1:17">
      <c r="A271" s="1" t="s">
        <v>293</v>
      </c>
      <c r="B271">
        <v>19</v>
      </c>
      <c r="C271">
        <v>6</v>
      </c>
      <c r="D271">
        <v>13</v>
      </c>
      <c r="E271">
        <v>-1.21</v>
      </c>
      <c r="F271">
        <v>1460</v>
      </c>
      <c r="G271">
        <v>541</v>
      </c>
      <c r="H271">
        <v>1218</v>
      </c>
      <c r="I271">
        <v>227</v>
      </c>
      <c r="J271">
        <v>331</v>
      </c>
      <c r="K271">
        <v>222</v>
      </c>
      <c r="L271">
        <v>755</v>
      </c>
      <c r="M271">
        <v>283</v>
      </c>
      <c r="N271">
        <v>129</v>
      </c>
      <c r="O271">
        <v>47</v>
      </c>
      <c r="P271">
        <v>308</v>
      </c>
      <c r="Q271">
        <v>397</v>
      </c>
    </row>
    <row r="272" spans="1:17">
      <c r="A272" s="1" t="s">
        <v>210</v>
      </c>
      <c r="B272">
        <v>24</v>
      </c>
      <c r="C272">
        <v>20</v>
      </c>
      <c r="D272">
        <v>4</v>
      </c>
      <c r="E272">
        <v>2.0499999999999998</v>
      </c>
      <c r="F272">
        <v>1786</v>
      </c>
      <c r="G272">
        <v>620</v>
      </c>
      <c r="H272">
        <v>1367</v>
      </c>
      <c r="I272">
        <v>335</v>
      </c>
      <c r="J272">
        <v>465</v>
      </c>
      <c r="K272">
        <v>240</v>
      </c>
      <c r="L272">
        <v>877</v>
      </c>
      <c r="M272">
        <v>340</v>
      </c>
      <c r="N272">
        <v>199</v>
      </c>
      <c r="O272">
        <v>68</v>
      </c>
      <c r="P272">
        <v>281</v>
      </c>
      <c r="Q272">
        <v>438</v>
      </c>
    </row>
    <row r="273" spans="1:17">
      <c r="A273" s="1" t="s">
        <v>211</v>
      </c>
      <c r="B273">
        <v>14</v>
      </c>
      <c r="C273">
        <v>3</v>
      </c>
      <c r="D273">
        <v>11</v>
      </c>
      <c r="E273">
        <v>4.3499999999999996</v>
      </c>
      <c r="F273">
        <v>927</v>
      </c>
      <c r="G273">
        <v>352</v>
      </c>
      <c r="H273">
        <v>847</v>
      </c>
      <c r="I273">
        <v>141</v>
      </c>
      <c r="J273">
        <v>217</v>
      </c>
      <c r="K273">
        <v>112</v>
      </c>
      <c r="L273">
        <v>469</v>
      </c>
      <c r="M273">
        <v>185</v>
      </c>
      <c r="N273">
        <v>94</v>
      </c>
      <c r="O273">
        <v>48</v>
      </c>
      <c r="P273">
        <v>185</v>
      </c>
      <c r="Q273">
        <v>252</v>
      </c>
    </row>
    <row r="274" spans="1:17">
      <c r="A274" s="1" t="s">
        <v>212</v>
      </c>
      <c r="B274">
        <v>25</v>
      </c>
      <c r="C274">
        <v>11</v>
      </c>
      <c r="D274">
        <v>14</v>
      </c>
      <c r="E274">
        <v>2.89</v>
      </c>
      <c r="F274">
        <v>1786</v>
      </c>
      <c r="G274">
        <v>647</v>
      </c>
      <c r="H274">
        <v>1514</v>
      </c>
      <c r="I274">
        <v>233</v>
      </c>
      <c r="J274">
        <v>325</v>
      </c>
      <c r="K274">
        <v>226</v>
      </c>
      <c r="L274">
        <v>833</v>
      </c>
      <c r="M274">
        <v>295</v>
      </c>
      <c r="N274">
        <v>179</v>
      </c>
      <c r="O274">
        <v>81</v>
      </c>
      <c r="P274">
        <v>292</v>
      </c>
      <c r="Q274">
        <v>483</v>
      </c>
    </row>
    <row r="275" spans="1:17">
      <c r="A275" s="1" t="s">
        <v>213</v>
      </c>
      <c r="B275">
        <v>20</v>
      </c>
      <c r="C275">
        <v>5</v>
      </c>
      <c r="D275">
        <v>15</v>
      </c>
      <c r="E275">
        <v>1.37</v>
      </c>
      <c r="F275">
        <v>1301</v>
      </c>
      <c r="G275">
        <v>465</v>
      </c>
      <c r="H275">
        <v>1191</v>
      </c>
      <c r="I275">
        <v>223</v>
      </c>
      <c r="J275">
        <v>346</v>
      </c>
      <c r="K275">
        <v>164</v>
      </c>
      <c r="L275">
        <v>688</v>
      </c>
      <c r="M275">
        <v>198</v>
      </c>
      <c r="N275">
        <v>97</v>
      </c>
      <c r="O275">
        <v>57</v>
      </c>
      <c r="P275">
        <v>255</v>
      </c>
      <c r="Q275">
        <v>329</v>
      </c>
    </row>
    <row r="276" spans="1:17">
      <c r="A276" s="1" t="s">
        <v>214</v>
      </c>
      <c r="B276">
        <v>20</v>
      </c>
      <c r="C276">
        <v>12</v>
      </c>
      <c r="D276">
        <v>8</v>
      </c>
      <c r="E276">
        <v>1.1100000000000001</v>
      </c>
      <c r="F276">
        <v>1393</v>
      </c>
      <c r="G276">
        <v>486</v>
      </c>
      <c r="H276">
        <v>1121</v>
      </c>
      <c r="I276">
        <v>311</v>
      </c>
      <c r="J276">
        <v>455</v>
      </c>
      <c r="K276">
        <v>164</v>
      </c>
      <c r="L276">
        <v>729</v>
      </c>
      <c r="M276">
        <v>240</v>
      </c>
      <c r="N276">
        <v>88</v>
      </c>
      <c r="O276">
        <v>78</v>
      </c>
      <c r="P276">
        <v>260</v>
      </c>
      <c r="Q276">
        <v>357</v>
      </c>
    </row>
    <row r="277" spans="1:17">
      <c r="A277" s="1" t="s">
        <v>358</v>
      </c>
      <c r="B277">
        <v>21</v>
      </c>
      <c r="C277">
        <v>11</v>
      </c>
      <c r="D277">
        <v>10</v>
      </c>
      <c r="E277">
        <v>-5.39</v>
      </c>
      <c r="F277">
        <v>1547</v>
      </c>
      <c r="G277">
        <v>546</v>
      </c>
      <c r="H277">
        <v>1304</v>
      </c>
      <c r="I277">
        <v>284</v>
      </c>
      <c r="J277">
        <v>384</v>
      </c>
      <c r="K277">
        <v>220</v>
      </c>
      <c r="L277">
        <v>716</v>
      </c>
      <c r="M277">
        <v>251</v>
      </c>
      <c r="N277">
        <v>137</v>
      </c>
      <c r="O277">
        <v>77</v>
      </c>
      <c r="P277">
        <v>226</v>
      </c>
      <c r="Q277">
        <v>398</v>
      </c>
    </row>
    <row r="278" spans="1:17">
      <c r="A278" s="1" t="s">
        <v>294</v>
      </c>
      <c r="B278">
        <v>25</v>
      </c>
      <c r="C278">
        <v>13</v>
      </c>
      <c r="D278">
        <v>12</v>
      </c>
      <c r="E278">
        <v>10.49</v>
      </c>
      <c r="F278">
        <v>1789</v>
      </c>
      <c r="G278">
        <v>624</v>
      </c>
      <c r="H278">
        <v>1403</v>
      </c>
      <c r="I278">
        <v>371</v>
      </c>
      <c r="J278">
        <v>502</v>
      </c>
      <c r="K278">
        <v>249</v>
      </c>
      <c r="L278">
        <v>854</v>
      </c>
      <c r="M278">
        <v>326</v>
      </c>
      <c r="N278">
        <v>161</v>
      </c>
      <c r="O278">
        <v>106</v>
      </c>
      <c r="P278">
        <v>322</v>
      </c>
      <c r="Q278">
        <v>403</v>
      </c>
    </row>
    <row r="279" spans="1:17">
      <c r="A279" s="1" t="s">
        <v>215</v>
      </c>
      <c r="B279">
        <v>16</v>
      </c>
      <c r="C279">
        <v>12</v>
      </c>
      <c r="D279">
        <v>4</v>
      </c>
      <c r="E279">
        <v>-7.87</v>
      </c>
      <c r="F279">
        <v>1097</v>
      </c>
      <c r="G279">
        <v>391</v>
      </c>
      <c r="H279">
        <v>852</v>
      </c>
      <c r="I279">
        <v>212</v>
      </c>
      <c r="J279">
        <v>317</v>
      </c>
      <c r="K279">
        <v>148</v>
      </c>
      <c r="L279">
        <v>565</v>
      </c>
      <c r="M279">
        <v>207</v>
      </c>
      <c r="N279">
        <v>88</v>
      </c>
      <c r="O279">
        <v>52</v>
      </c>
      <c r="P279">
        <v>202</v>
      </c>
      <c r="Q279">
        <v>240</v>
      </c>
    </row>
    <row r="280" spans="1:17">
      <c r="A280" s="1" t="s">
        <v>216</v>
      </c>
      <c r="B280">
        <v>28</v>
      </c>
      <c r="C280">
        <v>17</v>
      </c>
      <c r="D280">
        <v>11</v>
      </c>
      <c r="E280">
        <v>-5.41</v>
      </c>
      <c r="F280">
        <v>2075</v>
      </c>
      <c r="G280">
        <v>715</v>
      </c>
      <c r="H280">
        <v>1621</v>
      </c>
      <c r="I280">
        <v>389</v>
      </c>
      <c r="J280">
        <v>542</v>
      </c>
      <c r="K280">
        <v>269</v>
      </c>
      <c r="L280">
        <v>996</v>
      </c>
      <c r="M280">
        <v>314</v>
      </c>
      <c r="N280">
        <v>200</v>
      </c>
      <c r="O280">
        <v>91</v>
      </c>
      <c r="P280">
        <v>333</v>
      </c>
      <c r="Q280">
        <v>434</v>
      </c>
    </row>
    <row r="281" spans="1:17">
      <c r="A281" s="1" t="s">
        <v>295</v>
      </c>
      <c r="B281">
        <v>18</v>
      </c>
      <c r="C281">
        <v>1</v>
      </c>
      <c r="D281">
        <v>17</v>
      </c>
      <c r="E281">
        <v>-6.59</v>
      </c>
      <c r="F281">
        <v>1102</v>
      </c>
      <c r="G281">
        <v>401</v>
      </c>
      <c r="H281">
        <v>1033</v>
      </c>
      <c r="I281">
        <v>177</v>
      </c>
      <c r="J281">
        <v>285</v>
      </c>
      <c r="K281">
        <v>175</v>
      </c>
      <c r="L281">
        <v>563</v>
      </c>
      <c r="M281">
        <v>178</v>
      </c>
      <c r="N281">
        <v>106</v>
      </c>
      <c r="O281">
        <v>50</v>
      </c>
      <c r="P281">
        <v>312</v>
      </c>
      <c r="Q281">
        <v>334</v>
      </c>
    </row>
    <row r="282" spans="1:17">
      <c r="A282" s="1" t="s">
        <v>351</v>
      </c>
      <c r="B282">
        <v>23</v>
      </c>
      <c r="C282">
        <v>5</v>
      </c>
      <c r="D282">
        <v>18</v>
      </c>
      <c r="E282">
        <v>-4.6100000000000003</v>
      </c>
      <c r="F282">
        <v>1515</v>
      </c>
      <c r="G282">
        <v>538</v>
      </c>
      <c r="H282">
        <v>1269</v>
      </c>
      <c r="I282">
        <v>268</v>
      </c>
      <c r="J282">
        <v>372</v>
      </c>
      <c r="K282">
        <v>186</v>
      </c>
      <c r="L282">
        <v>717</v>
      </c>
      <c r="M282">
        <v>276</v>
      </c>
      <c r="N282">
        <v>143</v>
      </c>
      <c r="O282">
        <v>57</v>
      </c>
      <c r="P282">
        <v>325</v>
      </c>
      <c r="Q282">
        <v>426</v>
      </c>
    </row>
    <row r="283" spans="1:17">
      <c r="A283" s="1" t="s">
        <v>217</v>
      </c>
      <c r="B283">
        <v>20</v>
      </c>
      <c r="C283">
        <v>6</v>
      </c>
      <c r="D283">
        <v>14</v>
      </c>
      <c r="E283">
        <v>10.69</v>
      </c>
      <c r="F283">
        <v>1464</v>
      </c>
      <c r="G283">
        <v>545</v>
      </c>
      <c r="H283">
        <v>1305</v>
      </c>
      <c r="I283">
        <v>234</v>
      </c>
      <c r="J283">
        <v>359</v>
      </c>
      <c r="K283">
        <v>256</v>
      </c>
      <c r="L283">
        <v>723</v>
      </c>
      <c r="M283">
        <v>270</v>
      </c>
      <c r="N283">
        <v>172</v>
      </c>
      <c r="O283">
        <v>74</v>
      </c>
      <c r="P283">
        <v>304</v>
      </c>
      <c r="Q283">
        <v>383</v>
      </c>
    </row>
    <row r="284" spans="1:17">
      <c r="A284" s="1" t="s">
        <v>341</v>
      </c>
      <c r="B284">
        <v>22</v>
      </c>
      <c r="C284">
        <v>16</v>
      </c>
      <c r="D284">
        <v>6</v>
      </c>
      <c r="E284">
        <v>-2.6</v>
      </c>
      <c r="F284">
        <v>1762</v>
      </c>
      <c r="G284">
        <v>621</v>
      </c>
      <c r="H284">
        <v>1247</v>
      </c>
      <c r="I284">
        <v>341</v>
      </c>
      <c r="J284">
        <v>475</v>
      </c>
      <c r="K284">
        <v>159</v>
      </c>
      <c r="L284">
        <v>782</v>
      </c>
      <c r="M284">
        <v>307</v>
      </c>
      <c r="N284">
        <v>122</v>
      </c>
      <c r="O284">
        <v>68</v>
      </c>
      <c r="P284">
        <v>267</v>
      </c>
      <c r="Q284">
        <v>357</v>
      </c>
    </row>
    <row r="285" spans="1:17">
      <c r="A285" s="1" t="s">
        <v>359</v>
      </c>
      <c r="B285">
        <v>24</v>
      </c>
      <c r="C285">
        <v>14</v>
      </c>
      <c r="D285">
        <v>10</v>
      </c>
      <c r="E285">
        <v>-3.95</v>
      </c>
      <c r="F285">
        <v>1824</v>
      </c>
      <c r="G285">
        <v>648</v>
      </c>
      <c r="H285">
        <v>1390</v>
      </c>
      <c r="I285">
        <v>350</v>
      </c>
      <c r="J285">
        <v>446</v>
      </c>
      <c r="K285">
        <v>174</v>
      </c>
      <c r="L285">
        <v>844</v>
      </c>
      <c r="M285">
        <v>335</v>
      </c>
      <c r="N285">
        <v>111</v>
      </c>
      <c r="O285">
        <v>58</v>
      </c>
      <c r="P285">
        <v>254</v>
      </c>
      <c r="Q285">
        <v>443</v>
      </c>
    </row>
    <row r="286" spans="1:17">
      <c r="A286" s="1" t="s">
        <v>218</v>
      </c>
      <c r="B286">
        <v>20</v>
      </c>
      <c r="C286">
        <v>8</v>
      </c>
      <c r="D286">
        <v>12</v>
      </c>
      <c r="E286">
        <v>6.71</v>
      </c>
      <c r="F286">
        <v>1309</v>
      </c>
      <c r="G286">
        <v>464</v>
      </c>
      <c r="H286">
        <v>1152</v>
      </c>
      <c r="I286">
        <v>258</v>
      </c>
      <c r="J286">
        <v>402</v>
      </c>
      <c r="K286">
        <v>252</v>
      </c>
      <c r="L286">
        <v>745</v>
      </c>
      <c r="M286">
        <v>227</v>
      </c>
      <c r="N286">
        <v>109</v>
      </c>
      <c r="O286">
        <v>53</v>
      </c>
      <c r="P286">
        <v>289</v>
      </c>
      <c r="Q286">
        <v>346</v>
      </c>
    </row>
    <row r="287" spans="1:17">
      <c r="A287" s="1" t="s">
        <v>296</v>
      </c>
      <c r="B287">
        <v>27</v>
      </c>
      <c r="C287">
        <v>11</v>
      </c>
      <c r="D287">
        <v>16</v>
      </c>
      <c r="E287">
        <v>-6.96</v>
      </c>
      <c r="F287">
        <v>1864</v>
      </c>
      <c r="G287">
        <v>630</v>
      </c>
      <c r="H287">
        <v>1468</v>
      </c>
      <c r="I287">
        <v>399</v>
      </c>
      <c r="J287">
        <v>595</v>
      </c>
      <c r="K287">
        <v>258</v>
      </c>
      <c r="L287">
        <v>949</v>
      </c>
      <c r="M287">
        <v>374</v>
      </c>
      <c r="N287">
        <v>185</v>
      </c>
      <c r="O287">
        <v>64</v>
      </c>
      <c r="P287">
        <v>415</v>
      </c>
      <c r="Q287">
        <v>513</v>
      </c>
    </row>
    <row r="288" spans="1:17">
      <c r="A288" s="1" t="s">
        <v>219</v>
      </c>
      <c r="B288">
        <v>24</v>
      </c>
      <c r="C288">
        <v>7</v>
      </c>
      <c r="D288">
        <v>17</v>
      </c>
      <c r="E288">
        <v>-7.24</v>
      </c>
      <c r="F288">
        <v>1641</v>
      </c>
      <c r="G288">
        <v>544</v>
      </c>
      <c r="H288">
        <v>1374</v>
      </c>
      <c r="I288">
        <v>386</v>
      </c>
      <c r="J288">
        <v>577</v>
      </c>
      <c r="K288">
        <v>289</v>
      </c>
      <c r="L288">
        <v>825</v>
      </c>
      <c r="M288">
        <v>241</v>
      </c>
      <c r="N288">
        <v>157</v>
      </c>
      <c r="O288">
        <v>60</v>
      </c>
      <c r="P288">
        <v>387</v>
      </c>
      <c r="Q288">
        <v>474</v>
      </c>
    </row>
    <row r="289" spans="1:17">
      <c r="A289" s="1" t="s">
        <v>220</v>
      </c>
      <c r="B289">
        <v>27</v>
      </c>
      <c r="C289">
        <v>21</v>
      </c>
      <c r="D289">
        <v>6</v>
      </c>
      <c r="E289">
        <v>7.49</v>
      </c>
      <c r="F289">
        <v>2007</v>
      </c>
      <c r="G289">
        <v>732</v>
      </c>
      <c r="H289">
        <v>1575</v>
      </c>
      <c r="I289">
        <v>374</v>
      </c>
      <c r="J289">
        <v>581</v>
      </c>
      <c r="K289">
        <v>340</v>
      </c>
      <c r="L289">
        <v>1077</v>
      </c>
      <c r="M289">
        <v>374</v>
      </c>
      <c r="N289">
        <v>133</v>
      </c>
      <c r="O289">
        <v>141</v>
      </c>
      <c r="P289">
        <v>339</v>
      </c>
      <c r="Q289">
        <v>415</v>
      </c>
    </row>
    <row r="290" spans="1:17">
      <c r="A290" s="1" t="s">
        <v>355</v>
      </c>
      <c r="B290">
        <v>26</v>
      </c>
      <c r="C290">
        <v>9</v>
      </c>
      <c r="D290">
        <v>17</v>
      </c>
      <c r="E290">
        <v>-5.42</v>
      </c>
      <c r="F290">
        <v>1709</v>
      </c>
      <c r="G290">
        <v>619</v>
      </c>
      <c r="H290">
        <v>1403</v>
      </c>
      <c r="I290">
        <v>315</v>
      </c>
      <c r="J290">
        <v>463</v>
      </c>
      <c r="K290">
        <v>226</v>
      </c>
      <c r="L290">
        <v>852</v>
      </c>
      <c r="M290">
        <v>337</v>
      </c>
      <c r="N290">
        <v>153</v>
      </c>
      <c r="O290">
        <v>121</v>
      </c>
      <c r="P290">
        <v>413</v>
      </c>
      <c r="Q290">
        <v>438</v>
      </c>
    </row>
    <row r="291" spans="1:17">
      <c r="A291" s="1" t="s">
        <v>221</v>
      </c>
      <c r="B291">
        <v>26</v>
      </c>
      <c r="C291">
        <v>12</v>
      </c>
      <c r="D291">
        <v>14</v>
      </c>
      <c r="E291">
        <v>1.08</v>
      </c>
      <c r="F291">
        <v>1704</v>
      </c>
      <c r="G291">
        <v>614</v>
      </c>
      <c r="H291">
        <v>1362</v>
      </c>
      <c r="I291">
        <v>266</v>
      </c>
      <c r="J291">
        <v>400</v>
      </c>
      <c r="K291">
        <v>139</v>
      </c>
      <c r="L291">
        <v>772</v>
      </c>
      <c r="M291">
        <v>352</v>
      </c>
      <c r="N291">
        <v>160</v>
      </c>
      <c r="O291">
        <v>48</v>
      </c>
      <c r="P291">
        <v>311</v>
      </c>
      <c r="Q291">
        <v>370</v>
      </c>
    </row>
    <row r="292" spans="1:17">
      <c r="A292" s="1" t="s">
        <v>222</v>
      </c>
      <c r="B292">
        <v>15</v>
      </c>
      <c r="C292">
        <v>11</v>
      </c>
      <c r="D292">
        <v>4</v>
      </c>
      <c r="E292">
        <v>4.49</v>
      </c>
      <c r="F292">
        <v>1114</v>
      </c>
      <c r="G292">
        <v>402</v>
      </c>
      <c r="H292">
        <v>879</v>
      </c>
      <c r="I292">
        <v>200</v>
      </c>
      <c r="J292">
        <v>271</v>
      </c>
      <c r="K292">
        <v>153</v>
      </c>
      <c r="L292">
        <v>559</v>
      </c>
      <c r="M292">
        <v>230</v>
      </c>
      <c r="N292">
        <v>92</v>
      </c>
      <c r="O292">
        <v>68</v>
      </c>
      <c r="P292">
        <v>208</v>
      </c>
      <c r="Q292">
        <v>257</v>
      </c>
    </row>
    <row r="293" spans="1:17">
      <c r="A293" s="1" t="s">
        <v>223</v>
      </c>
      <c r="B293">
        <v>24</v>
      </c>
      <c r="C293">
        <v>8</v>
      </c>
      <c r="D293">
        <v>16</v>
      </c>
      <c r="E293">
        <v>-1.9</v>
      </c>
      <c r="F293">
        <v>1553</v>
      </c>
      <c r="G293">
        <v>581</v>
      </c>
      <c r="H293">
        <v>1338</v>
      </c>
      <c r="I293">
        <v>259</v>
      </c>
      <c r="J293">
        <v>384</v>
      </c>
      <c r="K293">
        <v>201</v>
      </c>
      <c r="L293">
        <v>847</v>
      </c>
      <c r="M293">
        <v>285</v>
      </c>
      <c r="N293">
        <v>140</v>
      </c>
      <c r="O293">
        <v>48</v>
      </c>
      <c r="P293">
        <v>337</v>
      </c>
      <c r="Q293">
        <v>384</v>
      </c>
    </row>
    <row r="294" spans="1:17">
      <c r="A294" s="1" t="s">
        <v>224</v>
      </c>
      <c r="B294">
        <v>22</v>
      </c>
      <c r="C294">
        <v>19</v>
      </c>
      <c r="D294">
        <v>3</v>
      </c>
      <c r="E294">
        <v>-6.49</v>
      </c>
      <c r="F294">
        <v>1853</v>
      </c>
      <c r="G294">
        <v>642</v>
      </c>
      <c r="H294">
        <v>1343</v>
      </c>
      <c r="I294">
        <v>374</v>
      </c>
      <c r="J294">
        <v>506</v>
      </c>
      <c r="K294">
        <v>245</v>
      </c>
      <c r="L294">
        <v>874</v>
      </c>
      <c r="M294">
        <v>317</v>
      </c>
      <c r="N294">
        <v>156</v>
      </c>
      <c r="O294">
        <v>56</v>
      </c>
      <c r="P294">
        <v>270</v>
      </c>
      <c r="Q294">
        <v>372</v>
      </c>
    </row>
    <row r="295" spans="1:17">
      <c r="A295" s="1" t="s">
        <v>225</v>
      </c>
      <c r="B295">
        <v>18</v>
      </c>
      <c r="C295">
        <v>8</v>
      </c>
      <c r="D295">
        <v>10</v>
      </c>
      <c r="E295">
        <v>-12.75</v>
      </c>
      <c r="F295">
        <v>1260</v>
      </c>
      <c r="G295">
        <v>444</v>
      </c>
      <c r="H295">
        <v>1022</v>
      </c>
      <c r="I295">
        <v>273</v>
      </c>
      <c r="J295">
        <v>406</v>
      </c>
      <c r="K295">
        <v>171</v>
      </c>
      <c r="L295">
        <v>654</v>
      </c>
      <c r="M295">
        <v>257</v>
      </c>
      <c r="N295">
        <v>143</v>
      </c>
      <c r="O295">
        <v>49</v>
      </c>
      <c r="P295">
        <v>289</v>
      </c>
      <c r="Q295">
        <v>375</v>
      </c>
    </row>
    <row r="296" spans="1:17">
      <c r="A296" s="1" t="s">
        <v>297</v>
      </c>
      <c r="B296">
        <v>19</v>
      </c>
      <c r="C296">
        <v>15</v>
      </c>
      <c r="D296">
        <v>4</v>
      </c>
      <c r="E296">
        <v>4.82</v>
      </c>
      <c r="F296">
        <v>1336</v>
      </c>
      <c r="G296">
        <v>496</v>
      </c>
      <c r="H296">
        <v>1099</v>
      </c>
      <c r="I296">
        <v>221</v>
      </c>
      <c r="J296">
        <v>303</v>
      </c>
      <c r="K296">
        <v>216</v>
      </c>
      <c r="L296">
        <v>703</v>
      </c>
      <c r="M296">
        <v>284</v>
      </c>
      <c r="N296">
        <v>117</v>
      </c>
      <c r="O296">
        <v>74</v>
      </c>
      <c r="P296">
        <v>211</v>
      </c>
      <c r="Q296">
        <v>290</v>
      </c>
    </row>
    <row r="297" spans="1:17">
      <c r="A297" s="1" t="s">
        <v>226</v>
      </c>
      <c r="B297">
        <v>19</v>
      </c>
      <c r="C297">
        <v>9</v>
      </c>
      <c r="D297">
        <v>10</v>
      </c>
      <c r="E297">
        <v>-6.26</v>
      </c>
      <c r="F297">
        <v>1476</v>
      </c>
      <c r="G297">
        <v>542</v>
      </c>
      <c r="H297">
        <v>1215</v>
      </c>
      <c r="I297">
        <v>274</v>
      </c>
      <c r="J297">
        <v>373</v>
      </c>
      <c r="K297">
        <v>216</v>
      </c>
      <c r="L297">
        <v>688</v>
      </c>
      <c r="M297">
        <v>271</v>
      </c>
      <c r="N297">
        <v>153</v>
      </c>
      <c r="O297">
        <v>66</v>
      </c>
      <c r="P297">
        <v>229</v>
      </c>
      <c r="Q297">
        <v>383</v>
      </c>
    </row>
    <row r="298" spans="1:17">
      <c r="A298" s="1" t="s">
        <v>298</v>
      </c>
      <c r="B298">
        <v>26</v>
      </c>
      <c r="C298">
        <v>16</v>
      </c>
      <c r="D298">
        <v>10</v>
      </c>
      <c r="E298">
        <v>8.15</v>
      </c>
      <c r="F298">
        <v>2063</v>
      </c>
      <c r="G298">
        <v>755</v>
      </c>
      <c r="H298">
        <v>1671</v>
      </c>
      <c r="I298">
        <v>359</v>
      </c>
      <c r="J298">
        <v>479</v>
      </c>
      <c r="K298">
        <v>288</v>
      </c>
      <c r="L298">
        <v>931</v>
      </c>
      <c r="M298">
        <v>430</v>
      </c>
      <c r="N298">
        <v>238</v>
      </c>
      <c r="O298">
        <v>104</v>
      </c>
      <c r="P298">
        <v>332</v>
      </c>
      <c r="Q298">
        <v>469</v>
      </c>
    </row>
    <row r="299" spans="1:17">
      <c r="A299" s="1" t="s">
        <v>342</v>
      </c>
      <c r="B299">
        <v>26</v>
      </c>
      <c r="C299">
        <v>14</v>
      </c>
      <c r="D299">
        <v>12</v>
      </c>
      <c r="E299">
        <v>8.27</v>
      </c>
      <c r="F299">
        <v>1825</v>
      </c>
      <c r="G299">
        <v>658</v>
      </c>
      <c r="H299">
        <v>1408</v>
      </c>
      <c r="I299">
        <v>369</v>
      </c>
      <c r="J299">
        <v>516</v>
      </c>
      <c r="K299">
        <v>204</v>
      </c>
      <c r="L299">
        <v>883</v>
      </c>
      <c r="M299">
        <v>323</v>
      </c>
      <c r="N299">
        <v>183</v>
      </c>
      <c r="O299">
        <v>90</v>
      </c>
      <c r="P299">
        <v>392</v>
      </c>
      <c r="Q299">
        <v>434</v>
      </c>
    </row>
    <row r="300" spans="1:17">
      <c r="A300" s="1" t="s">
        <v>227</v>
      </c>
      <c r="B300">
        <v>21</v>
      </c>
      <c r="C300">
        <v>16</v>
      </c>
      <c r="D300">
        <v>5</v>
      </c>
      <c r="E300">
        <v>-8.4</v>
      </c>
      <c r="F300">
        <v>1686</v>
      </c>
      <c r="G300">
        <v>622</v>
      </c>
      <c r="H300">
        <v>1195</v>
      </c>
      <c r="I300">
        <v>342</v>
      </c>
      <c r="J300">
        <v>503</v>
      </c>
      <c r="K300">
        <v>243</v>
      </c>
      <c r="L300">
        <v>749</v>
      </c>
      <c r="M300">
        <v>331</v>
      </c>
      <c r="N300">
        <v>199</v>
      </c>
      <c r="O300">
        <v>73</v>
      </c>
      <c r="P300">
        <v>348</v>
      </c>
      <c r="Q300">
        <v>419</v>
      </c>
    </row>
    <row r="301" spans="1:17">
      <c r="A301" s="1" t="s">
        <v>228</v>
      </c>
      <c r="B301">
        <v>25</v>
      </c>
      <c r="C301">
        <v>11</v>
      </c>
      <c r="D301">
        <v>14</v>
      </c>
      <c r="E301">
        <v>-4.45</v>
      </c>
      <c r="F301">
        <v>1800</v>
      </c>
      <c r="G301">
        <v>642</v>
      </c>
      <c r="H301">
        <v>1470</v>
      </c>
      <c r="I301">
        <v>280</v>
      </c>
      <c r="J301">
        <v>401</v>
      </c>
      <c r="K301">
        <v>259</v>
      </c>
      <c r="L301">
        <v>870</v>
      </c>
      <c r="M301">
        <v>351</v>
      </c>
      <c r="N301">
        <v>178</v>
      </c>
      <c r="O301">
        <v>68</v>
      </c>
      <c r="P301">
        <v>331</v>
      </c>
      <c r="Q301">
        <v>404</v>
      </c>
    </row>
    <row r="302" spans="1:17">
      <c r="A302" s="1" t="s">
        <v>229</v>
      </c>
      <c r="B302">
        <v>23</v>
      </c>
      <c r="C302">
        <v>9</v>
      </c>
      <c r="D302">
        <v>14</v>
      </c>
      <c r="E302">
        <v>-3.66</v>
      </c>
      <c r="F302">
        <v>1522</v>
      </c>
      <c r="G302">
        <v>543</v>
      </c>
      <c r="H302">
        <v>1318</v>
      </c>
      <c r="I302">
        <v>296</v>
      </c>
      <c r="J302">
        <v>434</v>
      </c>
      <c r="K302">
        <v>262</v>
      </c>
      <c r="L302">
        <v>875</v>
      </c>
      <c r="M302">
        <v>278</v>
      </c>
      <c r="N302">
        <v>129</v>
      </c>
      <c r="O302">
        <v>114</v>
      </c>
      <c r="P302">
        <v>318</v>
      </c>
      <c r="Q302">
        <v>387</v>
      </c>
    </row>
    <row r="303" spans="1:17">
      <c r="A303" s="1" t="s">
        <v>313</v>
      </c>
      <c r="B303">
        <v>23</v>
      </c>
      <c r="C303">
        <v>15</v>
      </c>
      <c r="D303">
        <v>8</v>
      </c>
      <c r="E303">
        <v>8.43</v>
      </c>
      <c r="F303">
        <v>1738</v>
      </c>
      <c r="G303">
        <v>618</v>
      </c>
      <c r="H303">
        <v>1417</v>
      </c>
      <c r="I303">
        <v>321</v>
      </c>
      <c r="J303">
        <v>409</v>
      </c>
      <c r="K303">
        <v>251</v>
      </c>
      <c r="L303">
        <v>834</v>
      </c>
      <c r="M303">
        <v>347</v>
      </c>
      <c r="N303">
        <v>206</v>
      </c>
      <c r="O303">
        <v>114</v>
      </c>
      <c r="P303">
        <v>261</v>
      </c>
      <c r="Q303">
        <v>332</v>
      </c>
    </row>
    <row r="304" spans="1:17">
      <c r="A304" s="1" t="s">
        <v>378</v>
      </c>
      <c r="B304">
        <v>20</v>
      </c>
      <c r="C304">
        <v>10</v>
      </c>
      <c r="D304">
        <v>10</v>
      </c>
      <c r="E304">
        <v>-3.75</v>
      </c>
      <c r="F304">
        <v>1467</v>
      </c>
      <c r="G304">
        <v>530</v>
      </c>
      <c r="H304">
        <v>1129</v>
      </c>
      <c r="I304">
        <v>297</v>
      </c>
      <c r="J304">
        <v>412</v>
      </c>
      <c r="K304">
        <v>170</v>
      </c>
      <c r="L304">
        <v>639</v>
      </c>
      <c r="M304">
        <v>294</v>
      </c>
      <c r="N304">
        <v>209</v>
      </c>
      <c r="O304">
        <v>53</v>
      </c>
      <c r="P304">
        <v>231</v>
      </c>
      <c r="Q304">
        <v>391</v>
      </c>
    </row>
    <row r="305" spans="1:17">
      <c r="A305" s="1" t="s">
        <v>314</v>
      </c>
      <c r="B305">
        <v>15</v>
      </c>
      <c r="C305">
        <v>5</v>
      </c>
      <c r="D305">
        <v>10</v>
      </c>
      <c r="E305">
        <v>6.42</v>
      </c>
      <c r="F305">
        <v>982</v>
      </c>
      <c r="G305">
        <v>324</v>
      </c>
      <c r="H305">
        <v>807</v>
      </c>
      <c r="I305">
        <v>226</v>
      </c>
      <c r="J305">
        <v>317</v>
      </c>
      <c r="K305">
        <v>141</v>
      </c>
      <c r="L305">
        <v>539</v>
      </c>
      <c r="M305">
        <v>198</v>
      </c>
      <c r="N305">
        <v>64</v>
      </c>
      <c r="O305">
        <v>31</v>
      </c>
      <c r="P305">
        <v>203</v>
      </c>
      <c r="Q305">
        <v>259</v>
      </c>
    </row>
    <row r="306" spans="1:17">
      <c r="A306" s="1" t="s">
        <v>230</v>
      </c>
      <c r="B306">
        <v>24</v>
      </c>
      <c r="C306">
        <v>8</v>
      </c>
      <c r="D306">
        <v>16</v>
      </c>
      <c r="E306">
        <v>-5.31</v>
      </c>
      <c r="F306">
        <v>1571</v>
      </c>
      <c r="G306">
        <v>556</v>
      </c>
      <c r="H306">
        <v>1393</v>
      </c>
      <c r="I306">
        <v>294</v>
      </c>
      <c r="J306">
        <v>409</v>
      </c>
      <c r="K306">
        <v>260</v>
      </c>
      <c r="L306">
        <v>775</v>
      </c>
      <c r="M306">
        <v>289</v>
      </c>
      <c r="N306">
        <v>172</v>
      </c>
      <c r="O306">
        <v>62</v>
      </c>
      <c r="P306">
        <v>343</v>
      </c>
      <c r="Q306">
        <v>429</v>
      </c>
    </row>
    <row r="307" spans="1:17">
      <c r="A307" s="1" t="s">
        <v>231</v>
      </c>
      <c r="B307">
        <v>23</v>
      </c>
      <c r="C307">
        <v>4</v>
      </c>
      <c r="D307">
        <v>19</v>
      </c>
      <c r="E307">
        <v>-6.59</v>
      </c>
      <c r="F307">
        <v>1573</v>
      </c>
      <c r="G307">
        <v>568</v>
      </c>
      <c r="H307">
        <v>1342</v>
      </c>
      <c r="I307">
        <v>299</v>
      </c>
      <c r="J307">
        <v>438</v>
      </c>
      <c r="K307">
        <v>215</v>
      </c>
      <c r="L307">
        <v>775</v>
      </c>
      <c r="M307">
        <v>268</v>
      </c>
      <c r="N307">
        <v>170</v>
      </c>
      <c r="O307">
        <v>73</v>
      </c>
      <c r="P307">
        <v>353</v>
      </c>
      <c r="Q307">
        <v>478</v>
      </c>
    </row>
    <row r="308" spans="1:17">
      <c r="A308" s="1" t="s">
        <v>232</v>
      </c>
      <c r="B308">
        <v>27</v>
      </c>
      <c r="C308">
        <v>5</v>
      </c>
      <c r="D308">
        <v>22</v>
      </c>
      <c r="E308">
        <v>-3.13</v>
      </c>
      <c r="F308">
        <v>1797</v>
      </c>
      <c r="G308">
        <v>656</v>
      </c>
      <c r="H308">
        <v>1517</v>
      </c>
      <c r="I308">
        <v>277</v>
      </c>
      <c r="J308">
        <v>410</v>
      </c>
      <c r="K308">
        <v>245</v>
      </c>
      <c r="L308">
        <v>908</v>
      </c>
      <c r="M308">
        <v>380</v>
      </c>
      <c r="N308">
        <v>176</v>
      </c>
      <c r="O308">
        <v>62</v>
      </c>
      <c r="P308">
        <v>430</v>
      </c>
      <c r="Q308">
        <v>430</v>
      </c>
    </row>
    <row r="309" spans="1:17">
      <c r="A309" s="1" t="s">
        <v>315</v>
      </c>
      <c r="B309">
        <v>23</v>
      </c>
      <c r="C309">
        <v>16</v>
      </c>
      <c r="D309">
        <v>7</v>
      </c>
      <c r="E309">
        <v>8.0299999999999994</v>
      </c>
      <c r="F309">
        <v>1674</v>
      </c>
      <c r="G309">
        <v>581</v>
      </c>
      <c r="H309">
        <v>1309</v>
      </c>
      <c r="I309">
        <v>358</v>
      </c>
      <c r="J309">
        <v>478</v>
      </c>
      <c r="K309">
        <v>241</v>
      </c>
      <c r="L309">
        <v>821</v>
      </c>
      <c r="M309">
        <v>344</v>
      </c>
      <c r="N309">
        <v>164</v>
      </c>
      <c r="O309">
        <v>107</v>
      </c>
      <c r="P309">
        <v>280</v>
      </c>
      <c r="Q309">
        <v>378</v>
      </c>
    </row>
    <row r="310" spans="1:17">
      <c r="A310" s="1" t="s">
        <v>323</v>
      </c>
      <c r="B310">
        <v>24</v>
      </c>
      <c r="C310">
        <v>5</v>
      </c>
      <c r="D310">
        <v>19</v>
      </c>
      <c r="E310">
        <v>-5.92</v>
      </c>
      <c r="F310">
        <v>1554</v>
      </c>
      <c r="G310">
        <v>542</v>
      </c>
      <c r="H310">
        <v>1296</v>
      </c>
      <c r="I310">
        <v>317</v>
      </c>
      <c r="J310">
        <v>463</v>
      </c>
      <c r="K310">
        <v>206</v>
      </c>
      <c r="L310">
        <v>816</v>
      </c>
      <c r="M310">
        <v>308</v>
      </c>
      <c r="N310">
        <v>165</v>
      </c>
      <c r="O310">
        <v>74</v>
      </c>
      <c r="P310">
        <v>401</v>
      </c>
      <c r="Q310">
        <v>425</v>
      </c>
    </row>
    <row r="311" spans="1:17">
      <c r="A311" s="1" t="s">
        <v>233</v>
      </c>
      <c r="B311">
        <v>17</v>
      </c>
      <c r="C311">
        <v>8</v>
      </c>
      <c r="D311">
        <v>9</v>
      </c>
      <c r="E311">
        <v>5.2</v>
      </c>
      <c r="F311">
        <v>1089</v>
      </c>
      <c r="G311">
        <v>374</v>
      </c>
      <c r="H311">
        <v>900</v>
      </c>
      <c r="I311">
        <v>231</v>
      </c>
      <c r="J311">
        <v>316</v>
      </c>
      <c r="K311">
        <v>182</v>
      </c>
      <c r="L311">
        <v>564</v>
      </c>
      <c r="M311">
        <v>201</v>
      </c>
      <c r="N311">
        <v>120</v>
      </c>
      <c r="O311">
        <v>32</v>
      </c>
      <c r="P311">
        <v>252</v>
      </c>
      <c r="Q311">
        <v>282</v>
      </c>
    </row>
    <row r="312" spans="1:17">
      <c r="A312" s="1" t="s">
        <v>234</v>
      </c>
      <c r="B312">
        <v>26</v>
      </c>
      <c r="C312">
        <v>13</v>
      </c>
      <c r="D312">
        <v>13</v>
      </c>
      <c r="E312">
        <v>-4.1500000000000004</v>
      </c>
      <c r="F312">
        <v>1916</v>
      </c>
      <c r="G312">
        <v>677</v>
      </c>
      <c r="H312">
        <v>1658</v>
      </c>
      <c r="I312">
        <v>327</v>
      </c>
      <c r="J312">
        <v>444</v>
      </c>
      <c r="K312">
        <v>303</v>
      </c>
      <c r="L312">
        <v>974</v>
      </c>
      <c r="M312">
        <v>353</v>
      </c>
      <c r="N312">
        <v>214</v>
      </c>
      <c r="O312">
        <v>122</v>
      </c>
      <c r="P312">
        <v>311</v>
      </c>
      <c r="Q312">
        <v>434</v>
      </c>
    </row>
    <row r="313" spans="1:17">
      <c r="A313" s="1" t="s">
        <v>235</v>
      </c>
      <c r="B313">
        <v>24</v>
      </c>
      <c r="C313">
        <v>12</v>
      </c>
      <c r="D313">
        <v>12</v>
      </c>
      <c r="E313">
        <v>7.34</v>
      </c>
      <c r="F313">
        <v>1624</v>
      </c>
      <c r="G313">
        <v>581</v>
      </c>
      <c r="H313">
        <v>1323</v>
      </c>
      <c r="I313">
        <v>297</v>
      </c>
      <c r="J313">
        <v>437</v>
      </c>
      <c r="K313">
        <v>237</v>
      </c>
      <c r="L313">
        <v>836</v>
      </c>
      <c r="M313">
        <v>312</v>
      </c>
      <c r="N313">
        <v>145</v>
      </c>
      <c r="O313">
        <v>85</v>
      </c>
      <c r="P313">
        <v>330</v>
      </c>
      <c r="Q313">
        <v>380</v>
      </c>
    </row>
    <row r="314" spans="1:17">
      <c r="A314" s="1" t="s">
        <v>236</v>
      </c>
      <c r="B314">
        <v>23</v>
      </c>
      <c r="C314">
        <v>12</v>
      </c>
      <c r="D314">
        <v>11</v>
      </c>
      <c r="E314">
        <v>1.45</v>
      </c>
      <c r="F314">
        <v>1628</v>
      </c>
      <c r="G314">
        <v>584</v>
      </c>
      <c r="H314">
        <v>1371</v>
      </c>
      <c r="I314">
        <v>292</v>
      </c>
      <c r="J314">
        <v>391</v>
      </c>
      <c r="K314">
        <v>199</v>
      </c>
      <c r="L314">
        <v>794</v>
      </c>
      <c r="M314">
        <v>279</v>
      </c>
      <c r="N314">
        <v>145</v>
      </c>
      <c r="O314">
        <v>64</v>
      </c>
      <c r="P314">
        <v>254</v>
      </c>
      <c r="Q314">
        <v>400</v>
      </c>
    </row>
    <row r="315" spans="1:17">
      <c r="A315" s="1" t="s">
        <v>237</v>
      </c>
      <c r="B315">
        <v>18</v>
      </c>
      <c r="C315">
        <v>9</v>
      </c>
      <c r="D315">
        <v>9</v>
      </c>
      <c r="E315">
        <v>-5.83</v>
      </c>
      <c r="F315">
        <v>1315</v>
      </c>
      <c r="G315">
        <v>455</v>
      </c>
      <c r="H315">
        <v>1112</v>
      </c>
      <c r="I315">
        <v>281</v>
      </c>
      <c r="J315">
        <v>440</v>
      </c>
      <c r="K315">
        <v>249</v>
      </c>
      <c r="L315">
        <v>719</v>
      </c>
      <c r="M315">
        <v>277</v>
      </c>
      <c r="N315">
        <v>166</v>
      </c>
      <c r="O315">
        <v>78</v>
      </c>
      <c r="P315">
        <v>269</v>
      </c>
      <c r="Q315">
        <v>393</v>
      </c>
    </row>
    <row r="316" spans="1:17">
      <c r="A316" s="1" t="s">
        <v>238</v>
      </c>
      <c r="B316">
        <v>24</v>
      </c>
      <c r="C316">
        <v>14</v>
      </c>
      <c r="D316">
        <v>10</v>
      </c>
      <c r="E316">
        <v>-0.27</v>
      </c>
      <c r="F316">
        <v>1911</v>
      </c>
      <c r="G316">
        <v>712</v>
      </c>
      <c r="H316">
        <v>1583</v>
      </c>
      <c r="I316">
        <v>291</v>
      </c>
      <c r="J316">
        <v>383</v>
      </c>
      <c r="K316">
        <v>278</v>
      </c>
      <c r="L316">
        <v>927</v>
      </c>
      <c r="M316">
        <v>351</v>
      </c>
      <c r="N316">
        <v>154</v>
      </c>
      <c r="O316">
        <v>79</v>
      </c>
      <c r="P316">
        <v>284</v>
      </c>
      <c r="Q316">
        <v>437</v>
      </c>
    </row>
    <row r="317" spans="1:17">
      <c r="A317" s="1" t="s">
        <v>239</v>
      </c>
      <c r="B317">
        <v>21</v>
      </c>
      <c r="C317">
        <v>13</v>
      </c>
      <c r="D317">
        <v>8</v>
      </c>
      <c r="E317">
        <v>-10.25</v>
      </c>
      <c r="F317">
        <v>1553</v>
      </c>
      <c r="G317">
        <v>563</v>
      </c>
      <c r="H317">
        <v>1265</v>
      </c>
      <c r="I317">
        <v>330</v>
      </c>
      <c r="J317">
        <v>474</v>
      </c>
      <c r="K317">
        <v>256</v>
      </c>
      <c r="L317">
        <v>861</v>
      </c>
      <c r="M317">
        <v>259</v>
      </c>
      <c r="N317">
        <v>153</v>
      </c>
      <c r="O317">
        <v>98</v>
      </c>
      <c r="P317">
        <v>332</v>
      </c>
      <c r="Q317">
        <v>373</v>
      </c>
    </row>
    <row r="318" spans="1:17">
      <c r="A318" s="1" t="s">
        <v>240</v>
      </c>
      <c r="B318">
        <v>25</v>
      </c>
      <c r="C318">
        <v>18</v>
      </c>
      <c r="D318">
        <v>7</v>
      </c>
      <c r="E318">
        <v>-7.1</v>
      </c>
      <c r="F318">
        <v>1660</v>
      </c>
      <c r="G318">
        <v>629</v>
      </c>
      <c r="H318">
        <v>1359</v>
      </c>
      <c r="I318">
        <v>263</v>
      </c>
      <c r="J318">
        <v>372</v>
      </c>
      <c r="K318">
        <v>231</v>
      </c>
      <c r="L318">
        <v>821</v>
      </c>
      <c r="M318">
        <v>331</v>
      </c>
      <c r="N318">
        <v>171</v>
      </c>
      <c r="O318">
        <v>73</v>
      </c>
      <c r="P318">
        <v>332</v>
      </c>
      <c r="Q318">
        <v>421</v>
      </c>
    </row>
    <row r="319" spans="1:17">
      <c r="A319" s="1" t="s">
        <v>241</v>
      </c>
      <c r="B319">
        <v>25</v>
      </c>
      <c r="C319">
        <v>17</v>
      </c>
      <c r="D319">
        <v>8</v>
      </c>
      <c r="E319">
        <v>5.99</v>
      </c>
      <c r="F319">
        <v>1833</v>
      </c>
      <c r="G319">
        <v>635</v>
      </c>
      <c r="H319">
        <v>1430</v>
      </c>
      <c r="I319">
        <v>410</v>
      </c>
      <c r="J319">
        <v>571</v>
      </c>
      <c r="K319">
        <v>289</v>
      </c>
      <c r="L319">
        <v>887</v>
      </c>
      <c r="M319">
        <v>324</v>
      </c>
      <c r="N319">
        <v>178</v>
      </c>
      <c r="O319">
        <v>103</v>
      </c>
      <c r="P319">
        <v>276</v>
      </c>
      <c r="Q319">
        <v>436</v>
      </c>
    </row>
    <row r="320" spans="1:17">
      <c r="A320" s="1" t="s">
        <v>362</v>
      </c>
      <c r="B320">
        <v>23</v>
      </c>
      <c r="C320">
        <v>16</v>
      </c>
      <c r="D320">
        <v>7</v>
      </c>
      <c r="E320">
        <v>9.81</v>
      </c>
      <c r="F320">
        <v>1722</v>
      </c>
      <c r="G320">
        <v>601</v>
      </c>
      <c r="H320">
        <v>1338</v>
      </c>
      <c r="I320">
        <v>324</v>
      </c>
      <c r="J320">
        <v>463</v>
      </c>
      <c r="K320">
        <v>254</v>
      </c>
      <c r="L320">
        <v>901</v>
      </c>
      <c r="M320">
        <v>297</v>
      </c>
      <c r="N320">
        <v>146</v>
      </c>
      <c r="O320">
        <v>86</v>
      </c>
      <c r="P320">
        <v>318</v>
      </c>
      <c r="Q320">
        <v>464</v>
      </c>
    </row>
    <row r="321" spans="1:17">
      <c r="A321" s="1" t="s">
        <v>242</v>
      </c>
      <c r="B321">
        <v>27</v>
      </c>
      <c r="C321">
        <v>20</v>
      </c>
      <c r="D321">
        <v>7</v>
      </c>
      <c r="E321">
        <v>-1.39</v>
      </c>
      <c r="F321">
        <v>2196</v>
      </c>
      <c r="G321">
        <v>768</v>
      </c>
      <c r="H321">
        <v>1677</v>
      </c>
      <c r="I321">
        <v>368</v>
      </c>
      <c r="J321">
        <v>469</v>
      </c>
      <c r="K321">
        <v>282</v>
      </c>
      <c r="L321">
        <v>1018</v>
      </c>
      <c r="M321">
        <v>441</v>
      </c>
      <c r="N321">
        <v>164</v>
      </c>
      <c r="O321">
        <v>65</v>
      </c>
      <c r="P321">
        <v>296</v>
      </c>
      <c r="Q321">
        <v>409</v>
      </c>
    </row>
    <row r="322" spans="1:17">
      <c r="A322" s="1" t="s">
        <v>243</v>
      </c>
      <c r="B322">
        <v>18</v>
      </c>
      <c r="C322">
        <v>4</v>
      </c>
      <c r="D322">
        <v>14</v>
      </c>
      <c r="E322">
        <v>-1.41</v>
      </c>
      <c r="F322">
        <v>1214</v>
      </c>
      <c r="G322">
        <v>434</v>
      </c>
      <c r="H322">
        <v>1055</v>
      </c>
      <c r="I322">
        <v>256</v>
      </c>
      <c r="J322">
        <v>352</v>
      </c>
      <c r="K322">
        <v>225</v>
      </c>
      <c r="L322">
        <v>666</v>
      </c>
      <c r="M322">
        <v>170</v>
      </c>
      <c r="N322">
        <v>90</v>
      </c>
      <c r="O322">
        <v>50</v>
      </c>
      <c r="P322">
        <v>224</v>
      </c>
      <c r="Q322">
        <v>318</v>
      </c>
    </row>
    <row r="323" spans="1:17">
      <c r="A323" s="1" t="s">
        <v>244</v>
      </c>
      <c r="B323">
        <v>28</v>
      </c>
      <c r="C323">
        <v>11</v>
      </c>
      <c r="D323">
        <v>17</v>
      </c>
      <c r="E323">
        <v>-3.56</v>
      </c>
      <c r="F323">
        <v>1829</v>
      </c>
      <c r="G323">
        <v>636</v>
      </c>
      <c r="H323">
        <v>1596</v>
      </c>
      <c r="I323">
        <v>386</v>
      </c>
      <c r="J323">
        <v>555</v>
      </c>
      <c r="K323">
        <v>302</v>
      </c>
      <c r="L323">
        <v>1056</v>
      </c>
      <c r="M323">
        <v>320</v>
      </c>
      <c r="N323">
        <v>175</v>
      </c>
      <c r="O323">
        <v>87</v>
      </c>
      <c r="P323">
        <v>417</v>
      </c>
      <c r="Q323">
        <v>480</v>
      </c>
    </row>
    <row r="324" spans="1:17">
      <c r="A324" s="1" t="s">
        <v>245</v>
      </c>
      <c r="B324">
        <v>21</v>
      </c>
      <c r="C324">
        <v>9</v>
      </c>
      <c r="D324">
        <v>12</v>
      </c>
      <c r="E324">
        <v>2.99</v>
      </c>
      <c r="F324">
        <v>1341</v>
      </c>
      <c r="G324">
        <v>440</v>
      </c>
      <c r="H324">
        <v>1158</v>
      </c>
      <c r="I324">
        <v>320</v>
      </c>
      <c r="J324">
        <v>424</v>
      </c>
      <c r="K324">
        <v>176</v>
      </c>
      <c r="L324">
        <v>691</v>
      </c>
      <c r="M324">
        <v>241</v>
      </c>
      <c r="N324">
        <v>158</v>
      </c>
      <c r="O324">
        <v>63</v>
      </c>
      <c r="P324">
        <v>246</v>
      </c>
      <c r="Q324">
        <v>335</v>
      </c>
    </row>
    <row r="325" spans="1:17">
      <c r="A325" s="1" t="s">
        <v>299</v>
      </c>
      <c r="B325">
        <v>22</v>
      </c>
      <c r="C325">
        <v>11</v>
      </c>
      <c r="D325">
        <v>11</v>
      </c>
      <c r="E325">
        <v>6.04</v>
      </c>
      <c r="F325">
        <v>1503</v>
      </c>
      <c r="G325">
        <v>542</v>
      </c>
      <c r="H325">
        <v>1196</v>
      </c>
      <c r="I325">
        <v>272</v>
      </c>
      <c r="J325">
        <v>402</v>
      </c>
      <c r="K325">
        <v>189</v>
      </c>
      <c r="L325">
        <v>738</v>
      </c>
      <c r="M325">
        <v>309</v>
      </c>
      <c r="N325">
        <v>142</v>
      </c>
      <c r="O325">
        <v>43</v>
      </c>
      <c r="P325">
        <v>296</v>
      </c>
      <c r="Q325">
        <v>361</v>
      </c>
    </row>
    <row r="326" spans="1:17">
      <c r="A326" s="1" t="s">
        <v>324</v>
      </c>
      <c r="B326">
        <v>25</v>
      </c>
      <c r="C326">
        <v>17</v>
      </c>
      <c r="D326">
        <v>8</v>
      </c>
      <c r="E326">
        <v>8.27</v>
      </c>
      <c r="F326">
        <v>1815</v>
      </c>
      <c r="G326">
        <v>659</v>
      </c>
      <c r="H326">
        <v>1422</v>
      </c>
      <c r="I326">
        <v>329</v>
      </c>
      <c r="J326">
        <v>457</v>
      </c>
      <c r="K326">
        <v>241</v>
      </c>
      <c r="L326">
        <v>868</v>
      </c>
      <c r="M326">
        <v>346</v>
      </c>
      <c r="N326">
        <v>127</v>
      </c>
      <c r="O326">
        <v>66</v>
      </c>
      <c r="P326">
        <v>276</v>
      </c>
      <c r="Q326">
        <v>392</v>
      </c>
    </row>
    <row r="327" spans="1:17">
      <c r="A327" s="1" t="s">
        <v>316</v>
      </c>
      <c r="B327">
        <v>25</v>
      </c>
      <c r="C327">
        <v>18</v>
      </c>
      <c r="D327">
        <v>7</v>
      </c>
      <c r="E327">
        <v>0.23</v>
      </c>
      <c r="F327">
        <v>1859</v>
      </c>
      <c r="G327">
        <v>682</v>
      </c>
      <c r="H327">
        <v>1508</v>
      </c>
      <c r="I327">
        <v>330</v>
      </c>
      <c r="J327">
        <v>460</v>
      </c>
      <c r="K327">
        <v>313</v>
      </c>
      <c r="L327">
        <v>1013</v>
      </c>
      <c r="M327">
        <v>412</v>
      </c>
      <c r="N327">
        <v>178</v>
      </c>
      <c r="O327">
        <v>116</v>
      </c>
      <c r="P327">
        <v>343</v>
      </c>
      <c r="Q327">
        <v>385</v>
      </c>
    </row>
    <row r="328" spans="1:17">
      <c r="A328" s="1" t="s">
        <v>334</v>
      </c>
      <c r="B328">
        <v>21</v>
      </c>
      <c r="C328">
        <v>11</v>
      </c>
      <c r="D328">
        <v>10</v>
      </c>
      <c r="E328">
        <v>-2.4500000000000002</v>
      </c>
      <c r="F328">
        <v>1570</v>
      </c>
      <c r="G328">
        <v>575</v>
      </c>
      <c r="H328">
        <v>1189</v>
      </c>
      <c r="I328">
        <v>309</v>
      </c>
      <c r="J328">
        <v>496</v>
      </c>
      <c r="K328">
        <v>223</v>
      </c>
      <c r="L328">
        <v>814</v>
      </c>
      <c r="M328">
        <v>366</v>
      </c>
      <c r="N328">
        <v>110</v>
      </c>
      <c r="O328">
        <v>98</v>
      </c>
      <c r="P328">
        <v>316</v>
      </c>
      <c r="Q328">
        <v>409</v>
      </c>
    </row>
    <row r="329" spans="1:17">
      <c r="A329" s="1" t="s">
        <v>300</v>
      </c>
      <c r="B329">
        <v>23</v>
      </c>
      <c r="C329">
        <v>11</v>
      </c>
      <c r="D329">
        <v>12</v>
      </c>
      <c r="E329">
        <v>7.14</v>
      </c>
      <c r="F329">
        <v>1620</v>
      </c>
      <c r="G329">
        <v>597</v>
      </c>
      <c r="H329">
        <v>1281</v>
      </c>
      <c r="I329">
        <v>274</v>
      </c>
      <c r="J329">
        <v>346</v>
      </c>
      <c r="K329">
        <v>175</v>
      </c>
      <c r="L329">
        <v>716</v>
      </c>
      <c r="M329">
        <v>354</v>
      </c>
      <c r="N329">
        <v>129</v>
      </c>
      <c r="O329">
        <v>80</v>
      </c>
      <c r="P329">
        <v>294</v>
      </c>
      <c r="Q329">
        <v>374</v>
      </c>
    </row>
    <row r="330" spans="1:17">
      <c r="A330" s="1" t="s">
        <v>301</v>
      </c>
      <c r="B330">
        <v>28</v>
      </c>
      <c r="C330">
        <v>10</v>
      </c>
      <c r="D330">
        <v>18</v>
      </c>
      <c r="E330">
        <v>1.75</v>
      </c>
      <c r="F330">
        <v>1821</v>
      </c>
      <c r="G330">
        <v>660</v>
      </c>
      <c r="H330">
        <v>1576</v>
      </c>
      <c r="I330">
        <v>312</v>
      </c>
      <c r="J330">
        <v>429</v>
      </c>
      <c r="K330">
        <v>196</v>
      </c>
      <c r="L330">
        <v>920</v>
      </c>
      <c r="M330">
        <v>356</v>
      </c>
      <c r="N330">
        <v>183</v>
      </c>
      <c r="O330">
        <v>97</v>
      </c>
      <c r="P330">
        <v>346</v>
      </c>
      <c r="Q330">
        <v>445</v>
      </c>
    </row>
    <row r="331" spans="1:17">
      <c r="A331" s="1" t="s">
        <v>246</v>
      </c>
      <c r="B331">
        <v>23</v>
      </c>
      <c r="C331">
        <v>8</v>
      </c>
      <c r="D331">
        <v>15</v>
      </c>
      <c r="E331">
        <v>7.44</v>
      </c>
      <c r="F331">
        <v>1652</v>
      </c>
      <c r="G331">
        <v>565</v>
      </c>
      <c r="H331">
        <v>1304</v>
      </c>
      <c r="I331">
        <v>310</v>
      </c>
      <c r="J331">
        <v>430</v>
      </c>
      <c r="K331">
        <v>228</v>
      </c>
      <c r="L331">
        <v>778</v>
      </c>
      <c r="M331">
        <v>292</v>
      </c>
      <c r="N331">
        <v>163</v>
      </c>
      <c r="O331">
        <v>56</v>
      </c>
      <c r="P331">
        <v>324</v>
      </c>
      <c r="Q331">
        <v>408</v>
      </c>
    </row>
    <row r="332" spans="1:17">
      <c r="A332" s="1" t="s">
        <v>247</v>
      </c>
      <c r="B332">
        <v>15</v>
      </c>
      <c r="C332">
        <v>10</v>
      </c>
      <c r="D332">
        <v>5</v>
      </c>
      <c r="E332">
        <v>-6.62</v>
      </c>
      <c r="F332">
        <v>1095</v>
      </c>
      <c r="G332">
        <v>383</v>
      </c>
      <c r="H332">
        <v>828</v>
      </c>
      <c r="I332">
        <v>213</v>
      </c>
      <c r="J332">
        <v>273</v>
      </c>
      <c r="K332">
        <v>126</v>
      </c>
      <c r="L332">
        <v>524</v>
      </c>
      <c r="M332">
        <v>211</v>
      </c>
      <c r="N332">
        <v>75</v>
      </c>
      <c r="O332">
        <v>39</v>
      </c>
      <c r="P332">
        <v>183</v>
      </c>
      <c r="Q332">
        <v>266</v>
      </c>
    </row>
    <row r="333" spans="1:17">
      <c r="A333" s="1" t="s">
        <v>248</v>
      </c>
      <c r="B333">
        <v>21</v>
      </c>
      <c r="C333">
        <v>16</v>
      </c>
      <c r="D333">
        <v>5</v>
      </c>
      <c r="E333">
        <v>9.68</v>
      </c>
      <c r="F333">
        <v>1591</v>
      </c>
      <c r="G333">
        <v>557</v>
      </c>
      <c r="H333">
        <v>1236</v>
      </c>
      <c r="I333">
        <v>283</v>
      </c>
      <c r="J333">
        <v>366</v>
      </c>
      <c r="K333">
        <v>202</v>
      </c>
      <c r="L333">
        <v>725</v>
      </c>
      <c r="M333">
        <v>323</v>
      </c>
      <c r="N333">
        <v>113</v>
      </c>
      <c r="O333">
        <v>32</v>
      </c>
      <c r="P333">
        <v>193</v>
      </c>
      <c r="Q333">
        <v>320</v>
      </c>
    </row>
    <row r="334" spans="1:17">
      <c r="A334" s="1" t="s">
        <v>249</v>
      </c>
      <c r="B334">
        <v>25</v>
      </c>
      <c r="C334">
        <v>19</v>
      </c>
      <c r="D334">
        <v>6</v>
      </c>
      <c r="E334">
        <v>5.46</v>
      </c>
      <c r="F334">
        <v>1799</v>
      </c>
      <c r="G334">
        <v>637</v>
      </c>
      <c r="H334">
        <v>1406</v>
      </c>
      <c r="I334">
        <v>363</v>
      </c>
      <c r="J334">
        <v>477</v>
      </c>
      <c r="K334">
        <v>233</v>
      </c>
      <c r="L334">
        <v>858</v>
      </c>
      <c r="M334">
        <v>338</v>
      </c>
      <c r="N334">
        <v>236</v>
      </c>
      <c r="O334">
        <v>136</v>
      </c>
      <c r="P334">
        <v>371</v>
      </c>
      <c r="Q334">
        <v>467</v>
      </c>
    </row>
    <row r="335" spans="1:17">
      <c r="A335" s="1" t="s">
        <v>250</v>
      </c>
      <c r="B335">
        <v>24</v>
      </c>
      <c r="C335">
        <v>13</v>
      </c>
      <c r="D335">
        <v>11</v>
      </c>
      <c r="E335">
        <v>-0.3</v>
      </c>
      <c r="F335">
        <v>1942</v>
      </c>
      <c r="G335">
        <v>682</v>
      </c>
      <c r="H335">
        <v>1458</v>
      </c>
      <c r="I335">
        <v>312</v>
      </c>
      <c r="J335">
        <v>400</v>
      </c>
      <c r="K335">
        <v>197</v>
      </c>
      <c r="L335">
        <v>928</v>
      </c>
      <c r="M335">
        <v>383</v>
      </c>
      <c r="N335">
        <v>133</v>
      </c>
      <c r="O335">
        <v>74</v>
      </c>
      <c r="P335">
        <v>309</v>
      </c>
      <c r="Q335">
        <v>355</v>
      </c>
    </row>
    <row r="336" spans="1:17">
      <c r="A336" s="1" t="s">
        <v>251</v>
      </c>
      <c r="B336">
        <v>20</v>
      </c>
      <c r="C336">
        <v>15</v>
      </c>
      <c r="D336">
        <v>5</v>
      </c>
      <c r="E336">
        <v>6.76</v>
      </c>
      <c r="F336">
        <v>1442</v>
      </c>
      <c r="G336">
        <v>506</v>
      </c>
      <c r="H336">
        <v>1123</v>
      </c>
      <c r="I336">
        <v>265</v>
      </c>
      <c r="J336">
        <v>377</v>
      </c>
      <c r="K336">
        <v>191</v>
      </c>
      <c r="L336">
        <v>706</v>
      </c>
      <c r="M336">
        <v>285</v>
      </c>
      <c r="N336">
        <v>93</v>
      </c>
      <c r="O336">
        <v>81</v>
      </c>
      <c r="P336">
        <v>234</v>
      </c>
      <c r="Q336">
        <v>319</v>
      </c>
    </row>
    <row r="337" spans="1:17">
      <c r="A337" s="1" t="s">
        <v>252</v>
      </c>
      <c r="B337">
        <v>23</v>
      </c>
      <c r="C337">
        <v>17</v>
      </c>
      <c r="D337">
        <v>6</v>
      </c>
      <c r="E337">
        <v>8.61</v>
      </c>
      <c r="F337">
        <v>1575</v>
      </c>
      <c r="G337">
        <v>583</v>
      </c>
      <c r="H337">
        <v>1211</v>
      </c>
      <c r="I337">
        <v>216</v>
      </c>
      <c r="J337">
        <v>266</v>
      </c>
      <c r="K337">
        <v>147</v>
      </c>
      <c r="L337">
        <v>729</v>
      </c>
      <c r="M337">
        <v>318</v>
      </c>
      <c r="N337">
        <v>113</v>
      </c>
      <c r="O337">
        <v>97</v>
      </c>
      <c r="P337">
        <v>214</v>
      </c>
      <c r="Q337">
        <v>296</v>
      </c>
    </row>
    <row r="338" spans="1:17">
      <c r="A338" s="1" t="s">
        <v>253</v>
      </c>
      <c r="B338">
        <v>20</v>
      </c>
      <c r="C338">
        <v>13</v>
      </c>
      <c r="D338">
        <v>7</v>
      </c>
      <c r="E338">
        <v>-5.81</v>
      </c>
      <c r="F338">
        <v>1425</v>
      </c>
      <c r="G338">
        <v>533</v>
      </c>
      <c r="H338">
        <v>1205</v>
      </c>
      <c r="I338">
        <v>242</v>
      </c>
      <c r="J338">
        <v>337</v>
      </c>
      <c r="K338">
        <v>247</v>
      </c>
      <c r="L338">
        <v>713</v>
      </c>
      <c r="M338">
        <v>258</v>
      </c>
      <c r="N338">
        <v>147</v>
      </c>
      <c r="O338">
        <v>51</v>
      </c>
      <c r="P338">
        <v>246</v>
      </c>
      <c r="Q338">
        <v>406</v>
      </c>
    </row>
    <row r="339" spans="1:17">
      <c r="A339" s="1" t="s">
        <v>254</v>
      </c>
      <c r="B339">
        <v>21</v>
      </c>
      <c r="C339">
        <v>6</v>
      </c>
      <c r="D339">
        <v>15</v>
      </c>
      <c r="E339">
        <v>9.2899999999999991</v>
      </c>
      <c r="F339">
        <v>1381</v>
      </c>
      <c r="G339">
        <v>474</v>
      </c>
      <c r="H339">
        <v>1154</v>
      </c>
      <c r="I339">
        <v>250</v>
      </c>
      <c r="J339">
        <v>345</v>
      </c>
      <c r="K339">
        <v>183</v>
      </c>
      <c r="L339">
        <v>680</v>
      </c>
      <c r="M339">
        <v>238</v>
      </c>
      <c r="N339">
        <v>133</v>
      </c>
      <c r="O339">
        <v>47</v>
      </c>
      <c r="P339">
        <v>293</v>
      </c>
      <c r="Q339">
        <v>352</v>
      </c>
    </row>
    <row r="340" spans="1:17">
      <c r="A340" s="1" t="s">
        <v>255</v>
      </c>
      <c r="B340">
        <v>26</v>
      </c>
      <c r="C340">
        <v>14</v>
      </c>
      <c r="D340">
        <v>12</v>
      </c>
      <c r="E340">
        <v>4.76</v>
      </c>
      <c r="F340">
        <v>1794</v>
      </c>
      <c r="G340">
        <v>609</v>
      </c>
      <c r="H340">
        <v>1481</v>
      </c>
      <c r="I340">
        <v>374</v>
      </c>
      <c r="J340">
        <v>527</v>
      </c>
      <c r="K340">
        <v>294</v>
      </c>
      <c r="L340">
        <v>986</v>
      </c>
      <c r="M340">
        <v>320</v>
      </c>
      <c r="N340">
        <v>160</v>
      </c>
      <c r="O340">
        <v>92</v>
      </c>
      <c r="P340">
        <v>391</v>
      </c>
      <c r="Q340">
        <v>477</v>
      </c>
    </row>
    <row r="341" spans="1:17">
      <c r="A341" s="1" t="s">
        <v>256</v>
      </c>
      <c r="B341">
        <v>25</v>
      </c>
      <c r="C341">
        <v>5</v>
      </c>
      <c r="D341">
        <v>20</v>
      </c>
      <c r="E341">
        <v>9.5399999999999991</v>
      </c>
      <c r="F341">
        <v>1664</v>
      </c>
      <c r="G341">
        <v>604</v>
      </c>
      <c r="H341">
        <v>1443</v>
      </c>
      <c r="I341">
        <v>270</v>
      </c>
      <c r="J341">
        <v>384</v>
      </c>
      <c r="K341">
        <v>203</v>
      </c>
      <c r="L341">
        <v>778</v>
      </c>
      <c r="M341">
        <v>265</v>
      </c>
      <c r="N341">
        <v>148</v>
      </c>
      <c r="O341">
        <v>92</v>
      </c>
      <c r="P341">
        <v>341</v>
      </c>
      <c r="Q341">
        <v>451</v>
      </c>
    </row>
    <row r="342" spans="1:17">
      <c r="A342" s="1" t="s">
        <v>257</v>
      </c>
      <c r="B342">
        <v>22</v>
      </c>
      <c r="C342">
        <v>17</v>
      </c>
      <c r="D342">
        <v>5</v>
      </c>
      <c r="E342">
        <v>-6.09</v>
      </c>
      <c r="F342">
        <v>1806</v>
      </c>
      <c r="G342">
        <v>631</v>
      </c>
      <c r="H342">
        <v>1242</v>
      </c>
      <c r="I342">
        <v>358</v>
      </c>
      <c r="J342">
        <v>456</v>
      </c>
      <c r="K342">
        <v>139</v>
      </c>
      <c r="L342">
        <v>726</v>
      </c>
      <c r="M342">
        <v>336</v>
      </c>
      <c r="N342">
        <v>144</v>
      </c>
      <c r="O342">
        <v>68</v>
      </c>
      <c r="P342">
        <v>276</v>
      </c>
      <c r="Q342">
        <v>363</v>
      </c>
    </row>
    <row r="343" spans="1:17">
      <c r="A343" s="1" t="s">
        <v>258</v>
      </c>
      <c r="B343">
        <v>26</v>
      </c>
      <c r="C343">
        <v>18</v>
      </c>
      <c r="D343">
        <v>8</v>
      </c>
      <c r="E343">
        <v>10.62</v>
      </c>
      <c r="F343">
        <v>2018</v>
      </c>
      <c r="G343">
        <v>683</v>
      </c>
      <c r="H343">
        <v>1594</v>
      </c>
      <c r="I343">
        <v>463</v>
      </c>
      <c r="J343">
        <v>645</v>
      </c>
      <c r="K343">
        <v>353</v>
      </c>
      <c r="L343">
        <v>998</v>
      </c>
      <c r="M343">
        <v>361</v>
      </c>
      <c r="N343">
        <v>189</v>
      </c>
      <c r="O343">
        <v>74</v>
      </c>
      <c r="P343">
        <v>313</v>
      </c>
      <c r="Q343">
        <v>427</v>
      </c>
    </row>
    <row r="344" spans="1:17">
      <c r="A344" s="1" t="s">
        <v>259</v>
      </c>
      <c r="B344">
        <v>27</v>
      </c>
      <c r="C344">
        <v>11</v>
      </c>
      <c r="D344">
        <v>16</v>
      </c>
      <c r="E344">
        <v>-1.45</v>
      </c>
      <c r="F344">
        <v>2039</v>
      </c>
      <c r="G344">
        <v>716</v>
      </c>
      <c r="H344">
        <v>1577</v>
      </c>
      <c r="I344">
        <v>381</v>
      </c>
      <c r="J344">
        <v>525</v>
      </c>
      <c r="K344">
        <v>211</v>
      </c>
      <c r="L344">
        <v>928</v>
      </c>
      <c r="M344">
        <v>359</v>
      </c>
      <c r="N344">
        <v>133</v>
      </c>
      <c r="O344">
        <v>75</v>
      </c>
      <c r="P344">
        <v>382</v>
      </c>
      <c r="Q344">
        <v>455</v>
      </c>
    </row>
    <row r="345" spans="1:17">
      <c r="A345" s="1" t="s">
        <v>260</v>
      </c>
      <c r="B345">
        <v>22</v>
      </c>
      <c r="C345">
        <v>7</v>
      </c>
      <c r="D345">
        <v>15</v>
      </c>
      <c r="E345">
        <v>-4.72</v>
      </c>
      <c r="F345">
        <v>1606</v>
      </c>
      <c r="G345">
        <v>550</v>
      </c>
      <c r="H345">
        <v>1362</v>
      </c>
      <c r="I345">
        <v>349</v>
      </c>
      <c r="J345">
        <v>488</v>
      </c>
      <c r="K345">
        <v>258</v>
      </c>
      <c r="L345">
        <v>839</v>
      </c>
      <c r="M345">
        <v>225</v>
      </c>
      <c r="N345">
        <v>116</v>
      </c>
      <c r="O345">
        <v>67</v>
      </c>
      <c r="P345">
        <v>286</v>
      </c>
      <c r="Q345">
        <v>444</v>
      </c>
    </row>
    <row r="346" spans="1:17">
      <c r="A346" s="1" t="s">
        <v>261</v>
      </c>
      <c r="B346">
        <v>24</v>
      </c>
      <c r="C346">
        <v>18</v>
      </c>
      <c r="D346">
        <v>6</v>
      </c>
      <c r="E346">
        <v>-0.1</v>
      </c>
      <c r="F346">
        <v>1773</v>
      </c>
      <c r="G346">
        <v>621</v>
      </c>
      <c r="H346">
        <v>1361</v>
      </c>
      <c r="I346">
        <v>382</v>
      </c>
      <c r="J346">
        <v>489</v>
      </c>
      <c r="K346">
        <v>258</v>
      </c>
      <c r="L346">
        <v>919</v>
      </c>
      <c r="M346">
        <v>317</v>
      </c>
      <c r="N346">
        <v>160</v>
      </c>
      <c r="O346">
        <v>103</v>
      </c>
      <c r="P346">
        <v>357</v>
      </c>
      <c r="Q346">
        <v>346</v>
      </c>
    </row>
    <row r="347" spans="1:17">
      <c r="A347" s="1" t="s">
        <v>262</v>
      </c>
      <c r="B347">
        <v>21</v>
      </c>
      <c r="C347">
        <v>5</v>
      </c>
      <c r="D347">
        <v>16</v>
      </c>
      <c r="E347">
        <v>0.15</v>
      </c>
      <c r="F347">
        <v>1325</v>
      </c>
      <c r="G347">
        <v>499</v>
      </c>
      <c r="H347">
        <v>1153</v>
      </c>
      <c r="I347">
        <v>186</v>
      </c>
      <c r="J347">
        <v>291</v>
      </c>
      <c r="K347">
        <v>167</v>
      </c>
      <c r="L347">
        <v>710</v>
      </c>
      <c r="M347">
        <v>245</v>
      </c>
      <c r="N347">
        <v>93</v>
      </c>
      <c r="O347">
        <v>42</v>
      </c>
      <c r="P347">
        <v>305</v>
      </c>
      <c r="Q347">
        <v>346</v>
      </c>
    </row>
    <row r="348" spans="1:17">
      <c r="A348" s="1" t="s">
        <v>263</v>
      </c>
      <c r="B348">
        <v>19</v>
      </c>
      <c r="C348">
        <v>15</v>
      </c>
      <c r="D348">
        <v>4</v>
      </c>
      <c r="E348">
        <v>7.43</v>
      </c>
      <c r="F348">
        <v>1393</v>
      </c>
      <c r="G348">
        <v>469</v>
      </c>
      <c r="H348">
        <v>1145</v>
      </c>
      <c r="I348">
        <v>299</v>
      </c>
      <c r="J348">
        <v>433</v>
      </c>
      <c r="K348">
        <v>236</v>
      </c>
      <c r="L348">
        <v>735</v>
      </c>
      <c r="M348">
        <v>249</v>
      </c>
      <c r="N348">
        <v>112</v>
      </c>
      <c r="O348">
        <v>66</v>
      </c>
      <c r="P348">
        <v>220</v>
      </c>
      <c r="Q348">
        <v>305</v>
      </c>
    </row>
    <row r="349" spans="1:17">
      <c r="A349" s="1" t="s">
        <v>264</v>
      </c>
      <c r="B349">
        <v>16</v>
      </c>
      <c r="C349">
        <v>7</v>
      </c>
      <c r="D349">
        <v>9</v>
      </c>
      <c r="E349">
        <v>-3.33</v>
      </c>
      <c r="F349">
        <v>1054</v>
      </c>
      <c r="G349">
        <v>371</v>
      </c>
      <c r="H349">
        <v>894</v>
      </c>
      <c r="I349">
        <v>219</v>
      </c>
      <c r="J349">
        <v>290</v>
      </c>
      <c r="K349">
        <v>161</v>
      </c>
      <c r="L349">
        <v>544</v>
      </c>
      <c r="M349">
        <v>175</v>
      </c>
      <c r="N349">
        <v>84</v>
      </c>
      <c r="O349">
        <v>53</v>
      </c>
      <c r="P349">
        <v>221</v>
      </c>
      <c r="Q349">
        <v>250</v>
      </c>
    </row>
    <row r="350" spans="1:17">
      <c r="A350" s="1" t="s">
        <v>325</v>
      </c>
      <c r="B350">
        <v>23</v>
      </c>
      <c r="C350">
        <v>22</v>
      </c>
      <c r="D350">
        <v>1</v>
      </c>
      <c r="E350">
        <v>-7.6</v>
      </c>
      <c r="F350">
        <v>1829</v>
      </c>
      <c r="G350">
        <v>642</v>
      </c>
      <c r="H350">
        <v>1412</v>
      </c>
      <c r="I350">
        <v>349</v>
      </c>
      <c r="J350">
        <v>512</v>
      </c>
      <c r="K350">
        <v>310</v>
      </c>
      <c r="L350">
        <v>934</v>
      </c>
      <c r="M350">
        <v>346</v>
      </c>
      <c r="N350">
        <v>180</v>
      </c>
      <c r="O350">
        <v>56</v>
      </c>
      <c r="P350">
        <v>324</v>
      </c>
      <c r="Q350">
        <v>422</v>
      </c>
    </row>
    <row r="351" spans="1:17">
      <c r="A351" s="1" t="s">
        <v>367</v>
      </c>
      <c r="B351">
        <v>26</v>
      </c>
      <c r="C351">
        <v>16</v>
      </c>
      <c r="D351">
        <v>10</v>
      </c>
      <c r="E351">
        <v>11.92</v>
      </c>
      <c r="F351">
        <v>1814</v>
      </c>
      <c r="G351">
        <v>636</v>
      </c>
      <c r="H351">
        <v>1518</v>
      </c>
      <c r="I351">
        <v>322</v>
      </c>
      <c r="J351">
        <v>426</v>
      </c>
      <c r="K351">
        <v>221</v>
      </c>
      <c r="L351">
        <v>884</v>
      </c>
      <c r="M351">
        <v>341</v>
      </c>
      <c r="N351">
        <v>156</v>
      </c>
      <c r="O351">
        <v>100</v>
      </c>
      <c r="P351">
        <v>230</v>
      </c>
      <c r="Q351">
        <v>419</v>
      </c>
    </row>
    <row r="352" spans="1:17">
      <c r="A352" s="1" t="s">
        <v>265</v>
      </c>
      <c r="B352">
        <v>24</v>
      </c>
      <c r="C352">
        <v>15</v>
      </c>
      <c r="D352">
        <v>9</v>
      </c>
      <c r="E352">
        <v>0.27</v>
      </c>
      <c r="F352">
        <v>1784</v>
      </c>
      <c r="G352">
        <v>646</v>
      </c>
      <c r="H352">
        <v>1374</v>
      </c>
      <c r="I352">
        <v>246</v>
      </c>
      <c r="J352">
        <v>349</v>
      </c>
      <c r="K352">
        <v>216</v>
      </c>
      <c r="L352">
        <v>829</v>
      </c>
      <c r="M352">
        <v>351</v>
      </c>
      <c r="N352">
        <v>160</v>
      </c>
      <c r="O352">
        <v>48</v>
      </c>
      <c r="P352">
        <v>306</v>
      </c>
      <c r="Q352">
        <v>380</v>
      </c>
    </row>
    <row r="353" spans="1:17">
      <c r="A353" s="1" t="s">
        <v>266</v>
      </c>
      <c r="B353">
        <v>24</v>
      </c>
      <c r="C353">
        <v>18</v>
      </c>
      <c r="D353">
        <v>6</v>
      </c>
      <c r="E353">
        <v>-6.41</v>
      </c>
      <c r="F353">
        <v>1967</v>
      </c>
      <c r="G353">
        <v>710</v>
      </c>
      <c r="H353">
        <v>1471</v>
      </c>
      <c r="I353">
        <v>368</v>
      </c>
      <c r="J353">
        <v>508</v>
      </c>
      <c r="K353">
        <v>284</v>
      </c>
      <c r="L353">
        <v>1015</v>
      </c>
      <c r="M353">
        <v>369</v>
      </c>
      <c r="N353">
        <v>141</v>
      </c>
      <c r="O353">
        <v>87</v>
      </c>
      <c r="P353">
        <v>314</v>
      </c>
      <c r="Q353">
        <v>328</v>
      </c>
    </row>
    <row r="354" spans="1:17">
      <c r="A354" s="1" t="s">
        <v>267</v>
      </c>
      <c r="B354">
        <v>23</v>
      </c>
      <c r="C354">
        <v>13</v>
      </c>
      <c r="D354">
        <v>10</v>
      </c>
      <c r="E354">
        <v>-2.48</v>
      </c>
      <c r="F354">
        <v>1738</v>
      </c>
      <c r="G354">
        <v>589</v>
      </c>
      <c r="H354">
        <v>1330</v>
      </c>
      <c r="I354">
        <v>332</v>
      </c>
      <c r="J354">
        <v>468</v>
      </c>
      <c r="K354">
        <v>194</v>
      </c>
      <c r="L354">
        <v>751</v>
      </c>
      <c r="M354">
        <v>317</v>
      </c>
      <c r="N354">
        <v>133</v>
      </c>
      <c r="O354">
        <v>49</v>
      </c>
      <c r="P354">
        <v>266</v>
      </c>
      <c r="Q354">
        <v>433</v>
      </c>
    </row>
    <row r="355" spans="1:17">
      <c r="A355" s="1" t="s">
        <v>268</v>
      </c>
      <c r="B355">
        <v>20</v>
      </c>
      <c r="C355">
        <v>13</v>
      </c>
      <c r="D355">
        <v>7</v>
      </c>
      <c r="E355">
        <v>7.68</v>
      </c>
      <c r="F355">
        <v>1502</v>
      </c>
      <c r="G355">
        <v>561</v>
      </c>
      <c r="H355">
        <v>1225</v>
      </c>
      <c r="I355">
        <v>227</v>
      </c>
      <c r="J355">
        <v>327</v>
      </c>
      <c r="K355">
        <v>188</v>
      </c>
      <c r="L355">
        <v>755</v>
      </c>
      <c r="M355">
        <v>355</v>
      </c>
      <c r="N355">
        <v>143</v>
      </c>
      <c r="O355">
        <v>82</v>
      </c>
      <c r="P355">
        <v>226</v>
      </c>
      <c r="Q355">
        <v>312</v>
      </c>
    </row>
    <row r="356" spans="1:17">
      <c r="A356" s="1" t="s">
        <v>269</v>
      </c>
      <c r="B356">
        <v>0</v>
      </c>
      <c r="C356">
        <v>0</v>
      </c>
      <c r="D356">
        <v>0</v>
      </c>
    </row>
    <row r="357" spans="1:17">
      <c r="A357" s="1" t="s">
        <v>270</v>
      </c>
      <c r="B357">
        <v>27</v>
      </c>
      <c r="C357">
        <v>15</v>
      </c>
      <c r="D357">
        <v>12</v>
      </c>
      <c r="E357">
        <v>-6.99</v>
      </c>
      <c r="F357">
        <v>2010</v>
      </c>
      <c r="G357">
        <v>717</v>
      </c>
      <c r="H357">
        <v>1672</v>
      </c>
      <c r="I357">
        <v>390</v>
      </c>
      <c r="J357">
        <v>537</v>
      </c>
      <c r="K357">
        <v>346</v>
      </c>
      <c r="L357">
        <v>991</v>
      </c>
      <c r="M357">
        <v>349</v>
      </c>
      <c r="N357">
        <v>163</v>
      </c>
      <c r="O357">
        <v>44</v>
      </c>
      <c r="P357">
        <v>310</v>
      </c>
      <c r="Q357">
        <v>441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2180-97EA-46C7-B5D5-44383F6AD03A}">
  <sheetPr codeName="Sheet25"/>
  <dimension ref="A1:R357"/>
  <sheetViews>
    <sheetView topLeftCell="A64" workbookViewId="0">
      <selection activeCell="A85" sqref="A85"/>
    </sheetView>
  </sheetViews>
  <sheetFormatPr defaultColWidth="8.85546875" defaultRowHeight="15"/>
  <cols>
    <col min="1" max="1" width="26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363</v>
      </c>
      <c r="B2">
        <v>27</v>
      </c>
      <c r="C2">
        <v>23</v>
      </c>
      <c r="D2">
        <v>4</v>
      </c>
      <c r="E2">
        <v>-8.4600000000000009</v>
      </c>
      <c r="F2">
        <v>2096</v>
      </c>
      <c r="G2">
        <v>749</v>
      </c>
      <c r="H2">
        <v>1628</v>
      </c>
      <c r="I2">
        <v>384</v>
      </c>
      <c r="J2">
        <v>571</v>
      </c>
      <c r="K2">
        <v>309</v>
      </c>
      <c r="L2">
        <v>980</v>
      </c>
      <c r="M2">
        <v>491</v>
      </c>
      <c r="N2">
        <v>268</v>
      </c>
      <c r="O2">
        <v>84</v>
      </c>
      <c r="P2">
        <v>374</v>
      </c>
      <c r="Q2">
        <v>524</v>
      </c>
      <c r="R2">
        <v>1</v>
      </c>
    </row>
    <row r="3" spans="1:18">
      <c r="A3" s="1" t="s">
        <v>17</v>
      </c>
      <c r="B3">
        <v>25</v>
      </c>
      <c r="C3">
        <v>5</v>
      </c>
      <c r="D3">
        <v>20</v>
      </c>
      <c r="E3">
        <v>0.17</v>
      </c>
      <c r="F3">
        <v>1468</v>
      </c>
      <c r="G3">
        <v>522</v>
      </c>
      <c r="H3">
        <v>1170</v>
      </c>
      <c r="I3">
        <v>250</v>
      </c>
      <c r="J3">
        <v>361</v>
      </c>
      <c r="K3">
        <v>110</v>
      </c>
      <c r="L3">
        <v>580</v>
      </c>
      <c r="M3">
        <v>308</v>
      </c>
      <c r="N3">
        <v>177</v>
      </c>
      <c r="O3">
        <v>62</v>
      </c>
      <c r="P3">
        <v>361</v>
      </c>
      <c r="Q3">
        <v>415</v>
      </c>
      <c r="R3">
        <v>2</v>
      </c>
    </row>
    <row r="4" spans="1:18">
      <c r="A4" s="1" t="s">
        <v>18</v>
      </c>
      <c r="B4">
        <v>23</v>
      </c>
      <c r="C4">
        <v>15</v>
      </c>
      <c r="D4">
        <v>8</v>
      </c>
      <c r="E4">
        <v>-1.02</v>
      </c>
      <c r="F4">
        <v>1798</v>
      </c>
      <c r="G4">
        <v>628</v>
      </c>
      <c r="H4">
        <v>1415</v>
      </c>
      <c r="I4">
        <v>325</v>
      </c>
      <c r="J4">
        <v>429</v>
      </c>
      <c r="K4">
        <v>262</v>
      </c>
      <c r="L4">
        <v>895</v>
      </c>
      <c r="M4">
        <v>305</v>
      </c>
      <c r="N4">
        <v>113</v>
      </c>
      <c r="O4">
        <v>84</v>
      </c>
      <c r="P4">
        <v>271</v>
      </c>
      <c r="Q4">
        <v>413</v>
      </c>
      <c r="R4">
        <v>3</v>
      </c>
    </row>
    <row r="5" spans="1:18">
      <c r="A5" s="1" t="s">
        <v>19</v>
      </c>
      <c r="B5">
        <v>15</v>
      </c>
      <c r="C5">
        <v>6</v>
      </c>
      <c r="D5">
        <v>9</v>
      </c>
      <c r="E5">
        <v>-15.39</v>
      </c>
      <c r="F5">
        <v>950</v>
      </c>
      <c r="G5">
        <v>347</v>
      </c>
      <c r="H5">
        <v>868</v>
      </c>
      <c r="I5">
        <v>173</v>
      </c>
      <c r="J5">
        <v>276</v>
      </c>
      <c r="K5">
        <v>160</v>
      </c>
      <c r="L5">
        <v>577</v>
      </c>
      <c r="M5">
        <v>165</v>
      </c>
      <c r="N5">
        <v>82</v>
      </c>
      <c r="O5">
        <v>54</v>
      </c>
      <c r="P5">
        <v>229</v>
      </c>
      <c r="Q5">
        <v>273</v>
      </c>
      <c r="R5">
        <v>4</v>
      </c>
    </row>
    <row r="6" spans="1:18">
      <c r="A6" s="1" t="s">
        <v>20</v>
      </c>
      <c r="B6">
        <v>29</v>
      </c>
      <c r="C6">
        <v>22</v>
      </c>
      <c r="D6">
        <v>7</v>
      </c>
      <c r="E6">
        <v>-3.79</v>
      </c>
      <c r="F6">
        <v>2105</v>
      </c>
      <c r="G6">
        <v>788</v>
      </c>
      <c r="H6">
        <v>1746</v>
      </c>
      <c r="I6">
        <v>382</v>
      </c>
      <c r="J6">
        <v>549</v>
      </c>
      <c r="K6">
        <v>311</v>
      </c>
      <c r="L6">
        <v>1063</v>
      </c>
      <c r="M6">
        <v>308</v>
      </c>
      <c r="N6">
        <v>231</v>
      </c>
      <c r="O6">
        <v>121</v>
      </c>
      <c r="P6">
        <v>304</v>
      </c>
      <c r="Q6">
        <v>441</v>
      </c>
      <c r="R6">
        <v>5</v>
      </c>
    </row>
    <row r="7" spans="1:18">
      <c r="A7" s="1" t="s">
        <v>21</v>
      </c>
      <c r="B7">
        <v>18</v>
      </c>
      <c r="C7">
        <v>4</v>
      </c>
      <c r="D7">
        <v>14</v>
      </c>
      <c r="E7">
        <v>-17.41</v>
      </c>
      <c r="F7">
        <v>1156</v>
      </c>
      <c r="G7">
        <v>383</v>
      </c>
      <c r="H7">
        <v>1009</v>
      </c>
      <c r="I7">
        <v>279</v>
      </c>
      <c r="J7">
        <v>431</v>
      </c>
      <c r="K7">
        <v>205</v>
      </c>
      <c r="L7">
        <v>653</v>
      </c>
      <c r="M7">
        <v>175</v>
      </c>
      <c r="N7">
        <v>110</v>
      </c>
      <c r="O7">
        <v>43</v>
      </c>
      <c r="P7">
        <v>291</v>
      </c>
      <c r="Q7">
        <v>343</v>
      </c>
      <c r="R7">
        <v>6</v>
      </c>
    </row>
    <row r="8" spans="1:18">
      <c r="A8" s="1" t="s">
        <v>22</v>
      </c>
      <c r="B8">
        <v>30</v>
      </c>
      <c r="C8">
        <v>24</v>
      </c>
      <c r="D8">
        <v>6</v>
      </c>
      <c r="E8">
        <v>10.36</v>
      </c>
      <c r="F8">
        <v>2387</v>
      </c>
      <c r="G8">
        <v>834</v>
      </c>
      <c r="H8">
        <v>1937</v>
      </c>
      <c r="I8">
        <v>399</v>
      </c>
      <c r="J8">
        <v>554</v>
      </c>
      <c r="K8">
        <v>372</v>
      </c>
      <c r="L8">
        <v>1215</v>
      </c>
      <c r="M8">
        <v>426</v>
      </c>
      <c r="N8">
        <v>259</v>
      </c>
      <c r="O8">
        <v>131</v>
      </c>
      <c r="P8">
        <v>420</v>
      </c>
      <c r="Q8">
        <v>554</v>
      </c>
      <c r="R8">
        <v>7</v>
      </c>
    </row>
    <row r="9" spans="1:18">
      <c r="A9" s="1" t="s">
        <v>23</v>
      </c>
      <c r="B9">
        <v>16</v>
      </c>
      <c r="C9">
        <v>7</v>
      </c>
      <c r="D9">
        <v>9</v>
      </c>
      <c r="E9">
        <v>-4.41</v>
      </c>
      <c r="F9">
        <v>1110</v>
      </c>
      <c r="G9">
        <v>395</v>
      </c>
      <c r="H9">
        <v>883</v>
      </c>
      <c r="I9">
        <v>218</v>
      </c>
      <c r="J9">
        <v>301</v>
      </c>
      <c r="K9">
        <v>110</v>
      </c>
      <c r="L9">
        <v>480</v>
      </c>
      <c r="M9">
        <v>187</v>
      </c>
      <c r="N9">
        <v>98</v>
      </c>
      <c r="O9">
        <v>29</v>
      </c>
      <c r="P9">
        <v>201</v>
      </c>
      <c r="Q9">
        <v>285</v>
      </c>
      <c r="R9">
        <v>8</v>
      </c>
    </row>
    <row r="10" spans="1:18">
      <c r="A10" s="1" t="s">
        <v>24</v>
      </c>
      <c r="B10">
        <v>19</v>
      </c>
      <c r="C10">
        <v>6</v>
      </c>
      <c r="D10">
        <v>13</v>
      </c>
      <c r="E10">
        <v>-10.45</v>
      </c>
      <c r="F10">
        <v>1256</v>
      </c>
      <c r="G10">
        <v>435</v>
      </c>
      <c r="H10">
        <v>1107</v>
      </c>
      <c r="I10">
        <v>273</v>
      </c>
      <c r="J10">
        <v>376</v>
      </c>
      <c r="K10">
        <v>206</v>
      </c>
      <c r="L10">
        <v>608</v>
      </c>
      <c r="M10">
        <v>177</v>
      </c>
      <c r="N10">
        <v>144</v>
      </c>
      <c r="O10">
        <v>30</v>
      </c>
      <c r="P10">
        <v>276</v>
      </c>
      <c r="Q10">
        <v>394</v>
      </c>
      <c r="R10">
        <v>9</v>
      </c>
    </row>
    <row r="11" spans="1:18">
      <c r="A11" s="1" t="s">
        <v>25</v>
      </c>
      <c r="B11">
        <v>10</v>
      </c>
      <c r="C11">
        <v>4</v>
      </c>
      <c r="D11">
        <v>6</v>
      </c>
      <c r="E11">
        <v>2.04</v>
      </c>
      <c r="F11">
        <v>691</v>
      </c>
      <c r="G11">
        <v>248</v>
      </c>
      <c r="H11">
        <v>557</v>
      </c>
      <c r="I11">
        <v>105</v>
      </c>
      <c r="J11">
        <v>149</v>
      </c>
      <c r="K11">
        <v>78</v>
      </c>
      <c r="L11">
        <v>326</v>
      </c>
      <c r="M11">
        <v>128</v>
      </c>
      <c r="N11">
        <v>73</v>
      </c>
      <c r="O11">
        <v>47</v>
      </c>
      <c r="P11">
        <v>158</v>
      </c>
      <c r="Q11">
        <v>193</v>
      </c>
      <c r="R11">
        <v>10</v>
      </c>
    </row>
    <row r="12" spans="1:18">
      <c r="A12" s="1" t="s">
        <v>271</v>
      </c>
      <c r="B12">
        <v>28</v>
      </c>
      <c r="C12">
        <v>17</v>
      </c>
      <c r="D12">
        <v>11</v>
      </c>
      <c r="E12">
        <v>-5.24</v>
      </c>
      <c r="F12">
        <v>1986</v>
      </c>
      <c r="G12">
        <v>674</v>
      </c>
      <c r="H12">
        <v>1626</v>
      </c>
      <c r="I12">
        <v>411</v>
      </c>
      <c r="J12">
        <v>558</v>
      </c>
      <c r="K12">
        <v>307</v>
      </c>
      <c r="L12">
        <v>1007</v>
      </c>
      <c r="M12">
        <v>333</v>
      </c>
      <c r="N12">
        <v>225</v>
      </c>
      <c r="O12">
        <v>97</v>
      </c>
      <c r="P12">
        <v>329</v>
      </c>
      <c r="Q12">
        <v>386</v>
      </c>
      <c r="R12">
        <v>11</v>
      </c>
    </row>
    <row r="13" spans="1:18">
      <c r="A13" s="1" t="s">
        <v>26</v>
      </c>
      <c r="B13">
        <v>25</v>
      </c>
      <c r="C13">
        <v>11</v>
      </c>
      <c r="D13">
        <v>14</v>
      </c>
      <c r="E13">
        <v>8.1300000000000008</v>
      </c>
      <c r="F13">
        <v>1858</v>
      </c>
      <c r="G13">
        <v>656</v>
      </c>
      <c r="H13">
        <v>1515</v>
      </c>
      <c r="I13">
        <v>367</v>
      </c>
      <c r="J13">
        <v>504</v>
      </c>
      <c r="K13">
        <v>196</v>
      </c>
      <c r="L13">
        <v>797</v>
      </c>
      <c r="M13">
        <v>327</v>
      </c>
      <c r="N13">
        <v>182</v>
      </c>
      <c r="O13">
        <v>82</v>
      </c>
      <c r="P13">
        <v>274</v>
      </c>
      <c r="Q13">
        <v>478</v>
      </c>
      <c r="R13">
        <v>12</v>
      </c>
    </row>
    <row r="14" spans="1:18">
      <c r="A14" s="1" t="s">
        <v>356</v>
      </c>
      <c r="B14">
        <v>26</v>
      </c>
      <c r="C14">
        <v>17</v>
      </c>
      <c r="D14">
        <v>9</v>
      </c>
      <c r="E14">
        <v>5.85</v>
      </c>
      <c r="F14">
        <v>1961</v>
      </c>
      <c r="G14">
        <v>667</v>
      </c>
      <c r="H14">
        <v>1492</v>
      </c>
      <c r="I14">
        <v>453</v>
      </c>
      <c r="J14">
        <v>623</v>
      </c>
      <c r="K14">
        <v>305</v>
      </c>
      <c r="L14">
        <v>997</v>
      </c>
      <c r="M14">
        <v>403</v>
      </c>
      <c r="N14">
        <v>152</v>
      </c>
      <c r="O14">
        <v>104</v>
      </c>
      <c r="P14">
        <v>309</v>
      </c>
      <c r="Q14">
        <v>463</v>
      </c>
      <c r="R14">
        <v>13</v>
      </c>
    </row>
    <row r="15" spans="1:18">
      <c r="A15" s="1" t="s">
        <v>27</v>
      </c>
      <c r="B15">
        <v>26</v>
      </c>
      <c r="C15">
        <v>11</v>
      </c>
      <c r="D15">
        <v>15</v>
      </c>
      <c r="E15">
        <v>-5.35</v>
      </c>
      <c r="F15">
        <v>1786</v>
      </c>
      <c r="G15">
        <v>638</v>
      </c>
      <c r="H15">
        <v>1401</v>
      </c>
      <c r="I15">
        <v>363</v>
      </c>
      <c r="J15">
        <v>517</v>
      </c>
      <c r="K15">
        <v>261</v>
      </c>
      <c r="L15">
        <v>898</v>
      </c>
      <c r="M15">
        <v>354</v>
      </c>
      <c r="N15">
        <v>165</v>
      </c>
      <c r="O15">
        <v>86</v>
      </c>
      <c r="P15">
        <v>392</v>
      </c>
      <c r="Q15">
        <v>415</v>
      </c>
      <c r="R15">
        <v>14</v>
      </c>
    </row>
    <row r="16" spans="1:18">
      <c r="A16" s="1" t="s">
        <v>28</v>
      </c>
      <c r="B16">
        <v>25</v>
      </c>
      <c r="C16">
        <v>4</v>
      </c>
      <c r="D16">
        <v>21</v>
      </c>
      <c r="E16">
        <v>-8.02</v>
      </c>
      <c r="F16">
        <v>1549</v>
      </c>
      <c r="G16">
        <v>524</v>
      </c>
      <c r="H16">
        <v>1356</v>
      </c>
      <c r="I16">
        <v>378</v>
      </c>
      <c r="J16">
        <v>523</v>
      </c>
      <c r="K16">
        <v>240</v>
      </c>
      <c r="L16">
        <v>807</v>
      </c>
      <c r="M16">
        <v>240</v>
      </c>
      <c r="N16">
        <v>160</v>
      </c>
      <c r="O16">
        <v>95</v>
      </c>
      <c r="P16">
        <v>394</v>
      </c>
      <c r="Q16">
        <v>455</v>
      </c>
      <c r="R16">
        <v>15</v>
      </c>
    </row>
    <row r="17" spans="1:18">
      <c r="A17" s="1" t="s">
        <v>29</v>
      </c>
      <c r="B17">
        <v>24</v>
      </c>
      <c r="C17">
        <v>11</v>
      </c>
      <c r="D17">
        <v>13</v>
      </c>
      <c r="E17">
        <v>-5.86</v>
      </c>
      <c r="F17">
        <v>1741</v>
      </c>
      <c r="G17">
        <v>621</v>
      </c>
      <c r="H17">
        <v>1390</v>
      </c>
      <c r="I17">
        <v>345</v>
      </c>
      <c r="J17">
        <v>478</v>
      </c>
      <c r="K17">
        <v>265</v>
      </c>
      <c r="L17">
        <v>892</v>
      </c>
      <c r="M17">
        <v>347</v>
      </c>
      <c r="N17">
        <v>158</v>
      </c>
      <c r="O17">
        <v>68</v>
      </c>
      <c r="P17">
        <v>313</v>
      </c>
      <c r="Q17">
        <v>385</v>
      </c>
      <c r="R17">
        <v>16</v>
      </c>
    </row>
    <row r="18" spans="1:18">
      <c r="A18" s="1" t="s">
        <v>302</v>
      </c>
      <c r="B18">
        <v>28</v>
      </c>
      <c r="C18">
        <v>22</v>
      </c>
      <c r="D18">
        <v>6</v>
      </c>
      <c r="E18">
        <v>6.34</v>
      </c>
      <c r="F18">
        <v>2307</v>
      </c>
      <c r="G18">
        <v>825</v>
      </c>
      <c r="H18">
        <v>1814</v>
      </c>
      <c r="I18">
        <v>437</v>
      </c>
      <c r="J18">
        <v>593</v>
      </c>
      <c r="K18">
        <v>334</v>
      </c>
      <c r="L18">
        <v>1119</v>
      </c>
      <c r="M18">
        <v>419</v>
      </c>
      <c r="N18">
        <v>226</v>
      </c>
      <c r="O18">
        <v>145</v>
      </c>
      <c r="P18">
        <v>368</v>
      </c>
      <c r="Q18">
        <v>474</v>
      </c>
      <c r="R18">
        <v>17</v>
      </c>
    </row>
    <row r="19" spans="1:18">
      <c r="A19" s="1" t="s">
        <v>30</v>
      </c>
      <c r="B19">
        <v>21</v>
      </c>
      <c r="C19">
        <v>12</v>
      </c>
      <c r="D19">
        <v>9</v>
      </c>
      <c r="E19">
        <v>4.7699999999999996</v>
      </c>
      <c r="F19">
        <v>1511</v>
      </c>
      <c r="G19">
        <v>563</v>
      </c>
      <c r="H19">
        <v>1225</v>
      </c>
      <c r="I19">
        <v>219</v>
      </c>
      <c r="J19">
        <v>345</v>
      </c>
      <c r="K19">
        <v>169</v>
      </c>
      <c r="L19">
        <v>728</v>
      </c>
      <c r="M19">
        <v>304</v>
      </c>
      <c r="N19">
        <v>133</v>
      </c>
      <c r="O19">
        <v>30</v>
      </c>
      <c r="P19">
        <v>263</v>
      </c>
      <c r="Q19">
        <v>325</v>
      </c>
      <c r="R19">
        <v>18</v>
      </c>
    </row>
    <row r="20" spans="1:18">
      <c r="A20" s="1" t="s">
        <v>272</v>
      </c>
      <c r="B20">
        <v>27</v>
      </c>
      <c r="C20">
        <v>13</v>
      </c>
      <c r="D20">
        <v>14</v>
      </c>
      <c r="E20">
        <v>9.5299999999999994</v>
      </c>
      <c r="F20">
        <v>2084</v>
      </c>
      <c r="G20">
        <v>711</v>
      </c>
      <c r="H20">
        <v>1628</v>
      </c>
      <c r="I20">
        <v>417</v>
      </c>
      <c r="J20">
        <v>589</v>
      </c>
      <c r="K20">
        <v>348</v>
      </c>
      <c r="L20">
        <v>1063</v>
      </c>
      <c r="M20">
        <v>400</v>
      </c>
      <c r="N20">
        <v>168</v>
      </c>
      <c r="O20">
        <v>163</v>
      </c>
      <c r="P20">
        <v>438</v>
      </c>
      <c r="Q20">
        <v>482</v>
      </c>
      <c r="R20">
        <v>19</v>
      </c>
    </row>
    <row r="21" spans="1:18">
      <c r="A21" s="1" t="s">
        <v>31</v>
      </c>
      <c r="B21">
        <v>27</v>
      </c>
      <c r="C21">
        <v>14</v>
      </c>
      <c r="D21">
        <v>13</v>
      </c>
      <c r="E21">
        <v>-7.85</v>
      </c>
      <c r="F21">
        <v>2007</v>
      </c>
      <c r="G21">
        <v>733</v>
      </c>
      <c r="H21">
        <v>1617</v>
      </c>
      <c r="I21">
        <v>347</v>
      </c>
      <c r="J21">
        <v>462</v>
      </c>
      <c r="K21">
        <v>341</v>
      </c>
      <c r="L21">
        <v>931</v>
      </c>
      <c r="M21">
        <v>357</v>
      </c>
      <c r="N21">
        <v>183</v>
      </c>
      <c r="O21">
        <v>54</v>
      </c>
      <c r="P21">
        <v>397</v>
      </c>
      <c r="Q21">
        <v>472</v>
      </c>
      <c r="R21">
        <v>20</v>
      </c>
    </row>
    <row r="22" spans="1:18">
      <c r="A22" s="1" t="s">
        <v>273</v>
      </c>
      <c r="B22">
        <v>23</v>
      </c>
      <c r="C22">
        <v>10</v>
      </c>
      <c r="D22">
        <v>13</v>
      </c>
      <c r="E22">
        <v>-0.37</v>
      </c>
      <c r="F22">
        <v>1719</v>
      </c>
      <c r="G22">
        <v>613</v>
      </c>
      <c r="H22">
        <v>1384</v>
      </c>
      <c r="I22">
        <v>298</v>
      </c>
      <c r="J22">
        <v>397</v>
      </c>
      <c r="K22">
        <v>229</v>
      </c>
      <c r="L22">
        <v>848</v>
      </c>
      <c r="M22">
        <v>318</v>
      </c>
      <c r="N22">
        <v>126</v>
      </c>
      <c r="O22">
        <v>54</v>
      </c>
      <c r="P22">
        <v>330</v>
      </c>
      <c r="Q22">
        <v>441</v>
      </c>
      <c r="R22">
        <v>21</v>
      </c>
    </row>
    <row r="23" spans="1:18">
      <c r="A23" s="1" t="s">
        <v>32</v>
      </c>
      <c r="B23">
        <v>24</v>
      </c>
      <c r="C23">
        <v>22</v>
      </c>
      <c r="D23">
        <v>2</v>
      </c>
      <c r="E23">
        <v>5.36</v>
      </c>
      <c r="F23">
        <v>2025</v>
      </c>
      <c r="G23">
        <v>746</v>
      </c>
      <c r="H23">
        <v>1513</v>
      </c>
      <c r="I23">
        <v>285</v>
      </c>
      <c r="J23">
        <v>409</v>
      </c>
      <c r="K23">
        <v>309</v>
      </c>
      <c r="L23">
        <v>875</v>
      </c>
      <c r="M23">
        <v>409</v>
      </c>
      <c r="N23">
        <v>215</v>
      </c>
      <c r="O23">
        <v>90</v>
      </c>
      <c r="P23">
        <v>298</v>
      </c>
      <c r="Q23">
        <v>412</v>
      </c>
      <c r="R23">
        <v>22</v>
      </c>
    </row>
    <row r="24" spans="1:18">
      <c r="A24" s="1" t="s">
        <v>370</v>
      </c>
      <c r="B24">
        <v>20</v>
      </c>
      <c r="C24">
        <v>13</v>
      </c>
      <c r="D24">
        <v>7</v>
      </c>
      <c r="E24">
        <v>-6.24</v>
      </c>
      <c r="F24">
        <v>1486</v>
      </c>
      <c r="G24">
        <v>562</v>
      </c>
      <c r="H24">
        <v>1091</v>
      </c>
      <c r="I24">
        <v>234</v>
      </c>
      <c r="J24">
        <v>314</v>
      </c>
      <c r="K24">
        <v>159</v>
      </c>
      <c r="L24">
        <v>608</v>
      </c>
      <c r="M24">
        <v>316</v>
      </c>
      <c r="N24">
        <v>143</v>
      </c>
      <c r="O24">
        <v>42</v>
      </c>
      <c r="P24">
        <v>222</v>
      </c>
      <c r="Q24">
        <v>307</v>
      </c>
      <c r="R24">
        <v>23</v>
      </c>
    </row>
    <row r="25" spans="1:18">
      <c r="A25" s="1" t="s">
        <v>33</v>
      </c>
      <c r="B25">
        <v>30</v>
      </c>
      <c r="C25">
        <v>26</v>
      </c>
      <c r="D25">
        <v>4</v>
      </c>
      <c r="E25">
        <v>-8.2899999999999991</v>
      </c>
      <c r="F25">
        <v>2439</v>
      </c>
      <c r="G25">
        <v>894</v>
      </c>
      <c r="H25">
        <v>1829</v>
      </c>
      <c r="I25">
        <v>380</v>
      </c>
      <c r="J25">
        <v>515</v>
      </c>
      <c r="K25">
        <v>264</v>
      </c>
      <c r="L25">
        <v>1072</v>
      </c>
      <c r="M25">
        <v>547</v>
      </c>
      <c r="N25">
        <v>232</v>
      </c>
      <c r="O25">
        <v>87</v>
      </c>
      <c r="P25">
        <v>361</v>
      </c>
      <c r="Q25">
        <v>438</v>
      </c>
      <c r="R25">
        <v>24</v>
      </c>
    </row>
    <row r="26" spans="1:18">
      <c r="A26" s="1" t="s">
        <v>303</v>
      </c>
      <c r="B26">
        <v>18</v>
      </c>
      <c r="C26">
        <v>4</v>
      </c>
      <c r="D26">
        <v>14</v>
      </c>
      <c r="E26">
        <v>-4.5599999999999996</v>
      </c>
      <c r="F26">
        <v>1178</v>
      </c>
      <c r="G26">
        <v>430</v>
      </c>
      <c r="H26">
        <v>1039</v>
      </c>
      <c r="I26">
        <v>162</v>
      </c>
      <c r="J26">
        <v>241</v>
      </c>
      <c r="K26">
        <v>191</v>
      </c>
      <c r="L26">
        <v>642</v>
      </c>
      <c r="M26">
        <v>199</v>
      </c>
      <c r="N26">
        <v>90</v>
      </c>
      <c r="O26">
        <v>55</v>
      </c>
      <c r="P26">
        <v>250</v>
      </c>
      <c r="Q26">
        <v>307</v>
      </c>
      <c r="R26">
        <v>25</v>
      </c>
    </row>
    <row r="27" spans="1:18">
      <c r="A27" s="1" t="s">
        <v>35</v>
      </c>
      <c r="B27">
        <v>26</v>
      </c>
      <c r="C27">
        <v>18</v>
      </c>
      <c r="D27">
        <v>8</v>
      </c>
      <c r="E27">
        <v>0.85</v>
      </c>
      <c r="F27">
        <v>1981</v>
      </c>
      <c r="G27">
        <v>693</v>
      </c>
      <c r="H27">
        <v>1522</v>
      </c>
      <c r="I27">
        <v>396</v>
      </c>
      <c r="J27">
        <v>532</v>
      </c>
      <c r="K27">
        <v>239</v>
      </c>
      <c r="L27">
        <v>929</v>
      </c>
      <c r="M27">
        <v>348</v>
      </c>
      <c r="N27">
        <v>172</v>
      </c>
      <c r="O27">
        <v>76</v>
      </c>
      <c r="P27">
        <v>299</v>
      </c>
      <c r="Q27">
        <v>443</v>
      </c>
      <c r="R27">
        <v>26</v>
      </c>
    </row>
    <row r="28" spans="1:18">
      <c r="A28" s="1" t="s">
        <v>36</v>
      </c>
      <c r="B28">
        <v>20</v>
      </c>
      <c r="C28">
        <v>4</v>
      </c>
      <c r="D28">
        <v>16</v>
      </c>
      <c r="E28">
        <v>9.84</v>
      </c>
      <c r="F28">
        <v>1427</v>
      </c>
      <c r="G28">
        <v>500</v>
      </c>
      <c r="H28">
        <v>1186</v>
      </c>
      <c r="I28">
        <v>247</v>
      </c>
      <c r="J28">
        <v>352</v>
      </c>
      <c r="K28">
        <v>183</v>
      </c>
      <c r="L28">
        <v>666</v>
      </c>
      <c r="M28">
        <v>230</v>
      </c>
      <c r="N28">
        <v>143</v>
      </c>
      <c r="O28">
        <v>77</v>
      </c>
      <c r="P28">
        <v>274</v>
      </c>
      <c r="Q28">
        <v>324</v>
      </c>
      <c r="R28">
        <v>27</v>
      </c>
    </row>
    <row r="29" spans="1:18">
      <c r="A29" s="1" t="s">
        <v>37</v>
      </c>
      <c r="B29">
        <v>18</v>
      </c>
      <c r="C29">
        <v>7</v>
      </c>
      <c r="D29">
        <v>11</v>
      </c>
      <c r="E29">
        <v>5.67</v>
      </c>
      <c r="F29">
        <v>1249</v>
      </c>
      <c r="G29">
        <v>451</v>
      </c>
      <c r="H29">
        <v>1034</v>
      </c>
      <c r="I29">
        <v>222</v>
      </c>
      <c r="J29">
        <v>296</v>
      </c>
      <c r="K29">
        <v>181</v>
      </c>
      <c r="L29">
        <v>634</v>
      </c>
      <c r="M29">
        <v>189</v>
      </c>
      <c r="N29">
        <v>97</v>
      </c>
      <c r="O29">
        <v>53</v>
      </c>
      <c r="P29">
        <v>225</v>
      </c>
      <c r="Q29">
        <v>305</v>
      </c>
      <c r="R29">
        <v>28</v>
      </c>
    </row>
    <row r="30" spans="1:18">
      <c r="A30" s="1" t="s">
        <v>38</v>
      </c>
      <c r="B30">
        <v>25</v>
      </c>
      <c r="C30">
        <v>14</v>
      </c>
      <c r="D30">
        <v>11</v>
      </c>
      <c r="E30">
        <v>-1.31</v>
      </c>
      <c r="F30">
        <v>1963</v>
      </c>
      <c r="G30">
        <v>702</v>
      </c>
      <c r="H30">
        <v>1662</v>
      </c>
      <c r="I30">
        <v>352</v>
      </c>
      <c r="J30">
        <v>477</v>
      </c>
      <c r="K30">
        <v>313</v>
      </c>
      <c r="L30">
        <v>957</v>
      </c>
      <c r="M30">
        <v>316</v>
      </c>
      <c r="N30">
        <v>181</v>
      </c>
      <c r="O30">
        <v>51</v>
      </c>
      <c r="P30">
        <v>251</v>
      </c>
      <c r="Q30">
        <v>429</v>
      </c>
      <c r="R30">
        <v>29</v>
      </c>
    </row>
    <row r="31" spans="1:18">
      <c r="A31" s="1" t="s">
        <v>39</v>
      </c>
      <c r="B31">
        <v>28</v>
      </c>
      <c r="C31">
        <v>12</v>
      </c>
      <c r="D31">
        <v>16</v>
      </c>
      <c r="E31">
        <v>1.34</v>
      </c>
      <c r="F31">
        <v>1948</v>
      </c>
      <c r="G31">
        <v>736</v>
      </c>
      <c r="H31">
        <v>1636</v>
      </c>
      <c r="I31">
        <v>284</v>
      </c>
      <c r="J31">
        <v>393</v>
      </c>
      <c r="K31">
        <v>284</v>
      </c>
      <c r="L31">
        <v>1033</v>
      </c>
      <c r="M31">
        <v>382</v>
      </c>
      <c r="N31">
        <v>144</v>
      </c>
      <c r="O31">
        <v>98</v>
      </c>
      <c r="P31">
        <v>346</v>
      </c>
      <c r="Q31">
        <v>455</v>
      </c>
      <c r="R31">
        <v>30</v>
      </c>
    </row>
    <row r="32" spans="1:18">
      <c r="A32" s="1" t="s">
        <v>40</v>
      </c>
      <c r="B32">
        <v>26</v>
      </c>
      <c r="C32">
        <v>20</v>
      </c>
      <c r="D32">
        <v>6</v>
      </c>
      <c r="E32">
        <v>5.86</v>
      </c>
      <c r="F32">
        <v>2047</v>
      </c>
      <c r="G32">
        <v>751</v>
      </c>
      <c r="H32">
        <v>1557</v>
      </c>
      <c r="I32">
        <v>312</v>
      </c>
      <c r="J32">
        <v>427</v>
      </c>
      <c r="K32">
        <v>247</v>
      </c>
      <c r="L32">
        <v>1024</v>
      </c>
      <c r="M32">
        <v>431</v>
      </c>
      <c r="N32">
        <v>123</v>
      </c>
      <c r="O32">
        <v>73</v>
      </c>
      <c r="P32">
        <v>346</v>
      </c>
      <c r="Q32">
        <v>468</v>
      </c>
      <c r="R32">
        <v>31</v>
      </c>
    </row>
    <row r="33" spans="1:18">
      <c r="A33" s="1" t="s">
        <v>41</v>
      </c>
      <c r="B33">
        <v>0</v>
      </c>
      <c r="C33">
        <v>0</v>
      </c>
      <c r="D33">
        <v>0</v>
      </c>
      <c r="R33">
        <v>32</v>
      </c>
    </row>
    <row r="34" spans="1:18">
      <c r="A34" s="1" t="s">
        <v>352</v>
      </c>
      <c r="B34">
        <v>21</v>
      </c>
      <c r="C34">
        <v>15</v>
      </c>
      <c r="D34">
        <v>6</v>
      </c>
      <c r="E34">
        <v>-5.76</v>
      </c>
      <c r="F34">
        <v>1761</v>
      </c>
      <c r="G34">
        <v>609</v>
      </c>
      <c r="H34">
        <v>1300</v>
      </c>
      <c r="I34">
        <v>345</v>
      </c>
      <c r="J34">
        <v>456</v>
      </c>
      <c r="K34">
        <v>220</v>
      </c>
      <c r="L34">
        <v>845</v>
      </c>
      <c r="M34">
        <v>327</v>
      </c>
      <c r="N34">
        <v>143</v>
      </c>
      <c r="O34">
        <v>75</v>
      </c>
      <c r="P34">
        <v>319</v>
      </c>
      <c r="Q34">
        <v>347</v>
      </c>
      <c r="R34">
        <v>33</v>
      </c>
    </row>
    <row r="35" spans="1:18">
      <c r="A35" s="1" t="s">
        <v>42</v>
      </c>
      <c r="B35">
        <v>12</v>
      </c>
      <c r="C35">
        <v>5</v>
      </c>
      <c r="D35">
        <v>7</v>
      </c>
      <c r="E35">
        <v>-1.29</v>
      </c>
      <c r="F35">
        <v>899</v>
      </c>
      <c r="G35">
        <v>311</v>
      </c>
      <c r="H35">
        <v>683</v>
      </c>
      <c r="I35">
        <v>189</v>
      </c>
      <c r="J35">
        <v>248</v>
      </c>
      <c r="K35">
        <v>78</v>
      </c>
      <c r="L35">
        <v>402</v>
      </c>
      <c r="M35">
        <v>144</v>
      </c>
      <c r="N35">
        <v>70</v>
      </c>
      <c r="O35">
        <v>42</v>
      </c>
      <c r="P35">
        <v>152</v>
      </c>
      <c r="Q35">
        <v>209</v>
      </c>
      <c r="R35">
        <v>34</v>
      </c>
    </row>
    <row r="36" spans="1:18">
      <c r="A36" s="1" t="s">
        <v>43</v>
      </c>
      <c r="B36">
        <v>24</v>
      </c>
      <c r="C36">
        <v>16</v>
      </c>
      <c r="D36">
        <v>8</v>
      </c>
      <c r="E36">
        <v>-1.02</v>
      </c>
      <c r="F36">
        <v>1961</v>
      </c>
      <c r="G36">
        <v>736</v>
      </c>
      <c r="H36">
        <v>1599</v>
      </c>
      <c r="I36">
        <v>321</v>
      </c>
      <c r="J36">
        <v>477</v>
      </c>
      <c r="K36">
        <v>357</v>
      </c>
      <c r="L36">
        <v>1055</v>
      </c>
      <c r="M36">
        <v>385</v>
      </c>
      <c r="N36">
        <v>192</v>
      </c>
      <c r="O36">
        <v>98</v>
      </c>
      <c r="P36">
        <v>333</v>
      </c>
      <c r="Q36">
        <v>431</v>
      </c>
      <c r="R36">
        <v>35</v>
      </c>
    </row>
    <row r="37" spans="1:18">
      <c r="A37" s="1" t="s">
        <v>304</v>
      </c>
      <c r="B37">
        <v>25</v>
      </c>
      <c r="C37">
        <v>10</v>
      </c>
      <c r="D37">
        <v>15</v>
      </c>
      <c r="E37">
        <v>10.9</v>
      </c>
      <c r="F37">
        <v>1588</v>
      </c>
      <c r="G37">
        <v>572</v>
      </c>
      <c r="H37">
        <v>1393</v>
      </c>
      <c r="I37">
        <v>265</v>
      </c>
      <c r="J37">
        <v>410</v>
      </c>
      <c r="K37">
        <v>230</v>
      </c>
      <c r="L37">
        <v>807</v>
      </c>
      <c r="M37">
        <v>308</v>
      </c>
      <c r="N37">
        <v>139</v>
      </c>
      <c r="O37">
        <v>51</v>
      </c>
      <c r="P37">
        <v>286</v>
      </c>
      <c r="Q37">
        <v>406</v>
      </c>
      <c r="R37">
        <v>36</v>
      </c>
    </row>
    <row r="38" spans="1:18">
      <c r="A38" s="1" t="s">
        <v>44</v>
      </c>
      <c r="B38">
        <v>24</v>
      </c>
      <c r="C38">
        <v>4</v>
      </c>
      <c r="D38">
        <v>20</v>
      </c>
      <c r="E38">
        <v>-2.94</v>
      </c>
      <c r="F38">
        <v>1477</v>
      </c>
      <c r="G38">
        <v>520</v>
      </c>
      <c r="H38">
        <v>1316</v>
      </c>
      <c r="I38">
        <v>280</v>
      </c>
      <c r="J38">
        <v>388</v>
      </c>
      <c r="K38">
        <v>187</v>
      </c>
      <c r="L38">
        <v>778</v>
      </c>
      <c r="M38">
        <v>299</v>
      </c>
      <c r="N38">
        <v>149</v>
      </c>
      <c r="O38">
        <v>84</v>
      </c>
      <c r="P38">
        <v>332</v>
      </c>
      <c r="Q38">
        <v>446</v>
      </c>
      <c r="R38">
        <v>37</v>
      </c>
    </row>
    <row r="39" spans="1:18">
      <c r="A39" s="1" t="s">
        <v>343</v>
      </c>
      <c r="B39">
        <v>26</v>
      </c>
      <c r="C39">
        <v>15</v>
      </c>
      <c r="D39">
        <v>11</v>
      </c>
      <c r="E39">
        <v>-3.95</v>
      </c>
      <c r="F39">
        <v>1811</v>
      </c>
      <c r="G39">
        <v>684</v>
      </c>
      <c r="H39">
        <v>1531</v>
      </c>
      <c r="I39">
        <v>297</v>
      </c>
      <c r="J39">
        <v>416</v>
      </c>
      <c r="K39">
        <v>348</v>
      </c>
      <c r="L39">
        <v>959</v>
      </c>
      <c r="M39">
        <v>365</v>
      </c>
      <c r="N39">
        <v>167</v>
      </c>
      <c r="O39">
        <v>78</v>
      </c>
      <c r="P39">
        <v>338</v>
      </c>
      <c r="Q39">
        <v>498</v>
      </c>
      <c r="R39">
        <v>38</v>
      </c>
    </row>
    <row r="40" spans="1:18">
      <c r="A40" s="1" t="s">
        <v>45</v>
      </c>
      <c r="B40">
        <v>16</v>
      </c>
      <c r="C40">
        <v>6</v>
      </c>
      <c r="D40">
        <v>10</v>
      </c>
      <c r="E40">
        <v>-4.57</v>
      </c>
      <c r="F40">
        <v>1232</v>
      </c>
      <c r="G40">
        <v>430</v>
      </c>
      <c r="H40">
        <v>951</v>
      </c>
      <c r="I40">
        <v>241</v>
      </c>
      <c r="J40">
        <v>326</v>
      </c>
      <c r="K40">
        <v>140</v>
      </c>
      <c r="L40">
        <v>526</v>
      </c>
      <c r="M40">
        <v>218</v>
      </c>
      <c r="N40">
        <v>107</v>
      </c>
      <c r="O40">
        <v>32</v>
      </c>
      <c r="P40">
        <v>205</v>
      </c>
      <c r="Q40">
        <v>271</v>
      </c>
      <c r="R40">
        <v>39</v>
      </c>
    </row>
    <row r="41" spans="1:18">
      <c r="A41" s="1" t="s">
        <v>46</v>
      </c>
      <c r="B41">
        <v>22</v>
      </c>
      <c r="C41">
        <v>9</v>
      </c>
      <c r="D41">
        <v>13</v>
      </c>
      <c r="E41">
        <v>-3.48</v>
      </c>
      <c r="F41">
        <v>1586</v>
      </c>
      <c r="G41">
        <v>560</v>
      </c>
      <c r="H41">
        <v>1323</v>
      </c>
      <c r="I41">
        <v>296</v>
      </c>
      <c r="J41">
        <v>407</v>
      </c>
      <c r="K41">
        <v>208</v>
      </c>
      <c r="L41">
        <v>730</v>
      </c>
      <c r="M41">
        <v>293</v>
      </c>
      <c r="N41">
        <v>140</v>
      </c>
      <c r="O41">
        <v>47</v>
      </c>
      <c r="P41">
        <v>261</v>
      </c>
      <c r="Q41">
        <v>383</v>
      </c>
      <c r="R41">
        <v>40</v>
      </c>
    </row>
    <row r="42" spans="1:18">
      <c r="A42" s="1" t="s">
        <v>368</v>
      </c>
      <c r="B42">
        <v>23</v>
      </c>
      <c r="C42">
        <v>13</v>
      </c>
      <c r="D42">
        <v>10</v>
      </c>
      <c r="E42">
        <v>-6.21</v>
      </c>
      <c r="F42">
        <v>1820</v>
      </c>
      <c r="G42">
        <v>634</v>
      </c>
      <c r="H42">
        <v>1334</v>
      </c>
      <c r="I42">
        <v>337</v>
      </c>
      <c r="J42">
        <v>457</v>
      </c>
      <c r="K42">
        <v>221</v>
      </c>
      <c r="L42">
        <v>853</v>
      </c>
      <c r="M42">
        <v>403</v>
      </c>
      <c r="N42">
        <v>116</v>
      </c>
      <c r="O42">
        <v>57</v>
      </c>
      <c r="P42">
        <v>310</v>
      </c>
      <c r="Q42">
        <v>454</v>
      </c>
      <c r="R42">
        <v>41</v>
      </c>
    </row>
    <row r="43" spans="1:18">
      <c r="A43" s="1" t="s">
        <v>330</v>
      </c>
      <c r="B43">
        <v>18</v>
      </c>
      <c r="C43">
        <v>10</v>
      </c>
      <c r="D43">
        <v>8</v>
      </c>
      <c r="E43">
        <v>-5.68</v>
      </c>
      <c r="F43">
        <v>1295</v>
      </c>
      <c r="G43">
        <v>449</v>
      </c>
      <c r="H43">
        <v>1020</v>
      </c>
      <c r="I43">
        <v>295</v>
      </c>
      <c r="J43">
        <v>376</v>
      </c>
      <c r="K43">
        <v>160</v>
      </c>
      <c r="L43">
        <v>571</v>
      </c>
      <c r="M43">
        <v>195</v>
      </c>
      <c r="N43">
        <v>135</v>
      </c>
      <c r="O43">
        <v>50</v>
      </c>
      <c r="P43">
        <v>261</v>
      </c>
      <c r="Q43">
        <v>359</v>
      </c>
      <c r="R43">
        <v>42</v>
      </c>
    </row>
    <row r="44" spans="1:18">
      <c r="A44" s="1" t="s">
        <v>47</v>
      </c>
      <c r="B44">
        <v>27</v>
      </c>
      <c r="C44">
        <v>18</v>
      </c>
      <c r="D44">
        <v>9</v>
      </c>
      <c r="E44">
        <v>-2.36</v>
      </c>
      <c r="F44">
        <v>1950</v>
      </c>
      <c r="G44">
        <v>729</v>
      </c>
      <c r="H44">
        <v>1615</v>
      </c>
      <c r="I44">
        <v>360</v>
      </c>
      <c r="J44">
        <v>474</v>
      </c>
      <c r="K44">
        <v>303</v>
      </c>
      <c r="L44">
        <v>1069</v>
      </c>
      <c r="M44">
        <v>319</v>
      </c>
      <c r="N44">
        <v>204</v>
      </c>
      <c r="O44">
        <v>108</v>
      </c>
      <c r="P44">
        <v>350</v>
      </c>
      <c r="Q44">
        <v>450</v>
      </c>
      <c r="R44">
        <v>43</v>
      </c>
    </row>
    <row r="45" spans="1:18">
      <c r="A45" s="1" t="s">
        <v>305</v>
      </c>
      <c r="B45">
        <v>22</v>
      </c>
      <c r="C45">
        <v>14</v>
      </c>
      <c r="D45">
        <v>8</v>
      </c>
      <c r="E45">
        <v>-4</v>
      </c>
      <c r="F45">
        <v>1544</v>
      </c>
      <c r="G45">
        <v>572</v>
      </c>
      <c r="H45">
        <v>1280</v>
      </c>
      <c r="I45">
        <v>199</v>
      </c>
      <c r="J45">
        <v>282</v>
      </c>
      <c r="K45">
        <v>189</v>
      </c>
      <c r="L45">
        <v>799</v>
      </c>
      <c r="M45">
        <v>308</v>
      </c>
      <c r="N45">
        <v>116</v>
      </c>
      <c r="O45">
        <v>51</v>
      </c>
      <c r="P45">
        <v>264</v>
      </c>
      <c r="Q45">
        <v>384</v>
      </c>
      <c r="R45">
        <v>44</v>
      </c>
    </row>
    <row r="46" spans="1:18">
      <c r="A46" s="1" t="s">
        <v>371</v>
      </c>
      <c r="B46">
        <v>17</v>
      </c>
      <c r="C46">
        <v>7</v>
      </c>
      <c r="D46">
        <v>10</v>
      </c>
      <c r="E46">
        <v>-0.57999999999999996</v>
      </c>
      <c r="F46">
        <v>1214</v>
      </c>
      <c r="G46">
        <v>447</v>
      </c>
      <c r="H46">
        <v>973</v>
      </c>
      <c r="I46">
        <v>132</v>
      </c>
      <c r="J46">
        <v>207</v>
      </c>
      <c r="K46">
        <v>99</v>
      </c>
      <c r="L46">
        <v>501</v>
      </c>
      <c r="M46">
        <v>294</v>
      </c>
      <c r="N46">
        <v>116</v>
      </c>
      <c r="O46">
        <v>37</v>
      </c>
      <c r="P46">
        <v>225</v>
      </c>
      <c r="Q46">
        <v>232</v>
      </c>
      <c r="R46">
        <v>45</v>
      </c>
    </row>
    <row r="47" spans="1:18">
      <c r="A47" s="1" t="s">
        <v>48</v>
      </c>
      <c r="B47">
        <v>26</v>
      </c>
      <c r="C47">
        <v>22</v>
      </c>
      <c r="D47">
        <v>4</v>
      </c>
      <c r="E47">
        <v>-4.3099999999999996</v>
      </c>
      <c r="F47">
        <v>1989</v>
      </c>
      <c r="G47">
        <v>717</v>
      </c>
      <c r="H47">
        <v>1477</v>
      </c>
      <c r="I47">
        <v>379</v>
      </c>
      <c r="J47">
        <v>505</v>
      </c>
      <c r="K47">
        <v>241</v>
      </c>
      <c r="L47">
        <v>915</v>
      </c>
      <c r="M47">
        <v>423</v>
      </c>
      <c r="N47">
        <v>197</v>
      </c>
      <c r="O47">
        <v>72</v>
      </c>
      <c r="P47">
        <v>285</v>
      </c>
      <c r="Q47">
        <v>413</v>
      </c>
      <c r="R47">
        <v>46</v>
      </c>
    </row>
    <row r="48" spans="1:18">
      <c r="A48" s="1" t="s">
        <v>49</v>
      </c>
      <c r="B48">
        <v>29</v>
      </c>
      <c r="C48">
        <v>9</v>
      </c>
      <c r="D48">
        <v>20</v>
      </c>
      <c r="E48">
        <v>7.34</v>
      </c>
      <c r="F48">
        <v>1897</v>
      </c>
      <c r="G48">
        <v>661</v>
      </c>
      <c r="H48">
        <v>1536</v>
      </c>
      <c r="I48">
        <v>371</v>
      </c>
      <c r="J48">
        <v>532</v>
      </c>
      <c r="K48">
        <v>235</v>
      </c>
      <c r="L48">
        <v>917</v>
      </c>
      <c r="M48">
        <v>346</v>
      </c>
      <c r="N48">
        <v>126</v>
      </c>
      <c r="O48">
        <v>65</v>
      </c>
      <c r="P48">
        <v>370</v>
      </c>
      <c r="Q48">
        <v>516</v>
      </c>
      <c r="R48">
        <v>47</v>
      </c>
    </row>
    <row r="49" spans="1:18">
      <c r="A49" s="1" t="s">
        <v>50</v>
      </c>
      <c r="B49">
        <v>27</v>
      </c>
      <c r="C49">
        <v>17</v>
      </c>
      <c r="D49">
        <v>10</v>
      </c>
      <c r="E49">
        <v>-6.81</v>
      </c>
      <c r="F49">
        <v>1917</v>
      </c>
      <c r="G49">
        <v>699</v>
      </c>
      <c r="H49">
        <v>1409</v>
      </c>
      <c r="I49">
        <v>324</v>
      </c>
      <c r="J49">
        <v>478</v>
      </c>
      <c r="K49">
        <v>165</v>
      </c>
      <c r="L49">
        <v>767</v>
      </c>
      <c r="M49">
        <v>387</v>
      </c>
      <c r="N49">
        <v>165</v>
      </c>
      <c r="O49">
        <v>61</v>
      </c>
      <c r="P49">
        <v>327</v>
      </c>
      <c r="Q49">
        <v>459</v>
      </c>
      <c r="R49">
        <v>48</v>
      </c>
    </row>
    <row r="50" spans="1:18">
      <c r="A50" s="1" t="s">
        <v>51</v>
      </c>
      <c r="B50">
        <v>13</v>
      </c>
      <c r="C50">
        <v>7</v>
      </c>
      <c r="D50">
        <v>6</v>
      </c>
      <c r="E50">
        <v>-7.1</v>
      </c>
      <c r="F50">
        <v>915</v>
      </c>
      <c r="G50">
        <v>321</v>
      </c>
      <c r="H50">
        <v>786</v>
      </c>
      <c r="I50">
        <v>176</v>
      </c>
      <c r="J50">
        <v>248</v>
      </c>
      <c r="K50">
        <v>130</v>
      </c>
      <c r="L50">
        <v>450</v>
      </c>
      <c r="M50">
        <v>165</v>
      </c>
      <c r="N50">
        <v>73</v>
      </c>
      <c r="O50">
        <v>46</v>
      </c>
      <c r="P50">
        <v>156</v>
      </c>
      <c r="Q50">
        <v>234</v>
      </c>
      <c r="R50">
        <v>49</v>
      </c>
    </row>
    <row r="51" spans="1:18">
      <c r="A51" s="1" t="s">
        <v>344</v>
      </c>
      <c r="B51">
        <v>24</v>
      </c>
      <c r="C51">
        <v>5</v>
      </c>
      <c r="D51">
        <v>19</v>
      </c>
      <c r="E51">
        <v>-2.17</v>
      </c>
      <c r="F51">
        <v>1701</v>
      </c>
      <c r="G51">
        <v>606</v>
      </c>
      <c r="H51">
        <v>1388</v>
      </c>
      <c r="I51">
        <v>319</v>
      </c>
      <c r="J51">
        <v>445</v>
      </c>
      <c r="K51">
        <v>246</v>
      </c>
      <c r="L51">
        <v>889</v>
      </c>
      <c r="M51">
        <v>322</v>
      </c>
      <c r="N51">
        <v>121</v>
      </c>
      <c r="O51">
        <v>64</v>
      </c>
      <c r="P51">
        <v>419</v>
      </c>
      <c r="Q51">
        <v>433</v>
      </c>
      <c r="R51">
        <v>50</v>
      </c>
    </row>
    <row r="52" spans="1:18">
      <c r="A52" s="1" t="s">
        <v>274</v>
      </c>
      <c r="B52">
        <v>21</v>
      </c>
      <c r="C52">
        <v>5</v>
      </c>
      <c r="D52">
        <v>16</v>
      </c>
      <c r="E52">
        <v>-4.22</v>
      </c>
      <c r="F52">
        <v>1439</v>
      </c>
      <c r="G52">
        <v>522</v>
      </c>
      <c r="H52">
        <v>1230</v>
      </c>
      <c r="I52">
        <v>245</v>
      </c>
      <c r="J52">
        <v>349</v>
      </c>
      <c r="K52">
        <v>179</v>
      </c>
      <c r="L52">
        <v>664</v>
      </c>
      <c r="M52">
        <v>270</v>
      </c>
      <c r="N52">
        <v>145</v>
      </c>
      <c r="O52">
        <v>54</v>
      </c>
      <c r="P52">
        <v>298</v>
      </c>
      <c r="Q52">
        <v>359</v>
      </c>
      <c r="R52">
        <v>51</v>
      </c>
    </row>
    <row r="53" spans="1:18">
      <c r="A53" s="1" t="s">
        <v>53</v>
      </c>
      <c r="B53">
        <v>23</v>
      </c>
      <c r="C53">
        <v>11</v>
      </c>
      <c r="D53">
        <v>12</v>
      </c>
      <c r="E53">
        <v>8.24</v>
      </c>
      <c r="F53">
        <v>1546</v>
      </c>
      <c r="G53">
        <v>542</v>
      </c>
      <c r="H53">
        <v>1262</v>
      </c>
      <c r="I53">
        <v>282</v>
      </c>
      <c r="J53">
        <v>387</v>
      </c>
      <c r="K53">
        <v>216</v>
      </c>
      <c r="L53">
        <v>765</v>
      </c>
      <c r="M53">
        <v>285</v>
      </c>
      <c r="N53">
        <v>157</v>
      </c>
      <c r="O53">
        <v>79</v>
      </c>
      <c r="P53">
        <v>340</v>
      </c>
      <c r="Q53">
        <v>389</v>
      </c>
      <c r="R53">
        <v>52</v>
      </c>
    </row>
    <row r="54" spans="1:18">
      <c r="A54" s="1" t="s">
        <v>54</v>
      </c>
      <c r="B54">
        <v>23</v>
      </c>
      <c r="C54">
        <v>7</v>
      </c>
      <c r="D54">
        <v>16</v>
      </c>
      <c r="E54">
        <v>-3.41</v>
      </c>
      <c r="F54">
        <v>1766</v>
      </c>
      <c r="G54">
        <v>631</v>
      </c>
      <c r="H54">
        <v>1417</v>
      </c>
      <c r="I54">
        <v>352</v>
      </c>
      <c r="J54">
        <v>523</v>
      </c>
      <c r="K54">
        <v>241</v>
      </c>
      <c r="L54">
        <v>833</v>
      </c>
      <c r="M54">
        <v>246</v>
      </c>
      <c r="N54">
        <v>188</v>
      </c>
      <c r="O54">
        <v>67</v>
      </c>
      <c r="P54">
        <v>307</v>
      </c>
      <c r="Q54">
        <v>396</v>
      </c>
      <c r="R54">
        <v>53</v>
      </c>
    </row>
    <row r="55" spans="1:18">
      <c r="A55" s="1" t="s">
        <v>55</v>
      </c>
      <c r="B55">
        <v>21</v>
      </c>
      <c r="C55">
        <v>3</v>
      </c>
      <c r="D55">
        <v>18</v>
      </c>
      <c r="E55">
        <v>-5.68</v>
      </c>
      <c r="F55">
        <v>1375</v>
      </c>
      <c r="G55">
        <v>480</v>
      </c>
      <c r="H55">
        <v>1182</v>
      </c>
      <c r="I55">
        <v>255</v>
      </c>
      <c r="J55">
        <v>357</v>
      </c>
      <c r="K55">
        <v>214</v>
      </c>
      <c r="L55">
        <v>778</v>
      </c>
      <c r="M55">
        <v>217</v>
      </c>
      <c r="N55">
        <v>129</v>
      </c>
      <c r="O55">
        <v>80</v>
      </c>
      <c r="P55">
        <v>346</v>
      </c>
      <c r="Q55">
        <v>385</v>
      </c>
      <c r="R55">
        <v>54</v>
      </c>
    </row>
    <row r="56" spans="1:18">
      <c r="A56" s="1" t="s">
        <v>56</v>
      </c>
      <c r="B56">
        <v>25</v>
      </c>
      <c r="C56">
        <v>9</v>
      </c>
      <c r="D56">
        <v>16</v>
      </c>
      <c r="E56">
        <v>-2.13</v>
      </c>
      <c r="F56">
        <v>1587</v>
      </c>
      <c r="G56">
        <v>545</v>
      </c>
      <c r="H56">
        <v>1261</v>
      </c>
      <c r="I56">
        <v>354</v>
      </c>
      <c r="J56">
        <v>484</v>
      </c>
      <c r="K56">
        <v>172</v>
      </c>
      <c r="L56">
        <v>778</v>
      </c>
      <c r="M56">
        <v>282</v>
      </c>
      <c r="N56">
        <v>136</v>
      </c>
      <c r="O56">
        <v>73</v>
      </c>
      <c r="P56">
        <v>335</v>
      </c>
      <c r="Q56">
        <v>364</v>
      </c>
      <c r="R56">
        <v>55</v>
      </c>
    </row>
    <row r="57" spans="1:18">
      <c r="A57" s="1" t="s">
        <v>57</v>
      </c>
      <c r="B57">
        <v>26</v>
      </c>
      <c r="C57">
        <v>18</v>
      </c>
      <c r="D57">
        <v>8</v>
      </c>
      <c r="E57">
        <v>-2.5</v>
      </c>
      <c r="F57">
        <v>1888</v>
      </c>
      <c r="G57">
        <v>667</v>
      </c>
      <c r="H57">
        <v>1522</v>
      </c>
      <c r="I57">
        <v>336</v>
      </c>
      <c r="J57">
        <v>429</v>
      </c>
      <c r="K57">
        <v>217</v>
      </c>
      <c r="L57">
        <v>881</v>
      </c>
      <c r="M57">
        <v>319</v>
      </c>
      <c r="N57">
        <v>178</v>
      </c>
      <c r="O57">
        <v>48</v>
      </c>
      <c r="P57">
        <v>289</v>
      </c>
      <c r="Q57">
        <v>370</v>
      </c>
      <c r="R57">
        <v>56</v>
      </c>
    </row>
    <row r="58" spans="1:18">
      <c r="A58" s="1" t="s">
        <v>58</v>
      </c>
      <c r="B58">
        <v>9</v>
      </c>
      <c r="C58">
        <v>0</v>
      </c>
      <c r="D58">
        <v>9</v>
      </c>
      <c r="E58">
        <v>1.94</v>
      </c>
      <c r="F58">
        <v>499</v>
      </c>
      <c r="G58">
        <v>180</v>
      </c>
      <c r="H58">
        <v>497</v>
      </c>
      <c r="I58">
        <v>88</v>
      </c>
      <c r="J58">
        <v>126</v>
      </c>
      <c r="K58">
        <v>54</v>
      </c>
      <c r="L58">
        <v>234</v>
      </c>
      <c r="M58">
        <v>89</v>
      </c>
      <c r="N58">
        <v>49</v>
      </c>
      <c r="O58">
        <v>13</v>
      </c>
      <c r="P58">
        <v>140</v>
      </c>
      <c r="Q58">
        <v>178</v>
      </c>
      <c r="R58">
        <v>57</v>
      </c>
    </row>
    <row r="59" spans="1:18">
      <c r="A59" s="1" t="s">
        <v>335</v>
      </c>
      <c r="B59">
        <v>23</v>
      </c>
      <c r="C59">
        <v>12</v>
      </c>
      <c r="D59">
        <v>11</v>
      </c>
      <c r="E59">
        <v>7.42</v>
      </c>
      <c r="F59">
        <v>1585</v>
      </c>
      <c r="G59">
        <v>566</v>
      </c>
      <c r="H59">
        <v>1339</v>
      </c>
      <c r="I59">
        <v>290</v>
      </c>
      <c r="J59">
        <v>442</v>
      </c>
      <c r="K59">
        <v>245</v>
      </c>
      <c r="L59">
        <v>832</v>
      </c>
      <c r="M59">
        <v>344</v>
      </c>
      <c r="N59">
        <v>155</v>
      </c>
      <c r="O59">
        <v>87</v>
      </c>
      <c r="P59">
        <v>336</v>
      </c>
      <c r="Q59">
        <v>435</v>
      </c>
      <c r="R59">
        <v>58</v>
      </c>
    </row>
    <row r="60" spans="1:18">
      <c r="A60" s="1" t="s">
        <v>59</v>
      </c>
      <c r="B60">
        <v>25</v>
      </c>
      <c r="C60">
        <v>13</v>
      </c>
      <c r="D60">
        <v>12</v>
      </c>
      <c r="E60">
        <v>-0.99</v>
      </c>
      <c r="F60">
        <v>2019</v>
      </c>
      <c r="G60">
        <v>708</v>
      </c>
      <c r="H60">
        <v>1566</v>
      </c>
      <c r="I60">
        <v>347</v>
      </c>
      <c r="J60">
        <v>495</v>
      </c>
      <c r="K60">
        <v>237</v>
      </c>
      <c r="L60">
        <v>944</v>
      </c>
      <c r="M60">
        <v>389</v>
      </c>
      <c r="N60">
        <v>136</v>
      </c>
      <c r="O60">
        <v>108</v>
      </c>
      <c r="P60">
        <v>302</v>
      </c>
      <c r="Q60">
        <v>405</v>
      </c>
      <c r="R60">
        <v>59</v>
      </c>
    </row>
    <row r="61" spans="1:18">
      <c r="A61" s="1" t="s">
        <v>60</v>
      </c>
      <c r="B61">
        <v>23</v>
      </c>
      <c r="C61">
        <v>16</v>
      </c>
      <c r="D61">
        <v>7</v>
      </c>
      <c r="E61">
        <v>10.19</v>
      </c>
      <c r="F61">
        <v>1502</v>
      </c>
      <c r="G61">
        <v>541</v>
      </c>
      <c r="H61">
        <v>1264</v>
      </c>
      <c r="I61">
        <v>228</v>
      </c>
      <c r="J61">
        <v>298</v>
      </c>
      <c r="K61">
        <v>198</v>
      </c>
      <c r="L61">
        <v>751</v>
      </c>
      <c r="M61">
        <v>305</v>
      </c>
      <c r="N61">
        <v>140</v>
      </c>
      <c r="O61">
        <v>66</v>
      </c>
      <c r="P61">
        <v>292</v>
      </c>
      <c r="Q61">
        <v>361</v>
      </c>
      <c r="R61">
        <v>60</v>
      </c>
    </row>
    <row r="62" spans="1:18">
      <c r="A62" s="1" t="s">
        <v>61</v>
      </c>
      <c r="B62">
        <v>26</v>
      </c>
      <c r="C62">
        <v>19</v>
      </c>
      <c r="D62">
        <v>7</v>
      </c>
      <c r="E62">
        <v>-4.97</v>
      </c>
      <c r="F62">
        <v>1858</v>
      </c>
      <c r="G62">
        <v>684</v>
      </c>
      <c r="H62">
        <v>1514</v>
      </c>
      <c r="I62">
        <v>324</v>
      </c>
      <c r="J62">
        <v>484</v>
      </c>
      <c r="K62">
        <v>279</v>
      </c>
      <c r="L62">
        <v>910</v>
      </c>
      <c r="M62">
        <v>363</v>
      </c>
      <c r="N62">
        <v>182</v>
      </c>
      <c r="O62">
        <v>65</v>
      </c>
      <c r="P62">
        <v>334</v>
      </c>
      <c r="Q62">
        <v>499</v>
      </c>
      <c r="R62">
        <v>61</v>
      </c>
    </row>
    <row r="63" spans="1:18">
      <c r="A63" s="1" t="s">
        <v>62</v>
      </c>
      <c r="B63">
        <v>23</v>
      </c>
      <c r="C63">
        <v>16</v>
      </c>
      <c r="D63">
        <v>7</v>
      </c>
      <c r="E63">
        <v>-8.17</v>
      </c>
      <c r="F63">
        <v>1836</v>
      </c>
      <c r="G63">
        <v>652</v>
      </c>
      <c r="H63">
        <v>1419</v>
      </c>
      <c r="I63">
        <v>330</v>
      </c>
      <c r="J63">
        <v>452</v>
      </c>
      <c r="K63">
        <v>316</v>
      </c>
      <c r="L63">
        <v>1005</v>
      </c>
      <c r="M63">
        <v>356</v>
      </c>
      <c r="N63">
        <v>195</v>
      </c>
      <c r="O63">
        <v>96</v>
      </c>
      <c r="P63">
        <v>344</v>
      </c>
      <c r="Q63">
        <v>380</v>
      </c>
      <c r="R63">
        <v>62</v>
      </c>
    </row>
    <row r="64" spans="1:18">
      <c r="A64" s="1" t="s">
        <v>63</v>
      </c>
      <c r="B64">
        <v>15</v>
      </c>
      <c r="C64">
        <v>14</v>
      </c>
      <c r="D64">
        <v>1</v>
      </c>
      <c r="E64">
        <v>1.43</v>
      </c>
      <c r="F64">
        <v>1295</v>
      </c>
      <c r="G64">
        <v>472</v>
      </c>
      <c r="H64">
        <v>946</v>
      </c>
      <c r="I64">
        <v>215</v>
      </c>
      <c r="J64">
        <v>294</v>
      </c>
      <c r="K64">
        <v>144</v>
      </c>
      <c r="L64">
        <v>596</v>
      </c>
      <c r="M64">
        <v>262</v>
      </c>
      <c r="N64">
        <v>108</v>
      </c>
      <c r="O64">
        <v>52</v>
      </c>
      <c r="P64">
        <v>151</v>
      </c>
      <c r="Q64">
        <v>235</v>
      </c>
      <c r="R64">
        <v>63</v>
      </c>
    </row>
    <row r="65" spans="1:18">
      <c r="A65" s="1" t="s">
        <v>64</v>
      </c>
      <c r="B65">
        <v>19</v>
      </c>
      <c r="C65">
        <v>9</v>
      </c>
      <c r="D65">
        <v>10</v>
      </c>
      <c r="E65">
        <v>-2.2999999999999998</v>
      </c>
      <c r="F65">
        <v>1341</v>
      </c>
      <c r="G65">
        <v>481</v>
      </c>
      <c r="H65">
        <v>1066</v>
      </c>
      <c r="I65">
        <v>221</v>
      </c>
      <c r="J65">
        <v>311</v>
      </c>
      <c r="K65">
        <v>156</v>
      </c>
      <c r="L65">
        <v>623</v>
      </c>
      <c r="M65">
        <v>201</v>
      </c>
      <c r="N65">
        <v>100</v>
      </c>
      <c r="O65">
        <v>53</v>
      </c>
      <c r="P65">
        <v>197</v>
      </c>
      <c r="Q65">
        <v>324</v>
      </c>
      <c r="R65">
        <v>64</v>
      </c>
    </row>
    <row r="66" spans="1:18">
      <c r="A66" s="1" t="s">
        <v>65</v>
      </c>
      <c r="B66">
        <v>24</v>
      </c>
      <c r="C66">
        <v>18</v>
      </c>
      <c r="D66">
        <v>6</v>
      </c>
      <c r="E66">
        <v>-0.45</v>
      </c>
      <c r="F66">
        <v>1791</v>
      </c>
      <c r="G66">
        <v>615</v>
      </c>
      <c r="H66">
        <v>1304</v>
      </c>
      <c r="I66">
        <v>356</v>
      </c>
      <c r="J66">
        <v>451</v>
      </c>
      <c r="K66">
        <v>182</v>
      </c>
      <c r="L66">
        <v>843</v>
      </c>
      <c r="M66">
        <v>348</v>
      </c>
      <c r="N66">
        <v>132</v>
      </c>
      <c r="O66">
        <v>61</v>
      </c>
      <c r="P66">
        <v>327</v>
      </c>
      <c r="Q66">
        <v>414</v>
      </c>
      <c r="R66">
        <v>65</v>
      </c>
    </row>
    <row r="67" spans="1:18">
      <c r="A67" s="1" t="s">
        <v>66</v>
      </c>
      <c r="B67">
        <v>30</v>
      </c>
      <c r="C67">
        <v>22</v>
      </c>
      <c r="D67">
        <v>8</v>
      </c>
      <c r="E67">
        <v>6.99</v>
      </c>
      <c r="F67">
        <v>2191</v>
      </c>
      <c r="G67">
        <v>774</v>
      </c>
      <c r="H67">
        <v>1703</v>
      </c>
      <c r="I67">
        <v>419</v>
      </c>
      <c r="J67">
        <v>510</v>
      </c>
      <c r="K67">
        <v>296</v>
      </c>
      <c r="L67">
        <v>1050</v>
      </c>
      <c r="M67">
        <v>397</v>
      </c>
      <c r="N67">
        <v>159</v>
      </c>
      <c r="O67">
        <v>83</v>
      </c>
      <c r="P67">
        <v>333</v>
      </c>
      <c r="Q67">
        <v>487</v>
      </c>
      <c r="R67">
        <v>66</v>
      </c>
    </row>
    <row r="68" spans="1:18">
      <c r="A68" s="1" t="s">
        <v>67</v>
      </c>
      <c r="B68">
        <v>0</v>
      </c>
      <c r="C68">
        <v>0</v>
      </c>
      <c r="D68">
        <v>0</v>
      </c>
      <c r="R68">
        <v>67</v>
      </c>
    </row>
    <row r="69" spans="1:18">
      <c r="A69" s="1" t="s">
        <v>275</v>
      </c>
      <c r="B69">
        <v>22</v>
      </c>
      <c r="C69">
        <v>15</v>
      </c>
      <c r="D69">
        <v>7</v>
      </c>
      <c r="E69">
        <v>9.2200000000000006</v>
      </c>
      <c r="F69">
        <v>1596</v>
      </c>
      <c r="G69">
        <v>581</v>
      </c>
      <c r="H69">
        <v>1323</v>
      </c>
      <c r="I69">
        <v>286</v>
      </c>
      <c r="J69">
        <v>391</v>
      </c>
      <c r="K69">
        <v>290</v>
      </c>
      <c r="L69">
        <v>839</v>
      </c>
      <c r="M69">
        <v>287</v>
      </c>
      <c r="N69">
        <v>136</v>
      </c>
      <c r="O69">
        <v>116</v>
      </c>
      <c r="P69">
        <v>258</v>
      </c>
      <c r="Q69">
        <v>415</v>
      </c>
      <c r="R69">
        <v>68</v>
      </c>
    </row>
    <row r="70" spans="1:18">
      <c r="A70" s="1" t="s">
        <v>68</v>
      </c>
      <c r="B70">
        <v>22</v>
      </c>
      <c r="C70">
        <v>9</v>
      </c>
      <c r="D70">
        <v>13</v>
      </c>
      <c r="E70">
        <v>-4.99</v>
      </c>
      <c r="F70">
        <v>1602</v>
      </c>
      <c r="G70">
        <v>529</v>
      </c>
      <c r="H70">
        <v>1287</v>
      </c>
      <c r="I70">
        <v>351</v>
      </c>
      <c r="J70">
        <v>564</v>
      </c>
      <c r="K70">
        <v>164</v>
      </c>
      <c r="L70">
        <v>796</v>
      </c>
      <c r="M70">
        <v>286</v>
      </c>
      <c r="N70">
        <v>188</v>
      </c>
      <c r="O70">
        <v>71</v>
      </c>
      <c r="P70">
        <v>348</v>
      </c>
      <c r="Q70">
        <v>394</v>
      </c>
      <c r="R70">
        <v>69</v>
      </c>
    </row>
    <row r="71" spans="1:18">
      <c r="A71" s="1" t="s">
        <v>69</v>
      </c>
      <c r="B71">
        <v>0</v>
      </c>
      <c r="C71">
        <v>0</v>
      </c>
      <c r="D71">
        <v>0</v>
      </c>
      <c r="R71">
        <v>70</v>
      </c>
    </row>
    <row r="72" spans="1:18">
      <c r="A72" s="1" t="s">
        <v>326</v>
      </c>
      <c r="B72">
        <v>28</v>
      </c>
      <c r="C72">
        <v>20</v>
      </c>
      <c r="D72">
        <v>8</v>
      </c>
      <c r="E72">
        <v>8.91</v>
      </c>
      <c r="F72">
        <v>2155</v>
      </c>
      <c r="G72">
        <v>797</v>
      </c>
      <c r="H72">
        <v>1675</v>
      </c>
      <c r="I72">
        <v>289</v>
      </c>
      <c r="J72">
        <v>450</v>
      </c>
      <c r="K72">
        <v>237</v>
      </c>
      <c r="L72">
        <v>1011</v>
      </c>
      <c r="M72">
        <v>445</v>
      </c>
      <c r="N72">
        <v>198</v>
      </c>
      <c r="O72">
        <v>99</v>
      </c>
      <c r="P72">
        <v>311</v>
      </c>
      <c r="Q72">
        <v>433</v>
      </c>
      <c r="R72">
        <v>71</v>
      </c>
    </row>
    <row r="73" spans="1:18">
      <c r="A73" s="1" t="s">
        <v>70</v>
      </c>
      <c r="B73">
        <v>0</v>
      </c>
      <c r="C73">
        <v>0</v>
      </c>
      <c r="D73">
        <v>0</v>
      </c>
      <c r="R73">
        <v>72</v>
      </c>
    </row>
    <row r="74" spans="1:18">
      <c r="A74" s="1" t="s">
        <v>71</v>
      </c>
      <c r="B74">
        <v>21</v>
      </c>
      <c r="C74">
        <v>13</v>
      </c>
      <c r="D74">
        <v>8</v>
      </c>
      <c r="E74">
        <v>3.99</v>
      </c>
      <c r="F74">
        <v>1518</v>
      </c>
      <c r="G74">
        <v>550</v>
      </c>
      <c r="H74">
        <v>1162</v>
      </c>
      <c r="I74">
        <v>209</v>
      </c>
      <c r="J74">
        <v>305</v>
      </c>
      <c r="K74">
        <v>190</v>
      </c>
      <c r="L74">
        <v>734</v>
      </c>
      <c r="M74">
        <v>318</v>
      </c>
      <c r="N74">
        <v>108</v>
      </c>
      <c r="O74">
        <v>54</v>
      </c>
      <c r="P74">
        <v>226</v>
      </c>
      <c r="Q74">
        <v>312</v>
      </c>
      <c r="R74">
        <v>73</v>
      </c>
    </row>
    <row r="75" spans="1:18">
      <c r="A75" s="1" t="s">
        <v>276</v>
      </c>
      <c r="B75">
        <v>23</v>
      </c>
      <c r="C75">
        <v>14</v>
      </c>
      <c r="D75">
        <v>9</v>
      </c>
      <c r="E75">
        <v>4.88</v>
      </c>
      <c r="F75">
        <v>1614</v>
      </c>
      <c r="G75">
        <v>567</v>
      </c>
      <c r="H75">
        <v>1189</v>
      </c>
      <c r="I75">
        <v>295</v>
      </c>
      <c r="J75">
        <v>410</v>
      </c>
      <c r="K75">
        <v>159</v>
      </c>
      <c r="L75">
        <v>766</v>
      </c>
      <c r="M75">
        <v>316</v>
      </c>
      <c r="N75">
        <v>103</v>
      </c>
      <c r="O75">
        <v>45</v>
      </c>
      <c r="P75">
        <v>335</v>
      </c>
      <c r="Q75">
        <v>356</v>
      </c>
      <c r="R75">
        <v>74</v>
      </c>
    </row>
    <row r="76" spans="1:18">
      <c r="A76" s="1" t="s">
        <v>72</v>
      </c>
      <c r="B76">
        <v>19</v>
      </c>
      <c r="C76">
        <v>3</v>
      </c>
      <c r="D76">
        <v>16</v>
      </c>
      <c r="E76">
        <v>-5.25</v>
      </c>
      <c r="F76">
        <v>1345</v>
      </c>
      <c r="G76">
        <v>468</v>
      </c>
      <c r="H76">
        <v>1183</v>
      </c>
      <c r="I76">
        <v>257</v>
      </c>
      <c r="J76">
        <v>357</v>
      </c>
      <c r="K76">
        <v>205</v>
      </c>
      <c r="L76">
        <v>678</v>
      </c>
      <c r="M76">
        <v>216</v>
      </c>
      <c r="N76">
        <v>123</v>
      </c>
      <c r="O76">
        <v>69</v>
      </c>
      <c r="P76">
        <v>321</v>
      </c>
      <c r="Q76">
        <v>405</v>
      </c>
      <c r="R76">
        <v>75</v>
      </c>
    </row>
    <row r="77" spans="1:18">
      <c r="A77" s="1" t="s">
        <v>73</v>
      </c>
      <c r="B77">
        <v>15</v>
      </c>
      <c r="C77">
        <v>7</v>
      </c>
      <c r="D77">
        <v>8</v>
      </c>
      <c r="E77">
        <v>-4.12</v>
      </c>
      <c r="F77">
        <v>1013</v>
      </c>
      <c r="G77">
        <v>347</v>
      </c>
      <c r="H77">
        <v>793</v>
      </c>
      <c r="I77">
        <v>212</v>
      </c>
      <c r="J77">
        <v>297</v>
      </c>
      <c r="K77">
        <v>131</v>
      </c>
      <c r="L77">
        <v>526</v>
      </c>
      <c r="M77">
        <v>188</v>
      </c>
      <c r="N77">
        <v>69</v>
      </c>
      <c r="O77">
        <v>54</v>
      </c>
      <c r="P77">
        <v>215</v>
      </c>
      <c r="Q77">
        <v>262</v>
      </c>
      <c r="R77">
        <v>76</v>
      </c>
    </row>
    <row r="78" spans="1:18">
      <c r="A78" s="1" t="s">
        <v>74</v>
      </c>
      <c r="B78">
        <v>21</v>
      </c>
      <c r="C78">
        <v>2</v>
      </c>
      <c r="D78">
        <v>19</v>
      </c>
      <c r="E78">
        <v>-6.61</v>
      </c>
      <c r="F78">
        <v>1466</v>
      </c>
      <c r="G78">
        <v>519</v>
      </c>
      <c r="H78">
        <v>1172</v>
      </c>
      <c r="I78">
        <v>287</v>
      </c>
      <c r="J78">
        <v>398</v>
      </c>
      <c r="K78">
        <v>156</v>
      </c>
      <c r="L78">
        <v>636</v>
      </c>
      <c r="M78">
        <v>251</v>
      </c>
      <c r="N78">
        <v>120</v>
      </c>
      <c r="O78">
        <v>54</v>
      </c>
      <c r="P78">
        <v>311</v>
      </c>
      <c r="Q78">
        <v>431</v>
      </c>
      <c r="R78">
        <v>77</v>
      </c>
    </row>
    <row r="79" spans="1:18">
      <c r="A79" s="1" t="s">
        <v>277</v>
      </c>
      <c r="B79">
        <v>19</v>
      </c>
      <c r="C79">
        <v>5</v>
      </c>
      <c r="D79">
        <v>14</v>
      </c>
      <c r="E79">
        <v>9.7899999999999991</v>
      </c>
      <c r="F79">
        <v>1250</v>
      </c>
      <c r="G79">
        <v>481</v>
      </c>
      <c r="H79">
        <v>1154</v>
      </c>
      <c r="I79">
        <v>185</v>
      </c>
      <c r="J79">
        <v>273</v>
      </c>
      <c r="K79">
        <v>229</v>
      </c>
      <c r="L79">
        <v>717</v>
      </c>
      <c r="M79">
        <v>217</v>
      </c>
      <c r="N79">
        <v>130</v>
      </c>
      <c r="O79">
        <v>74</v>
      </c>
      <c r="P79">
        <v>300</v>
      </c>
      <c r="Q79">
        <v>374</v>
      </c>
      <c r="R79">
        <v>78</v>
      </c>
    </row>
    <row r="80" spans="1:18">
      <c r="A80" s="1" t="s">
        <v>75</v>
      </c>
      <c r="B80">
        <v>22</v>
      </c>
      <c r="C80">
        <v>12</v>
      </c>
      <c r="D80">
        <v>10</v>
      </c>
      <c r="E80">
        <v>-5.31</v>
      </c>
      <c r="F80">
        <v>1683</v>
      </c>
      <c r="G80">
        <v>598</v>
      </c>
      <c r="H80">
        <v>1290</v>
      </c>
      <c r="I80">
        <v>262</v>
      </c>
      <c r="J80">
        <v>326</v>
      </c>
      <c r="K80">
        <v>197</v>
      </c>
      <c r="L80">
        <v>719</v>
      </c>
      <c r="M80">
        <v>315</v>
      </c>
      <c r="N80">
        <v>150</v>
      </c>
      <c r="O80">
        <v>54</v>
      </c>
      <c r="P80">
        <v>253</v>
      </c>
      <c r="Q80">
        <v>313</v>
      </c>
      <c r="R80">
        <v>79</v>
      </c>
    </row>
    <row r="81" spans="1:18">
      <c r="A81" s="1" t="s">
        <v>372</v>
      </c>
      <c r="B81">
        <v>21</v>
      </c>
      <c r="C81">
        <v>8</v>
      </c>
      <c r="D81">
        <v>13</v>
      </c>
      <c r="E81">
        <v>-4.4000000000000004</v>
      </c>
      <c r="F81">
        <v>1461</v>
      </c>
      <c r="G81">
        <v>514</v>
      </c>
      <c r="H81">
        <v>1227</v>
      </c>
      <c r="I81">
        <v>305</v>
      </c>
      <c r="J81">
        <v>427</v>
      </c>
      <c r="K81">
        <v>200</v>
      </c>
      <c r="L81">
        <v>740</v>
      </c>
      <c r="M81">
        <v>321</v>
      </c>
      <c r="N81">
        <v>143</v>
      </c>
      <c r="O81">
        <v>43</v>
      </c>
      <c r="P81">
        <v>320</v>
      </c>
      <c r="Q81">
        <v>439</v>
      </c>
      <c r="R81">
        <v>80</v>
      </c>
    </row>
    <row r="82" spans="1:18">
      <c r="A82" s="1" t="s">
        <v>76</v>
      </c>
      <c r="B82">
        <v>29</v>
      </c>
      <c r="C82">
        <v>25</v>
      </c>
      <c r="D82">
        <v>4</v>
      </c>
      <c r="E82">
        <v>-1.63</v>
      </c>
      <c r="F82">
        <v>2245</v>
      </c>
      <c r="G82">
        <v>868</v>
      </c>
      <c r="H82">
        <v>1757</v>
      </c>
      <c r="I82">
        <v>305</v>
      </c>
      <c r="J82">
        <v>428</v>
      </c>
      <c r="K82">
        <v>300</v>
      </c>
      <c r="L82">
        <v>1043</v>
      </c>
      <c r="M82">
        <v>399</v>
      </c>
      <c r="N82">
        <v>207</v>
      </c>
      <c r="O82">
        <v>86</v>
      </c>
      <c r="P82">
        <v>299</v>
      </c>
      <c r="Q82">
        <v>455</v>
      </c>
      <c r="R82">
        <v>81</v>
      </c>
    </row>
    <row r="83" spans="1:18">
      <c r="A83" s="1" t="s">
        <v>77</v>
      </c>
      <c r="B83">
        <v>19</v>
      </c>
      <c r="C83">
        <v>12</v>
      </c>
      <c r="D83">
        <v>7</v>
      </c>
      <c r="E83">
        <v>-4.41</v>
      </c>
      <c r="F83">
        <v>1358</v>
      </c>
      <c r="G83">
        <v>495</v>
      </c>
      <c r="H83">
        <v>1038</v>
      </c>
      <c r="I83">
        <v>230</v>
      </c>
      <c r="J83">
        <v>296</v>
      </c>
      <c r="K83">
        <v>168</v>
      </c>
      <c r="L83">
        <v>645</v>
      </c>
      <c r="M83">
        <v>288</v>
      </c>
      <c r="N83">
        <v>89</v>
      </c>
      <c r="O83">
        <v>45</v>
      </c>
      <c r="P83">
        <v>245</v>
      </c>
      <c r="Q83">
        <v>288</v>
      </c>
      <c r="R83">
        <v>82</v>
      </c>
    </row>
    <row r="84" spans="1:18">
      <c r="A84" s="1" t="s">
        <v>373</v>
      </c>
      <c r="B84">
        <v>24</v>
      </c>
      <c r="C84">
        <v>13</v>
      </c>
      <c r="D84">
        <v>11</v>
      </c>
      <c r="E84">
        <v>9.33</v>
      </c>
      <c r="F84">
        <v>1824</v>
      </c>
      <c r="G84">
        <v>692</v>
      </c>
      <c r="H84">
        <v>1479</v>
      </c>
      <c r="I84">
        <v>239</v>
      </c>
      <c r="J84">
        <v>346</v>
      </c>
      <c r="K84">
        <v>269</v>
      </c>
      <c r="L84">
        <v>851</v>
      </c>
      <c r="M84">
        <v>387</v>
      </c>
      <c r="N84">
        <v>197</v>
      </c>
      <c r="O84">
        <v>109</v>
      </c>
      <c r="P84">
        <v>307</v>
      </c>
      <c r="Q84">
        <v>410</v>
      </c>
      <c r="R84">
        <v>83</v>
      </c>
    </row>
    <row r="85" spans="1:18">
      <c r="A85" s="1" t="s">
        <v>78</v>
      </c>
      <c r="B85">
        <v>18</v>
      </c>
      <c r="C85">
        <v>9</v>
      </c>
      <c r="D85">
        <v>9</v>
      </c>
      <c r="E85">
        <v>3.53</v>
      </c>
      <c r="F85">
        <v>1205</v>
      </c>
      <c r="G85">
        <v>438</v>
      </c>
      <c r="H85">
        <v>1040</v>
      </c>
      <c r="I85">
        <v>214</v>
      </c>
      <c r="J85">
        <v>329</v>
      </c>
      <c r="K85">
        <v>205</v>
      </c>
      <c r="L85">
        <v>654</v>
      </c>
      <c r="M85">
        <v>241</v>
      </c>
      <c r="N85">
        <v>121</v>
      </c>
      <c r="O85">
        <v>80</v>
      </c>
      <c r="P85">
        <v>240</v>
      </c>
      <c r="Q85">
        <v>310</v>
      </c>
      <c r="R85">
        <v>84</v>
      </c>
    </row>
    <row r="86" spans="1:18">
      <c r="A86" s="1" t="s">
        <v>79</v>
      </c>
      <c r="B86">
        <v>19</v>
      </c>
      <c r="C86">
        <v>8</v>
      </c>
      <c r="D86">
        <v>11</v>
      </c>
      <c r="E86">
        <v>3.95</v>
      </c>
      <c r="F86">
        <v>1269</v>
      </c>
      <c r="G86">
        <v>449</v>
      </c>
      <c r="H86">
        <v>1094</v>
      </c>
      <c r="I86">
        <v>262</v>
      </c>
      <c r="J86">
        <v>362</v>
      </c>
      <c r="K86">
        <v>189</v>
      </c>
      <c r="L86">
        <v>653</v>
      </c>
      <c r="M86">
        <v>303</v>
      </c>
      <c r="N86">
        <v>117</v>
      </c>
      <c r="O86">
        <v>59</v>
      </c>
      <c r="P86">
        <v>240</v>
      </c>
      <c r="Q86">
        <v>325</v>
      </c>
      <c r="R86">
        <v>85</v>
      </c>
    </row>
    <row r="87" spans="1:18">
      <c r="A87" s="1" t="s">
        <v>80</v>
      </c>
      <c r="B87">
        <v>25</v>
      </c>
      <c r="C87">
        <v>13</v>
      </c>
      <c r="D87">
        <v>12</v>
      </c>
      <c r="E87">
        <v>0.7</v>
      </c>
      <c r="F87">
        <v>1736</v>
      </c>
      <c r="G87">
        <v>620</v>
      </c>
      <c r="H87">
        <v>1416</v>
      </c>
      <c r="I87">
        <v>295</v>
      </c>
      <c r="J87">
        <v>423</v>
      </c>
      <c r="K87">
        <v>253</v>
      </c>
      <c r="L87">
        <v>897</v>
      </c>
      <c r="M87">
        <v>295</v>
      </c>
      <c r="N87">
        <v>184</v>
      </c>
      <c r="O87">
        <v>64</v>
      </c>
      <c r="P87">
        <v>339</v>
      </c>
      <c r="Q87">
        <v>431</v>
      </c>
      <c r="R87">
        <v>86</v>
      </c>
    </row>
    <row r="88" spans="1:18">
      <c r="A88" s="1" t="s">
        <v>81</v>
      </c>
      <c r="B88">
        <v>27</v>
      </c>
      <c r="C88">
        <v>9</v>
      </c>
      <c r="D88">
        <v>18</v>
      </c>
      <c r="E88">
        <v>-6.75</v>
      </c>
      <c r="F88">
        <v>1874</v>
      </c>
      <c r="G88">
        <v>707</v>
      </c>
      <c r="H88">
        <v>1623</v>
      </c>
      <c r="I88">
        <v>274</v>
      </c>
      <c r="J88">
        <v>417</v>
      </c>
      <c r="K88">
        <v>285</v>
      </c>
      <c r="L88">
        <v>944</v>
      </c>
      <c r="M88">
        <v>360</v>
      </c>
      <c r="N88">
        <v>193</v>
      </c>
      <c r="O88">
        <v>88</v>
      </c>
      <c r="P88">
        <v>383</v>
      </c>
      <c r="Q88">
        <v>435</v>
      </c>
      <c r="R88">
        <v>87</v>
      </c>
    </row>
    <row r="89" spans="1:18">
      <c r="A89" s="1" t="s">
        <v>82</v>
      </c>
      <c r="B89">
        <v>29</v>
      </c>
      <c r="C89">
        <v>22</v>
      </c>
      <c r="D89">
        <v>7</v>
      </c>
      <c r="E89">
        <v>-7.79</v>
      </c>
      <c r="F89">
        <v>2372</v>
      </c>
      <c r="G89">
        <v>871</v>
      </c>
      <c r="H89">
        <v>1946</v>
      </c>
      <c r="I89">
        <v>351</v>
      </c>
      <c r="J89">
        <v>497</v>
      </c>
      <c r="K89">
        <v>306</v>
      </c>
      <c r="L89">
        <v>1033</v>
      </c>
      <c r="M89">
        <v>461</v>
      </c>
      <c r="N89">
        <v>299</v>
      </c>
      <c r="O89">
        <v>103</v>
      </c>
      <c r="P89">
        <v>372</v>
      </c>
      <c r="Q89">
        <v>533</v>
      </c>
      <c r="R89">
        <v>88</v>
      </c>
    </row>
    <row r="90" spans="1:18">
      <c r="A90" s="1" t="s">
        <v>83</v>
      </c>
      <c r="B90">
        <v>18</v>
      </c>
      <c r="C90">
        <v>6</v>
      </c>
      <c r="D90">
        <v>12</v>
      </c>
      <c r="E90">
        <v>-0.33</v>
      </c>
      <c r="F90">
        <v>1267</v>
      </c>
      <c r="G90">
        <v>448</v>
      </c>
      <c r="H90">
        <v>1077</v>
      </c>
      <c r="I90">
        <v>243</v>
      </c>
      <c r="J90">
        <v>326</v>
      </c>
      <c r="K90">
        <v>169</v>
      </c>
      <c r="L90">
        <v>594</v>
      </c>
      <c r="M90">
        <v>198</v>
      </c>
      <c r="N90">
        <v>160</v>
      </c>
      <c r="O90">
        <v>42</v>
      </c>
      <c r="P90">
        <v>221</v>
      </c>
      <c r="Q90">
        <v>274</v>
      </c>
      <c r="R90">
        <v>89</v>
      </c>
    </row>
    <row r="91" spans="1:18">
      <c r="A91" s="1" t="s">
        <v>84</v>
      </c>
      <c r="B91">
        <v>23</v>
      </c>
      <c r="C91">
        <v>16</v>
      </c>
      <c r="D91">
        <v>7</v>
      </c>
      <c r="E91">
        <v>-5.45</v>
      </c>
      <c r="F91">
        <v>1795</v>
      </c>
      <c r="G91">
        <v>638</v>
      </c>
      <c r="H91">
        <v>1367</v>
      </c>
      <c r="I91">
        <v>325</v>
      </c>
      <c r="J91">
        <v>413</v>
      </c>
      <c r="K91">
        <v>175</v>
      </c>
      <c r="L91">
        <v>815</v>
      </c>
      <c r="M91">
        <v>347</v>
      </c>
      <c r="N91">
        <v>113</v>
      </c>
      <c r="O91">
        <v>66</v>
      </c>
      <c r="P91">
        <v>264</v>
      </c>
      <c r="Q91">
        <v>390</v>
      </c>
      <c r="R91">
        <v>90</v>
      </c>
    </row>
    <row r="92" spans="1:18">
      <c r="A92" s="1" t="s">
        <v>85</v>
      </c>
      <c r="B92">
        <v>19</v>
      </c>
      <c r="C92">
        <v>10</v>
      </c>
      <c r="D92">
        <v>9</v>
      </c>
      <c r="E92">
        <v>-3.61</v>
      </c>
      <c r="F92">
        <v>1249</v>
      </c>
      <c r="G92">
        <v>449</v>
      </c>
      <c r="H92">
        <v>1084</v>
      </c>
      <c r="I92">
        <v>197</v>
      </c>
      <c r="J92">
        <v>266</v>
      </c>
      <c r="K92">
        <v>166</v>
      </c>
      <c r="L92">
        <v>652</v>
      </c>
      <c r="M92">
        <v>206</v>
      </c>
      <c r="N92">
        <v>108</v>
      </c>
      <c r="O92">
        <v>39</v>
      </c>
      <c r="P92">
        <v>218</v>
      </c>
      <c r="Q92">
        <v>359</v>
      </c>
      <c r="R92">
        <v>91</v>
      </c>
    </row>
    <row r="93" spans="1:18">
      <c r="A93" s="1" t="s">
        <v>86</v>
      </c>
      <c r="B93">
        <v>25</v>
      </c>
      <c r="C93">
        <v>9</v>
      </c>
      <c r="D93">
        <v>16</v>
      </c>
      <c r="E93">
        <v>0.14000000000000001</v>
      </c>
      <c r="F93">
        <v>1619</v>
      </c>
      <c r="G93">
        <v>571</v>
      </c>
      <c r="H93">
        <v>1299</v>
      </c>
      <c r="I93">
        <v>237</v>
      </c>
      <c r="J93">
        <v>330</v>
      </c>
      <c r="K93">
        <v>149</v>
      </c>
      <c r="L93">
        <v>670</v>
      </c>
      <c r="M93">
        <v>291</v>
      </c>
      <c r="N93">
        <v>122</v>
      </c>
      <c r="O93">
        <v>56</v>
      </c>
      <c r="P93">
        <v>274</v>
      </c>
      <c r="Q93">
        <v>377</v>
      </c>
      <c r="R93">
        <v>92</v>
      </c>
    </row>
    <row r="94" spans="1:18">
      <c r="A94" s="1" t="s">
        <v>87</v>
      </c>
      <c r="B94">
        <v>27</v>
      </c>
      <c r="C94">
        <v>10</v>
      </c>
      <c r="D94">
        <v>17</v>
      </c>
      <c r="E94">
        <v>-5.84</v>
      </c>
      <c r="F94">
        <v>1668</v>
      </c>
      <c r="G94">
        <v>580</v>
      </c>
      <c r="H94">
        <v>1456</v>
      </c>
      <c r="I94">
        <v>345</v>
      </c>
      <c r="J94">
        <v>496</v>
      </c>
      <c r="K94">
        <v>265</v>
      </c>
      <c r="L94">
        <v>949</v>
      </c>
      <c r="M94">
        <v>271</v>
      </c>
      <c r="N94">
        <v>125</v>
      </c>
      <c r="O94">
        <v>62</v>
      </c>
      <c r="P94">
        <v>349</v>
      </c>
      <c r="Q94">
        <v>480</v>
      </c>
      <c r="R94">
        <v>93</v>
      </c>
    </row>
    <row r="95" spans="1:18">
      <c r="A95" s="1" t="s">
        <v>88</v>
      </c>
      <c r="B95">
        <v>24</v>
      </c>
      <c r="C95">
        <v>9</v>
      </c>
      <c r="D95">
        <v>15</v>
      </c>
      <c r="E95">
        <v>-4.6900000000000004</v>
      </c>
      <c r="F95">
        <v>1801</v>
      </c>
      <c r="G95">
        <v>645</v>
      </c>
      <c r="H95">
        <v>1432</v>
      </c>
      <c r="I95">
        <v>317</v>
      </c>
      <c r="J95">
        <v>445</v>
      </c>
      <c r="K95">
        <v>244</v>
      </c>
      <c r="L95">
        <v>813</v>
      </c>
      <c r="M95">
        <v>287</v>
      </c>
      <c r="N95">
        <v>182</v>
      </c>
      <c r="O95">
        <v>93</v>
      </c>
      <c r="P95">
        <v>340</v>
      </c>
      <c r="Q95">
        <v>439</v>
      </c>
      <c r="R95">
        <v>94</v>
      </c>
    </row>
    <row r="96" spans="1:18">
      <c r="A96" s="1" t="s">
        <v>89</v>
      </c>
      <c r="B96">
        <v>20</v>
      </c>
      <c r="C96">
        <v>8</v>
      </c>
      <c r="D96">
        <v>12</v>
      </c>
      <c r="E96">
        <v>-9.16</v>
      </c>
      <c r="F96">
        <v>1314</v>
      </c>
      <c r="G96">
        <v>500</v>
      </c>
      <c r="H96">
        <v>1126</v>
      </c>
      <c r="I96">
        <v>219</v>
      </c>
      <c r="J96">
        <v>336</v>
      </c>
      <c r="K96">
        <v>206</v>
      </c>
      <c r="L96">
        <v>705</v>
      </c>
      <c r="M96">
        <v>265</v>
      </c>
      <c r="N96">
        <v>130</v>
      </c>
      <c r="O96">
        <v>50</v>
      </c>
      <c r="P96">
        <v>338</v>
      </c>
      <c r="Q96">
        <v>364</v>
      </c>
      <c r="R96">
        <v>95</v>
      </c>
    </row>
    <row r="97" spans="1:18">
      <c r="A97" s="1" t="s">
        <v>90</v>
      </c>
      <c r="B97">
        <v>23</v>
      </c>
      <c r="C97">
        <v>13</v>
      </c>
      <c r="D97">
        <v>10</v>
      </c>
      <c r="E97">
        <v>-4.7699999999999996</v>
      </c>
      <c r="F97">
        <v>1796</v>
      </c>
      <c r="G97">
        <v>652</v>
      </c>
      <c r="H97">
        <v>1409</v>
      </c>
      <c r="I97">
        <v>269</v>
      </c>
      <c r="J97">
        <v>407</v>
      </c>
      <c r="K97">
        <v>287</v>
      </c>
      <c r="L97">
        <v>929</v>
      </c>
      <c r="M97">
        <v>335</v>
      </c>
      <c r="N97">
        <v>175</v>
      </c>
      <c r="O97">
        <v>63</v>
      </c>
      <c r="P97">
        <v>318</v>
      </c>
      <c r="Q97">
        <v>415</v>
      </c>
      <c r="R97">
        <v>96</v>
      </c>
    </row>
    <row r="98" spans="1:18">
      <c r="A98" s="1" t="s">
        <v>346</v>
      </c>
      <c r="B98">
        <v>18</v>
      </c>
      <c r="C98">
        <v>10</v>
      </c>
      <c r="D98">
        <v>8</v>
      </c>
      <c r="E98">
        <v>-6.97</v>
      </c>
      <c r="F98">
        <v>1292</v>
      </c>
      <c r="G98">
        <v>483</v>
      </c>
      <c r="H98">
        <v>1126</v>
      </c>
      <c r="I98">
        <v>180</v>
      </c>
      <c r="J98">
        <v>271</v>
      </c>
      <c r="K98">
        <v>206</v>
      </c>
      <c r="L98">
        <v>700</v>
      </c>
      <c r="M98">
        <v>246</v>
      </c>
      <c r="N98">
        <v>134</v>
      </c>
      <c r="O98">
        <v>77</v>
      </c>
      <c r="P98">
        <v>265</v>
      </c>
      <c r="Q98">
        <v>280</v>
      </c>
      <c r="R98">
        <v>97</v>
      </c>
    </row>
    <row r="99" spans="1:18">
      <c r="A99" s="1" t="s">
        <v>91</v>
      </c>
      <c r="B99">
        <v>26</v>
      </c>
      <c r="C99">
        <v>9</v>
      </c>
      <c r="D99">
        <v>17</v>
      </c>
      <c r="E99">
        <v>-3.04</v>
      </c>
      <c r="F99">
        <v>1914</v>
      </c>
      <c r="G99">
        <v>690</v>
      </c>
      <c r="H99">
        <v>1604</v>
      </c>
      <c r="I99">
        <v>261</v>
      </c>
      <c r="J99">
        <v>392</v>
      </c>
      <c r="K99">
        <v>252</v>
      </c>
      <c r="L99">
        <v>847</v>
      </c>
      <c r="M99">
        <v>388</v>
      </c>
      <c r="N99">
        <v>219</v>
      </c>
      <c r="O99">
        <v>105</v>
      </c>
      <c r="P99">
        <v>380</v>
      </c>
      <c r="Q99">
        <v>463</v>
      </c>
      <c r="R99">
        <v>98</v>
      </c>
    </row>
    <row r="100" spans="1:18">
      <c r="A100" s="1" t="s">
        <v>92</v>
      </c>
      <c r="B100">
        <v>22</v>
      </c>
      <c r="C100">
        <v>16</v>
      </c>
      <c r="D100">
        <v>6</v>
      </c>
      <c r="E100">
        <v>9.39</v>
      </c>
      <c r="F100">
        <v>1736</v>
      </c>
      <c r="G100">
        <v>620</v>
      </c>
      <c r="H100">
        <v>1307</v>
      </c>
      <c r="I100">
        <v>315</v>
      </c>
      <c r="J100">
        <v>427</v>
      </c>
      <c r="K100">
        <v>255</v>
      </c>
      <c r="L100">
        <v>822</v>
      </c>
      <c r="M100">
        <v>322</v>
      </c>
      <c r="N100">
        <v>163</v>
      </c>
      <c r="O100">
        <v>113</v>
      </c>
      <c r="P100">
        <v>315</v>
      </c>
      <c r="Q100">
        <v>407</v>
      </c>
      <c r="R100">
        <v>99</v>
      </c>
    </row>
    <row r="101" spans="1:18">
      <c r="A101" s="1" t="s">
        <v>347</v>
      </c>
      <c r="B101">
        <v>23</v>
      </c>
      <c r="C101">
        <v>14</v>
      </c>
      <c r="D101">
        <v>9</v>
      </c>
      <c r="E101">
        <v>10.76</v>
      </c>
      <c r="F101">
        <v>1701</v>
      </c>
      <c r="G101">
        <v>605</v>
      </c>
      <c r="H101">
        <v>1303</v>
      </c>
      <c r="I101">
        <v>334</v>
      </c>
      <c r="J101">
        <v>441</v>
      </c>
      <c r="K101">
        <v>230</v>
      </c>
      <c r="L101">
        <v>809</v>
      </c>
      <c r="M101">
        <v>272</v>
      </c>
      <c r="N101">
        <v>168</v>
      </c>
      <c r="O101">
        <v>125</v>
      </c>
      <c r="P101">
        <v>337</v>
      </c>
      <c r="Q101">
        <v>426</v>
      </c>
      <c r="R101">
        <v>100</v>
      </c>
    </row>
    <row r="102" spans="1:18">
      <c r="A102" s="1" t="s">
        <v>93</v>
      </c>
      <c r="B102">
        <v>14</v>
      </c>
      <c r="C102">
        <v>2</v>
      </c>
      <c r="D102">
        <v>12</v>
      </c>
      <c r="E102">
        <v>4.26</v>
      </c>
      <c r="F102">
        <v>725</v>
      </c>
      <c r="G102">
        <v>257</v>
      </c>
      <c r="H102">
        <v>716</v>
      </c>
      <c r="I102">
        <v>132</v>
      </c>
      <c r="J102">
        <v>197</v>
      </c>
      <c r="K102">
        <v>95</v>
      </c>
      <c r="L102">
        <v>415</v>
      </c>
      <c r="M102">
        <v>153</v>
      </c>
      <c r="N102">
        <v>87</v>
      </c>
      <c r="O102">
        <v>28</v>
      </c>
      <c r="P102">
        <v>187</v>
      </c>
      <c r="Q102">
        <v>221</v>
      </c>
      <c r="R102">
        <v>101</v>
      </c>
    </row>
    <row r="103" spans="1:18">
      <c r="A103" s="1" t="s">
        <v>306</v>
      </c>
      <c r="B103">
        <v>24</v>
      </c>
      <c r="C103">
        <v>12</v>
      </c>
      <c r="D103">
        <v>12</v>
      </c>
      <c r="E103">
        <v>0.14000000000000001</v>
      </c>
      <c r="F103">
        <v>1591</v>
      </c>
      <c r="G103">
        <v>552</v>
      </c>
      <c r="H103">
        <v>1289</v>
      </c>
      <c r="I103">
        <v>323</v>
      </c>
      <c r="J103">
        <v>485</v>
      </c>
      <c r="K103">
        <v>257</v>
      </c>
      <c r="L103">
        <v>853</v>
      </c>
      <c r="M103">
        <v>249</v>
      </c>
      <c r="N103">
        <v>158</v>
      </c>
      <c r="O103">
        <v>70</v>
      </c>
      <c r="P103">
        <v>344</v>
      </c>
      <c r="Q103">
        <v>427</v>
      </c>
      <c r="R103">
        <v>102</v>
      </c>
    </row>
    <row r="104" spans="1:18">
      <c r="A104" s="1" t="s">
        <v>94</v>
      </c>
      <c r="B104">
        <v>25</v>
      </c>
      <c r="C104">
        <v>16</v>
      </c>
      <c r="D104">
        <v>9</v>
      </c>
      <c r="E104">
        <v>-1.22</v>
      </c>
      <c r="F104">
        <v>1990</v>
      </c>
      <c r="G104">
        <v>730</v>
      </c>
      <c r="H104">
        <v>1499</v>
      </c>
      <c r="I104">
        <v>288</v>
      </c>
      <c r="J104">
        <v>398</v>
      </c>
      <c r="K104">
        <v>223</v>
      </c>
      <c r="L104">
        <v>879</v>
      </c>
      <c r="M104">
        <v>416</v>
      </c>
      <c r="N104">
        <v>205</v>
      </c>
      <c r="O104">
        <v>84</v>
      </c>
      <c r="P104">
        <v>313</v>
      </c>
      <c r="Q104">
        <v>428</v>
      </c>
      <c r="R104">
        <v>103</v>
      </c>
    </row>
    <row r="105" spans="1:18">
      <c r="A105" s="1" t="s">
        <v>318</v>
      </c>
      <c r="B105">
        <v>26</v>
      </c>
      <c r="C105">
        <v>11</v>
      </c>
      <c r="D105">
        <v>15</v>
      </c>
      <c r="E105">
        <v>-5.58</v>
      </c>
      <c r="F105">
        <v>1837</v>
      </c>
      <c r="G105">
        <v>651</v>
      </c>
      <c r="H105">
        <v>1465</v>
      </c>
      <c r="I105">
        <v>303</v>
      </c>
      <c r="J105">
        <v>439</v>
      </c>
      <c r="K105">
        <v>239</v>
      </c>
      <c r="L105">
        <v>895</v>
      </c>
      <c r="M105">
        <v>339</v>
      </c>
      <c r="N105">
        <v>153</v>
      </c>
      <c r="O105">
        <v>125</v>
      </c>
      <c r="P105">
        <v>304</v>
      </c>
      <c r="Q105">
        <v>492</v>
      </c>
      <c r="R105">
        <v>104</v>
      </c>
    </row>
    <row r="106" spans="1:18">
      <c r="A106" s="1" t="s">
        <v>95</v>
      </c>
      <c r="B106">
        <v>22</v>
      </c>
      <c r="C106">
        <v>13</v>
      </c>
      <c r="D106">
        <v>9</v>
      </c>
      <c r="E106">
        <v>1.5</v>
      </c>
      <c r="F106">
        <v>1569</v>
      </c>
      <c r="G106">
        <v>578</v>
      </c>
      <c r="H106">
        <v>1347</v>
      </c>
      <c r="I106">
        <v>253</v>
      </c>
      <c r="J106">
        <v>394</v>
      </c>
      <c r="K106">
        <v>254</v>
      </c>
      <c r="L106">
        <v>834</v>
      </c>
      <c r="M106">
        <v>287</v>
      </c>
      <c r="N106">
        <v>159</v>
      </c>
      <c r="O106">
        <v>94</v>
      </c>
      <c r="P106">
        <v>282</v>
      </c>
      <c r="Q106">
        <v>353</v>
      </c>
      <c r="R106">
        <v>105</v>
      </c>
    </row>
    <row r="107" spans="1:18">
      <c r="A107" s="1" t="s">
        <v>96</v>
      </c>
      <c r="B107">
        <v>17</v>
      </c>
      <c r="C107">
        <v>5</v>
      </c>
      <c r="D107">
        <v>12</v>
      </c>
      <c r="E107">
        <v>-0.44</v>
      </c>
      <c r="F107">
        <v>1158</v>
      </c>
      <c r="G107">
        <v>411</v>
      </c>
      <c r="H107">
        <v>928</v>
      </c>
      <c r="I107">
        <v>234</v>
      </c>
      <c r="J107">
        <v>335</v>
      </c>
      <c r="K107">
        <v>136</v>
      </c>
      <c r="L107">
        <v>582</v>
      </c>
      <c r="M107">
        <v>194</v>
      </c>
      <c r="N107">
        <v>107</v>
      </c>
      <c r="O107">
        <v>46</v>
      </c>
      <c r="P107">
        <v>233</v>
      </c>
      <c r="Q107">
        <v>247</v>
      </c>
      <c r="R107">
        <v>106</v>
      </c>
    </row>
    <row r="108" spans="1:18">
      <c r="A108" s="1" t="s">
        <v>97</v>
      </c>
      <c r="B108">
        <v>25</v>
      </c>
      <c r="C108">
        <v>13</v>
      </c>
      <c r="D108">
        <v>12</v>
      </c>
      <c r="E108">
        <v>11.05</v>
      </c>
      <c r="F108">
        <v>1784</v>
      </c>
      <c r="G108">
        <v>621</v>
      </c>
      <c r="H108">
        <v>1463</v>
      </c>
      <c r="I108">
        <v>334</v>
      </c>
      <c r="J108">
        <v>443</v>
      </c>
      <c r="K108">
        <v>292</v>
      </c>
      <c r="L108">
        <v>1005</v>
      </c>
      <c r="M108">
        <v>321</v>
      </c>
      <c r="N108">
        <v>148</v>
      </c>
      <c r="O108">
        <v>97</v>
      </c>
      <c r="P108">
        <v>383</v>
      </c>
      <c r="Q108">
        <v>397</v>
      </c>
      <c r="R108">
        <v>107</v>
      </c>
    </row>
    <row r="109" spans="1:18">
      <c r="A109" s="1" t="s">
        <v>98</v>
      </c>
      <c r="B109">
        <v>26</v>
      </c>
      <c r="C109">
        <v>13</v>
      </c>
      <c r="D109">
        <v>13</v>
      </c>
      <c r="E109">
        <v>-5.79</v>
      </c>
      <c r="F109">
        <v>1860</v>
      </c>
      <c r="G109">
        <v>686</v>
      </c>
      <c r="H109">
        <v>1536</v>
      </c>
      <c r="I109">
        <v>294</v>
      </c>
      <c r="J109">
        <v>463</v>
      </c>
      <c r="K109">
        <v>306</v>
      </c>
      <c r="L109">
        <v>964</v>
      </c>
      <c r="M109">
        <v>322</v>
      </c>
      <c r="N109">
        <v>210</v>
      </c>
      <c r="O109">
        <v>101</v>
      </c>
      <c r="P109">
        <v>374</v>
      </c>
      <c r="Q109">
        <v>444</v>
      </c>
      <c r="R109">
        <v>108</v>
      </c>
    </row>
    <row r="110" spans="1:18">
      <c r="A110" s="1" t="s">
        <v>99</v>
      </c>
      <c r="B110">
        <v>22</v>
      </c>
      <c r="C110">
        <v>16</v>
      </c>
      <c r="D110">
        <v>6</v>
      </c>
      <c r="E110">
        <v>-4.13</v>
      </c>
      <c r="F110">
        <v>1767</v>
      </c>
      <c r="G110">
        <v>649</v>
      </c>
      <c r="H110">
        <v>1386</v>
      </c>
      <c r="I110">
        <v>291</v>
      </c>
      <c r="J110">
        <v>425</v>
      </c>
      <c r="K110">
        <v>250</v>
      </c>
      <c r="L110">
        <v>826</v>
      </c>
      <c r="M110">
        <v>369</v>
      </c>
      <c r="N110">
        <v>157</v>
      </c>
      <c r="O110">
        <v>97</v>
      </c>
      <c r="P110">
        <v>255</v>
      </c>
      <c r="Q110">
        <v>365</v>
      </c>
      <c r="R110">
        <v>109</v>
      </c>
    </row>
    <row r="111" spans="1:18">
      <c r="A111" s="1" t="s">
        <v>100</v>
      </c>
      <c r="B111">
        <v>25</v>
      </c>
      <c r="C111">
        <v>17</v>
      </c>
      <c r="D111">
        <v>8</v>
      </c>
      <c r="E111">
        <v>8.5399999999999991</v>
      </c>
      <c r="F111">
        <v>1888</v>
      </c>
      <c r="G111">
        <v>695</v>
      </c>
      <c r="H111">
        <v>1467</v>
      </c>
      <c r="I111">
        <v>309</v>
      </c>
      <c r="J111">
        <v>425</v>
      </c>
      <c r="K111">
        <v>204</v>
      </c>
      <c r="L111">
        <v>770</v>
      </c>
      <c r="M111">
        <v>401</v>
      </c>
      <c r="N111">
        <v>230</v>
      </c>
      <c r="O111">
        <v>85</v>
      </c>
      <c r="P111">
        <v>278</v>
      </c>
      <c r="Q111">
        <v>391</v>
      </c>
      <c r="R111">
        <v>110</v>
      </c>
    </row>
    <row r="112" spans="1:18">
      <c r="A112" s="1" t="s">
        <v>101</v>
      </c>
      <c r="B112">
        <v>26</v>
      </c>
      <c r="C112">
        <v>14</v>
      </c>
      <c r="D112">
        <v>12</v>
      </c>
      <c r="E112">
        <v>8.42</v>
      </c>
      <c r="F112">
        <v>2014</v>
      </c>
      <c r="G112">
        <v>734</v>
      </c>
      <c r="H112">
        <v>1603</v>
      </c>
      <c r="I112">
        <v>381</v>
      </c>
      <c r="J112">
        <v>553</v>
      </c>
      <c r="K112">
        <v>318</v>
      </c>
      <c r="L112">
        <v>973</v>
      </c>
      <c r="M112">
        <v>389</v>
      </c>
      <c r="N112">
        <v>220</v>
      </c>
      <c r="O112">
        <v>64</v>
      </c>
      <c r="P112">
        <v>434</v>
      </c>
      <c r="Q112">
        <v>484</v>
      </c>
      <c r="R112">
        <v>111</v>
      </c>
    </row>
    <row r="113" spans="1:18">
      <c r="A113" s="1" t="s">
        <v>374</v>
      </c>
      <c r="B113">
        <v>26</v>
      </c>
      <c r="C113">
        <v>26</v>
      </c>
      <c r="D113">
        <v>0</v>
      </c>
      <c r="E113">
        <v>3.43</v>
      </c>
      <c r="F113">
        <v>2395</v>
      </c>
      <c r="G113">
        <v>888</v>
      </c>
      <c r="H113">
        <v>1612</v>
      </c>
      <c r="I113">
        <v>429</v>
      </c>
      <c r="J113">
        <v>590</v>
      </c>
      <c r="K113">
        <v>249</v>
      </c>
      <c r="L113">
        <v>986</v>
      </c>
      <c r="M113">
        <v>476</v>
      </c>
      <c r="N113">
        <v>216</v>
      </c>
      <c r="O113">
        <v>74</v>
      </c>
      <c r="P113">
        <v>315</v>
      </c>
      <c r="Q113">
        <v>433</v>
      </c>
      <c r="R113">
        <v>112</v>
      </c>
    </row>
    <row r="114" spans="1:18">
      <c r="A114" s="1" t="s">
        <v>102</v>
      </c>
      <c r="B114">
        <v>24</v>
      </c>
      <c r="C114">
        <v>12</v>
      </c>
      <c r="D114">
        <v>12</v>
      </c>
      <c r="E114">
        <v>-13</v>
      </c>
      <c r="F114">
        <v>1617</v>
      </c>
      <c r="G114">
        <v>562</v>
      </c>
      <c r="H114">
        <v>1313</v>
      </c>
      <c r="I114">
        <v>368</v>
      </c>
      <c r="J114">
        <v>553</v>
      </c>
      <c r="K114">
        <v>207</v>
      </c>
      <c r="L114">
        <v>827</v>
      </c>
      <c r="M114">
        <v>337</v>
      </c>
      <c r="N114">
        <v>195</v>
      </c>
      <c r="O114">
        <v>73</v>
      </c>
      <c r="P114">
        <v>371</v>
      </c>
      <c r="Q114">
        <v>433</v>
      </c>
      <c r="R114">
        <v>113</v>
      </c>
    </row>
    <row r="115" spans="1:18">
      <c r="A115" s="1" t="s">
        <v>364</v>
      </c>
      <c r="B115">
        <v>23</v>
      </c>
      <c r="C115">
        <v>17</v>
      </c>
      <c r="D115">
        <v>6</v>
      </c>
      <c r="E115">
        <v>-5.78</v>
      </c>
      <c r="F115">
        <v>1738</v>
      </c>
      <c r="G115">
        <v>646</v>
      </c>
      <c r="H115">
        <v>1314</v>
      </c>
      <c r="I115">
        <v>290</v>
      </c>
      <c r="J115">
        <v>423</v>
      </c>
      <c r="K115">
        <v>240</v>
      </c>
      <c r="L115">
        <v>921</v>
      </c>
      <c r="M115">
        <v>371</v>
      </c>
      <c r="N115">
        <v>112</v>
      </c>
      <c r="O115">
        <v>68</v>
      </c>
      <c r="P115">
        <v>301</v>
      </c>
      <c r="Q115">
        <v>392</v>
      </c>
      <c r="R115">
        <v>114</v>
      </c>
    </row>
    <row r="116" spans="1:18">
      <c r="A116" s="1" t="s">
        <v>103</v>
      </c>
      <c r="B116">
        <v>25</v>
      </c>
      <c r="C116">
        <v>8</v>
      </c>
      <c r="D116">
        <v>17</v>
      </c>
      <c r="E116">
        <v>-4.4000000000000004</v>
      </c>
      <c r="F116">
        <v>1790</v>
      </c>
      <c r="G116">
        <v>656</v>
      </c>
      <c r="H116">
        <v>1507</v>
      </c>
      <c r="I116">
        <v>308</v>
      </c>
      <c r="J116">
        <v>411</v>
      </c>
      <c r="K116">
        <v>228</v>
      </c>
      <c r="L116">
        <v>817</v>
      </c>
      <c r="M116">
        <v>352</v>
      </c>
      <c r="N116">
        <v>138</v>
      </c>
      <c r="O116">
        <v>90</v>
      </c>
      <c r="P116">
        <v>269</v>
      </c>
      <c r="Q116">
        <v>405</v>
      </c>
      <c r="R116">
        <v>115</v>
      </c>
    </row>
    <row r="117" spans="1:18">
      <c r="A117" s="1" t="s">
        <v>104</v>
      </c>
      <c r="B117">
        <v>25</v>
      </c>
      <c r="C117">
        <v>11</v>
      </c>
      <c r="D117">
        <v>14</v>
      </c>
      <c r="E117">
        <v>-8.65</v>
      </c>
      <c r="F117">
        <v>1721</v>
      </c>
      <c r="G117">
        <v>619</v>
      </c>
      <c r="H117">
        <v>1437</v>
      </c>
      <c r="I117">
        <v>298</v>
      </c>
      <c r="J117">
        <v>411</v>
      </c>
      <c r="K117">
        <v>196</v>
      </c>
      <c r="L117">
        <v>844</v>
      </c>
      <c r="M117">
        <v>292</v>
      </c>
      <c r="N117">
        <v>152</v>
      </c>
      <c r="O117">
        <v>149</v>
      </c>
      <c r="P117">
        <v>318</v>
      </c>
      <c r="Q117">
        <v>426</v>
      </c>
      <c r="R117">
        <v>116</v>
      </c>
    </row>
    <row r="118" spans="1:18">
      <c r="A118" s="1" t="s">
        <v>105</v>
      </c>
      <c r="B118">
        <v>23</v>
      </c>
      <c r="C118">
        <v>15</v>
      </c>
      <c r="D118">
        <v>8</v>
      </c>
      <c r="E118">
        <v>-5.37</v>
      </c>
      <c r="F118">
        <v>1515</v>
      </c>
      <c r="G118">
        <v>543</v>
      </c>
      <c r="H118">
        <v>1251</v>
      </c>
      <c r="I118">
        <v>255</v>
      </c>
      <c r="J118">
        <v>358</v>
      </c>
      <c r="K118">
        <v>187</v>
      </c>
      <c r="L118">
        <v>763</v>
      </c>
      <c r="M118">
        <v>253</v>
      </c>
      <c r="N118">
        <v>161</v>
      </c>
      <c r="O118">
        <v>47</v>
      </c>
      <c r="P118">
        <v>291</v>
      </c>
      <c r="Q118">
        <v>371</v>
      </c>
      <c r="R118">
        <v>117</v>
      </c>
    </row>
    <row r="119" spans="1:18">
      <c r="A119" s="1" t="s">
        <v>106</v>
      </c>
      <c r="B119">
        <v>0</v>
      </c>
      <c r="C119">
        <v>0</v>
      </c>
      <c r="D119">
        <v>0</v>
      </c>
      <c r="R119">
        <v>118</v>
      </c>
    </row>
    <row r="120" spans="1:18">
      <c r="A120" s="1" t="s">
        <v>107</v>
      </c>
      <c r="B120">
        <v>21</v>
      </c>
      <c r="C120">
        <v>11</v>
      </c>
      <c r="D120">
        <v>10</v>
      </c>
      <c r="E120">
        <v>-4.22</v>
      </c>
      <c r="F120">
        <v>1503</v>
      </c>
      <c r="G120">
        <v>534</v>
      </c>
      <c r="H120">
        <v>1208</v>
      </c>
      <c r="I120">
        <v>271</v>
      </c>
      <c r="J120">
        <v>376</v>
      </c>
      <c r="K120">
        <v>217</v>
      </c>
      <c r="L120">
        <v>752</v>
      </c>
      <c r="M120">
        <v>246</v>
      </c>
      <c r="N120">
        <v>119</v>
      </c>
      <c r="O120">
        <v>32</v>
      </c>
      <c r="P120">
        <v>291</v>
      </c>
      <c r="Q120">
        <v>350</v>
      </c>
      <c r="R120">
        <v>119</v>
      </c>
    </row>
    <row r="121" spans="1:18">
      <c r="A121" s="1" t="s">
        <v>108</v>
      </c>
      <c r="B121">
        <v>24</v>
      </c>
      <c r="C121">
        <v>9</v>
      </c>
      <c r="D121">
        <v>15</v>
      </c>
      <c r="E121">
        <v>-6.98</v>
      </c>
      <c r="F121">
        <v>1600</v>
      </c>
      <c r="G121">
        <v>564</v>
      </c>
      <c r="H121">
        <v>1357</v>
      </c>
      <c r="I121">
        <v>357</v>
      </c>
      <c r="J121">
        <v>520</v>
      </c>
      <c r="K121">
        <v>279</v>
      </c>
      <c r="L121">
        <v>851</v>
      </c>
      <c r="M121">
        <v>292</v>
      </c>
      <c r="N121">
        <v>158</v>
      </c>
      <c r="O121">
        <v>90</v>
      </c>
      <c r="P121">
        <v>303</v>
      </c>
      <c r="Q121">
        <v>428</v>
      </c>
      <c r="R121">
        <v>120</v>
      </c>
    </row>
    <row r="122" spans="1:18">
      <c r="A122" s="1" t="s">
        <v>307</v>
      </c>
      <c r="B122">
        <v>23</v>
      </c>
      <c r="C122">
        <v>13</v>
      </c>
      <c r="D122">
        <v>10</v>
      </c>
      <c r="E122">
        <v>-2.02</v>
      </c>
      <c r="F122">
        <v>1683</v>
      </c>
      <c r="G122">
        <v>595</v>
      </c>
      <c r="H122">
        <v>1342</v>
      </c>
      <c r="I122">
        <v>319</v>
      </c>
      <c r="J122">
        <v>445</v>
      </c>
      <c r="K122">
        <v>241</v>
      </c>
      <c r="L122">
        <v>816</v>
      </c>
      <c r="M122">
        <v>293</v>
      </c>
      <c r="N122">
        <v>152</v>
      </c>
      <c r="O122">
        <v>68</v>
      </c>
      <c r="P122">
        <v>279</v>
      </c>
      <c r="Q122">
        <v>368</v>
      </c>
      <c r="R122">
        <v>121</v>
      </c>
    </row>
    <row r="123" spans="1:18">
      <c r="A123" s="1" t="s">
        <v>109</v>
      </c>
      <c r="B123">
        <v>16</v>
      </c>
      <c r="C123">
        <v>5</v>
      </c>
      <c r="D123">
        <v>11</v>
      </c>
      <c r="E123">
        <v>5.27</v>
      </c>
      <c r="F123">
        <v>1130</v>
      </c>
      <c r="G123">
        <v>423</v>
      </c>
      <c r="H123">
        <v>951</v>
      </c>
      <c r="I123">
        <v>173</v>
      </c>
      <c r="J123">
        <v>248</v>
      </c>
      <c r="K123">
        <v>150</v>
      </c>
      <c r="L123">
        <v>522</v>
      </c>
      <c r="M123">
        <v>193</v>
      </c>
      <c r="N123">
        <v>110</v>
      </c>
      <c r="O123">
        <v>63</v>
      </c>
      <c r="P123">
        <v>206</v>
      </c>
      <c r="Q123">
        <v>305</v>
      </c>
      <c r="R123">
        <v>122</v>
      </c>
    </row>
    <row r="124" spans="1:18">
      <c r="A124" s="1" t="s">
        <v>353</v>
      </c>
      <c r="B124">
        <v>25</v>
      </c>
      <c r="C124">
        <v>6</v>
      </c>
      <c r="D124">
        <v>19</v>
      </c>
      <c r="E124">
        <v>-5.94</v>
      </c>
      <c r="F124">
        <v>1776</v>
      </c>
      <c r="G124">
        <v>635</v>
      </c>
      <c r="H124">
        <v>1485</v>
      </c>
      <c r="I124">
        <v>304</v>
      </c>
      <c r="J124">
        <v>415</v>
      </c>
      <c r="K124">
        <v>228</v>
      </c>
      <c r="L124">
        <v>849</v>
      </c>
      <c r="M124">
        <v>354</v>
      </c>
      <c r="N124">
        <v>176</v>
      </c>
      <c r="O124">
        <v>92</v>
      </c>
      <c r="P124">
        <v>418</v>
      </c>
      <c r="Q124">
        <v>424</v>
      </c>
      <c r="R124">
        <v>123</v>
      </c>
    </row>
    <row r="125" spans="1:18">
      <c r="A125" s="1" t="s">
        <v>110</v>
      </c>
      <c r="B125">
        <v>27</v>
      </c>
      <c r="C125">
        <v>24</v>
      </c>
      <c r="D125">
        <v>3</v>
      </c>
      <c r="E125">
        <v>4.1399999999999997</v>
      </c>
      <c r="F125">
        <v>2096</v>
      </c>
      <c r="G125">
        <v>739</v>
      </c>
      <c r="H125">
        <v>1664</v>
      </c>
      <c r="I125">
        <v>366</v>
      </c>
      <c r="J125">
        <v>494</v>
      </c>
      <c r="K125">
        <v>387</v>
      </c>
      <c r="L125">
        <v>1110</v>
      </c>
      <c r="M125">
        <v>381</v>
      </c>
      <c r="N125">
        <v>221</v>
      </c>
      <c r="O125">
        <v>126</v>
      </c>
      <c r="P125">
        <v>293</v>
      </c>
      <c r="Q125">
        <v>506</v>
      </c>
      <c r="R125">
        <v>124</v>
      </c>
    </row>
    <row r="126" spans="1:18">
      <c r="A126" s="1" t="s">
        <v>111</v>
      </c>
      <c r="B126">
        <v>5</v>
      </c>
      <c r="C126">
        <v>1</v>
      </c>
      <c r="D126">
        <v>4</v>
      </c>
      <c r="E126">
        <v>-2.0499999999999998</v>
      </c>
      <c r="F126">
        <v>363</v>
      </c>
      <c r="G126">
        <v>123</v>
      </c>
      <c r="H126">
        <v>283</v>
      </c>
      <c r="I126">
        <v>79</v>
      </c>
      <c r="J126">
        <v>110</v>
      </c>
      <c r="K126">
        <v>41</v>
      </c>
      <c r="L126">
        <v>177</v>
      </c>
      <c r="M126">
        <v>74</v>
      </c>
      <c r="N126">
        <v>26</v>
      </c>
      <c r="O126">
        <v>25</v>
      </c>
      <c r="P126">
        <v>72</v>
      </c>
      <c r="Q126">
        <v>89</v>
      </c>
      <c r="R126">
        <v>125</v>
      </c>
    </row>
    <row r="127" spans="1:18">
      <c r="A127" s="1" t="s">
        <v>112</v>
      </c>
      <c r="B127">
        <v>24</v>
      </c>
      <c r="C127">
        <v>13</v>
      </c>
      <c r="D127">
        <v>11</v>
      </c>
      <c r="E127">
        <v>-7.11</v>
      </c>
      <c r="F127">
        <v>1637</v>
      </c>
      <c r="G127">
        <v>559</v>
      </c>
      <c r="H127">
        <v>1261</v>
      </c>
      <c r="I127">
        <v>353</v>
      </c>
      <c r="J127">
        <v>496</v>
      </c>
      <c r="K127">
        <v>243</v>
      </c>
      <c r="L127">
        <v>861</v>
      </c>
      <c r="M127">
        <v>273</v>
      </c>
      <c r="N127">
        <v>108</v>
      </c>
      <c r="O127">
        <v>83</v>
      </c>
      <c r="P127">
        <v>357</v>
      </c>
      <c r="Q127">
        <v>442</v>
      </c>
      <c r="R127">
        <v>126</v>
      </c>
    </row>
    <row r="128" spans="1:18">
      <c r="A128" s="1" t="s">
        <v>113</v>
      </c>
      <c r="B128">
        <v>22</v>
      </c>
      <c r="C128">
        <v>1</v>
      </c>
      <c r="D128">
        <v>21</v>
      </c>
      <c r="E128">
        <v>-4.38</v>
      </c>
      <c r="F128">
        <v>1343</v>
      </c>
      <c r="G128">
        <v>489</v>
      </c>
      <c r="H128">
        <v>1133</v>
      </c>
      <c r="I128">
        <v>243</v>
      </c>
      <c r="J128">
        <v>335</v>
      </c>
      <c r="K128">
        <v>152</v>
      </c>
      <c r="L128">
        <v>657</v>
      </c>
      <c r="M128">
        <v>266</v>
      </c>
      <c r="N128">
        <v>109</v>
      </c>
      <c r="O128">
        <v>43</v>
      </c>
      <c r="P128">
        <v>360</v>
      </c>
      <c r="Q128">
        <v>416</v>
      </c>
      <c r="R128">
        <v>127</v>
      </c>
    </row>
    <row r="129" spans="1:18">
      <c r="A129" s="1" t="s">
        <v>114</v>
      </c>
      <c r="B129">
        <v>22</v>
      </c>
      <c r="C129">
        <v>9</v>
      </c>
      <c r="D129">
        <v>13</v>
      </c>
      <c r="E129">
        <v>-6.67</v>
      </c>
      <c r="F129">
        <v>1489</v>
      </c>
      <c r="G129">
        <v>558</v>
      </c>
      <c r="H129">
        <v>1301</v>
      </c>
      <c r="I129">
        <v>195</v>
      </c>
      <c r="J129">
        <v>296</v>
      </c>
      <c r="K129">
        <v>183</v>
      </c>
      <c r="L129">
        <v>766</v>
      </c>
      <c r="M129">
        <v>297</v>
      </c>
      <c r="N129">
        <v>81</v>
      </c>
      <c r="O129">
        <v>68</v>
      </c>
      <c r="P129">
        <v>291</v>
      </c>
      <c r="Q129">
        <v>409</v>
      </c>
      <c r="R129">
        <v>128</v>
      </c>
    </row>
    <row r="130" spans="1:18">
      <c r="A130" s="1" t="s">
        <v>115</v>
      </c>
      <c r="B130">
        <v>25</v>
      </c>
      <c r="C130">
        <v>7</v>
      </c>
      <c r="D130">
        <v>18</v>
      </c>
      <c r="E130">
        <v>0.62</v>
      </c>
      <c r="F130">
        <v>1799</v>
      </c>
      <c r="G130">
        <v>679</v>
      </c>
      <c r="H130">
        <v>1477</v>
      </c>
      <c r="I130">
        <v>246</v>
      </c>
      <c r="J130">
        <v>372</v>
      </c>
      <c r="K130">
        <v>206</v>
      </c>
      <c r="L130">
        <v>881</v>
      </c>
      <c r="M130">
        <v>345</v>
      </c>
      <c r="N130">
        <v>150</v>
      </c>
      <c r="O130">
        <v>84</v>
      </c>
      <c r="P130">
        <v>345</v>
      </c>
      <c r="Q130">
        <v>411</v>
      </c>
      <c r="R130">
        <v>129</v>
      </c>
    </row>
    <row r="131" spans="1:18">
      <c r="A131" s="1" t="s">
        <v>348</v>
      </c>
      <c r="B131">
        <v>29</v>
      </c>
      <c r="C131">
        <v>23</v>
      </c>
      <c r="D131">
        <v>6</v>
      </c>
      <c r="E131">
        <v>12.67</v>
      </c>
      <c r="F131">
        <v>2361</v>
      </c>
      <c r="G131">
        <v>851</v>
      </c>
      <c r="H131">
        <v>1707</v>
      </c>
      <c r="I131">
        <v>462</v>
      </c>
      <c r="J131">
        <v>669</v>
      </c>
      <c r="K131">
        <v>313</v>
      </c>
      <c r="L131">
        <v>1172</v>
      </c>
      <c r="M131">
        <v>473</v>
      </c>
      <c r="N131">
        <v>166</v>
      </c>
      <c r="O131">
        <v>82</v>
      </c>
      <c r="P131">
        <v>382</v>
      </c>
      <c r="Q131">
        <v>520</v>
      </c>
      <c r="R131">
        <v>130</v>
      </c>
    </row>
    <row r="132" spans="1:18">
      <c r="A132" s="1" t="s">
        <v>365</v>
      </c>
      <c r="B132">
        <v>22</v>
      </c>
      <c r="C132">
        <v>8</v>
      </c>
      <c r="D132">
        <v>14</v>
      </c>
      <c r="E132">
        <v>-8.51</v>
      </c>
      <c r="F132">
        <v>1495</v>
      </c>
      <c r="G132">
        <v>524</v>
      </c>
      <c r="H132">
        <v>1179</v>
      </c>
      <c r="I132">
        <v>279</v>
      </c>
      <c r="J132">
        <v>397</v>
      </c>
      <c r="K132">
        <v>171</v>
      </c>
      <c r="L132">
        <v>686</v>
      </c>
      <c r="M132">
        <v>269</v>
      </c>
      <c r="N132">
        <v>118</v>
      </c>
      <c r="O132">
        <v>40</v>
      </c>
      <c r="P132">
        <v>308</v>
      </c>
      <c r="Q132">
        <v>395</v>
      </c>
      <c r="R132">
        <v>131</v>
      </c>
    </row>
    <row r="133" spans="1:18">
      <c r="A133" s="1" t="s">
        <v>308</v>
      </c>
      <c r="B133">
        <v>25</v>
      </c>
      <c r="C133">
        <v>15</v>
      </c>
      <c r="D133">
        <v>10</v>
      </c>
      <c r="E133">
        <v>2.13</v>
      </c>
      <c r="F133">
        <v>1662</v>
      </c>
      <c r="G133">
        <v>580</v>
      </c>
      <c r="H133">
        <v>1338</v>
      </c>
      <c r="I133">
        <v>353</v>
      </c>
      <c r="J133">
        <v>481</v>
      </c>
      <c r="K133">
        <v>207</v>
      </c>
      <c r="L133">
        <v>796</v>
      </c>
      <c r="M133">
        <v>267</v>
      </c>
      <c r="N133">
        <v>164</v>
      </c>
      <c r="O133">
        <v>73</v>
      </c>
      <c r="P133">
        <v>302</v>
      </c>
      <c r="Q133">
        <v>373</v>
      </c>
      <c r="R133">
        <v>132</v>
      </c>
    </row>
    <row r="134" spans="1:18">
      <c r="A134" s="1" t="s">
        <v>327</v>
      </c>
      <c r="B134">
        <v>27</v>
      </c>
      <c r="C134">
        <v>12</v>
      </c>
      <c r="D134">
        <v>15</v>
      </c>
      <c r="E134">
        <v>13.51</v>
      </c>
      <c r="F134">
        <v>1882</v>
      </c>
      <c r="G134">
        <v>654</v>
      </c>
      <c r="H134">
        <v>1510</v>
      </c>
      <c r="I134">
        <v>416</v>
      </c>
      <c r="J134">
        <v>626</v>
      </c>
      <c r="K134">
        <v>242</v>
      </c>
      <c r="L134">
        <v>933</v>
      </c>
      <c r="M134">
        <v>376</v>
      </c>
      <c r="N134">
        <v>155</v>
      </c>
      <c r="O134">
        <v>101</v>
      </c>
      <c r="P134">
        <v>322</v>
      </c>
      <c r="Q134">
        <v>479</v>
      </c>
      <c r="R134">
        <v>133</v>
      </c>
    </row>
    <row r="135" spans="1:18">
      <c r="A135" s="1" t="s">
        <v>309</v>
      </c>
      <c r="B135">
        <v>17</v>
      </c>
      <c r="C135">
        <v>12</v>
      </c>
      <c r="D135">
        <v>5</v>
      </c>
      <c r="E135">
        <v>-7.17</v>
      </c>
      <c r="F135">
        <v>1228</v>
      </c>
      <c r="G135">
        <v>423</v>
      </c>
      <c r="H135">
        <v>951</v>
      </c>
      <c r="I135">
        <v>255</v>
      </c>
      <c r="J135">
        <v>343</v>
      </c>
      <c r="K135">
        <v>189</v>
      </c>
      <c r="L135">
        <v>637</v>
      </c>
      <c r="M135">
        <v>237</v>
      </c>
      <c r="N135">
        <v>116</v>
      </c>
      <c r="O135">
        <v>67</v>
      </c>
      <c r="P135">
        <v>266</v>
      </c>
      <c r="Q135">
        <v>370</v>
      </c>
      <c r="R135">
        <v>134</v>
      </c>
    </row>
    <row r="136" spans="1:18">
      <c r="A136" s="1" t="s">
        <v>310</v>
      </c>
      <c r="B136">
        <v>24</v>
      </c>
      <c r="C136">
        <v>2</v>
      </c>
      <c r="D136">
        <v>22</v>
      </c>
      <c r="E136">
        <v>10.59</v>
      </c>
      <c r="F136">
        <v>1574</v>
      </c>
      <c r="G136">
        <v>591</v>
      </c>
      <c r="H136">
        <v>1413</v>
      </c>
      <c r="I136">
        <v>217</v>
      </c>
      <c r="J136">
        <v>277</v>
      </c>
      <c r="K136">
        <v>206</v>
      </c>
      <c r="L136">
        <v>758</v>
      </c>
      <c r="M136">
        <v>278</v>
      </c>
      <c r="N136">
        <v>156</v>
      </c>
      <c r="O136">
        <v>75</v>
      </c>
      <c r="P136">
        <v>357</v>
      </c>
      <c r="Q136">
        <v>447</v>
      </c>
      <c r="R136">
        <v>135</v>
      </c>
    </row>
    <row r="137" spans="1:18">
      <c r="A137" s="1" t="s">
        <v>116</v>
      </c>
      <c r="B137">
        <v>29</v>
      </c>
      <c r="C137">
        <v>21</v>
      </c>
      <c r="D137">
        <v>8</v>
      </c>
      <c r="E137">
        <v>11.38</v>
      </c>
      <c r="F137">
        <v>2429</v>
      </c>
      <c r="G137">
        <v>863</v>
      </c>
      <c r="H137">
        <v>1839</v>
      </c>
      <c r="I137">
        <v>420</v>
      </c>
      <c r="J137">
        <v>589</v>
      </c>
      <c r="K137">
        <v>328</v>
      </c>
      <c r="L137">
        <v>1164</v>
      </c>
      <c r="M137">
        <v>555</v>
      </c>
      <c r="N137">
        <v>162</v>
      </c>
      <c r="O137">
        <v>131</v>
      </c>
      <c r="P137">
        <v>276</v>
      </c>
      <c r="Q137">
        <v>433</v>
      </c>
      <c r="R137">
        <v>136</v>
      </c>
    </row>
    <row r="138" spans="1:18">
      <c r="A138" s="1" t="s">
        <v>319</v>
      </c>
      <c r="B138">
        <v>23</v>
      </c>
      <c r="C138">
        <v>8</v>
      </c>
      <c r="D138">
        <v>15</v>
      </c>
      <c r="E138">
        <v>-7.8</v>
      </c>
      <c r="F138">
        <v>1728</v>
      </c>
      <c r="G138">
        <v>631</v>
      </c>
      <c r="H138">
        <v>1259</v>
      </c>
      <c r="I138">
        <v>262</v>
      </c>
      <c r="J138">
        <v>380</v>
      </c>
      <c r="K138">
        <v>177</v>
      </c>
      <c r="L138">
        <v>721</v>
      </c>
      <c r="M138">
        <v>328</v>
      </c>
      <c r="N138">
        <v>156</v>
      </c>
      <c r="O138">
        <v>64</v>
      </c>
      <c r="P138">
        <v>393</v>
      </c>
      <c r="Q138">
        <v>413</v>
      </c>
      <c r="R138">
        <v>137</v>
      </c>
    </row>
    <row r="139" spans="1:18">
      <c r="A139" s="1" t="s">
        <v>117</v>
      </c>
      <c r="B139">
        <v>18</v>
      </c>
      <c r="C139">
        <v>8</v>
      </c>
      <c r="D139">
        <v>10</v>
      </c>
      <c r="E139">
        <v>-6.21</v>
      </c>
      <c r="F139">
        <v>1281</v>
      </c>
      <c r="G139">
        <v>452</v>
      </c>
      <c r="H139">
        <v>1069</v>
      </c>
      <c r="I139">
        <v>234</v>
      </c>
      <c r="J139">
        <v>326</v>
      </c>
      <c r="K139">
        <v>168</v>
      </c>
      <c r="L139">
        <v>608</v>
      </c>
      <c r="M139">
        <v>239</v>
      </c>
      <c r="N139">
        <v>124</v>
      </c>
      <c r="O139">
        <v>40</v>
      </c>
      <c r="P139">
        <v>250</v>
      </c>
      <c r="Q139">
        <v>340</v>
      </c>
      <c r="R139">
        <v>138</v>
      </c>
    </row>
    <row r="140" spans="1:18">
      <c r="A140" s="1" t="s">
        <v>278</v>
      </c>
      <c r="B140">
        <v>18</v>
      </c>
      <c r="C140">
        <v>12</v>
      </c>
      <c r="D140">
        <v>6</v>
      </c>
      <c r="E140">
        <v>-14.33</v>
      </c>
      <c r="F140">
        <v>1181</v>
      </c>
      <c r="G140">
        <v>397</v>
      </c>
      <c r="H140">
        <v>1002</v>
      </c>
      <c r="I140">
        <v>287</v>
      </c>
      <c r="J140">
        <v>422</v>
      </c>
      <c r="K140">
        <v>187</v>
      </c>
      <c r="L140">
        <v>661</v>
      </c>
      <c r="M140">
        <v>190</v>
      </c>
      <c r="N140">
        <v>147</v>
      </c>
      <c r="O140">
        <v>59</v>
      </c>
      <c r="P140">
        <v>277</v>
      </c>
      <c r="Q140">
        <v>348</v>
      </c>
      <c r="R140">
        <v>139</v>
      </c>
    </row>
    <row r="141" spans="1:18">
      <c r="A141" s="1" t="s">
        <v>118</v>
      </c>
      <c r="B141">
        <v>27</v>
      </c>
      <c r="C141">
        <v>18</v>
      </c>
      <c r="D141">
        <v>9</v>
      </c>
      <c r="E141">
        <v>-5.65</v>
      </c>
      <c r="F141">
        <v>2005</v>
      </c>
      <c r="G141">
        <v>723</v>
      </c>
      <c r="H141">
        <v>1568</v>
      </c>
      <c r="I141">
        <v>340</v>
      </c>
      <c r="J141">
        <v>496</v>
      </c>
      <c r="K141">
        <v>299</v>
      </c>
      <c r="L141">
        <v>1048</v>
      </c>
      <c r="M141">
        <v>383</v>
      </c>
      <c r="N141">
        <v>135</v>
      </c>
      <c r="O141">
        <v>94</v>
      </c>
      <c r="P141">
        <v>360</v>
      </c>
      <c r="Q141">
        <v>413</v>
      </c>
      <c r="R141">
        <v>140</v>
      </c>
    </row>
    <row r="142" spans="1:18">
      <c r="A142" s="1" t="s">
        <v>119</v>
      </c>
      <c r="B142">
        <v>24</v>
      </c>
      <c r="C142">
        <v>11</v>
      </c>
      <c r="D142">
        <v>13</v>
      </c>
      <c r="E142">
        <v>-6.55</v>
      </c>
      <c r="F142">
        <v>1622</v>
      </c>
      <c r="G142">
        <v>577</v>
      </c>
      <c r="H142">
        <v>1320</v>
      </c>
      <c r="I142">
        <v>298</v>
      </c>
      <c r="J142">
        <v>449</v>
      </c>
      <c r="K142">
        <v>206</v>
      </c>
      <c r="L142">
        <v>800</v>
      </c>
      <c r="M142">
        <v>269</v>
      </c>
      <c r="N142">
        <v>164</v>
      </c>
      <c r="O142">
        <v>63</v>
      </c>
      <c r="P142">
        <v>343</v>
      </c>
      <c r="Q142">
        <v>372</v>
      </c>
      <c r="R142">
        <v>141</v>
      </c>
    </row>
    <row r="143" spans="1:18">
      <c r="A143" s="1" t="s">
        <v>120</v>
      </c>
      <c r="B143">
        <v>20</v>
      </c>
      <c r="C143">
        <v>13</v>
      </c>
      <c r="D143">
        <v>7</v>
      </c>
      <c r="E143">
        <v>-2.33</v>
      </c>
      <c r="F143">
        <v>1562</v>
      </c>
      <c r="G143">
        <v>543</v>
      </c>
      <c r="H143">
        <v>1201</v>
      </c>
      <c r="I143">
        <v>310</v>
      </c>
      <c r="J143">
        <v>464</v>
      </c>
      <c r="K143">
        <v>220</v>
      </c>
      <c r="L143">
        <v>747</v>
      </c>
      <c r="M143">
        <v>276</v>
      </c>
      <c r="N143">
        <v>149</v>
      </c>
      <c r="O143">
        <v>40</v>
      </c>
      <c r="P143">
        <v>243</v>
      </c>
      <c r="Q143">
        <v>375</v>
      </c>
      <c r="R143">
        <v>142</v>
      </c>
    </row>
    <row r="144" spans="1:18">
      <c r="A144" s="1" t="s">
        <v>121</v>
      </c>
      <c r="B144">
        <v>29</v>
      </c>
      <c r="C144">
        <v>9</v>
      </c>
      <c r="D144">
        <v>20</v>
      </c>
      <c r="E144">
        <v>9.09</v>
      </c>
      <c r="F144">
        <v>1792</v>
      </c>
      <c r="G144">
        <v>649</v>
      </c>
      <c r="H144">
        <v>1577</v>
      </c>
      <c r="I144">
        <v>303</v>
      </c>
      <c r="J144">
        <v>456</v>
      </c>
      <c r="K144">
        <v>296</v>
      </c>
      <c r="L144">
        <v>953</v>
      </c>
      <c r="M144">
        <v>377</v>
      </c>
      <c r="N144">
        <v>161</v>
      </c>
      <c r="O144">
        <v>44</v>
      </c>
      <c r="P144">
        <v>431</v>
      </c>
      <c r="Q144">
        <v>492</v>
      </c>
      <c r="R144">
        <v>143</v>
      </c>
    </row>
    <row r="145" spans="1:18">
      <c r="A145" s="1" t="s">
        <v>375</v>
      </c>
      <c r="B145">
        <v>28</v>
      </c>
      <c r="C145">
        <v>20</v>
      </c>
      <c r="D145">
        <v>8</v>
      </c>
      <c r="E145">
        <v>10.26</v>
      </c>
      <c r="F145">
        <v>2047</v>
      </c>
      <c r="G145">
        <v>737</v>
      </c>
      <c r="H145">
        <v>1676</v>
      </c>
      <c r="I145">
        <v>364</v>
      </c>
      <c r="J145">
        <v>511</v>
      </c>
      <c r="K145">
        <v>316</v>
      </c>
      <c r="L145">
        <v>1064</v>
      </c>
      <c r="M145">
        <v>383</v>
      </c>
      <c r="N145">
        <v>192</v>
      </c>
      <c r="O145">
        <v>114</v>
      </c>
      <c r="P145">
        <v>346</v>
      </c>
      <c r="Q145">
        <v>427</v>
      </c>
      <c r="R145">
        <v>144</v>
      </c>
    </row>
    <row r="146" spans="1:18">
      <c r="A146" s="1" t="s">
        <v>336</v>
      </c>
      <c r="B146">
        <v>24</v>
      </c>
      <c r="C146">
        <v>5</v>
      </c>
      <c r="D146">
        <v>19</v>
      </c>
      <c r="E146">
        <v>-3.46</v>
      </c>
      <c r="F146">
        <v>1571</v>
      </c>
      <c r="G146">
        <v>571</v>
      </c>
      <c r="H146">
        <v>1359</v>
      </c>
      <c r="I146">
        <v>265</v>
      </c>
      <c r="J146">
        <v>402</v>
      </c>
      <c r="K146">
        <v>215</v>
      </c>
      <c r="L146">
        <v>815</v>
      </c>
      <c r="M146">
        <v>260</v>
      </c>
      <c r="N146">
        <v>138</v>
      </c>
      <c r="O146">
        <v>60</v>
      </c>
      <c r="P146">
        <v>341</v>
      </c>
      <c r="Q146">
        <v>429</v>
      </c>
      <c r="R146">
        <v>145</v>
      </c>
    </row>
    <row r="147" spans="1:18">
      <c r="A147" s="1" t="s">
        <v>122</v>
      </c>
      <c r="B147">
        <v>23</v>
      </c>
      <c r="C147">
        <v>15</v>
      </c>
      <c r="D147">
        <v>8</v>
      </c>
      <c r="E147">
        <v>-1</v>
      </c>
      <c r="F147">
        <v>1764</v>
      </c>
      <c r="G147">
        <v>635</v>
      </c>
      <c r="H147">
        <v>1432</v>
      </c>
      <c r="I147">
        <v>309</v>
      </c>
      <c r="J147">
        <v>397</v>
      </c>
      <c r="K147">
        <v>289</v>
      </c>
      <c r="L147">
        <v>900</v>
      </c>
      <c r="M147">
        <v>330</v>
      </c>
      <c r="N147">
        <v>156</v>
      </c>
      <c r="O147">
        <v>76</v>
      </c>
      <c r="P147">
        <v>312</v>
      </c>
      <c r="Q147">
        <v>391</v>
      </c>
      <c r="R147">
        <v>146</v>
      </c>
    </row>
    <row r="148" spans="1:18">
      <c r="A148" s="1" t="s">
        <v>354</v>
      </c>
      <c r="B148">
        <v>25</v>
      </c>
      <c r="C148">
        <v>9</v>
      </c>
      <c r="D148">
        <v>16</v>
      </c>
      <c r="E148">
        <v>12.13</v>
      </c>
      <c r="F148">
        <v>1761</v>
      </c>
      <c r="G148">
        <v>615</v>
      </c>
      <c r="H148">
        <v>1476</v>
      </c>
      <c r="I148">
        <v>371</v>
      </c>
      <c r="J148">
        <v>509</v>
      </c>
      <c r="K148">
        <v>300</v>
      </c>
      <c r="L148">
        <v>951</v>
      </c>
      <c r="M148">
        <v>312</v>
      </c>
      <c r="N148">
        <v>157</v>
      </c>
      <c r="O148">
        <v>148</v>
      </c>
      <c r="P148">
        <v>349</v>
      </c>
      <c r="Q148">
        <v>450</v>
      </c>
      <c r="R148">
        <v>147</v>
      </c>
    </row>
    <row r="149" spans="1:18">
      <c r="A149" s="1" t="s">
        <v>123</v>
      </c>
      <c r="B149">
        <v>25</v>
      </c>
      <c r="C149">
        <v>9</v>
      </c>
      <c r="D149">
        <v>16</v>
      </c>
      <c r="E149">
        <v>4.08</v>
      </c>
      <c r="F149">
        <v>1702</v>
      </c>
      <c r="G149">
        <v>633</v>
      </c>
      <c r="H149">
        <v>1453</v>
      </c>
      <c r="I149">
        <v>241</v>
      </c>
      <c r="J149">
        <v>352</v>
      </c>
      <c r="K149">
        <v>234</v>
      </c>
      <c r="L149">
        <v>829</v>
      </c>
      <c r="M149">
        <v>318</v>
      </c>
      <c r="N149">
        <v>186</v>
      </c>
      <c r="O149">
        <v>83</v>
      </c>
      <c r="P149">
        <v>361</v>
      </c>
      <c r="Q149">
        <v>431</v>
      </c>
      <c r="R149">
        <v>148</v>
      </c>
    </row>
    <row r="150" spans="1:18">
      <c r="A150" s="1" t="s">
        <v>279</v>
      </c>
      <c r="B150">
        <v>15</v>
      </c>
      <c r="C150">
        <v>9</v>
      </c>
      <c r="D150">
        <v>6</v>
      </c>
      <c r="E150">
        <v>-2.2400000000000002</v>
      </c>
      <c r="F150">
        <v>1165</v>
      </c>
      <c r="G150">
        <v>405</v>
      </c>
      <c r="H150">
        <v>928</v>
      </c>
      <c r="I150">
        <v>226</v>
      </c>
      <c r="J150">
        <v>281</v>
      </c>
      <c r="K150">
        <v>133</v>
      </c>
      <c r="L150">
        <v>525</v>
      </c>
      <c r="M150">
        <v>243</v>
      </c>
      <c r="N150">
        <v>94</v>
      </c>
      <c r="O150">
        <v>51</v>
      </c>
      <c r="P150">
        <v>163</v>
      </c>
      <c r="Q150">
        <v>280</v>
      </c>
      <c r="R150">
        <v>149</v>
      </c>
    </row>
    <row r="151" spans="1:18">
      <c r="A151" s="1" t="s">
        <v>280</v>
      </c>
      <c r="B151">
        <v>28</v>
      </c>
      <c r="C151">
        <v>10</v>
      </c>
      <c r="D151">
        <v>18</v>
      </c>
      <c r="E151">
        <v>-6.71</v>
      </c>
      <c r="F151">
        <v>1843</v>
      </c>
      <c r="G151">
        <v>670</v>
      </c>
      <c r="H151">
        <v>1608</v>
      </c>
      <c r="I151">
        <v>364</v>
      </c>
      <c r="J151">
        <v>496</v>
      </c>
      <c r="K151">
        <v>269</v>
      </c>
      <c r="L151">
        <v>967</v>
      </c>
      <c r="M151">
        <v>332</v>
      </c>
      <c r="N151">
        <v>200</v>
      </c>
      <c r="O151">
        <v>118</v>
      </c>
      <c r="P151">
        <v>396</v>
      </c>
      <c r="Q151">
        <v>466</v>
      </c>
      <c r="R151">
        <v>150</v>
      </c>
    </row>
    <row r="152" spans="1:18">
      <c r="A152" s="1" t="s">
        <v>124</v>
      </c>
      <c r="B152">
        <v>15</v>
      </c>
      <c r="C152">
        <v>4</v>
      </c>
      <c r="D152">
        <v>11</v>
      </c>
      <c r="E152">
        <v>-0.45</v>
      </c>
      <c r="F152">
        <v>1025</v>
      </c>
      <c r="G152">
        <v>388</v>
      </c>
      <c r="H152">
        <v>901</v>
      </c>
      <c r="I152">
        <v>176</v>
      </c>
      <c r="J152">
        <v>251</v>
      </c>
      <c r="K152">
        <v>137</v>
      </c>
      <c r="L152">
        <v>521</v>
      </c>
      <c r="M152">
        <v>191</v>
      </c>
      <c r="N152">
        <v>90</v>
      </c>
      <c r="O152">
        <v>32</v>
      </c>
      <c r="P152">
        <v>196</v>
      </c>
      <c r="Q152">
        <v>268</v>
      </c>
      <c r="R152">
        <v>151</v>
      </c>
    </row>
    <row r="153" spans="1:18">
      <c r="A153" s="1" t="s">
        <v>125</v>
      </c>
      <c r="B153">
        <v>28</v>
      </c>
      <c r="C153">
        <v>23</v>
      </c>
      <c r="D153">
        <v>5</v>
      </c>
      <c r="E153">
        <v>-6.7</v>
      </c>
      <c r="F153">
        <v>2097</v>
      </c>
      <c r="G153">
        <v>761</v>
      </c>
      <c r="H153">
        <v>1548</v>
      </c>
      <c r="I153">
        <v>286</v>
      </c>
      <c r="J153">
        <v>368</v>
      </c>
      <c r="K153">
        <v>198</v>
      </c>
      <c r="L153">
        <v>934</v>
      </c>
      <c r="M153">
        <v>446</v>
      </c>
      <c r="N153">
        <v>128</v>
      </c>
      <c r="O153">
        <v>64</v>
      </c>
      <c r="P153">
        <v>271</v>
      </c>
      <c r="Q153">
        <v>407</v>
      </c>
      <c r="R153">
        <v>152</v>
      </c>
    </row>
    <row r="154" spans="1:18">
      <c r="A154" s="1" t="s">
        <v>320</v>
      </c>
      <c r="B154">
        <v>27</v>
      </c>
      <c r="C154">
        <v>15</v>
      </c>
      <c r="D154">
        <v>12</v>
      </c>
      <c r="E154">
        <v>-5.49</v>
      </c>
      <c r="F154">
        <v>1922</v>
      </c>
      <c r="G154">
        <v>687</v>
      </c>
      <c r="H154">
        <v>1493</v>
      </c>
      <c r="I154">
        <v>348</v>
      </c>
      <c r="J154">
        <v>503</v>
      </c>
      <c r="K154">
        <v>208</v>
      </c>
      <c r="L154">
        <v>918</v>
      </c>
      <c r="M154">
        <v>364</v>
      </c>
      <c r="N154">
        <v>167</v>
      </c>
      <c r="O154">
        <v>53</v>
      </c>
      <c r="P154">
        <v>326</v>
      </c>
      <c r="Q154">
        <v>376</v>
      </c>
      <c r="R154">
        <v>153</v>
      </c>
    </row>
    <row r="155" spans="1:18">
      <c r="A155" s="1" t="s">
        <v>126</v>
      </c>
      <c r="B155">
        <v>18</v>
      </c>
      <c r="C155">
        <v>6</v>
      </c>
      <c r="D155">
        <v>12</v>
      </c>
      <c r="E155">
        <v>-4.2300000000000004</v>
      </c>
      <c r="F155">
        <v>1328</v>
      </c>
      <c r="G155">
        <v>466</v>
      </c>
      <c r="H155">
        <v>1047</v>
      </c>
      <c r="I155">
        <v>269</v>
      </c>
      <c r="J155">
        <v>395</v>
      </c>
      <c r="K155">
        <v>147</v>
      </c>
      <c r="L155">
        <v>630</v>
      </c>
      <c r="M155">
        <v>210</v>
      </c>
      <c r="N155">
        <v>112</v>
      </c>
      <c r="O155">
        <v>52</v>
      </c>
      <c r="P155">
        <v>288</v>
      </c>
      <c r="Q155">
        <v>349</v>
      </c>
      <c r="R155">
        <v>154</v>
      </c>
    </row>
    <row r="156" spans="1:18">
      <c r="A156" s="1" t="s">
        <v>127</v>
      </c>
      <c r="B156">
        <v>18</v>
      </c>
      <c r="C156">
        <v>9</v>
      </c>
      <c r="D156">
        <v>9</v>
      </c>
      <c r="E156">
        <v>-6.8</v>
      </c>
      <c r="F156">
        <v>1332</v>
      </c>
      <c r="G156">
        <v>479</v>
      </c>
      <c r="H156">
        <v>1155</v>
      </c>
      <c r="I156">
        <v>240</v>
      </c>
      <c r="J156">
        <v>360</v>
      </c>
      <c r="K156">
        <v>240</v>
      </c>
      <c r="L156">
        <v>705</v>
      </c>
      <c r="M156">
        <v>293</v>
      </c>
      <c r="N156">
        <v>152</v>
      </c>
      <c r="O156">
        <v>69</v>
      </c>
      <c r="P156">
        <v>259</v>
      </c>
      <c r="Q156">
        <v>315</v>
      </c>
      <c r="R156">
        <v>155</v>
      </c>
    </row>
    <row r="157" spans="1:18">
      <c r="A157" s="1" t="s">
        <v>331</v>
      </c>
      <c r="B157">
        <v>28</v>
      </c>
      <c r="C157">
        <v>12</v>
      </c>
      <c r="D157">
        <v>16</v>
      </c>
      <c r="E157">
        <v>-6.27</v>
      </c>
      <c r="F157">
        <v>1854</v>
      </c>
      <c r="G157">
        <v>662</v>
      </c>
      <c r="H157">
        <v>1527</v>
      </c>
      <c r="I157">
        <v>330</v>
      </c>
      <c r="J157">
        <v>481</v>
      </c>
      <c r="K157">
        <v>268</v>
      </c>
      <c r="L157">
        <v>929</v>
      </c>
      <c r="M157">
        <v>295</v>
      </c>
      <c r="N157">
        <v>173</v>
      </c>
      <c r="O157">
        <v>50</v>
      </c>
      <c r="P157">
        <v>367</v>
      </c>
      <c r="Q157">
        <v>485</v>
      </c>
      <c r="R157">
        <v>156</v>
      </c>
    </row>
    <row r="158" spans="1:18">
      <c r="A158" s="1" t="s">
        <v>281</v>
      </c>
      <c r="B158">
        <v>26</v>
      </c>
      <c r="C158">
        <v>17</v>
      </c>
      <c r="D158">
        <v>9</v>
      </c>
      <c r="E158">
        <v>-5.56</v>
      </c>
      <c r="F158">
        <v>1934</v>
      </c>
      <c r="G158">
        <v>713</v>
      </c>
      <c r="H158">
        <v>1607</v>
      </c>
      <c r="I158">
        <v>323</v>
      </c>
      <c r="J158">
        <v>463</v>
      </c>
      <c r="K158">
        <v>317</v>
      </c>
      <c r="L158">
        <v>1027</v>
      </c>
      <c r="M158">
        <v>332</v>
      </c>
      <c r="N158">
        <v>145</v>
      </c>
      <c r="O158">
        <v>122</v>
      </c>
      <c r="P158">
        <v>388</v>
      </c>
      <c r="Q158">
        <v>457</v>
      </c>
      <c r="R158">
        <v>157</v>
      </c>
    </row>
    <row r="159" spans="1:18">
      <c r="A159" s="1" t="s">
        <v>128</v>
      </c>
      <c r="B159">
        <v>26</v>
      </c>
      <c r="C159">
        <v>7</v>
      </c>
      <c r="D159">
        <v>19</v>
      </c>
      <c r="E159">
        <v>-5.95</v>
      </c>
      <c r="F159">
        <v>1670</v>
      </c>
      <c r="G159">
        <v>609</v>
      </c>
      <c r="H159">
        <v>1464</v>
      </c>
      <c r="I159">
        <v>258</v>
      </c>
      <c r="J159">
        <v>367</v>
      </c>
      <c r="K159">
        <v>205</v>
      </c>
      <c r="L159">
        <v>791</v>
      </c>
      <c r="M159">
        <v>355</v>
      </c>
      <c r="N159">
        <v>193</v>
      </c>
      <c r="O159">
        <v>74</v>
      </c>
      <c r="P159">
        <v>338</v>
      </c>
      <c r="Q159">
        <v>433</v>
      </c>
      <c r="R159">
        <v>158</v>
      </c>
    </row>
    <row r="160" spans="1:18">
      <c r="A160" s="1" t="s">
        <v>282</v>
      </c>
      <c r="B160">
        <v>27</v>
      </c>
      <c r="C160">
        <v>18</v>
      </c>
      <c r="D160">
        <v>9</v>
      </c>
      <c r="E160">
        <v>8.8800000000000008</v>
      </c>
      <c r="F160">
        <v>2217</v>
      </c>
      <c r="G160">
        <v>784</v>
      </c>
      <c r="H160">
        <v>1692</v>
      </c>
      <c r="I160">
        <v>429</v>
      </c>
      <c r="J160">
        <v>575</v>
      </c>
      <c r="K160">
        <v>310</v>
      </c>
      <c r="L160">
        <v>1034</v>
      </c>
      <c r="M160">
        <v>332</v>
      </c>
      <c r="N160">
        <v>218</v>
      </c>
      <c r="O160">
        <v>75</v>
      </c>
      <c r="P160">
        <v>317</v>
      </c>
      <c r="Q160">
        <v>467</v>
      </c>
      <c r="R160">
        <v>159</v>
      </c>
    </row>
    <row r="161" spans="1:18">
      <c r="A161" s="1" t="s">
        <v>129</v>
      </c>
      <c r="B161">
        <v>28</v>
      </c>
      <c r="C161">
        <v>21</v>
      </c>
      <c r="D161">
        <v>7</v>
      </c>
      <c r="E161">
        <v>-1.53</v>
      </c>
      <c r="F161">
        <v>2059</v>
      </c>
      <c r="G161">
        <v>731</v>
      </c>
      <c r="H161">
        <v>1640</v>
      </c>
      <c r="I161">
        <v>388</v>
      </c>
      <c r="J161">
        <v>566</v>
      </c>
      <c r="K161">
        <v>287</v>
      </c>
      <c r="L161">
        <v>1092</v>
      </c>
      <c r="M161">
        <v>351</v>
      </c>
      <c r="N161">
        <v>181</v>
      </c>
      <c r="O161">
        <v>77</v>
      </c>
      <c r="P161">
        <v>364</v>
      </c>
      <c r="Q161">
        <v>424</v>
      </c>
      <c r="R161">
        <v>160</v>
      </c>
    </row>
    <row r="162" spans="1:18">
      <c r="A162" s="1" t="s">
        <v>283</v>
      </c>
      <c r="B162">
        <v>20</v>
      </c>
      <c r="C162">
        <v>13</v>
      </c>
      <c r="D162">
        <v>7</v>
      </c>
      <c r="E162">
        <v>9.74</v>
      </c>
      <c r="F162">
        <v>1359</v>
      </c>
      <c r="G162">
        <v>494</v>
      </c>
      <c r="H162">
        <v>1146</v>
      </c>
      <c r="I162">
        <v>264</v>
      </c>
      <c r="J162">
        <v>368</v>
      </c>
      <c r="K162">
        <v>225</v>
      </c>
      <c r="L162">
        <v>764</v>
      </c>
      <c r="M162">
        <v>221</v>
      </c>
      <c r="N162">
        <v>96</v>
      </c>
      <c r="O162">
        <v>37</v>
      </c>
      <c r="P162">
        <v>229</v>
      </c>
      <c r="Q162">
        <v>338</v>
      </c>
      <c r="R162">
        <v>161</v>
      </c>
    </row>
    <row r="163" spans="1:18">
      <c r="A163" s="1" t="s">
        <v>130</v>
      </c>
      <c r="B163">
        <v>28</v>
      </c>
      <c r="C163">
        <v>24</v>
      </c>
      <c r="D163">
        <v>4</v>
      </c>
      <c r="E163">
        <v>-0.09</v>
      </c>
      <c r="F163">
        <v>2002</v>
      </c>
      <c r="G163">
        <v>735</v>
      </c>
      <c r="H163">
        <v>1456</v>
      </c>
      <c r="I163">
        <v>331</v>
      </c>
      <c r="J163">
        <v>458</v>
      </c>
      <c r="K163">
        <v>201</v>
      </c>
      <c r="L163">
        <v>914</v>
      </c>
      <c r="M163">
        <v>442</v>
      </c>
      <c r="N163">
        <v>194</v>
      </c>
      <c r="O163">
        <v>67</v>
      </c>
      <c r="P163">
        <v>334</v>
      </c>
      <c r="Q163">
        <v>399</v>
      </c>
      <c r="R163">
        <v>162</v>
      </c>
    </row>
    <row r="164" spans="1:18">
      <c r="A164" s="1" t="s">
        <v>131</v>
      </c>
      <c r="B164">
        <v>22</v>
      </c>
      <c r="C164">
        <v>13</v>
      </c>
      <c r="D164">
        <v>9</v>
      </c>
      <c r="E164">
        <v>3.08</v>
      </c>
      <c r="F164">
        <v>1529</v>
      </c>
      <c r="G164">
        <v>525</v>
      </c>
      <c r="H164">
        <v>1147</v>
      </c>
      <c r="I164">
        <v>344</v>
      </c>
      <c r="J164">
        <v>474</v>
      </c>
      <c r="K164">
        <v>215</v>
      </c>
      <c r="L164">
        <v>772</v>
      </c>
      <c r="M164">
        <v>280</v>
      </c>
      <c r="N164">
        <v>103</v>
      </c>
      <c r="O164">
        <v>58</v>
      </c>
      <c r="P164">
        <v>351</v>
      </c>
      <c r="Q164">
        <v>417</v>
      </c>
      <c r="R164">
        <v>163</v>
      </c>
    </row>
    <row r="165" spans="1:18">
      <c r="A165" s="1" t="s">
        <v>132</v>
      </c>
      <c r="B165">
        <v>17</v>
      </c>
      <c r="C165">
        <v>6</v>
      </c>
      <c r="D165">
        <v>11</v>
      </c>
      <c r="E165">
        <v>0.56000000000000005</v>
      </c>
      <c r="F165">
        <v>1226</v>
      </c>
      <c r="G165">
        <v>461</v>
      </c>
      <c r="H165">
        <v>992</v>
      </c>
      <c r="I165">
        <v>212</v>
      </c>
      <c r="J165">
        <v>351</v>
      </c>
      <c r="K165">
        <v>191</v>
      </c>
      <c r="L165">
        <v>639</v>
      </c>
      <c r="M165">
        <v>221</v>
      </c>
      <c r="N165">
        <v>116</v>
      </c>
      <c r="O165">
        <v>54</v>
      </c>
      <c r="P165">
        <v>245</v>
      </c>
      <c r="Q165">
        <v>308</v>
      </c>
      <c r="R165">
        <v>164</v>
      </c>
    </row>
    <row r="166" spans="1:18">
      <c r="A166" s="1" t="s">
        <v>133</v>
      </c>
      <c r="B166">
        <v>9</v>
      </c>
      <c r="C166">
        <v>2</v>
      </c>
      <c r="D166">
        <v>7</v>
      </c>
      <c r="E166">
        <v>-3.43</v>
      </c>
      <c r="F166">
        <v>478</v>
      </c>
      <c r="G166">
        <v>172</v>
      </c>
      <c r="H166">
        <v>452</v>
      </c>
      <c r="I166">
        <v>70</v>
      </c>
      <c r="J166">
        <v>123</v>
      </c>
      <c r="K166">
        <v>69</v>
      </c>
      <c r="L166">
        <v>281</v>
      </c>
      <c r="M166">
        <v>108</v>
      </c>
      <c r="N166">
        <v>51</v>
      </c>
      <c r="O166">
        <v>40</v>
      </c>
      <c r="P166">
        <v>147</v>
      </c>
      <c r="Q166">
        <v>161</v>
      </c>
      <c r="R166">
        <v>165</v>
      </c>
    </row>
    <row r="167" spans="1:18">
      <c r="A167" s="1" t="s">
        <v>134</v>
      </c>
      <c r="B167">
        <v>20</v>
      </c>
      <c r="C167">
        <v>7</v>
      </c>
      <c r="D167">
        <v>13</v>
      </c>
      <c r="E167">
        <v>-7.65</v>
      </c>
      <c r="F167">
        <v>1268</v>
      </c>
      <c r="G167">
        <v>439</v>
      </c>
      <c r="H167">
        <v>1165</v>
      </c>
      <c r="I167">
        <v>275</v>
      </c>
      <c r="J167">
        <v>413</v>
      </c>
      <c r="K167">
        <v>253</v>
      </c>
      <c r="L167">
        <v>724</v>
      </c>
      <c r="M167">
        <v>237</v>
      </c>
      <c r="N167">
        <v>154</v>
      </c>
      <c r="O167">
        <v>74</v>
      </c>
      <c r="P167">
        <v>288</v>
      </c>
      <c r="Q167">
        <v>453</v>
      </c>
      <c r="R167">
        <v>166</v>
      </c>
    </row>
    <row r="168" spans="1:18">
      <c r="A168" s="1" t="s">
        <v>135</v>
      </c>
      <c r="B168">
        <v>21</v>
      </c>
      <c r="C168">
        <v>12</v>
      </c>
      <c r="D168">
        <v>9</v>
      </c>
      <c r="E168">
        <v>-8.07</v>
      </c>
      <c r="F168">
        <v>1332</v>
      </c>
      <c r="G168">
        <v>475</v>
      </c>
      <c r="H168">
        <v>1113</v>
      </c>
      <c r="I168">
        <v>240</v>
      </c>
      <c r="J168">
        <v>351</v>
      </c>
      <c r="K168">
        <v>158</v>
      </c>
      <c r="L168">
        <v>736</v>
      </c>
      <c r="M168">
        <v>229</v>
      </c>
      <c r="N168">
        <v>114</v>
      </c>
      <c r="O168">
        <v>84</v>
      </c>
      <c r="P168">
        <v>303</v>
      </c>
      <c r="Q168">
        <v>370</v>
      </c>
      <c r="R168">
        <v>167</v>
      </c>
    </row>
    <row r="169" spans="1:18">
      <c r="A169" s="1" t="s">
        <v>136</v>
      </c>
      <c r="B169">
        <v>27</v>
      </c>
      <c r="C169">
        <v>13</v>
      </c>
      <c r="D169">
        <v>14</v>
      </c>
      <c r="E169">
        <v>9.35</v>
      </c>
      <c r="F169">
        <v>1883</v>
      </c>
      <c r="G169">
        <v>661</v>
      </c>
      <c r="H169">
        <v>1484</v>
      </c>
      <c r="I169">
        <v>382</v>
      </c>
      <c r="J169">
        <v>520</v>
      </c>
      <c r="K169">
        <v>258</v>
      </c>
      <c r="L169">
        <v>979</v>
      </c>
      <c r="M169">
        <v>333</v>
      </c>
      <c r="N169">
        <v>137</v>
      </c>
      <c r="O169">
        <v>100</v>
      </c>
      <c r="P169">
        <v>388</v>
      </c>
      <c r="Q169">
        <v>465</v>
      </c>
      <c r="R169">
        <v>168</v>
      </c>
    </row>
    <row r="170" spans="1:18">
      <c r="A170" s="1" t="s">
        <v>137</v>
      </c>
      <c r="B170">
        <v>22</v>
      </c>
      <c r="C170">
        <v>15</v>
      </c>
      <c r="D170">
        <v>7</v>
      </c>
      <c r="E170">
        <v>-1.37</v>
      </c>
      <c r="F170">
        <v>1758</v>
      </c>
      <c r="G170">
        <v>656</v>
      </c>
      <c r="H170">
        <v>1382</v>
      </c>
      <c r="I170">
        <v>242</v>
      </c>
      <c r="J170">
        <v>334</v>
      </c>
      <c r="K170">
        <v>183</v>
      </c>
      <c r="L170">
        <v>778</v>
      </c>
      <c r="M170">
        <v>349</v>
      </c>
      <c r="N170">
        <v>172</v>
      </c>
      <c r="O170">
        <v>114</v>
      </c>
      <c r="P170">
        <v>263</v>
      </c>
      <c r="Q170">
        <v>333</v>
      </c>
      <c r="R170">
        <v>169</v>
      </c>
    </row>
    <row r="171" spans="1:18">
      <c r="A171" s="1" t="s">
        <v>138</v>
      </c>
      <c r="B171">
        <v>20</v>
      </c>
      <c r="C171">
        <v>14</v>
      </c>
      <c r="D171">
        <v>6</v>
      </c>
      <c r="E171">
        <v>-4.78</v>
      </c>
      <c r="F171">
        <v>1391</v>
      </c>
      <c r="G171">
        <v>483</v>
      </c>
      <c r="H171">
        <v>1099</v>
      </c>
      <c r="I171">
        <v>286</v>
      </c>
      <c r="J171">
        <v>402</v>
      </c>
      <c r="K171">
        <v>175</v>
      </c>
      <c r="L171">
        <v>730</v>
      </c>
      <c r="M171">
        <v>219</v>
      </c>
      <c r="N171">
        <v>102</v>
      </c>
      <c r="O171">
        <v>35</v>
      </c>
      <c r="P171">
        <v>258</v>
      </c>
      <c r="Q171">
        <v>336</v>
      </c>
      <c r="R171">
        <v>170</v>
      </c>
    </row>
    <row r="172" spans="1:18">
      <c r="A172" s="1" t="s">
        <v>139</v>
      </c>
      <c r="B172">
        <v>0</v>
      </c>
      <c r="C172">
        <v>0</v>
      </c>
      <c r="D172">
        <v>0</v>
      </c>
      <c r="R172">
        <v>171</v>
      </c>
    </row>
    <row r="173" spans="1:18">
      <c r="A173" s="1" t="s">
        <v>332</v>
      </c>
      <c r="B173">
        <v>29</v>
      </c>
      <c r="C173">
        <v>16</v>
      </c>
      <c r="D173">
        <v>13</v>
      </c>
      <c r="E173">
        <v>12.86</v>
      </c>
      <c r="F173">
        <v>1995</v>
      </c>
      <c r="G173">
        <v>699</v>
      </c>
      <c r="H173">
        <v>1533</v>
      </c>
      <c r="I173">
        <v>363</v>
      </c>
      <c r="J173">
        <v>517</v>
      </c>
      <c r="K173">
        <v>188</v>
      </c>
      <c r="L173">
        <v>965</v>
      </c>
      <c r="M173">
        <v>385</v>
      </c>
      <c r="N173">
        <v>145</v>
      </c>
      <c r="O173">
        <v>98</v>
      </c>
      <c r="P173">
        <v>324</v>
      </c>
      <c r="Q173">
        <v>431</v>
      </c>
      <c r="R173">
        <v>172</v>
      </c>
    </row>
    <row r="174" spans="1:18">
      <c r="A174" s="1" t="s">
        <v>366</v>
      </c>
      <c r="B174">
        <v>23</v>
      </c>
      <c r="C174">
        <v>11</v>
      </c>
      <c r="D174">
        <v>12</v>
      </c>
      <c r="E174">
        <v>-2.87</v>
      </c>
      <c r="F174">
        <v>1575</v>
      </c>
      <c r="G174">
        <v>560</v>
      </c>
      <c r="H174">
        <v>1240</v>
      </c>
      <c r="I174">
        <v>305</v>
      </c>
      <c r="J174">
        <v>461</v>
      </c>
      <c r="K174">
        <v>201</v>
      </c>
      <c r="L174">
        <v>794</v>
      </c>
      <c r="M174">
        <v>267</v>
      </c>
      <c r="N174">
        <v>115</v>
      </c>
      <c r="O174">
        <v>89</v>
      </c>
      <c r="P174">
        <v>334</v>
      </c>
      <c r="Q174">
        <v>469</v>
      </c>
      <c r="R174">
        <v>173</v>
      </c>
    </row>
    <row r="175" spans="1:18">
      <c r="A175" s="1" t="s">
        <v>140</v>
      </c>
      <c r="B175">
        <v>15</v>
      </c>
      <c r="C175">
        <v>8</v>
      </c>
      <c r="D175">
        <v>7</v>
      </c>
      <c r="E175">
        <v>2.16</v>
      </c>
      <c r="F175">
        <v>1151</v>
      </c>
      <c r="G175">
        <v>394</v>
      </c>
      <c r="H175">
        <v>920</v>
      </c>
      <c r="I175">
        <v>231</v>
      </c>
      <c r="J175">
        <v>315</v>
      </c>
      <c r="K175">
        <v>136</v>
      </c>
      <c r="L175">
        <v>517</v>
      </c>
      <c r="M175">
        <v>224</v>
      </c>
      <c r="N175">
        <v>110</v>
      </c>
      <c r="O175">
        <v>61</v>
      </c>
      <c r="P175">
        <v>181</v>
      </c>
      <c r="Q175">
        <v>261</v>
      </c>
      <c r="R175">
        <v>174</v>
      </c>
    </row>
    <row r="176" spans="1:18">
      <c r="A176" s="1" t="s">
        <v>141</v>
      </c>
      <c r="B176">
        <v>24</v>
      </c>
      <c r="C176">
        <v>10</v>
      </c>
      <c r="D176">
        <v>14</v>
      </c>
      <c r="E176">
        <v>-11.61</v>
      </c>
      <c r="F176">
        <v>1927</v>
      </c>
      <c r="G176">
        <v>718</v>
      </c>
      <c r="H176">
        <v>1456</v>
      </c>
      <c r="I176">
        <v>287</v>
      </c>
      <c r="J176">
        <v>417</v>
      </c>
      <c r="K176">
        <v>255</v>
      </c>
      <c r="L176">
        <v>896</v>
      </c>
      <c r="M176">
        <v>443</v>
      </c>
      <c r="N176">
        <v>172</v>
      </c>
      <c r="O176">
        <v>49</v>
      </c>
      <c r="P176">
        <v>359</v>
      </c>
      <c r="Q176">
        <v>410</v>
      </c>
      <c r="R176">
        <v>175</v>
      </c>
    </row>
    <row r="177" spans="1:18">
      <c r="A177" s="1" t="s">
        <v>142</v>
      </c>
      <c r="B177">
        <v>24</v>
      </c>
      <c r="C177">
        <v>16</v>
      </c>
      <c r="D177">
        <v>8</v>
      </c>
      <c r="E177">
        <v>3.55</v>
      </c>
      <c r="F177">
        <v>1730</v>
      </c>
      <c r="G177">
        <v>625</v>
      </c>
      <c r="H177">
        <v>1419</v>
      </c>
      <c r="I177">
        <v>301</v>
      </c>
      <c r="J177">
        <v>485</v>
      </c>
      <c r="K177">
        <v>292</v>
      </c>
      <c r="L177">
        <v>957</v>
      </c>
      <c r="M177">
        <v>384</v>
      </c>
      <c r="N177">
        <v>217</v>
      </c>
      <c r="O177">
        <v>117</v>
      </c>
      <c r="P177">
        <v>390</v>
      </c>
      <c r="Q177">
        <v>467</v>
      </c>
      <c r="R177">
        <v>176</v>
      </c>
    </row>
    <row r="178" spans="1:18">
      <c r="A178" s="1" t="s">
        <v>143</v>
      </c>
      <c r="B178">
        <v>29</v>
      </c>
      <c r="C178">
        <v>18</v>
      </c>
      <c r="D178">
        <v>11</v>
      </c>
      <c r="E178">
        <v>-1.1299999999999999</v>
      </c>
      <c r="F178">
        <v>2225</v>
      </c>
      <c r="G178">
        <v>832</v>
      </c>
      <c r="H178">
        <v>1738</v>
      </c>
      <c r="I178">
        <v>311</v>
      </c>
      <c r="J178">
        <v>433</v>
      </c>
      <c r="K178">
        <v>252</v>
      </c>
      <c r="L178">
        <v>1053</v>
      </c>
      <c r="M178">
        <v>479</v>
      </c>
      <c r="N178">
        <v>200</v>
      </c>
      <c r="O178">
        <v>86</v>
      </c>
      <c r="P178">
        <v>373</v>
      </c>
      <c r="Q178">
        <v>445</v>
      </c>
      <c r="R178">
        <v>177</v>
      </c>
    </row>
    <row r="179" spans="1:18">
      <c r="A179" s="1" t="s">
        <v>376</v>
      </c>
      <c r="B179">
        <v>18</v>
      </c>
      <c r="C179">
        <v>9</v>
      </c>
      <c r="D179">
        <v>9</v>
      </c>
      <c r="E179">
        <v>-6.66</v>
      </c>
      <c r="F179">
        <v>1193</v>
      </c>
      <c r="G179">
        <v>434</v>
      </c>
      <c r="H179">
        <v>967</v>
      </c>
      <c r="I179">
        <v>199</v>
      </c>
      <c r="J179">
        <v>300</v>
      </c>
      <c r="K179">
        <v>124</v>
      </c>
      <c r="L179">
        <v>556</v>
      </c>
      <c r="M179">
        <v>216</v>
      </c>
      <c r="N179">
        <v>144</v>
      </c>
      <c r="O179">
        <v>68</v>
      </c>
      <c r="P179">
        <v>245</v>
      </c>
      <c r="Q179">
        <v>305</v>
      </c>
      <c r="R179">
        <v>178</v>
      </c>
    </row>
    <row r="180" spans="1:18">
      <c r="A180" s="1" t="s">
        <v>284</v>
      </c>
      <c r="B180">
        <v>27</v>
      </c>
      <c r="C180">
        <v>10</v>
      </c>
      <c r="D180">
        <v>17</v>
      </c>
      <c r="E180">
        <v>8.65</v>
      </c>
      <c r="F180">
        <v>1794</v>
      </c>
      <c r="G180">
        <v>647</v>
      </c>
      <c r="H180">
        <v>1523</v>
      </c>
      <c r="I180">
        <v>350</v>
      </c>
      <c r="J180">
        <v>500</v>
      </c>
      <c r="K180">
        <v>257</v>
      </c>
      <c r="L180">
        <v>944</v>
      </c>
      <c r="M180">
        <v>305</v>
      </c>
      <c r="N180">
        <v>179</v>
      </c>
      <c r="O180">
        <v>104</v>
      </c>
      <c r="P180">
        <v>341</v>
      </c>
      <c r="Q180">
        <v>332</v>
      </c>
      <c r="R180">
        <v>179</v>
      </c>
    </row>
    <row r="181" spans="1:18">
      <c r="A181" s="1" t="s">
        <v>144</v>
      </c>
      <c r="B181">
        <v>23</v>
      </c>
      <c r="C181">
        <v>12</v>
      </c>
      <c r="D181">
        <v>11</v>
      </c>
      <c r="E181">
        <v>-1.96</v>
      </c>
      <c r="F181">
        <v>1663</v>
      </c>
      <c r="G181">
        <v>598</v>
      </c>
      <c r="H181">
        <v>1370</v>
      </c>
      <c r="I181">
        <v>270</v>
      </c>
      <c r="J181">
        <v>348</v>
      </c>
      <c r="K181">
        <v>226</v>
      </c>
      <c r="L181">
        <v>797</v>
      </c>
      <c r="M181">
        <v>278</v>
      </c>
      <c r="N181">
        <v>103</v>
      </c>
      <c r="O181">
        <v>58</v>
      </c>
      <c r="P181">
        <v>248</v>
      </c>
      <c r="Q181">
        <v>388</v>
      </c>
      <c r="R181">
        <v>180</v>
      </c>
    </row>
    <row r="182" spans="1:18">
      <c r="A182" s="1" t="s">
        <v>377</v>
      </c>
      <c r="B182">
        <v>27</v>
      </c>
      <c r="C182">
        <v>15</v>
      </c>
      <c r="D182">
        <v>12</v>
      </c>
      <c r="E182">
        <v>12.54</v>
      </c>
      <c r="F182">
        <v>1864</v>
      </c>
      <c r="G182">
        <v>668</v>
      </c>
      <c r="H182">
        <v>1574</v>
      </c>
      <c r="I182">
        <v>356</v>
      </c>
      <c r="J182">
        <v>494</v>
      </c>
      <c r="K182">
        <v>294</v>
      </c>
      <c r="L182">
        <v>1015</v>
      </c>
      <c r="M182">
        <v>428</v>
      </c>
      <c r="N182">
        <v>123</v>
      </c>
      <c r="O182">
        <v>126</v>
      </c>
      <c r="P182">
        <v>352</v>
      </c>
      <c r="Q182">
        <v>535</v>
      </c>
      <c r="R182">
        <v>181</v>
      </c>
    </row>
    <row r="183" spans="1:18">
      <c r="A183" s="1" t="s">
        <v>145</v>
      </c>
      <c r="B183">
        <v>24</v>
      </c>
      <c r="C183">
        <v>20</v>
      </c>
      <c r="D183">
        <v>4</v>
      </c>
      <c r="E183">
        <v>12.5</v>
      </c>
      <c r="F183">
        <v>1830</v>
      </c>
      <c r="G183">
        <v>668</v>
      </c>
      <c r="H183">
        <v>1382</v>
      </c>
      <c r="I183">
        <v>311</v>
      </c>
      <c r="J183">
        <v>400</v>
      </c>
      <c r="K183">
        <v>219</v>
      </c>
      <c r="L183">
        <v>899</v>
      </c>
      <c r="M183">
        <v>371</v>
      </c>
      <c r="N183">
        <v>106</v>
      </c>
      <c r="O183">
        <v>103</v>
      </c>
      <c r="P183">
        <v>266</v>
      </c>
      <c r="Q183">
        <v>353</v>
      </c>
      <c r="R183">
        <v>182</v>
      </c>
    </row>
    <row r="184" spans="1:18">
      <c r="A184" s="1" t="s">
        <v>146</v>
      </c>
      <c r="B184">
        <v>23</v>
      </c>
      <c r="C184">
        <v>5</v>
      </c>
      <c r="D184">
        <v>18</v>
      </c>
      <c r="E184">
        <v>-0.56999999999999995</v>
      </c>
      <c r="F184">
        <v>1426</v>
      </c>
      <c r="G184">
        <v>511</v>
      </c>
      <c r="H184">
        <v>1323</v>
      </c>
      <c r="I184">
        <v>233</v>
      </c>
      <c r="J184">
        <v>340</v>
      </c>
      <c r="K184">
        <v>223</v>
      </c>
      <c r="L184">
        <v>768</v>
      </c>
      <c r="M184">
        <v>229</v>
      </c>
      <c r="N184">
        <v>164</v>
      </c>
      <c r="O184">
        <v>52</v>
      </c>
      <c r="P184">
        <v>345</v>
      </c>
      <c r="Q184">
        <v>372</v>
      </c>
      <c r="R184">
        <v>183</v>
      </c>
    </row>
    <row r="185" spans="1:18">
      <c r="A185" s="1" t="s">
        <v>147</v>
      </c>
      <c r="B185">
        <v>22</v>
      </c>
      <c r="C185">
        <v>10</v>
      </c>
      <c r="D185">
        <v>12</v>
      </c>
      <c r="E185">
        <v>-6.16</v>
      </c>
      <c r="F185">
        <v>1662</v>
      </c>
      <c r="G185">
        <v>588</v>
      </c>
      <c r="H185">
        <v>1348</v>
      </c>
      <c r="I185">
        <v>327</v>
      </c>
      <c r="J185">
        <v>447</v>
      </c>
      <c r="K185">
        <v>197</v>
      </c>
      <c r="L185">
        <v>770</v>
      </c>
      <c r="M185">
        <v>285</v>
      </c>
      <c r="N185">
        <v>134</v>
      </c>
      <c r="O185">
        <v>47</v>
      </c>
      <c r="P185">
        <v>244</v>
      </c>
      <c r="Q185">
        <v>405</v>
      </c>
      <c r="R185">
        <v>184</v>
      </c>
    </row>
    <row r="186" spans="1:18">
      <c r="A186" s="1" t="s">
        <v>148</v>
      </c>
      <c r="B186">
        <v>29</v>
      </c>
      <c r="C186">
        <v>14</v>
      </c>
      <c r="D186">
        <v>15</v>
      </c>
      <c r="E186">
        <v>12.75</v>
      </c>
      <c r="F186">
        <v>2103</v>
      </c>
      <c r="G186">
        <v>704</v>
      </c>
      <c r="H186">
        <v>1794</v>
      </c>
      <c r="I186">
        <v>488</v>
      </c>
      <c r="J186">
        <v>659</v>
      </c>
      <c r="K186">
        <v>340</v>
      </c>
      <c r="L186">
        <v>1067</v>
      </c>
      <c r="M186">
        <v>399</v>
      </c>
      <c r="N186">
        <v>183</v>
      </c>
      <c r="O186">
        <v>134</v>
      </c>
      <c r="P186">
        <v>324</v>
      </c>
      <c r="Q186">
        <v>538</v>
      </c>
      <c r="R186">
        <v>185</v>
      </c>
    </row>
    <row r="187" spans="1:18">
      <c r="A187" s="1" t="s">
        <v>149</v>
      </c>
      <c r="B187">
        <v>29</v>
      </c>
      <c r="C187">
        <v>15</v>
      </c>
      <c r="D187">
        <v>14</v>
      </c>
      <c r="E187">
        <v>6.71</v>
      </c>
      <c r="F187">
        <v>1997</v>
      </c>
      <c r="G187">
        <v>747</v>
      </c>
      <c r="H187">
        <v>1658</v>
      </c>
      <c r="I187">
        <v>352</v>
      </c>
      <c r="J187">
        <v>545</v>
      </c>
      <c r="K187">
        <v>364</v>
      </c>
      <c r="L187">
        <v>1139</v>
      </c>
      <c r="M187">
        <v>375</v>
      </c>
      <c r="N187">
        <v>181</v>
      </c>
      <c r="O187">
        <v>136</v>
      </c>
      <c r="P187">
        <v>433</v>
      </c>
      <c r="Q187">
        <v>450</v>
      </c>
      <c r="R187">
        <v>186</v>
      </c>
    </row>
    <row r="188" spans="1:18">
      <c r="A188" s="1" t="s">
        <v>150</v>
      </c>
      <c r="B188">
        <v>24</v>
      </c>
      <c r="C188">
        <v>2</v>
      </c>
      <c r="D188">
        <v>22</v>
      </c>
      <c r="E188">
        <v>-8.01</v>
      </c>
      <c r="F188">
        <v>1364</v>
      </c>
      <c r="G188">
        <v>480</v>
      </c>
      <c r="H188">
        <v>1347</v>
      </c>
      <c r="I188">
        <v>190</v>
      </c>
      <c r="J188">
        <v>332</v>
      </c>
      <c r="K188">
        <v>168</v>
      </c>
      <c r="L188">
        <v>749</v>
      </c>
      <c r="M188">
        <v>264</v>
      </c>
      <c r="N188">
        <v>110</v>
      </c>
      <c r="O188">
        <v>71</v>
      </c>
      <c r="P188">
        <v>430</v>
      </c>
      <c r="Q188">
        <v>428</v>
      </c>
      <c r="R188">
        <v>187</v>
      </c>
    </row>
    <row r="189" spans="1:18">
      <c r="A189" s="1" t="s">
        <v>151</v>
      </c>
      <c r="B189">
        <v>27</v>
      </c>
      <c r="C189">
        <v>16</v>
      </c>
      <c r="D189">
        <v>11</v>
      </c>
      <c r="E189">
        <v>6.32</v>
      </c>
      <c r="F189">
        <v>1866</v>
      </c>
      <c r="G189">
        <v>678</v>
      </c>
      <c r="H189">
        <v>1533</v>
      </c>
      <c r="I189">
        <v>369</v>
      </c>
      <c r="J189">
        <v>527</v>
      </c>
      <c r="K189">
        <v>327</v>
      </c>
      <c r="L189">
        <v>987</v>
      </c>
      <c r="M189">
        <v>331</v>
      </c>
      <c r="N189">
        <v>207</v>
      </c>
      <c r="O189">
        <v>107</v>
      </c>
      <c r="P189">
        <v>371</v>
      </c>
      <c r="Q189">
        <v>459</v>
      </c>
      <c r="R189">
        <v>188</v>
      </c>
    </row>
    <row r="190" spans="1:18">
      <c r="A190" s="1" t="s">
        <v>152</v>
      </c>
      <c r="B190">
        <v>24</v>
      </c>
      <c r="C190">
        <v>11</v>
      </c>
      <c r="D190">
        <v>13</v>
      </c>
      <c r="E190">
        <v>-3.12</v>
      </c>
      <c r="F190">
        <v>1683</v>
      </c>
      <c r="G190">
        <v>642</v>
      </c>
      <c r="H190">
        <v>1292</v>
      </c>
      <c r="I190">
        <v>250</v>
      </c>
      <c r="J190">
        <v>379</v>
      </c>
      <c r="K190">
        <v>175</v>
      </c>
      <c r="L190">
        <v>730</v>
      </c>
      <c r="M190">
        <v>355</v>
      </c>
      <c r="N190">
        <v>190</v>
      </c>
      <c r="O190">
        <v>50</v>
      </c>
      <c r="P190">
        <v>300</v>
      </c>
      <c r="Q190">
        <v>524</v>
      </c>
      <c r="R190">
        <v>189</v>
      </c>
    </row>
    <row r="191" spans="1:18">
      <c r="A191" s="1" t="s">
        <v>153</v>
      </c>
      <c r="B191">
        <v>24</v>
      </c>
      <c r="C191">
        <v>17</v>
      </c>
      <c r="D191">
        <v>7</v>
      </c>
      <c r="E191">
        <v>7.0000000000000007E-2</v>
      </c>
      <c r="F191">
        <v>1762</v>
      </c>
      <c r="G191">
        <v>637</v>
      </c>
      <c r="H191">
        <v>1332</v>
      </c>
      <c r="I191">
        <v>308</v>
      </c>
      <c r="J191">
        <v>415</v>
      </c>
      <c r="K191">
        <v>188</v>
      </c>
      <c r="L191">
        <v>887</v>
      </c>
      <c r="M191">
        <v>325</v>
      </c>
      <c r="N191">
        <v>112</v>
      </c>
      <c r="O191">
        <v>69</v>
      </c>
      <c r="P191">
        <v>305</v>
      </c>
      <c r="Q191">
        <v>369</v>
      </c>
      <c r="R191">
        <v>190</v>
      </c>
    </row>
    <row r="192" spans="1:18">
      <c r="A192" s="1" t="s">
        <v>328</v>
      </c>
      <c r="B192">
        <v>25</v>
      </c>
      <c r="C192">
        <v>16</v>
      </c>
      <c r="D192">
        <v>9</v>
      </c>
      <c r="E192">
        <v>11.01</v>
      </c>
      <c r="F192">
        <v>1841</v>
      </c>
      <c r="G192">
        <v>646</v>
      </c>
      <c r="H192">
        <v>1439</v>
      </c>
      <c r="I192">
        <v>376</v>
      </c>
      <c r="J192">
        <v>539</v>
      </c>
      <c r="K192">
        <v>248</v>
      </c>
      <c r="L192">
        <v>892</v>
      </c>
      <c r="M192">
        <v>330</v>
      </c>
      <c r="N192">
        <v>168</v>
      </c>
      <c r="O192">
        <v>88</v>
      </c>
      <c r="P192">
        <v>336</v>
      </c>
      <c r="Q192">
        <v>494</v>
      </c>
      <c r="R192">
        <v>191</v>
      </c>
    </row>
    <row r="193" spans="1:18">
      <c r="A193" s="1" t="s">
        <v>154</v>
      </c>
      <c r="B193">
        <v>20</v>
      </c>
      <c r="C193">
        <v>12</v>
      </c>
      <c r="D193">
        <v>8</v>
      </c>
      <c r="E193">
        <v>-6.94</v>
      </c>
      <c r="F193">
        <v>1521</v>
      </c>
      <c r="G193">
        <v>518</v>
      </c>
      <c r="H193">
        <v>1226</v>
      </c>
      <c r="I193">
        <v>331</v>
      </c>
      <c r="J193">
        <v>468</v>
      </c>
      <c r="K193">
        <v>198</v>
      </c>
      <c r="L193">
        <v>749</v>
      </c>
      <c r="M193">
        <v>280</v>
      </c>
      <c r="N193">
        <v>166</v>
      </c>
      <c r="O193">
        <v>70</v>
      </c>
      <c r="P193">
        <v>268</v>
      </c>
      <c r="Q193">
        <v>415</v>
      </c>
      <c r="R193">
        <v>192</v>
      </c>
    </row>
    <row r="194" spans="1:18">
      <c r="A194" s="1" t="s">
        <v>155</v>
      </c>
      <c r="B194">
        <v>23</v>
      </c>
      <c r="C194">
        <v>13</v>
      </c>
      <c r="D194">
        <v>10</v>
      </c>
      <c r="E194">
        <v>-5.97</v>
      </c>
      <c r="F194">
        <v>1703</v>
      </c>
      <c r="G194">
        <v>586</v>
      </c>
      <c r="H194">
        <v>1298</v>
      </c>
      <c r="I194">
        <v>389</v>
      </c>
      <c r="J194">
        <v>515</v>
      </c>
      <c r="K194">
        <v>198</v>
      </c>
      <c r="L194">
        <v>777</v>
      </c>
      <c r="M194">
        <v>254</v>
      </c>
      <c r="N194">
        <v>129</v>
      </c>
      <c r="O194">
        <v>52</v>
      </c>
      <c r="P194">
        <v>288</v>
      </c>
      <c r="Q194">
        <v>431</v>
      </c>
      <c r="R194">
        <v>193</v>
      </c>
    </row>
    <row r="195" spans="1:18">
      <c r="A195" s="1" t="s">
        <v>156</v>
      </c>
      <c r="B195">
        <v>28</v>
      </c>
      <c r="C195">
        <v>15</v>
      </c>
      <c r="D195">
        <v>13</v>
      </c>
      <c r="E195">
        <v>-3.03</v>
      </c>
      <c r="F195">
        <v>1981</v>
      </c>
      <c r="G195">
        <v>697</v>
      </c>
      <c r="H195">
        <v>1514</v>
      </c>
      <c r="I195">
        <v>433</v>
      </c>
      <c r="J195">
        <v>554</v>
      </c>
      <c r="K195">
        <v>214</v>
      </c>
      <c r="L195">
        <v>927</v>
      </c>
      <c r="M195">
        <v>356</v>
      </c>
      <c r="N195">
        <v>137</v>
      </c>
      <c r="O195">
        <v>72</v>
      </c>
      <c r="P195">
        <v>371</v>
      </c>
      <c r="Q195">
        <v>552</v>
      </c>
      <c r="R195">
        <v>194</v>
      </c>
    </row>
    <row r="196" spans="1:18">
      <c r="A196" s="1" t="s">
        <v>157</v>
      </c>
      <c r="B196">
        <v>30</v>
      </c>
      <c r="C196">
        <v>23</v>
      </c>
      <c r="D196">
        <v>7</v>
      </c>
      <c r="E196">
        <v>-4.55</v>
      </c>
      <c r="F196">
        <v>2065</v>
      </c>
      <c r="G196">
        <v>738</v>
      </c>
      <c r="H196">
        <v>1601</v>
      </c>
      <c r="I196">
        <v>392</v>
      </c>
      <c r="J196">
        <v>575</v>
      </c>
      <c r="K196">
        <v>309</v>
      </c>
      <c r="L196">
        <v>1125</v>
      </c>
      <c r="M196">
        <v>382</v>
      </c>
      <c r="N196">
        <v>132</v>
      </c>
      <c r="O196">
        <v>150</v>
      </c>
      <c r="P196">
        <v>459</v>
      </c>
      <c r="Q196">
        <v>432</v>
      </c>
      <c r="R196">
        <v>195</v>
      </c>
    </row>
    <row r="197" spans="1:18">
      <c r="A197" s="1" t="s">
        <v>158</v>
      </c>
      <c r="B197">
        <v>22</v>
      </c>
      <c r="C197">
        <v>14</v>
      </c>
      <c r="D197">
        <v>8</v>
      </c>
      <c r="E197">
        <v>-10.130000000000001</v>
      </c>
      <c r="F197">
        <v>1755</v>
      </c>
      <c r="G197">
        <v>602</v>
      </c>
      <c r="H197">
        <v>1389</v>
      </c>
      <c r="I197">
        <v>369</v>
      </c>
      <c r="J197">
        <v>499</v>
      </c>
      <c r="K197">
        <v>296</v>
      </c>
      <c r="L197">
        <v>873</v>
      </c>
      <c r="M197">
        <v>326</v>
      </c>
      <c r="N197">
        <v>173</v>
      </c>
      <c r="O197">
        <v>82</v>
      </c>
      <c r="P197">
        <v>344</v>
      </c>
      <c r="Q197">
        <v>455</v>
      </c>
      <c r="R197">
        <v>196</v>
      </c>
    </row>
    <row r="198" spans="1:18">
      <c r="A198" s="1" t="s">
        <v>159</v>
      </c>
      <c r="B198">
        <v>22</v>
      </c>
      <c r="C198">
        <v>12</v>
      </c>
      <c r="D198">
        <v>10</v>
      </c>
      <c r="E198">
        <v>-4.7699999999999996</v>
      </c>
      <c r="F198">
        <v>1402</v>
      </c>
      <c r="G198">
        <v>508</v>
      </c>
      <c r="H198">
        <v>1192</v>
      </c>
      <c r="I198">
        <v>240</v>
      </c>
      <c r="J198">
        <v>354</v>
      </c>
      <c r="K198">
        <v>237</v>
      </c>
      <c r="L198">
        <v>821</v>
      </c>
      <c r="M198">
        <v>257</v>
      </c>
      <c r="N198">
        <v>97</v>
      </c>
      <c r="O198">
        <v>91</v>
      </c>
      <c r="P198">
        <v>288</v>
      </c>
      <c r="Q198">
        <v>328</v>
      </c>
      <c r="R198">
        <v>197</v>
      </c>
    </row>
    <row r="199" spans="1:18">
      <c r="A199" s="1" t="s">
        <v>160</v>
      </c>
      <c r="B199">
        <v>26</v>
      </c>
      <c r="C199">
        <v>13</v>
      </c>
      <c r="D199">
        <v>13</v>
      </c>
      <c r="E199">
        <v>-7.8</v>
      </c>
      <c r="F199">
        <v>1986</v>
      </c>
      <c r="G199">
        <v>757</v>
      </c>
      <c r="H199">
        <v>1522</v>
      </c>
      <c r="I199">
        <v>260</v>
      </c>
      <c r="J199">
        <v>387</v>
      </c>
      <c r="K199">
        <v>239</v>
      </c>
      <c r="L199">
        <v>939</v>
      </c>
      <c r="M199">
        <v>435</v>
      </c>
      <c r="N199">
        <v>175</v>
      </c>
      <c r="O199">
        <v>91</v>
      </c>
      <c r="P199">
        <v>347</v>
      </c>
      <c r="Q199">
        <v>432</v>
      </c>
      <c r="R199">
        <v>198</v>
      </c>
    </row>
    <row r="200" spans="1:18">
      <c r="A200" s="1" t="s">
        <v>161</v>
      </c>
      <c r="B200">
        <v>18</v>
      </c>
      <c r="C200">
        <v>15</v>
      </c>
      <c r="D200">
        <v>3</v>
      </c>
      <c r="E200">
        <v>0.03</v>
      </c>
      <c r="F200">
        <v>1287</v>
      </c>
      <c r="G200">
        <v>466</v>
      </c>
      <c r="H200">
        <v>1042</v>
      </c>
      <c r="I200">
        <v>244</v>
      </c>
      <c r="J200">
        <v>344</v>
      </c>
      <c r="K200">
        <v>204</v>
      </c>
      <c r="L200">
        <v>631</v>
      </c>
      <c r="M200">
        <v>222</v>
      </c>
      <c r="N200">
        <v>147</v>
      </c>
      <c r="O200">
        <v>43</v>
      </c>
      <c r="P200">
        <v>223</v>
      </c>
      <c r="Q200">
        <v>301</v>
      </c>
      <c r="R200">
        <v>199</v>
      </c>
    </row>
    <row r="201" spans="1:18">
      <c r="A201" s="1" t="s">
        <v>360</v>
      </c>
      <c r="B201">
        <v>25</v>
      </c>
      <c r="C201">
        <v>5</v>
      </c>
      <c r="D201">
        <v>20</v>
      </c>
      <c r="E201">
        <v>-2.5299999999999998</v>
      </c>
      <c r="F201">
        <v>1683</v>
      </c>
      <c r="G201">
        <v>625</v>
      </c>
      <c r="H201">
        <v>1494</v>
      </c>
      <c r="I201">
        <v>300</v>
      </c>
      <c r="J201">
        <v>436</v>
      </c>
      <c r="K201">
        <v>212</v>
      </c>
      <c r="L201">
        <v>853</v>
      </c>
      <c r="M201">
        <v>236</v>
      </c>
      <c r="N201">
        <v>141</v>
      </c>
      <c r="O201">
        <v>75</v>
      </c>
      <c r="P201">
        <v>327</v>
      </c>
      <c r="Q201">
        <v>471</v>
      </c>
      <c r="R201">
        <v>200</v>
      </c>
    </row>
    <row r="202" spans="1:18">
      <c r="A202" s="1" t="s">
        <v>162</v>
      </c>
      <c r="B202">
        <v>27</v>
      </c>
      <c r="C202">
        <v>7</v>
      </c>
      <c r="D202">
        <v>20</v>
      </c>
      <c r="E202">
        <v>13.29</v>
      </c>
      <c r="F202">
        <v>1889</v>
      </c>
      <c r="G202">
        <v>671</v>
      </c>
      <c r="H202">
        <v>1604</v>
      </c>
      <c r="I202">
        <v>319</v>
      </c>
      <c r="J202">
        <v>499</v>
      </c>
      <c r="K202">
        <v>240</v>
      </c>
      <c r="L202">
        <v>979</v>
      </c>
      <c r="M202">
        <v>369</v>
      </c>
      <c r="N202">
        <v>193</v>
      </c>
      <c r="O202">
        <v>88</v>
      </c>
      <c r="P202">
        <v>380</v>
      </c>
      <c r="Q202">
        <v>473</v>
      </c>
      <c r="R202">
        <v>201</v>
      </c>
    </row>
    <row r="203" spans="1:18">
      <c r="A203" s="1" t="s">
        <v>285</v>
      </c>
      <c r="B203">
        <v>27</v>
      </c>
      <c r="C203">
        <v>12</v>
      </c>
      <c r="D203">
        <v>15</v>
      </c>
      <c r="E203">
        <v>1.1399999999999999</v>
      </c>
      <c r="F203">
        <v>1875</v>
      </c>
      <c r="G203">
        <v>706</v>
      </c>
      <c r="H203">
        <v>1587</v>
      </c>
      <c r="I203">
        <v>238</v>
      </c>
      <c r="J203">
        <v>336</v>
      </c>
      <c r="K203">
        <v>277</v>
      </c>
      <c r="L203">
        <v>973</v>
      </c>
      <c r="M203">
        <v>356</v>
      </c>
      <c r="N203">
        <v>172</v>
      </c>
      <c r="O203">
        <v>76</v>
      </c>
      <c r="P203">
        <v>338</v>
      </c>
      <c r="Q203">
        <v>488</v>
      </c>
      <c r="R203">
        <v>202</v>
      </c>
    </row>
    <row r="204" spans="1:18">
      <c r="A204" s="1" t="s">
        <v>163</v>
      </c>
      <c r="B204">
        <v>26</v>
      </c>
      <c r="C204">
        <v>16</v>
      </c>
      <c r="D204">
        <v>10</v>
      </c>
      <c r="E204">
        <v>2.0099999999999998</v>
      </c>
      <c r="F204">
        <v>1916</v>
      </c>
      <c r="G204">
        <v>646</v>
      </c>
      <c r="H204">
        <v>1445</v>
      </c>
      <c r="I204">
        <v>423</v>
      </c>
      <c r="J204">
        <v>560</v>
      </c>
      <c r="K204">
        <v>213</v>
      </c>
      <c r="L204">
        <v>928</v>
      </c>
      <c r="M204">
        <v>374</v>
      </c>
      <c r="N204">
        <v>145</v>
      </c>
      <c r="O204">
        <v>77</v>
      </c>
      <c r="P204">
        <v>330</v>
      </c>
      <c r="Q204">
        <v>519</v>
      </c>
      <c r="R204">
        <v>203</v>
      </c>
    </row>
    <row r="205" spans="1:18">
      <c r="A205" s="1" t="s">
        <v>164</v>
      </c>
      <c r="B205">
        <v>19</v>
      </c>
      <c r="C205">
        <v>10</v>
      </c>
      <c r="D205">
        <v>9</v>
      </c>
      <c r="E205">
        <v>-5.83</v>
      </c>
      <c r="F205">
        <v>1278</v>
      </c>
      <c r="G205">
        <v>452</v>
      </c>
      <c r="H205">
        <v>1124</v>
      </c>
      <c r="I205">
        <v>245</v>
      </c>
      <c r="J205">
        <v>358</v>
      </c>
      <c r="K205">
        <v>205</v>
      </c>
      <c r="L205">
        <v>706</v>
      </c>
      <c r="M205">
        <v>213</v>
      </c>
      <c r="N205">
        <v>104</v>
      </c>
      <c r="O205">
        <v>55</v>
      </c>
      <c r="P205">
        <v>209</v>
      </c>
      <c r="Q205">
        <v>344</v>
      </c>
      <c r="R205">
        <v>204</v>
      </c>
    </row>
    <row r="206" spans="1:18">
      <c r="A206" s="1" t="s">
        <v>165</v>
      </c>
      <c r="B206">
        <v>20</v>
      </c>
      <c r="C206">
        <v>12</v>
      </c>
      <c r="D206">
        <v>8</v>
      </c>
      <c r="E206">
        <v>-6.16</v>
      </c>
      <c r="F206">
        <v>1422</v>
      </c>
      <c r="G206">
        <v>492</v>
      </c>
      <c r="H206">
        <v>1156</v>
      </c>
      <c r="I206">
        <v>263</v>
      </c>
      <c r="J206">
        <v>361</v>
      </c>
      <c r="K206">
        <v>235</v>
      </c>
      <c r="L206">
        <v>722</v>
      </c>
      <c r="M206">
        <v>249</v>
      </c>
      <c r="N206">
        <v>100</v>
      </c>
      <c r="O206">
        <v>48</v>
      </c>
      <c r="P206">
        <v>243</v>
      </c>
      <c r="Q206">
        <v>359</v>
      </c>
      <c r="R206">
        <v>205</v>
      </c>
    </row>
    <row r="207" spans="1:18">
      <c r="A207" s="1" t="s">
        <v>166</v>
      </c>
      <c r="B207">
        <v>22</v>
      </c>
      <c r="C207">
        <v>6</v>
      </c>
      <c r="D207">
        <v>16</v>
      </c>
      <c r="E207">
        <v>-1.77</v>
      </c>
      <c r="F207">
        <v>1436</v>
      </c>
      <c r="G207">
        <v>538</v>
      </c>
      <c r="H207">
        <v>1303</v>
      </c>
      <c r="I207">
        <v>255</v>
      </c>
      <c r="J207">
        <v>426</v>
      </c>
      <c r="K207">
        <v>291</v>
      </c>
      <c r="L207">
        <v>839</v>
      </c>
      <c r="M207">
        <v>277</v>
      </c>
      <c r="N207">
        <v>126</v>
      </c>
      <c r="O207">
        <v>87</v>
      </c>
      <c r="P207">
        <v>328</v>
      </c>
      <c r="Q207">
        <v>397</v>
      </c>
      <c r="R207">
        <v>206</v>
      </c>
    </row>
    <row r="208" spans="1:18">
      <c r="A208" s="1" t="s">
        <v>167</v>
      </c>
      <c r="B208">
        <v>25</v>
      </c>
      <c r="C208">
        <v>10</v>
      </c>
      <c r="D208">
        <v>15</v>
      </c>
      <c r="E208">
        <v>-9.91</v>
      </c>
      <c r="F208">
        <v>1899</v>
      </c>
      <c r="G208">
        <v>703</v>
      </c>
      <c r="H208">
        <v>1476</v>
      </c>
      <c r="I208">
        <v>356</v>
      </c>
      <c r="J208">
        <v>483</v>
      </c>
      <c r="K208">
        <v>245</v>
      </c>
      <c r="L208">
        <v>880</v>
      </c>
      <c r="M208">
        <v>391</v>
      </c>
      <c r="N208">
        <v>190</v>
      </c>
      <c r="O208">
        <v>70</v>
      </c>
      <c r="P208">
        <v>421</v>
      </c>
      <c r="Q208">
        <v>522</v>
      </c>
      <c r="R208">
        <v>207</v>
      </c>
    </row>
    <row r="209" spans="1:18">
      <c r="A209" s="1" t="s">
        <v>168</v>
      </c>
      <c r="B209">
        <v>20</v>
      </c>
      <c r="C209">
        <v>9</v>
      </c>
      <c r="D209">
        <v>11</v>
      </c>
      <c r="E209">
        <v>-6.29</v>
      </c>
      <c r="F209">
        <v>1293</v>
      </c>
      <c r="G209">
        <v>448</v>
      </c>
      <c r="H209">
        <v>1099</v>
      </c>
      <c r="I209">
        <v>269</v>
      </c>
      <c r="J209">
        <v>380</v>
      </c>
      <c r="K209">
        <v>163</v>
      </c>
      <c r="L209">
        <v>631</v>
      </c>
      <c r="M209">
        <v>236</v>
      </c>
      <c r="N209">
        <v>117</v>
      </c>
      <c r="O209">
        <v>39</v>
      </c>
      <c r="P209">
        <v>199</v>
      </c>
      <c r="Q209">
        <v>340</v>
      </c>
      <c r="R209">
        <v>208</v>
      </c>
    </row>
    <row r="210" spans="1:18">
      <c r="A210" s="1" t="s">
        <v>169</v>
      </c>
      <c r="B210">
        <v>25</v>
      </c>
      <c r="C210">
        <v>18</v>
      </c>
      <c r="D210">
        <v>7</v>
      </c>
      <c r="E210">
        <v>-9.15</v>
      </c>
      <c r="F210">
        <v>1960</v>
      </c>
      <c r="G210">
        <v>734</v>
      </c>
      <c r="H210">
        <v>1611</v>
      </c>
      <c r="I210">
        <v>298</v>
      </c>
      <c r="J210">
        <v>446</v>
      </c>
      <c r="K210">
        <v>273</v>
      </c>
      <c r="L210">
        <v>952</v>
      </c>
      <c r="M210">
        <v>336</v>
      </c>
      <c r="N210">
        <v>228</v>
      </c>
      <c r="O210">
        <v>83</v>
      </c>
      <c r="P210">
        <v>326</v>
      </c>
      <c r="Q210">
        <v>462</v>
      </c>
      <c r="R210">
        <v>209</v>
      </c>
    </row>
    <row r="211" spans="1:18">
      <c r="A211" s="1" t="s">
        <v>337</v>
      </c>
      <c r="B211">
        <v>19</v>
      </c>
      <c r="C211">
        <v>7</v>
      </c>
      <c r="D211">
        <v>12</v>
      </c>
      <c r="E211">
        <v>-4.9400000000000004</v>
      </c>
      <c r="F211">
        <v>1256</v>
      </c>
      <c r="G211">
        <v>440</v>
      </c>
      <c r="H211">
        <v>1088</v>
      </c>
      <c r="I211">
        <v>257</v>
      </c>
      <c r="J211">
        <v>372</v>
      </c>
      <c r="K211">
        <v>168</v>
      </c>
      <c r="L211">
        <v>596</v>
      </c>
      <c r="M211">
        <v>181</v>
      </c>
      <c r="N211">
        <v>127</v>
      </c>
      <c r="O211">
        <v>42</v>
      </c>
      <c r="P211">
        <v>212</v>
      </c>
      <c r="Q211">
        <v>336</v>
      </c>
      <c r="R211">
        <v>210</v>
      </c>
    </row>
    <row r="212" spans="1:18">
      <c r="A212" s="1" t="s">
        <v>170</v>
      </c>
      <c r="B212">
        <v>23</v>
      </c>
      <c r="C212">
        <v>16</v>
      </c>
      <c r="D212">
        <v>7</v>
      </c>
      <c r="E212">
        <v>-9.41</v>
      </c>
      <c r="F212">
        <v>1730</v>
      </c>
      <c r="G212">
        <v>591</v>
      </c>
      <c r="H212">
        <v>1357</v>
      </c>
      <c r="I212">
        <v>368</v>
      </c>
      <c r="J212">
        <v>521</v>
      </c>
      <c r="K212">
        <v>239</v>
      </c>
      <c r="L212">
        <v>850</v>
      </c>
      <c r="M212">
        <v>282</v>
      </c>
      <c r="N212">
        <v>146</v>
      </c>
      <c r="O212">
        <v>76</v>
      </c>
      <c r="P212">
        <v>301</v>
      </c>
      <c r="Q212">
        <v>453</v>
      </c>
      <c r="R212">
        <v>211</v>
      </c>
    </row>
    <row r="213" spans="1:18">
      <c r="A213" s="1" t="s">
        <v>369</v>
      </c>
      <c r="B213">
        <v>24</v>
      </c>
      <c r="C213">
        <v>13</v>
      </c>
      <c r="D213">
        <v>11</v>
      </c>
      <c r="E213">
        <v>-6.11</v>
      </c>
      <c r="F213">
        <v>1756</v>
      </c>
      <c r="G213">
        <v>624</v>
      </c>
      <c r="H213">
        <v>1457</v>
      </c>
      <c r="I213">
        <v>316</v>
      </c>
      <c r="J213">
        <v>424</v>
      </c>
      <c r="K213">
        <v>263</v>
      </c>
      <c r="L213">
        <v>936</v>
      </c>
      <c r="M213">
        <v>272</v>
      </c>
      <c r="N213">
        <v>141</v>
      </c>
      <c r="O213">
        <v>77</v>
      </c>
      <c r="P213">
        <v>332</v>
      </c>
      <c r="Q213">
        <v>423</v>
      </c>
      <c r="R213">
        <v>212</v>
      </c>
    </row>
    <row r="214" spans="1:18">
      <c r="A214" s="1" t="s">
        <v>171</v>
      </c>
      <c r="B214">
        <v>20</v>
      </c>
      <c r="C214">
        <v>10</v>
      </c>
      <c r="D214">
        <v>10</v>
      </c>
      <c r="E214">
        <v>-7.05</v>
      </c>
      <c r="F214">
        <v>1468</v>
      </c>
      <c r="G214">
        <v>548</v>
      </c>
      <c r="H214">
        <v>1151</v>
      </c>
      <c r="I214">
        <v>211</v>
      </c>
      <c r="J214">
        <v>348</v>
      </c>
      <c r="K214">
        <v>186</v>
      </c>
      <c r="L214">
        <v>669</v>
      </c>
      <c r="M214">
        <v>254</v>
      </c>
      <c r="N214">
        <v>140</v>
      </c>
      <c r="O214">
        <v>87</v>
      </c>
      <c r="P214">
        <v>302</v>
      </c>
      <c r="Q214">
        <v>368</v>
      </c>
      <c r="R214">
        <v>213</v>
      </c>
    </row>
    <row r="215" spans="1:18">
      <c r="A215" s="1" t="s">
        <v>172</v>
      </c>
      <c r="B215">
        <v>21</v>
      </c>
      <c r="C215">
        <v>11</v>
      </c>
      <c r="D215">
        <v>10</v>
      </c>
      <c r="E215">
        <v>-7.63</v>
      </c>
      <c r="F215">
        <v>1517</v>
      </c>
      <c r="G215">
        <v>536</v>
      </c>
      <c r="H215">
        <v>1273</v>
      </c>
      <c r="I215">
        <v>308</v>
      </c>
      <c r="J215">
        <v>468</v>
      </c>
      <c r="K215">
        <v>228</v>
      </c>
      <c r="L215">
        <v>736</v>
      </c>
      <c r="M215">
        <v>285</v>
      </c>
      <c r="N215">
        <v>183</v>
      </c>
      <c r="O215">
        <v>56</v>
      </c>
      <c r="P215">
        <v>294</v>
      </c>
      <c r="Q215">
        <v>367</v>
      </c>
      <c r="R215">
        <v>214</v>
      </c>
    </row>
    <row r="216" spans="1:18">
      <c r="A216" s="1" t="s">
        <v>349</v>
      </c>
      <c r="B216">
        <v>14</v>
      </c>
      <c r="C216">
        <v>5</v>
      </c>
      <c r="D216">
        <v>9</v>
      </c>
      <c r="E216">
        <v>-8.11</v>
      </c>
      <c r="F216">
        <v>942</v>
      </c>
      <c r="G216">
        <v>333</v>
      </c>
      <c r="H216">
        <v>791</v>
      </c>
      <c r="I216">
        <v>181</v>
      </c>
      <c r="J216">
        <v>261</v>
      </c>
      <c r="K216">
        <v>130</v>
      </c>
      <c r="L216">
        <v>458</v>
      </c>
      <c r="M216">
        <v>169</v>
      </c>
      <c r="N216">
        <v>102</v>
      </c>
      <c r="O216">
        <v>39</v>
      </c>
      <c r="P216">
        <v>205</v>
      </c>
      <c r="Q216">
        <v>293</v>
      </c>
      <c r="R216">
        <v>215</v>
      </c>
    </row>
    <row r="217" spans="1:18">
      <c r="A217" s="1" t="s">
        <v>173</v>
      </c>
      <c r="B217">
        <v>29</v>
      </c>
      <c r="C217">
        <v>21</v>
      </c>
      <c r="D217">
        <v>8</v>
      </c>
      <c r="E217">
        <v>-2.29</v>
      </c>
      <c r="F217">
        <v>2135</v>
      </c>
      <c r="G217">
        <v>803</v>
      </c>
      <c r="H217">
        <v>1894</v>
      </c>
      <c r="I217">
        <v>308</v>
      </c>
      <c r="J217">
        <v>451</v>
      </c>
      <c r="K217">
        <v>370</v>
      </c>
      <c r="L217">
        <v>1142</v>
      </c>
      <c r="M217">
        <v>356</v>
      </c>
      <c r="N217">
        <v>217</v>
      </c>
      <c r="O217">
        <v>114</v>
      </c>
      <c r="P217">
        <v>319</v>
      </c>
      <c r="Q217">
        <v>524</v>
      </c>
      <c r="R217">
        <v>216</v>
      </c>
    </row>
    <row r="218" spans="1:18">
      <c r="A218" s="1" t="s">
        <v>174</v>
      </c>
      <c r="B218">
        <v>23</v>
      </c>
      <c r="C218">
        <v>13</v>
      </c>
      <c r="D218">
        <v>10</v>
      </c>
      <c r="E218">
        <v>7.21</v>
      </c>
      <c r="F218">
        <v>1684</v>
      </c>
      <c r="G218">
        <v>616</v>
      </c>
      <c r="H218">
        <v>1315</v>
      </c>
      <c r="I218">
        <v>297</v>
      </c>
      <c r="J218">
        <v>422</v>
      </c>
      <c r="K218">
        <v>230</v>
      </c>
      <c r="L218">
        <v>746</v>
      </c>
      <c r="M218">
        <v>299</v>
      </c>
      <c r="N218">
        <v>193</v>
      </c>
      <c r="O218">
        <v>104</v>
      </c>
      <c r="P218">
        <v>296</v>
      </c>
      <c r="Q218">
        <v>370</v>
      </c>
      <c r="R218">
        <v>217</v>
      </c>
    </row>
    <row r="219" spans="1:18">
      <c r="A219" s="1" t="s">
        <v>286</v>
      </c>
      <c r="B219">
        <v>17</v>
      </c>
      <c r="C219">
        <v>7</v>
      </c>
      <c r="D219">
        <v>10</v>
      </c>
      <c r="E219">
        <v>-5.69</v>
      </c>
      <c r="F219">
        <v>1297</v>
      </c>
      <c r="G219">
        <v>442</v>
      </c>
      <c r="H219">
        <v>1011</v>
      </c>
      <c r="I219">
        <v>285</v>
      </c>
      <c r="J219">
        <v>372</v>
      </c>
      <c r="K219">
        <v>162</v>
      </c>
      <c r="L219">
        <v>548</v>
      </c>
      <c r="M219">
        <v>206</v>
      </c>
      <c r="N219">
        <v>103</v>
      </c>
      <c r="O219">
        <v>60</v>
      </c>
      <c r="P219">
        <v>190</v>
      </c>
      <c r="Q219">
        <v>306</v>
      </c>
      <c r="R219">
        <v>218</v>
      </c>
    </row>
    <row r="220" spans="1:18">
      <c r="A220" s="1" t="s">
        <v>312</v>
      </c>
      <c r="B220">
        <v>28</v>
      </c>
      <c r="C220">
        <v>18</v>
      </c>
      <c r="D220">
        <v>10</v>
      </c>
      <c r="E220">
        <v>10.01</v>
      </c>
      <c r="F220">
        <v>2119</v>
      </c>
      <c r="G220">
        <v>776</v>
      </c>
      <c r="H220">
        <v>1761</v>
      </c>
      <c r="I220">
        <v>410</v>
      </c>
      <c r="J220">
        <v>614</v>
      </c>
      <c r="K220">
        <v>444</v>
      </c>
      <c r="L220">
        <v>1208</v>
      </c>
      <c r="M220">
        <v>433</v>
      </c>
      <c r="N220">
        <v>202</v>
      </c>
      <c r="O220">
        <v>132</v>
      </c>
      <c r="P220">
        <v>413</v>
      </c>
      <c r="Q220">
        <v>472</v>
      </c>
      <c r="R220">
        <v>219</v>
      </c>
    </row>
    <row r="221" spans="1:18">
      <c r="A221" s="1" t="s">
        <v>338</v>
      </c>
      <c r="B221">
        <v>27</v>
      </c>
      <c r="C221">
        <v>15</v>
      </c>
      <c r="D221">
        <v>12</v>
      </c>
      <c r="E221">
        <v>-3.25</v>
      </c>
      <c r="F221">
        <v>1883</v>
      </c>
      <c r="G221">
        <v>659</v>
      </c>
      <c r="H221">
        <v>1491</v>
      </c>
      <c r="I221">
        <v>381</v>
      </c>
      <c r="J221">
        <v>501</v>
      </c>
      <c r="K221">
        <v>256</v>
      </c>
      <c r="L221">
        <v>998</v>
      </c>
      <c r="M221">
        <v>285</v>
      </c>
      <c r="N221">
        <v>105</v>
      </c>
      <c r="O221">
        <v>69</v>
      </c>
      <c r="P221">
        <v>338</v>
      </c>
      <c r="Q221">
        <v>430</v>
      </c>
      <c r="R221">
        <v>220</v>
      </c>
    </row>
    <row r="222" spans="1:18">
      <c r="A222" s="1" t="s">
        <v>357</v>
      </c>
      <c r="B222">
        <v>26</v>
      </c>
      <c r="C222">
        <v>9</v>
      </c>
      <c r="D222">
        <v>17</v>
      </c>
      <c r="E222">
        <v>-3.95</v>
      </c>
      <c r="F222">
        <v>1787</v>
      </c>
      <c r="G222">
        <v>623</v>
      </c>
      <c r="H222">
        <v>1454</v>
      </c>
      <c r="I222">
        <v>351</v>
      </c>
      <c r="J222">
        <v>503</v>
      </c>
      <c r="K222">
        <v>214</v>
      </c>
      <c r="L222">
        <v>844</v>
      </c>
      <c r="M222">
        <v>306</v>
      </c>
      <c r="N222">
        <v>134</v>
      </c>
      <c r="O222">
        <v>55</v>
      </c>
      <c r="P222">
        <v>340</v>
      </c>
      <c r="Q222">
        <v>448</v>
      </c>
      <c r="R222">
        <v>221</v>
      </c>
    </row>
    <row r="223" spans="1:18">
      <c r="A223" s="1" t="s">
        <v>339</v>
      </c>
      <c r="B223">
        <v>23</v>
      </c>
      <c r="C223">
        <v>8</v>
      </c>
      <c r="D223">
        <v>15</v>
      </c>
      <c r="E223">
        <v>-4.3499999999999996</v>
      </c>
      <c r="F223">
        <v>1601</v>
      </c>
      <c r="G223">
        <v>570</v>
      </c>
      <c r="H223">
        <v>1282</v>
      </c>
      <c r="I223">
        <v>232</v>
      </c>
      <c r="J223">
        <v>325</v>
      </c>
      <c r="K223">
        <v>204</v>
      </c>
      <c r="L223">
        <v>751</v>
      </c>
      <c r="M223">
        <v>296</v>
      </c>
      <c r="N223">
        <v>102</v>
      </c>
      <c r="O223">
        <v>76</v>
      </c>
      <c r="P223">
        <v>344</v>
      </c>
      <c r="Q223">
        <v>386</v>
      </c>
      <c r="R223">
        <v>222</v>
      </c>
    </row>
    <row r="224" spans="1:18">
      <c r="A224" s="1" t="s">
        <v>175</v>
      </c>
      <c r="B224">
        <v>26</v>
      </c>
      <c r="C224">
        <v>17</v>
      </c>
      <c r="D224">
        <v>9</v>
      </c>
      <c r="E224">
        <v>-0.24</v>
      </c>
      <c r="F224">
        <v>1815</v>
      </c>
      <c r="G224">
        <v>668</v>
      </c>
      <c r="H224">
        <v>1405</v>
      </c>
      <c r="I224">
        <v>282</v>
      </c>
      <c r="J224">
        <v>384</v>
      </c>
      <c r="K224">
        <v>224</v>
      </c>
      <c r="L224">
        <v>867</v>
      </c>
      <c r="M224">
        <v>347</v>
      </c>
      <c r="N224">
        <v>176</v>
      </c>
      <c r="O224">
        <v>77</v>
      </c>
      <c r="P224">
        <v>343</v>
      </c>
      <c r="Q224">
        <v>409</v>
      </c>
      <c r="R224">
        <v>223</v>
      </c>
    </row>
    <row r="225" spans="1:18">
      <c r="A225" s="1" t="s">
        <v>176</v>
      </c>
      <c r="B225">
        <v>19</v>
      </c>
      <c r="C225">
        <v>10</v>
      </c>
      <c r="D225">
        <v>9</v>
      </c>
      <c r="E225">
        <v>0.86</v>
      </c>
      <c r="F225">
        <v>1277</v>
      </c>
      <c r="G225">
        <v>457</v>
      </c>
      <c r="H225">
        <v>1044</v>
      </c>
      <c r="I225">
        <v>201</v>
      </c>
      <c r="J225">
        <v>271</v>
      </c>
      <c r="K225">
        <v>126</v>
      </c>
      <c r="L225">
        <v>623</v>
      </c>
      <c r="M225">
        <v>234</v>
      </c>
      <c r="N225">
        <v>119</v>
      </c>
      <c r="O225">
        <v>44</v>
      </c>
      <c r="P225">
        <v>257</v>
      </c>
      <c r="Q225">
        <v>299</v>
      </c>
      <c r="R225">
        <v>224</v>
      </c>
    </row>
    <row r="226" spans="1:18">
      <c r="A226" s="1" t="s">
        <v>287</v>
      </c>
      <c r="B226">
        <v>22</v>
      </c>
      <c r="C226">
        <v>6</v>
      </c>
      <c r="D226">
        <v>16</v>
      </c>
      <c r="E226">
        <v>-2.86</v>
      </c>
      <c r="F226">
        <v>1390</v>
      </c>
      <c r="G226">
        <v>505</v>
      </c>
      <c r="H226">
        <v>1197</v>
      </c>
      <c r="I226">
        <v>241</v>
      </c>
      <c r="J226">
        <v>364</v>
      </c>
      <c r="K226">
        <v>178</v>
      </c>
      <c r="L226">
        <v>628</v>
      </c>
      <c r="M226">
        <v>238</v>
      </c>
      <c r="N226">
        <v>120</v>
      </c>
      <c r="O226">
        <v>34</v>
      </c>
      <c r="P226">
        <v>259</v>
      </c>
      <c r="Q226">
        <v>395</v>
      </c>
      <c r="R226">
        <v>225</v>
      </c>
    </row>
    <row r="227" spans="1:18">
      <c r="A227" s="1" t="s">
        <v>333</v>
      </c>
      <c r="B227">
        <v>22</v>
      </c>
      <c r="C227">
        <v>11</v>
      </c>
      <c r="D227">
        <v>11</v>
      </c>
      <c r="E227">
        <v>-5.56</v>
      </c>
      <c r="F227">
        <v>1551</v>
      </c>
      <c r="G227">
        <v>549</v>
      </c>
      <c r="H227">
        <v>1221</v>
      </c>
      <c r="I227">
        <v>254</v>
      </c>
      <c r="J227">
        <v>381</v>
      </c>
      <c r="K227">
        <v>175</v>
      </c>
      <c r="L227">
        <v>758</v>
      </c>
      <c r="M227">
        <v>242</v>
      </c>
      <c r="N227">
        <v>95</v>
      </c>
      <c r="O227">
        <v>59</v>
      </c>
      <c r="P227">
        <v>309</v>
      </c>
      <c r="Q227">
        <v>397</v>
      </c>
      <c r="R227">
        <v>226</v>
      </c>
    </row>
    <row r="228" spans="1:18">
      <c r="A228" s="1" t="s">
        <v>177</v>
      </c>
      <c r="B228">
        <v>19</v>
      </c>
      <c r="C228">
        <v>3</v>
      </c>
      <c r="D228">
        <v>16</v>
      </c>
      <c r="E228">
        <v>-1.92</v>
      </c>
      <c r="F228">
        <v>1184</v>
      </c>
      <c r="G228">
        <v>456</v>
      </c>
      <c r="H228">
        <v>1143</v>
      </c>
      <c r="I228">
        <v>168</v>
      </c>
      <c r="J228">
        <v>273</v>
      </c>
      <c r="K228">
        <v>243</v>
      </c>
      <c r="L228">
        <v>684</v>
      </c>
      <c r="M228">
        <v>204</v>
      </c>
      <c r="N228">
        <v>110</v>
      </c>
      <c r="O228">
        <v>65</v>
      </c>
      <c r="P228">
        <v>261</v>
      </c>
      <c r="Q228">
        <v>342</v>
      </c>
      <c r="R228">
        <v>227</v>
      </c>
    </row>
    <row r="229" spans="1:18">
      <c r="A229" s="1" t="s">
        <v>178</v>
      </c>
      <c r="B229">
        <v>25</v>
      </c>
      <c r="C229">
        <v>10</v>
      </c>
      <c r="D229">
        <v>15</v>
      </c>
      <c r="E229">
        <v>2.5299999999999998</v>
      </c>
      <c r="F229">
        <v>1738</v>
      </c>
      <c r="G229">
        <v>647</v>
      </c>
      <c r="H229">
        <v>1461</v>
      </c>
      <c r="I229">
        <v>258</v>
      </c>
      <c r="J229">
        <v>378</v>
      </c>
      <c r="K229">
        <v>229</v>
      </c>
      <c r="L229">
        <v>894</v>
      </c>
      <c r="M229">
        <v>329</v>
      </c>
      <c r="N229">
        <v>161</v>
      </c>
      <c r="O229">
        <v>64</v>
      </c>
      <c r="P229">
        <v>326</v>
      </c>
      <c r="Q229">
        <v>380</v>
      </c>
      <c r="R229">
        <v>228</v>
      </c>
    </row>
    <row r="230" spans="1:18">
      <c r="A230" s="1" t="s">
        <v>361</v>
      </c>
      <c r="B230">
        <v>25</v>
      </c>
      <c r="C230">
        <v>14</v>
      </c>
      <c r="D230">
        <v>11</v>
      </c>
      <c r="E230">
        <v>-6.07</v>
      </c>
      <c r="F230">
        <v>1784</v>
      </c>
      <c r="G230">
        <v>658</v>
      </c>
      <c r="H230">
        <v>1476</v>
      </c>
      <c r="I230">
        <v>289</v>
      </c>
      <c r="J230">
        <v>410</v>
      </c>
      <c r="K230">
        <v>305</v>
      </c>
      <c r="L230">
        <v>871</v>
      </c>
      <c r="M230">
        <v>295</v>
      </c>
      <c r="N230">
        <v>161</v>
      </c>
      <c r="O230">
        <v>41</v>
      </c>
      <c r="P230">
        <v>312</v>
      </c>
      <c r="Q230">
        <v>417</v>
      </c>
      <c r="R230">
        <v>229</v>
      </c>
    </row>
    <row r="231" spans="1:18">
      <c r="A231" s="1" t="s">
        <v>179</v>
      </c>
      <c r="B231">
        <v>29</v>
      </c>
      <c r="C231">
        <v>11</v>
      </c>
      <c r="D231">
        <v>18</v>
      </c>
      <c r="E231">
        <v>-5.22</v>
      </c>
      <c r="F231">
        <v>2106</v>
      </c>
      <c r="G231">
        <v>770</v>
      </c>
      <c r="H231">
        <v>1788</v>
      </c>
      <c r="I231">
        <v>356</v>
      </c>
      <c r="J231">
        <v>530</v>
      </c>
      <c r="K231">
        <v>297</v>
      </c>
      <c r="L231">
        <v>1029</v>
      </c>
      <c r="M231">
        <v>376</v>
      </c>
      <c r="N231">
        <v>202</v>
      </c>
      <c r="O231">
        <v>85</v>
      </c>
      <c r="P231">
        <v>419</v>
      </c>
      <c r="Q231">
        <v>544</v>
      </c>
      <c r="R231">
        <v>230</v>
      </c>
    </row>
    <row r="232" spans="1:18">
      <c r="A232" s="1" t="s">
        <v>180</v>
      </c>
      <c r="B232">
        <v>24</v>
      </c>
      <c r="C232">
        <v>9</v>
      </c>
      <c r="D232">
        <v>15</v>
      </c>
      <c r="E232">
        <v>12.92</v>
      </c>
      <c r="F232">
        <v>1686</v>
      </c>
      <c r="G232">
        <v>607</v>
      </c>
      <c r="H232">
        <v>1401</v>
      </c>
      <c r="I232">
        <v>272</v>
      </c>
      <c r="J232">
        <v>379</v>
      </c>
      <c r="K232">
        <v>180</v>
      </c>
      <c r="L232">
        <v>808</v>
      </c>
      <c r="M232">
        <v>352</v>
      </c>
      <c r="N232">
        <v>148</v>
      </c>
      <c r="O232">
        <v>63</v>
      </c>
      <c r="P232">
        <v>284</v>
      </c>
      <c r="Q232">
        <v>424</v>
      </c>
      <c r="R232">
        <v>231</v>
      </c>
    </row>
    <row r="233" spans="1:18">
      <c r="A233" s="1" t="s">
        <v>181</v>
      </c>
      <c r="B233">
        <v>26</v>
      </c>
      <c r="C233">
        <v>11</v>
      </c>
      <c r="D233">
        <v>15</v>
      </c>
      <c r="E233">
        <v>10.4</v>
      </c>
      <c r="F233">
        <v>1890</v>
      </c>
      <c r="G233">
        <v>679</v>
      </c>
      <c r="H233">
        <v>1479</v>
      </c>
      <c r="I233">
        <v>296</v>
      </c>
      <c r="J233">
        <v>383</v>
      </c>
      <c r="K233">
        <v>187</v>
      </c>
      <c r="L233">
        <v>868</v>
      </c>
      <c r="M233">
        <v>387</v>
      </c>
      <c r="N233">
        <v>110</v>
      </c>
      <c r="O233">
        <v>102</v>
      </c>
      <c r="P233">
        <v>275</v>
      </c>
      <c r="Q233">
        <v>334</v>
      </c>
      <c r="R233">
        <v>232</v>
      </c>
    </row>
    <row r="234" spans="1:18">
      <c r="A234" s="1" t="s">
        <v>182</v>
      </c>
      <c r="B234">
        <v>30</v>
      </c>
      <c r="C234">
        <v>12</v>
      </c>
      <c r="D234">
        <v>18</v>
      </c>
      <c r="E234">
        <v>-1.91</v>
      </c>
      <c r="F234">
        <v>2240</v>
      </c>
      <c r="G234">
        <v>773</v>
      </c>
      <c r="H234">
        <v>1855</v>
      </c>
      <c r="I234">
        <v>435</v>
      </c>
      <c r="J234">
        <v>616</v>
      </c>
      <c r="K234">
        <v>346</v>
      </c>
      <c r="L234">
        <v>1054</v>
      </c>
      <c r="M234">
        <v>444</v>
      </c>
      <c r="N234">
        <v>248</v>
      </c>
      <c r="O234">
        <v>56</v>
      </c>
      <c r="P234">
        <v>390</v>
      </c>
      <c r="Q234">
        <v>441</v>
      </c>
      <c r="R234">
        <v>233</v>
      </c>
    </row>
    <row r="235" spans="1:18">
      <c r="A235" s="1" t="s">
        <v>321</v>
      </c>
      <c r="B235">
        <v>30</v>
      </c>
      <c r="C235">
        <v>21</v>
      </c>
      <c r="D235">
        <v>9</v>
      </c>
      <c r="E235">
        <v>13.58</v>
      </c>
      <c r="F235">
        <v>2320</v>
      </c>
      <c r="G235">
        <v>790</v>
      </c>
      <c r="H235">
        <v>1719</v>
      </c>
      <c r="I235">
        <v>493</v>
      </c>
      <c r="J235">
        <v>646</v>
      </c>
      <c r="K235">
        <v>292</v>
      </c>
      <c r="L235">
        <v>1086</v>
      </c>
      <c r="M235">
        <v>391</v>
      </c>
      <c r="N235">
        <v>138</v>
      </c>
      <c r="O235">
        <v>103</v>
      </c>
      <c r="P235">
        <v>313</v>
      </c>
      <c r="Q235">
        <v>554</v>
      </c>
      <c r="R235">
        <v>234</v>
      </c>
    </row>
    <row r="236" spans="1:18">
      <c r="A236" s="1" t="s">
        <v>183</v>
      </c>
      <c r="B236">
        <v>23</v>
      </c>
      <c r="C236">
        <v>16</v>
      </c>
      <c r="D236">
        <v>7</v>
      </c>
      <c r="E236">
        <v>-1.1599999999999999</v>
      </c>
      <c r="F236">
        <v>1860</v>
      </c>
      <c r="G236">
        <v>686</v>
      </c>
      <c r="H236">
        <v>1403</v>
      </c>
      <c r="I236">
        <v>293</v>
      </c>
      <c r="J236">
        <v>418</v>
      </c>
      <c r="K236">
        <v>225</v>
      </c>
      <c r="L236">
        <v>801</v>
      </c>
      <c r="M236">
        <v>412</v>
      </c>
      <c r="N236">
        <v>156</v>
      </c>
      <c r="O236">
        <v>49</v>
      </c>
      <c r="P236">
        <v>277</v>
      </c>
      <c r="Q236">
        <v>369</v>
      </c>
      <c r="R236">
        <v>235</v>
      </c>
    </row>
    <row r="237" spans="1:18">
      <c r="A237" s="1" t="s">
        <v>340</v>
      </c>
      <c r="B237">
        <v>28</v>
      </c>
      <c r="C237">
        <v>20</v>
      </c>
      <c r="D237">
        <v>8</v>
      </c>
      <c r="E237">
        <v>9.9700000000000006</v>
      </c>
      <c r="F237">
        <v>2158</v>
      </c>
      <c r="G237">
        <v>775</v>
      </c>
      <c r="H237">
        <v>1658</v>
      </c>
      <c r="I237">
        <v>429</v>
      </c>
      <c r="J237">
        <v>602</v>
      </c>
      <c r="K237">
        <v>309</v>
      </c>
      <c r="L237">
        <v>1081</v>
      </c>
      <c r="M237">
        <v>370</v>
      </c>
      <c r="N237">
        <v>204</v>
      </c>
      <c r="O237">
        <v>123</v>
      </c>
      <c r="P237">
        <v>446</v>
      </c>
      <c r="Q237">
        <v>470</v>
      </c>
      <c r="R237">
        <v>236</v>
      </c>
    </row>
    <row r="238" spans="1:18">
      <c r="A238" s="1" t="s">
        <v>329</v>
      </c>
      <c r="B238">
        <v>25</v>
      </c>
      <c r="C238">
        <v>15</v>
      </c>
      <c r="D238">
        <v>10</v>
      </c>
      <c r="E238">
        <v>8.2100000000000009</v>
      </c>
      <c r="F238">
        <v>1869</v>
      </c>
      <c r="G238">
        <v>670</v>
      </c>
      <c r="H238">
        <v>1517</v>
      </c>
      <c r="I238">
        <v>329</v>
      </c>
      <c r="J238">
        <v>442</v>
      </c>
      <c r="K238">
        <v>247</v>
      </c>
      <c r="L238">
        <v>907</v>
      </c>
      <c r="M238">
        <v>335</v>
      </c>
      <c r="N238">
        <v>184</v>
      </c>
      <c r="O238">
        <v>86</v>
      </c>
      <c r="P238">
        <v>277</v>
      </c>
      <c r="Q238">
        <v>361</v>
      </c>
      <c r="R238">
        <v>237</v>
      </c>
    </row>
    <row r="239" spans="1:18">
      <c r="A239" s="1" t="s">
        <v>184</v>
      </c>
      <c r="B239">
        <v>23</v>
      </c>
      <c r="C239">
        <v>15</v>
      </c>
      <c r="D239">
        <v>8</v>
      </c>
      <c r="E239">
        <v>-0.5</v>
      </c>
      <c r="F239">
        <v>1571</v>
      </c>
      <c r="G239">
        <v>586</v>
      </c>
      <c r="H239">
        <v>1307</v>
      </c>
      <c r="I239">
        <v>286</v>
      </c>
      <c r="J239">
        <v>413</v>
      </c>
      <c r="K239">
        <v>224</v>
      </c>
      <c r="L239">
        <v>826</v>
      </c>
      <c r="M239">
        <v>278</v>
      </c>
      <c r="N239">
        <v>172</v>
      </c>
      <c r="O239">
        <v>86</v>
      </c>
      <c r="P239">
        <v>291</v>
      </c>
      <c r="Q239">
        <v>365</v>
      </c>
      <c r="R239">
        <v>238</v>
      </c>
    </row>
    <row r="240" spans="1:18">
      <c r="A240" s="1" t="s">
        <v>185</v>
      </c>
      <c r="B240">
        <v>26</v>
      </c>
      <c r="C240">
        <v>16</v>
      </c>
      <c r="D240">
        <v>10</v>
      </c>
      <c r="E240">
        <v>-2.58</v>
      </c>
      <c r="F240">
        <v>2126</v>
      </c>
      <c r="G240">
        <v>734</v>
      </c>
      <c r="H240">
        <v>1617</v>
      </c>
      <c r="I240">
        <v>364</v>
      </c>
      <c r="J240">
        <v>442</v>
      </c>
      <c r="K240">
        <v>219</v>
      </c>
      <c r="L240">
        <v>915</v>
      </c>
      <c r="M240">
        <v>329</v>
      </c>
      <c r="N240">
        <v>166</v>
      </c>
      <c r="O240">
        <v>106</v>
      </c>
      <c r="P240">
        <v>299</v>
      </c>
      <c r="Q240">
        <v>461</v>
      </c>
      <c r="R240">
        <v>239</v>
      </c>
    </row>
    <row r="241" spans="1:18">
      <c r="A241" s="1" t="s">
        <v>186</v>
      </c>
      <c r="B241">
        <v>29</v>
      </c>
      <c r="C241">
        <v>17</v>
      </c>
      <c r="D241">
        <v>12</v>
      </c>
      <c r="E241">
        <v>7.69</v>
      </c>
      <c r="F241">
        <v>2049</v>
      </c>
      <c r="G241">
        <v>712</v>
      </c>
      <c r="H241">
        <v>1637</v>
      </c>
      <c r="I241">
        <v>422</v>
      </c>
      <c r="J241">
        <v>557</v>
      </c>
      <c r="K241">
        <v>299</v>
      </c>
      <c r="L241">
        <v>977</v>
      </c>
      <c r="M241">
        <v>426</v>
      </c>
      <c r="N241">
        <v>176</v>
      </c>
      <c r="O241">
        <v>96</v>
      </c>
      <c r="P241">
        <v>328</v>
      </c>
      <c r="Q241">
        <v>547</v>
      </c>
      <c r="R241">
        <v>240</v>
      </c>
    </row>
    <row r="242" spans="1:18">
      <c r="A242" s="1" t="s">
        <v>288</v>
      </c>
      <c r="B242">
        <v>26</v>
      </c>
      <c r="C242">
        <v>20</v>
      </c>
      <c r="D242">
        <v>6</v>
      </c>
      <c r="E242">
        <v>6.66</v>
      </c>
      <c r="F242">
        <v>1934</v>
      </c>
      <c r="G242">
        <v>715</v>
      </c>
      <c r="H242">
        <v>1515</v>
      </c>
      <c r="I242">
        <v>286</v>
      </c>
      <c r="J242">
        <v>406</v>
      </c>
      <c r="K242">
        <v>238</v>
      </c>
      <c r="L242">
        <v>859</v>
      </c>
      <c r="M242">
        <v>349</v>
      </c>
      <c r="N242">
        <v>194</v>
      </c>
      <c r="O242">
        <v>94</v>
      </c>
      <c r="P242">
        <v>297</v>
      </c>
      <c r="Q242">
        <v>407</v>
      </c>
      <c r="R242">
        <v>241</v>
      </c>
    </row>
    <row r="243" spans="1:18">
      <c r="A243" s="1" t="s">
        <v>187</v>
      </c>
      <c r="B243">
        <v>18</v>
      </c>
      <c r="C243">
        <v>9</v>
      </c>
      <c r="D243">
        <v>9</v>
      </c>
      <c r="E243">
        <v>4.1900000000000004</v>
      </c>
      <c r="F243">
        <v>1256</v>
      </c>
      <c r="G243">
        <v>479</v>
      </c>
      <c r="H243">
        <v>1093</v>
      </c>
      <c r="I243">
        <v>205</v>
      </c>
      <c r="J243">
        <v>302</v>
      </c>
      <c r="K243">
        <v>182</v>
      </c>
      <c r="L243">
        <v>622</v>
      </c>
      <c r="M243">
        <v>233</v>
      </c>
      <c r="N243">
        <v>116</v>
      </c>
      <c r="O243">
        <v>61</v>
      </c>
      <c r="P243">
        <v>215</v>
      </c>
      <c r="Q243">
        <v>335</v>
      </c>
      <c r="R243">
        <v>242</v>
      </c>
    </row>
    <row r="244" spans="1:18">
      <c r="A244" s="1" t="s">
        <v>188</v>
      </c>
      <c r="B244">
        <v>25</v>
      </c>
      <c r="C244">
        <v>11</v>
      </c>
      <c r="D244">
        <v>14</v>
      </c>
      <c r="E244">
        <v>15.09</v>
      </c>
      <c r="F244">
        <v>1816</v>
      </c>
      <c r="G244">
        <v>637</v>
      </c>
      <c r="H244">
        <v>1562</v>
      </c>
      <c r="I244">
        <v>321</v>
      </c>
      <c r="J244">
        <v>435</v>
      </c>
      <c r="K244">
        <v>305</v>
      </c>
      <c r="L244">
        <v>913</v>
      </c>
      <c r="M244">
        <v>335</v>
      </c>
      <c r="N244">
        <v>198</v>
      </c>
      <c r="O244">
        <v>59</v>
      </c>
      <c r="P244">
        <v>286</v>
      </c>
      <c r="Q244">
        <v>446</v>
      </c>
      <c r="R244">
        <v>243</v>
      </c>
    </row>
    <row r="245" spans="1:18">
      <c r="A245" s="1" t="s">
        <v>289</v>
      </c>
      <c r="B245">
        <v>0</v>
      </c>
      <c r="C245">
        <v>0</v>
      </c>
      <c r="D245">
        <v>0</v>
      </c>
      <c r="R245">
        <v>244</v>
      </c>
    </row>
    <row r="246" spans="1:18">
      <c r="A246" s="1" t="s">
        <v>290</v>
      </c>
      <c r="B246">
        <v>24</v>
      </c>
      <c r="C246">
        <v>12</v>
      </c>
      <c r="D246">
        <v>12</v>
      </c>
      <c r="E246">
        <v>5.07</v>
      </c>
      <c r="F246">
        <v>1830</v>
      </c>
      <c r="G246">
        <v>650</v>
      </c>
      <c r="H246">
        <v>1425</v>
      </c>
      <c r="I246">
        <v>362</v>
      </c>
      <c r="J246">
        <v>464</v>
      </c>
      <c r="K246">
        <v>193</v>
      </c>
      <c r="L246">
        <v>834</v>
      </c>
      <c r="M246">
        <v>381</v>
      </c>
      <c r="N246">
        <v>151</v>
      </c>
      <c r="O246">
        <v>70</v>
      </c>
      <c r="P246">
        <v>319</v>
      </c>
      <c r="Q246">
        <v>462</v>
      </c>
      <c r="R246">
        <v>245</v>
      </c>
    </row>
    <row r="247" spans="1:18">
      <c r="A247" s="1" t="s">
        <v>189</v>
      </c>
      <c r="B247">
        <v>22</v>
      </c>
      <c r="C247">
        <v>10</v>
      </c>
      <c r="D247">
        <v>12</v>
      </c>
      <c r="E247">
        <v>7.73</v>
      </c>
      <c r="F247">
        <v>1566</v>
      </c>
      <c r="G247">
        <v>554</v>
      </c>
      <c r="H247">
        <v>1283</v>
      </c>
      <c r="I247">
        <v>314</v>
      </c>
      <c r="J247">
        <v>473</v>
      </c>
      <c r="K247">
        <v>279</v>
      </c>
      <c r="L247">
        <v>843</v>
      </c>
      <c r="M247">
        <v>321</v>
      </c>
      <c r="N247">
        <v>133</v>
      </c>
      <c r="O247">
        <v>83</v>
      </c>
      <c r="P247">
        <v>277</v>
      </c>
      <c r="Q247">
        <v>381</v>
      </c>
      <c r="R247">
        <v>246</v>
      </c>
    </row>
    <row r="248" spans="1:18">
      <c r="A248" s="1" t="s">
        <v>190</v>
      </c>
      <c r="B248">
        <v>22</v>
      </c>
      <c r="C248">
        <v>9</v>
      </c>
      <c r="D248">
        <v>13</v>
      </c>
      <c r="E248">
        <v>-6.22</v>
      </c>
      <c r="F248">
        <v>1512</v>
      </c>
      <c r="G248">
        <v>532</v>
      </c>
      <c r="H248">
        <v>1335</v>
      </c>
      <c r="I248">
        <v>296</v>
      </c>
      <c r="J248">
        <v>437</v>
      </c>
      <c r="K248">
        <v>287</v>
      </c>
      <c r="L248">
        <v>832</v>
      </c>
      <c r="M248">
        <v>247</v>
      </c>
      <c r="N248">
        <v>182</v>
      </c>
      <c r="O248">
        <v>66</v>
      </c>
      <c r="P248">
        <v>305</v>
      </c>
      <c r="Q248">
        <v>443</v>
      </c>
      <c r="R248">
        <v>247</v>
      </c>
    </row>
    <row r="249" spans="1:18">
      <c r="A249" s="1" t="s">
        <v>191</v>
      </c>
      <c r="B249">
        <v>21</v>
      </c>
      <c r="C249">
        <v>6</v>
      </c>
      <c r="D249">
        <v>15</v>
      </c>
      <c r="E249">
        <v>3.67</v>
      </c>
      <c r="F249">
        <v>1459</v>
      </c>
      <c r="G249">
        <v>488</v>
      </c>
      <c r="H249">
        <v>1187</v>
      </c>
      <c r="I249">
        <v>330</v>
      </c>
      <c r="J249">
        <v>426</v>
      </c>
      <c r="K249">
        <v>138</v>
      </c>
      <c r="L249">
        <v>600</v>
      </c>
      <c r="M249">
        <v>250</v>
      </c>
      <c r="N249">
        <v>132</v>
      </c>
      <c r="O249">
        <v>61</v>
      </c>
      <c r="P249">
        <v>292</v>
      </c>
      <c r="Q249">
        <v>340</v>
      </c>
      <c r="R249">
        <v>248</v>
      </c>
    </row>
    <row r="250" spans="1:18">
      <c r="A250" s="1" t="s">
        <v>192</v>
      </c>
      <c r="B250">
        <v>21</v>
      </c>
      <c r="C250">
        <v>16</v>
      </c>
      <c r="D250">
        <v>5</v>
      </c>
      <c r="E250">
        <v>-15.54</v>
      </c>
      <c r="F250">
        <v>1497</v>
      </c>
      <c r="G250">
        <v>567</v>
      </c>
      <c r="H250">
        <v>1265</v>
      </c>
      <c r="I250">
        <v>224</v>
      </c>
      <c r="J250">
        <v>342</v>
      </c>
      <c r="K250">
        <v>235</v>
      </c>
      <c r="L250">
        <v>739</v>
      </c>
      <c r="M250">
        <v>333</v>
      </c>
      <c r="N250">
        <v>202</v>
      </c>
      <c r="O250">
        <v>89</v>
      </c>
      <c r="P250">
        <v>288</v>
      </c>
      <c r="Q250">
        <v>433</v>
      </c>
      <c r="R250">
        <v>249</v>
      </c>
    </row>
    <row r="251" spans="1:18">
      <c r="A251" s="1" t="s">
        <v>350</v>
      </c>
      <c r="B251">
        <v>22</v>
      </c>
      <c r="C251">
        <v>7</v>
      </c>
      <c r="D251">
        <v>15</v>
      </c>
      <c r="E251">
        <v>-8.4600000000000009</v>
      </c>
      <c r="F251">
        <v>1411</v>
      </c>
      <c r="G251">
        <v>499</v>
      </c>
      <c r="H251">
        <v>1199</v>
      </c>
      <c r="I251">
        <v>285</v>
      </c>
      <c r="J251">
        <v>416</v>
      </c>
      <c r="K251">
        <v>248</v>
      </c>
      <c r="L251">
        <v>739</v>
      </c>
      <c r="M251">
        <v>235</v>
      </c>
      <c r="N251">
        <v>154</v>
      </c>
      <c r="O251">
        <v>49</v>
      </c>
      <c r="P251">
        <v>334</v>
      </c>
      <c r="Q251">
        <v>440</v>
      </c>
      <c r="R251">
        <v>250</v>
      </c>
    </row>
    <row r="252" spans="1:18">
      <c r="A252" s="1" t="s">
        <v>193</v>
      </c>
      <c r="B252">
        <v>0</v>
      </c>
      <c r="C252">
        <v>0</v>
      </c>
      <c r="D252">
        <v>0</v>
      </c>
      <c r="R252">
        <v>251</v>
      </c>
    </row>
    <row r="253" spans="1:18">
      <c r="A253" s="1" t="s">
        <v>194</v>
      </c>
      <c r="B253">
        <v>26</v>
      </c>
      <c r="C253">
        <v>13</v>
      </c>
      <c r="D253">
        <v>13</v>
      </c>
      <c r="E253">
        <v>9.81</v>
      </c>
      <c r="F253">
        <v>1816</v>
      </c>
      <c r="G253">
        <v>657</v>
      </c>
      <c r="H253">
        <v>1529</v>
      </c>
      <c r="I253">
        <v>338</v>
      </c>
      <c r="J253">
        <v>483</v>
      </c>
      <c r="K253">
        <v>275</v>
      </c>
      <c r="L253">
        <v>928</v>
      </c>
      <c r="M253">
        <v>350</v>
      </c>
      <c r="N253">
        <v>147</v>
      </c>
      <c r="O253">
        <v>78</v>
      </c>
      <c r="P253">
        <v>306</v>
      </c>
      <c r="Q253">
        <v>441</v>
      </c>
      <c r="R253">
        <v>252</v>
      </c>
    </row>
    <row r="254" spans="1:18">
      <c r="A254" s="1" t="s">
        <v>291</v>
      </c>
      <c r="B254">
        <v>27</v>
      </c>
      <c r="C254">
        <v>18</v>
      </c>
      <c r="D254">
        <v>9</v>
      </c>
      <c r="E254">
        <v>12.47</v>
      </c>
      <c r="F254">
        <v>1920</v>
      </c>
      <c r="G254">
        <v>689</v>
      </c>
      <c r="H254">
        <v>1527</v>
      </c>
      <c r="I254">
        <v>350</v>
      </c>
      <c r="J254">
        <v>492</v>
      </c>
      <c r="K254">
        <v>294</v>
      </c>
      <c r="L254">
        <v>1015</v>
      </c>
      <c r="M254">
        <v>386</v>
      </c>
      <c r="N254">
        <v>140</v>
      </c>
      <c r="O254">
        <v>92</v>
      </c>
      <c r="P254">
        <v>339</v>
      </c>
      <c r="Q254">
        <v>473</v>
      </c>
      <c r="R254">
        <v>253</v>
      </c>
    </row>
    <row r="255" spans="1:18">
      <c r="A255" s="1" t="s">
        <v>195</v>
      </c>
      <c r="B255">
        <v>22</v>
      </c>
      <c r="C255">
        <v>9</v>
      </c>
      <c r="D255">
        <v>13</v>
      </c>
      <c r="E255">
        <v>-6.82</v>
      </c>
      <c r="F255">
        <v>1485</v>
      </c>
      <c r="G255">
        <v>505</v>
      </c>
      <c r="H255">
        <v>1258</v>
      </c>
      <c r="I255">
        <v>306</v>
      </c>
      <c r="J255">
        <v>445</v>
      </c>
      <c r="K255">
        <v>170</v>
      </c>
      <c r="L255">
        <v>793</v>
      </c>
      <c r="M255">
        <v>279</v>
      </c>
      <c r="N255">
        <v>123</v>
      </c>
      <c r="O255">
        <v>100</v>
      </c>
      <c r="P255">
        <v>313</v>
      </c>
      <c r="Q255">
        <v>420</v>
      </c>
      <c r="R255">
        <v>254</v>
      </c>
    </row>
    <row r="256" spans="1:18">
      <c r="A256" s="1" t="s">
        <v>196</v>
      </c>
      <c r="B256">
        <v>27</v>
      </c>
      <c r="C256">
        <v>15</v>
      </c>
      <c r="D256">
        <v>12</v>
      </c>
      <c r="E256">
        <v>-6</v>
      </c>
      <c r="F256">
        <v>1826</v>
      </c>
      <c r="G256">
        <v>644</v>
      </c>
      <c r="H256">
        <v>1408</v>
      </c>
      <c r="I256">
        <v>380</v>
      </c>
      <c r="J256">
        <v>558</v>
      </c>
      <c r="K256">
        <v>297</v>
      </c>
      <c r="L256">
        <v>999</v>
      </c>
      <c r="M256">
        <v>301</v>
      </c>
      <c r="N256">
        <v>164</v>
      </c>
      <c r="O256">
        <v>48</v>
      </c>
      <c r="P256">
        <v>403</v>
      </c>
      <c r="Q256">
        <v>424</v>
      </c>
      <c r="R256">
        <v>255</v>
      </c>
    </row>
    <row r="257" spans="1:18">
      <c r="A257" s="1" t="s">
        <v>197</v>
      </c>
      <c r="B257">
        <v>25</v>
      </c>
      <c r="C257">
        <v>10</v>
      </c>
      <c r="D257">
        <v>15</v>
      </c>
      <c r="E257">
        <v>5.72</v>
      </c>
      <c r="F257">
        <v>1786</v>
      </c>
      <c r="G257">
        <v>635</v>
      </c>
      <c r="H257">
        <v>1436</v>
      </c>
      <c r="I257">
        <v>373</v>
      </c>
      <c r="J257">
        <v>558</v>
      </c>
      <c r="K257">
        <v>266</v>
      </c>
      <c r="L257">
        <v>962</v>
      </c>
      <c r="M257">
        <v>303</v>
      </c>
      <c r="N257">
        <v>164</v>
      </c>
      <c r="O257">
        <v>114</v>
      </c>
      <c r="P257">
        <v>353</v>
      </c>
      <c r="Q257">
        <v>444</v>
      </c>
      <c r="R257">
        <v>256</v>
      </c>
    </row>
    <row r="258" spans="1:18">
      <c r="A258" s="1" t="s">
        <v>198</v>
      </c>
      <c r="B258">
        <v>28</v>
      </c>
      <c r="C258">
        <v>15</v>
      </c>
      <c r="D258">
        <v>13</v>
      </c>
      <c r="E258">
        <v>-1.52</v>
      </c>
      <c r="F258">
        <v>2068</v>
      </c>
      <c r="G258">
        <v>731</v>
      </c>
      <c r="H258">
        <v>1660</v>
      </c>
      <c r="I258">
        <v>320</v>
      </c>
      <c r="J258">
        <v>438</v>
      </c>
      <c r="K258">
        <v>264</v>
      </c>
      <c r="L258">
        <v>1036</v>
      </c>
      <c r="M258">
        <v>424</v>
      </c>
      <c r="N258">
        <v>153</v>
      </c>
      <c r="O258">
        <v>60</v>
      </c>
      <c r="P258">
        <v>423</v>
      </c>
      <c r="Q258">
        <v>388</v>
      </c>
      <c r="R258">
        <v>257</v>
      </c>
    </row>
    <row r="259" spans="1:18">
      <c r="A259" s="1" t="s">
        <v>199</v>
      </c>
      <c r="B259">
        <v>21</v>
      </c>
      <c r="C259">
        <v>13</v>
      </c>
      <c r="D259">
        <v>8</v>
      </c>
      <c r="E259">
        <v>5.55</v>
      </c>
      <c r="F259">
        <v>1574</v>
      </c>
      <c r="G259">
        <v>575</v>
      </c>
      <c r="H259">
        <v>1213</v>
      </c>
      <c r="I259">
        <v>268</v>
      </c>
      <c r="J259">
        <v>367</v>
      </c>
      <c r="K259">
        <v>135</v>
      </c>
      <c r="L259">
        <v>635</v>
      </c>
      <c r="M259">
        <v>305</v>
      </c>
      <c r="N259">
        <v>186</v>
      </c>
      <c r="O259">
        <v>44</v>
      </c>
      <c r="P259">
        <v>222</v>
      </c>
      <c r="Q259">
        <v>320</v>
      </c>
      <c r="R259">
        <v>258</v>
      </c>
    </row>
    <row r="260" spans="1:18">
      <c r="A260" s="1" t="s">
        <v>200</v>
      </c>
      <c r="B260">
        <v>23</v>
      </c>
      <c r="C260">
        <v>6</v>
      </c>
      <c r="D260">
        <v>17</v>
      </c>
      <c r="E260">
        <v>-5.07</v>
      </c>
      <c r="F260">
        <v>1553</v>
      </c>
      <c r="G260">
        <v>564</v>
      </c>
      <c r="H260">
        <v>1318</v>
      </c>
      <c r="I260">
        <v>280</v>
      </c>
      <c r="J260">
        <v>382</v>
      </c>
      <c r="K260">
        <v>206</v>
      </c>
      <c r="L260">
        <v>765</v>
      </c>
      <c r="M260">
        <v>284</v>
      </c>
      <c r="N260">
        <v>117</v>
      </c>
      <c r="O260">
        <v>47</v>
      </c>
      <c r="P260">
        <v>291</v>
      </c>
      <c r="Q260">
        <v>431</v>
      </c>
      <c r="R260">
        <v>259</v>
      </c>
    </row>
    <row r="261" spans="1:18">
      <c r="A261" s="1" t="s">
        <v>201</v>
      </c>
      <c r="B261">
        <v>19</v>
      </c>
      <c r="C261">
        <v>4</v>
      </c>
      <c r="D261">
        <v>15</v>
      </c>
      <c r="E261">
        <v>-4.7</v>
      </c>
      <c r="F261">
        <v>1374</v>
      </c>
      <c r="G261">
        <v>518</v>
      </c>
      <c r="H261">
        <v>1169</v>
      </c>
      <c r="I261">
        <v>196</v>
      </c>
      <c r="J261">
        <v>299</v>
      </c>
      <c r="K261">
        <v>207</v>
      </c>
      <c r="L261">
        <v>646</v>
      </c>
      <c r="M261">
        <v>299</v>
      </c>
      <c r="N261">
        <v>124</v>
      </c>
      <c r="O261">
        <v>57</v>
      </c>
      <c r="P261">
        <v>254</v>
      </c>
      <c r="Q261">
        <v>348</v>
      </c>
      <c r="R261">
        <v>260</v>
      </c>
    </row>
    <row r="262" spans="1:18">
      <c r="A262" s="1" t="s">
        <v>202</v>
      </c>
      <c r="B262">
        <v>26</v>
      </c>
      <c r="C262">
        <v>15</v>
      </c>
      <c r="D262">
        <v>11</v>
      </c>
      <c r="E262">
        <v>13.45</v>
      </c>
      <c r="F262">
        <v>1819</v>
      </c>
      <c r="G262">
        <v>696</v>
      </c>
      <c r="H262">
        <v>1544</v>
      </c>
      <c r="I262">
        <v>270</v>
      </c>
      <c r="J262">
        <v>427</v>
      </c>
      <c r="K262">
        <v>254</v>
      </c>
      <c r="L262">
        <v>918</v>
      </c>
      <c r="M262">
        <v>359</v>
      </c>
      <c r="N262">
        <v>203</v>
      </c>
      <c r="O262">
        <v>136</v>
      </c>
      <c r="P262">
        <v>294</v>
      </c>
      <c r="Q262">
        <v>459</v>
      </c>
      <c r="R262">
        <v>261</v>
      </c>
    </row>
    <row r="263" spans="1:18">
      <c r="A263" s="1" t="s">
        <v>203</v>
      </c>
      <c r="B263">
        <v>20</v>
      </c>
      <c r="C263">
        <v>8</v>
      </c>
      <c r="D263">
        <v>12</v>
      </c>
      <c r="E263">
        <v>-4.97</v>
      </c>
      <c r="F263">
        <v>1443</v>
      </c>
      <c r="G263">
        <v>531</v>
      </c>
      <c r="H263">
        <v>1157</v>
      </c>
      <c r="I263">
        <v>248</v>
      </c>
      <c r="J263">
        <v>365</v>
      </c>
      <c r="K263">
        <v>187</v>
      </c>
      <c r="L263">
        <v>627</v>
      </c>
      <c r="M263">
        <v>255</v>
      </c>
      <c r="N263">
        <v>138</v>
      </c>
      <c r="O263">
        <v>45</v>
      </c>
      <c r="P263">
        <v>202</v>
      </c>
      <c r="Q263">
        <v>356</v>
      </c>
      <c r="R263">
        <v>262</v>
      </c>
    </row>
    <row r="264" spans="1:18">
      <c r="A264" s="1" t="s">
        <v>204</v>
      </c>
      <c r="B264">
        <v>18</v>
      </c>
      <c r="C264">
        <v>9</v>
      </c>
      <c r="D264">
        <v>9</v>
      </c>
      <c r="E264">
        <v>-5.51</v>
      </c>
      <c r="F264">
        <v>1265</v>
      </c>
      <c r="G264">
        <v>431</v>
      </c>
      <c r="H264">
        <v>1046</v>
      </c>
      <c r="I264">
        <v>260</v>
      </c>
      <c r="J264">
        <v>351</v>
      </c>
      <c r="K264">
        <v>195</v>
      </c>
      <c r="L264">
        <v>647</v>
      </c>
      <c r="M264">
        <v>241</v>
      </c>
      <c r="N264">
        <v>88</v>
      </c>
      <c r="O264">
        <v>38</v>
      </c>
      <c r="P264">
        <v>233</v>
      </c>
      <c r="Q264">
        <v>299</v>
      </c>
      <c r="R264">
        <v>263</v>
      </c>
    </row>
    <row r="265" spans="1:18">
      <c r="A265" s="1" t="s">
        <v>205</v>
      </c>
      <c r="B265">
        <v>22</v>
      </c>
      <c r="C265">
        <v>6</v>
      </c>
      <c r="D265">
        <v>16</v>
      </c>
      <c r="E265">
        <v>-3.97</v>
      </c>
      <c r="F265">
        <v>1515</v>
      </c>
      <c r="G265">
        <v>541</v>
      </c>
      <c r="H265">
        <v>1266</v>
      </c>
      <c r="I265">
        <v>304</v>
      </c>
      <c r="J265">
        <v>426</v>
      </c>
      <c r="K265">
        <v>228</v>
      </c>
      <c r="L265">
        <v>779</v>
      </c>
      <c r="M265">
        <v>282</v>
      </c>
      <c r="N265">
        <v>127</v>
      </c>
      <c r="O265">
        <v>47</v>
      </c>
      <c r="P265">
        <v>312</v>
      </c>
      <c r="Q265">
        <v>378</v>
      </c>
      <c r="R265">
        <v>264</v>
      </c>
    </row>
    <row r="266" spans="1:18">
      <c r="A266" s="1" t="s">
        <v>206</v>
      </c>
      <c r="B266">
        <v>20</v>
      </c>
      <c r="C266">
        <v>5</v>
      </c>
      <c r="D266">
        <v>15</v>
      </c>
      <c r="E266">
        <v>6.91</v>
      </c>
      <c r="F266">
        <v>1443</v>
      </c>
      <c r="G266">
        <v>506</v>
      </c>
      <c r="H266">
        <v>1238</v>
      </c>
      <c r="I266">
        <v>240</v>
      </c>
      <c r="J266">
        <v>331</v>
      </c>
      <c r="K266">
        <v>165</v>
      </c>
      <c r="L266">
        <v>675</v>
      </c>
      <c r="M266">
        <v>287</v>
      </c>
      <c r="N266">
        <v>120</v>
      </c>
      <c r="O266">
        <v>36</v>
      </c>
      <c r="P266">
        <v>281</v>
      </c>
      <c r="Q266">
        <v>358</v>
      </c>
      <c r="R266">
        <v>265</v>
      </c>
    </row>
    <row r="267" spans="1:18">
      <c r="A267" s="1" t="s">
        <v>292</v>
      </c>
      <c r="B267">
        <v>20</v>
      </c>
      <c r="C267">
        <v>14</v>
      </c>
      <c r="D267">
        <v>6</v>
      </c>
      <c r="E267">
        <v>2.6</v>
      </c>
      <c r="F267">
        <v>1507</v>
      </c>
      <c r="G267">
        <v>559</v>
      </c>
      <c r="H267">
        <v>1205</v>
      </c>
      <c r="I267">
        <v>258</v>
      </c>
      <c r="J267">
        <v>367</v>
      </c>
      <c r="K267">
        <v>249</v>
      </c>
      <c r="L267">
        <v>774</v>
      </c>
      <c r="M267">
        <v>353</v>
      </c>
      <c r="N267">
        <v>141</v>
      </c>
      <c r="O267">
        <v>63</v>
      </c>
      <c r="P267">
        <v>241</v>
      </c>
      <c r="Q267">
        <v>341</v>
      </c>
      <c r="R267">
        <v>266</v>
      </c>
    </row>
    <row r="268" spans="1:18">
      <c r="A268" s="1" t="s">
        <v>207</v>
      </c>
      <c r="B268">
        <v>23</v>
      </c>
      <c r="C268">
        <v>14</v>
      </c>
      <c r="D268">
        <v>9</v>
      </c>
      <c r="E268">
        <v>5.69</v>
      </c>
      <c r="F268">
        <v>1475</v>
      </c>
      <c r="G268">
        <v>538</v>
      </c>
      <c r="H268">
        <v>1279</v>
      </c>
      <c r="I268">
        <v>258</v>
      </c>
      <c r="J268">
        <v>354</v>
      </c>
      <c r="K268">
        <v>198</v>
      </c>
      <c r="L268">
        <v>792</v>
      </c>
      <c r="M268">
        <v>241</v>
      </c>
      <c r="N268">
        <v>142</v>
      </c>
      <c r="O268">
        <v>72</v>
      </c>
      <c r="P268">
        <v>260</v>
      </c>
      <c r="Q268">
        <v>387</v>
      </c>
      <c r="R268">
        <v>267</v>
      </c>
    </row>
    <row r="269" spans="1:18">
      <c r="A269" s="1" t="s">
        <v>208</v>
      </c>
      <c r="B269">
        <v>25</v>
      </c>
      <c r="C269">
        <v>14</v>
      </c>
      <c r="D269">
        <v>11</v>
      </c>
      <c r="E269">
        <v>-6.38</v>
      </c>
      <c r="F269">
        <v>1580</v>
      </c>
      <c r="G269">
        <v>555</v>
      </c>
      <c r="H269">
        <v>1386</v>
      </c>
      <c r="I269">
        <v>316</v>
      </c>
      <c r="J269">
        <v>453</v>
      </c>
      <c r="K269">
        <v>275</v>
      </c>
      <c r="L269">
        <v>926</v>
      </c>
      <c r="M269">
        <v>293</v>
      </c>
      <c r="N269">
        <v>201</v>
      </c>
      <c r="O269">
        <v>133</v>
      </c>
      <c r="P269">
        <v>371</v>
      </c>
      <c r="Q269">
        <v>500</v>
      </c>
      <c r="R269">
        <v>268</v>
      </c>
    </row>
    <row r="270" spans="1:18">
      <c r="A270" s="1" t="s">
        <v>209</v>
      </c>
      <c r="B270">
        <v>28</v>
      </c>
      <c r="C270">
        <v>19</v>
      </c>
      <c r="D270">
        <v>9</v>
      </c>
      <c r="E270">
        <v>-5.0199999999999996</v>
      </c>
      <c r="F270">
        <v>2229</v>
      </c>
      <c r="G270">
        <v>797</v>
      </c>
      <c r="H270">
        <v>1758</v>
      </c>
      <c r="I270">
        <v>380</v>
      </c>
      <c r="J270">
        <v>549</v>
      </c>
      <c r="K270">
        <v>320</v>
      </c>
      <c r="L270">
        <v>1033</v>
      </c>
      <c r="M270">
        <v>435</v>
      </c>
      <c r="N270">
        <v>237</v>
      </c>
      <c r="O270">
        <v>88</v>
      </c>
      <c r="P270">
        <v>402</v>
      </c>
      <c r="Q270">
        <v>565</v>
      </c>
      <c r="R270">
        <v>269</v>
      </c>
    </row>
    <row r="271" spans="1:18">
      <c r="A271" s="1" t="s">
        <v>293</v>
      </c>
      <c r="B271">
        <v>19</v>
      </c>
      <c r="C271">
        <v>6</v>
      </c>
      <c r="D271">
        <v>13</v>
      </c>
      <c r="E271">
        <v>-1.24</v>
      </c>
      <c r="F271">
        <v>1460</v>
      </c>
      <c r="G271">
        <v>541</v>
      </c>
      <c r="H271">
        <v>1218</v>
      </c>
      <c r="I271">
        <v>227</v>
      </c>
      <c r="J271">
        <v>331</v>
      </c>
      <c r="K271">
        <v>222</v>
      </c>
      <c r="L271">
        <v>755</v>
      </c>
      <c r="M271">
        <v>283</v>
      </c>
      <c r="N271">
        <v>129</v>
      </c>
      <c r="O271">
        <v>47</v>
      </c>
      <c r="P271">
        <v>308</v>
      </c>
      <c r="Q271">
        <v>397</v>
      </c>
      <c r="R271">
        <v>270</v>
      </c>
    </row>
    <row r="272" spans="1:18">
      <c r="A272" s="1" t="s">
        <v>210</v>
      </c>
      <c r="B272">
        <v>27</v>
      </c>
      <c r="C272">
        <v>23</v>
      </c>
      <c r="D272">
        <v>4</v>
      </c>
      <c r="E272">
        <v>2.2000000000000002</v>
      </c>
      <c r="F272">
        <v>2000</v>
      </c>
      <c r="G272">
        <v>695</v>
      </c>
      <c r="H272">
        <v>1529</v>
      </c>
      <c r="I272">
        <v>381</v>
      </c>
      <c r="J272">
        <v>527</v>
      </c>
      <c r="K272">
        <v>262</v>
      </c>
      <c r="L272">
        <v>970</v>
      </c>
      <c r="M272">
        <v>374</v>
      </c>
      <c r="N272">
        <v>223</v>
      </c>
      <c r="O272">
        <v>77</v>
      </c>
      <c r="P272">
        <v>305</v>
      </c>
      <c r="Q272">
        <v>501</v>
      </c>
      <c r="R272">
        <v>271</v>
      </c>
    </row>
    <row r="273" spans="1:18">
      <c r="A273" s="1" t="s">
        <v>211</v>
      </c>
      <c r="B273">
        <v>14</v>
      </c>
      <c r="C273">
        <v>3</v>
      </c>
      <c r="D273">
        <v>11</v>
      </c>
      <c r="E273">
        <v>4.3600000000000003</v>
      </c>
      <c r="F273">
        <v>927</v>
      </c>
      <c r="G273">
        <v>352</v>
      </c>
      <c r="H273">
        <v>847</v>
      </c>
      <c r="I273">
        <v>141</v>
      </c>
      <c r="J273">
        <v>217</v>
      </c>
      <c r="K273">
        <v>112</v>
      </c>
      <c r="L273">
        <v>469</v>
      </c>
      <c r="M273">
        <v>185</v>
      </c>
      <c r="N273">
        <v>94</v>
      </c>
      <c r="O273">
        <v>48</v>
      </c>
      <c r="P273">
        <v>185</v>
      </c>
      <c r="Q273">
        <v>252</v>
      </c>
      <c r="R273">
        <v>272</v>
      </c>
    </row>
    <row r="274" spans="1:18">
      <c r="A274" s="1" t="s">
        <v>212</v>
      </c>
      <c r="B274">
        <v>25</v>
      </c>
      <c r="C274">
        <v>11</v>
      </c>
      <c r="D274">
        <v>14</v>
      </c>
      <c r="E274">
        <v>3</v>
      </c>
      <c r="F274">
        <v>1786</v>
      </c>
      <c r="G274">
        <v>647</v>
      </c>
      <c r="H274">
        <v>1514</v>
      </c>
      <c r="I274">
        <v>233</v>
      </c>
      <c r="J274">
        <v>325</v>
      </c>
      <c r="K274">
        <v>226</v>
      </c>
      <c r="L274">
        <v>833</v>
      </c>
      <c r="M274">
        <v>295</v>
      </c>
      <c r="N274">
        <v>179</v>
      </c>
      <c r="O274">
        <v>81</v>
      </c>
      <c r="P274">
        <v>292</v>
      </c>
      <c r="Q274">
        <v>483</v>
      </c>
      <c r="R274">
        <v>273</v>
      </c>
    </row>
    <row r="275" spans="1:18">
      <c r="A275" s="1" t="s">
        <v>213</v>
      </c>
      <c r="B275">
        <v>21</v>
      </c>
      <c r="C275">
        <v>5</v>
      </c>
      <c r="D275">
        <v>16</v>
      </c>
      <c r="E275">
        <v>0.98</v>
      </c>
      <c r="F275">
        <v>1381</v>
      </c>
      <c r="G275">
        <v>493</v>
      </c>
      <c r="H275">
        <v>1257</v>
      </c>
      <c r="I275">
        <v>238</v>
      </c>
      <c r="J275">
        <v>364</v>
      </c>
      <c r="K275">
        <v>173</v>
      </c>
      <c r="L275">
        <v>722</v>
      </c>
      <c r="M275">
        <v>213</v>
      </c>
      <c r="N275">
        <v>99</v>
      </c>
      <c r="O275">
        <v>57</v>
      </c>
      <c r="P275">
        <v>265</v>
      </c>
      <c r="Q275">
        <v>349</v>
      </c>
      <c r="R275">
        <v>274</v>
      </c>
    </row>
    <row r="276" spans="1:18">
      <c r="A276" s="1" t="s">
        <v>214</v>
      </c>
      <c r="B276">
        <v>20</v>
      </c>
      <c r="C276">
        <v>12</v>
      </c>
      <c r="D276">
        <v>8</v>
      </c>
      <c r="E276">
        <v>0.95</v>
      </c>
      <c r="F276">
        <v>1393</v>
      </c>
      <c r="G276">
        <v>486</v>
      </c>
      <c r="H276">
        <v>1121</v>
      </c>
      <c r="I276">
        <v>311</v>
      </c>
      <c r="J276">
        <v>455</v>
      </c>
      <c r="K276">
        <v>164</v>
      </c>
      <c r="L276">
        <v>729</v>
      </c>
      <c r="M276">
        <v>240</v>
      </c>
      <c r="N276">
        <v>88</v>
      </c>
      <c r="O276">
        <v>78</v>
      </c>
      <c r="P276">
        <v>260</v>
      </c>
      <c r="Q276">
        <v>357</v>
      </c>
      <c r="R276">
        <v>275</v>
      </c>
    </row>
    <row r="277" spans="1:18">
      <c r="A277" s="1" t="s">
        <v>358</v>
      </c>
      <c r="B277">
        <v>23</v>
      </c>
      <c r="C277">
        <v>12</v>
      </c>
      <c r="D277">
        <v>11</v>
      </c>
      <c r="E277">
        <v>-4.92</v>
      </c>
      <c r="F277">
        <v>1677</v>
      </c>
      <c r="G277">
        <v>593</v>
      </c>
      <c r="H277">
        <v>1426</v>
      </c>
      <c r="I277">
        <v>305</v>
      </c>
      <c r="J277">
        <v>416</v>
      </c>
      <c r="K277">
        <v>238</v>
      </c>
      <c r="L277">
        <v>776</v>
      </c>
      <c r="M277">
        <v>264</v>
      </c>
      <c r="N277">
        <v>151</v>
      </c>
      <c r="O277">
        <v>80</v>
      </c>
      <c r="P277">
        <v>246</v>
      </c>
      <c r="Q277">
        <v>435</v>
      </c>
      <c r="R277">
        <v>276</v>
      </c>
    </row>
    <row r="278" spans="1:18">
      <c r="A278" s="1" t="s">
        <v>294</v>
      </c>
      <c r="B278">
        <v>27</v>
      </c>
      <c r="C278">
        <v>14</v>
      </c>
      <c r="D278">
        <v>13</v>
      </c>
      <c r="E278">
        <v>10.45</v>
      </c>
      <c r="F278">
        <v>1924</v>
      </c>
      <c r="G278">
        <v>673</v>
      </c>
      <c r="H278">
        <v>1525</v>
      </c>
      <c r="I278">
        <v>398</v>
      </c>
      <c r="J278">
        <v>544</v>
      </c>
      <c r="K278">
        <v>276</v>
      </c>
      <c r="L278">
        <v>941</v>
      </c>
      <c r="M278">
        <v>347</v>
      </c>
      <c r="N278">
        <v>170</v>
      </c>
      <c r="O278">
        <v>118</v>
      </c>
      <c r="P278">
        <v>350</v>
      </c>
      <c r="Q278">
        <v>442</v>
      </c>
      <c r="R278">
        <v>277</v>
      </c>
    </row>
    <row r="279" spans="1:18">
      <c r="A279" s="1" t="s">
        <v>215</v>
      </c>
      <c r="B279">
        <v>17</v>
      </c>
      <c r="C279">
        <v>12</v>
      </c>
      <c r="D279">
        <v>5</v>
      </c>
      <c r="E279">
        <v>-7.88</v>
      </c>
      <c r="F279">
        <v>1149</v>
      </c>
      <c r="G279">
        <v>411</v>
      </c>
      <c r="H279">
        <v>894</v>
      </c>
      <c r="I279">
        <v>219</v>
      </c>
      <c r="J279">
        <v>333</v>
      </c>
      <c r="K279">
        <v>152</v>
      </c>
      <c r="L279">
        <v>594</v>
      </c>
      <c r="M279">
        <v>215</v>
      </c>
      <c r="N279">
        <v>94</v>
      </c>
      <c r="O279">
        <v>56</v>
      </c>
      <c r="P279">
        <v>219</v>
      </c>
      <c r="Q279">
        <v>264</v>
      </c>
      <c r="R279">
        <v>278</v>
      </c>
    </row>
    <row r="280" spans="1:18">
      <c r="A280" s="1" t="s">
        <v>216</v>
      </c>
      <c r="B280">
        <v>28</v>
      </c>
      <c r="C280">
        <v>17</v>
      </c>
      <c r="D280">
        <v>11</v>
      </c>
      <c r="E280">
        <v>-5.49</v>
      </c>
      <c r="F280">
        <v>2075</v>
      </c>
      <c r="G280">
        <v>715</v>
      </c>
      <c r="H280">
        <v>1621</v>
      </c>
      <c r="I280">
        <v>389</v>
      </c>
      <c r="J280">
        <v>542</v>
      </c>
      <c r="K280">
        <v>269</v>
      </c>
      <c r="L280">
        <v>996</v>
      </c>
      <c r="M280">
        <v>314</v>
      </c>
      <c r="N280">
        <v>200</v>
      </c>
      <c r="O280">
        <v>91</v>
      </c>
      <c r="P280">
        <v>333</v>
      </c>
      <c r="Q280">
        <v>434</v>
      </c>
      <c r="R280">
        <v>279</v>
      </c>
    </row>
    <row r="281" spans="1:18">
      <c r="A281" s="1" t="s">
        <v>295</v>
      </c>
      <c r="B281">
        <v>18</v>
      </c>
      <c r="C281">
        <v>1</v>
      </c>
      <c r="D281">
        <v>17</v>
      </c>
      <c r="E281">
        <v>-7.03</v>
      </c>
      <c r="F281">
        <v>1102</v>
      </c>
      <c r="G281">
        <v>401</v>
      </c>
      <c r="H281">
        <v>1033</v>
      </c>
      <c r="I281">
        <v>177</v>
      </c>
      <c r="J281">
        <v>285</v>
      </c>
      <c r="K281">
        <v>175</v>
      </c>
      <c r="L281">
        <v>563</v>
      </c>
      <c r="M281">
        <v>178</v>
      </c>
      <c r="N281">
        <v>106</v>
      </c>
      <c r="O281">
        <v>50</v>
      </c>
      <c r="P281">
        <v>312</v>
      </c>
      <c r="Q281">
        <v>334</v>
      </c>
      <c r="R281">
        <v>280</v>
      </c>
    </row>
    <row r="282" spans="1:18">
      <c r="A282" s="1" t="s">
        <v>351</v>
      </c>
      <c r="B282">
        <v>23</v>
      </c>
      <c r="C282">
        <v>5</v>
      </c>
      <c r="D282">
        <v>18</v>
      </c>
      <c r="E282">
        <v>-4.63</v>
      </c>
      <c r="F282">
        <v>1515</v>
      </c>
      <c r="G282">
        <v>538</v>
      </c>
      <c r="H282">
        <v>1269</v>
      </c>
      <c r="I282">
        <v>268</v>
      </c>
      <c r="J282">
        <v>372</v>
      </c>
      <c r="K282">
        <v>186</v>
      </c>
      <c r="L282">
        <v>717</v>
      </c>
      <c r="M282">
        <v>276</v>
      </c>
      <c r="N282">
        <v>143</v>
      </c>
      <c r="O282">
        <v>57</v>
      </c>
      <c r="P282">
        <v>325</v>
      </c>
      <c r="Q282">
        <v>426</v>
      </c>
      <c r="R282">
        <v>281</v>
      </c>
    </row>
    <row r="283" spans="1:18">
      <c r="A283" s="1" t="s">
        <v>217</v>
      </c>
      <c r="B283">
        <v>21</v>
      </c>
      <c r="C283">
        <v>6</v>
      </c>
      <c r="D283">
        <v>15</v>
      </c>
      <c r="E283">
        <v>10.41</v>
      </c>
      <c r="F283">
        <v>1523</v>
      </c>
      <c r="G283">
        <v>566</v>
      </c>
      <c r="H283">
        <v>1364</v>
      </c>
      <c r="I283">
        <v>249</v>
      </c>
      <c r="J283">
        <v>381</v>
      </c>
      <c r="K283">
        <v>268</v>
      </c>
      <c r="L283">
        <v>755</v>
      </c>
      <c r="M283">
        <v>280</v>
      </c>
      <c r="N283">
        <v>176</v>
      </c>
      <c r="O283">
        <v>77</v>
      </c>
      <c r="P283">
        <v>313</v>
      </c>
      <c r="Q283">
        <v>401</v>
      </c>
      <c r="R283">
        <v>282</v>
      </c>
    </row>
    <row r="284" spans="1:18">
      <c r="A284" s="1" t="s">
        <v>341</v>
      </c>
      <c r="B284">
        <v>23</v>
      </c>
      <c r="C284">
        <v>16</v>
      </c>
      <c r="D284">
        <v>7</v>
      </c>
      <c r="E284">
        <v>-2.69</v>
      </c>
      <c r="F284">
        <v>1850</v>
      </c>
      <c r="G284">
        <v>655</v>
      </c>
      <c r="H284">
        <v>1315</v>
      </c>
      <c r="I284">
        <v>355</v>
      </c>
      <c r="J284">
        <v>496</v>
      </c>
      <c r="K284">
        <v>178</v>
      </c>
      <c r="L284">
        <v>822</v>
      </c>
      <c r="M284">
        <v>327</v>
      </c>
      <c r="N284">
        <v>127</v>
      </c>
      <c r="O284">
        <v>71</v>
      </c>
      <c r="P284">
        <v>283</v>
      </c>
      <c r="Q284">
        <v>370</v>
      </c>
      <c r="R284">
        <v>283</v>
      </c>
    </row>
    <row r="285" spans="1:18">
      <c r="A285" s="1" t="s">
        <v>359</v>
      </c>
      <c r="B285">
        <v>25</v>
      </c>
      <c r="C285">
        <v>14</v>
      </c>
      <c r="D285">
        <v>11</v>
      </c>
      <c r="E285">
        <v>-4.0599999999999996</v>
      </c>
      <c r="F285">
        <v>1899</v>
      </c>
      <c r="G285">
        <v>674</v>
      </c>
      <c r="H285">
        <v>1438</v>
      </c>
      <c r="I285">
        <v>365</v>
      </c>
      <c r="J285">
        <v>468</v>
      </c>
      <c r="K285">
        <v>180</v>
      </c>
      <c r="L285">
        <v>870</v>
      </c>
      <c r="M285">
        <v>349</v>
      </c>
      <c r="N285">
        <v>114</v>
      </c>
      <c r="O285">
        <v>61</v>
      </c>
      <c r="P285">
        <v>268</v>
      </c>
      <c r="Q285">
        <v>467</v>
      </c>
      <c r="R285">
        <v>284</v>
      </c>
    </row>
    <row r="286" spans="1:18">
      <c r="A286" s="1" t="s">
        <v>218</v>
      </c>
      <c r="B286">
        <v>22</v>
      </c>
      <c r="C286">
        <v>9</v>
      </c>
      <c r="D286">
        <v>13</v>
      </c>
      <c r="E286">
        <v>6.39</v>
      </c>
      <c r="F286">
        <v>1449</v>
      </c>
      <c r="G286">
        <v>516</v>
      </c>
      <c r="H286">
        <v>1277</v>
      </c>
      <c r="I286">
        <v>279</v>
      </c>
      <c r="J286">
        <v>438</v>
      </c>
      <c r="K286">
        <v>275</v>
      </c>
      <c r="L286">
        <v>831</v>
      </c>
      <c r="M286">
        <v>251</v>
      </c>
      <c r="N286">
        <v>116</v>
      </c>
      <c r="O286">
        <v>62</v>
      </c>
      <c r="P286">
        <v>308</v>
      </c>
      <c r="Q286">
        <v>378</v>
      </c>
      <c r="R286">
        <v>285</v>
      </c>
    </row>
    <row r="287" spans="1:18">
      <c r="A287" s="1" t="s">
        <v>296</v>
      </c>
      <c r="B287">
        <v>27</v>
      </c>
      <c r="C287">
        <v>11</v>
      </c>
      <c r="D287">
        <v>16</v>
      </c>
      <c r="E287">
        <v>-7.16</v>
      </c>
      <c r="F287">
        <v>1864</v>
      </c>
      <c r="G287">
        <v>630</v>
      </c>
      <c r="H287">
        <v>1468</v>
      </c>
      <c r="I287">
        <v>399</v>
      </c>
      <c r="J287">
        <v>595</v>
      </c>
      <c r="K287">
        <v>258</v>
      </c>
      <c r="L287">
        <v>949</v>
      </c>
      <c r="M287">
        <v>374</v>
      </c>
      <c r="N287">
        <v>185</v>
      </c>
      <c r="O287">
        <v>64</v>
      </c>
      <c r="P287">
        <v>415</v>
      </c>
      <c r="Q287">
        <v>513</v>
      </c>
      <c r="R287">
        <v>286</v>
      </c>
    </row>
    <row r="288" spans="1:18">
      <c r="A288" s="1" t="s">
        <v>219</v>
      </c>
      <c r="B288">
        <v>26</v>
      </c>
      <c r="C288">
        <v>8</v>
      </c>
      <c r="D288">
        <v>18</v>
      </c>
      <c r="E288">
        <v>-8.24</v>
      </c>
      <c r="F288">
        <v>1775</v>
      </c>
      <c r="G288">
        <v>591</v>
      </c>
      <c r="H288">
        <v>1498</v>
      </c>
      <c r="I288">
        <v>416</v>
      </c>
      <c r="J288">
        <v>614</v>
      </c>
      <c r="K288">
        <v>314</v>
      </c>
      <c r="L288">
        <v>887</v>
      </c>
      <c r="M288">
        <v>261</v>
      </c>
      <c r="N288">
        <v>180</v>
      </c>
      <c r="O288">
        <v>64</v>
      </c>
      <c r="P288">
        <v>414</v>
      </c>
      <c r="Q288">
        <v>509</v>
      </c>
      <c r="R288">
        <v>287</v>
      </c>
    </row>
    <row r="289" spans="1:18">
      <c r="A289" s="1" t="s">
        <v>220</v>
      </c>
      <c r="B289">
        <v>29</v>
      </c>
      <c r="C289">
        <v>22</v>
      </c>
      <c r="D289">
        <v>7</v>
      </c>
      <c r="E289">
        <v>7.61</v>
      </c>
      <c r="F289">
        <v>2168</v>
      </c>
      <c r="G289">
        <v>788</v>
      </c>
      <c r="H289">
        <v>1687</v>
      </c>
      <c r="I289">
        <v>409</v>
      </c>
      <c r="J289">
        <v>632</v>
      </c>
      <c r="K289">
        <v>354</v>
      </c>
      <c r="L289">
        <v>1145</v>
      </c>
      <c r="M289">
        <v>396</v>
      </c>
      <c r="N289">
        <v>139</v>
      </c>
      <c r="O289">
        <v>153</v>
      </c>
      <c r="P289">
        <v>361</v>
      </c>
      <c r="Q289">
        <v>450</v>
      </c>
      <c r="R289">
        <v>288</v>
      </c>
    </row>
    <row r="290" spans="1:18">
      <c r="A290" s="1" t="s">
        <v>355</v>
      </c>
      <c r="B290">
        <v>26</v>
      </c>
      <c r="C290">
        <v>9</v>
      </c>
      <c r="D290">
        <v>17</v>
      </c>
      <c r="E290">
        <v>-5.61</v>
      </c>
      <c r="F290">
        <v>1709</v>
      </c>
      <c r="G290">
        <v>619</v>
      </c>
      <c r="H290">
        <v>1403</v>
      </c>
      <c r="I290">
        <v>315</v>
      </c>
      <c r="J290">
        <v>463</v>
      </c>
      <c r="K290">
        <v>226</v>
      </c>
      <c r="L290">
        <v>852</v>
      </c>
      <c r="M290">
        <v>337</v>
      </c>
      <c r="N290">
        <v>153</v>
      </c>
      <c r="O290">
        <v>121</v>
      </c>
      <c r="P290">
        <v>413</v>
      </c>
      <c r="Q290">
        <v>438</v>
      </c>
      <c r="R290">
        <v>289</v>
      </c>
    </row>
    <row r="291" spans="1:18">
      <c r="A291" s="1" t="s">
        <v>221</v>
      </c>
      <c r="B291">
        <v>26</v>
      </c>
      <c r="C291">
        <v>12</v>
      </c>
      <c r="D291">
        <v>14</v>
      </c>
      <c r="E291">
        <v>0.8</v>
      </c>
      <c r="F291">
        <v>1704</v>
      </c>
      <c r="G291">
        <v>614</v>
      </c>
      <c r="H291">
        <v>1362</v>
      </c>
      <c r="I291">
        <v>266</v>
      </c>
      <c r="J291">
        <v>400</v>
      </c>
      <c r="K291">
        <v>139</v>
      </c>
      <c r="L291">
        <v>772</v>
      </c>
      <c r="M291">
        <v>352</v>
      </c>
      <c r="N291">
        <v>160</v>
      </c>
      <c r="O291">
        <v>48</v>
      </c>
      <c r="P291">
        <v>311</v>
      </c>
      <c r="Q291">
        <v>370</v>
      </c>
      <c r="R291">
        <v>290</v>
      </c>
    </row>
    <row r="292" spans="1:18">
      <c r="A292" s="1" t="s">
        <v>222</v>
      </c>
      <c r="B292">
        <v>16</v>
      </c>
      <c r="C292">
        <v>11</v>
      </c>
      <c r="D292">
        <v>5</v>
      </c>
      <c r="E292">
        <v>4.1399999999999997</v>
      </c>
      <c r="F292">
        <v>1185</v>
      </c>
      <c r="G292">
        <v>425</v>
      </c>
      <c r="H292">
        <v>943</v>
      </c>
      <c r="I292">
        <v>215</v>
      </c>
      <c r="J292">
        <v>295</v>
      </c>
      <c r="K292">
        <v>170</v>
      </c>
      <c r="L292">
        <v>596</v>
      </c>
      <c r="M292">
        <v>241</v>
      </c>
      <c r="N292">
        <v>99</v>
      </c>
      <c r="O292">
        <v>72</v>
      </c>
      <c r="P292">
        <v>228</v>
      </c>
      <c r="Q292">
        <v>278</v>
      </c>
      <c r="R292">
        <v>291</v>
      </c>
    </row>
    <row r="293" spans="1:18">
      <c r="A293" s="1" t="s">
        <v>223</v>
      </c>
      <c r="B293">
        <v>25</v>
      </c>
      <c r="C293">
        <v>8</v>
      </c>
      <c r="D293">
        <v>17</v>
      </c>
      <c r="E293">
        <v>-2.1</v>
      </c>
      <c r="F293">
        <v>1605</v>
      </c>
      <c r="G293">
        <v>603</v>
      </c>
      <c r="H293">
        <v>1396</v>
      </c>
      <c r="I293">
        <v>265</v>
      </c>
      <c r="J293">
        <v>392</v>
      </c>
      <c r="K293">
        <v>208</v>
      </c>
      <c r="L293">
        <v>878</v>
      </c>
      <c r="M293">
        <v>302</v>
      </c>
      <c r="N293">
        <v>148</v>
      </c>
      <c r="O293">
        <v>52</v>
      </c>
      <c r="P293">
        <v>352</v>
      </c>
      <c r="Q293">
        <v>398</v>
      </c>
      <c r="R293">
        <v>292</v>
      </c>
    </row>
    <row r="294" spans="1:18">
      <c r="A294" s="1" t="s">
        <v>224</v>
      </c>
      <c r="B294">
        <v>24</v>
      </c>
      <c r="C294">
        <v>20</v>
      </c>
      <c r="D294">
        <v>4</v>
      </c>
      <c r="E294">
        <v>-7.02</v>
      </c>
      <c r="F294">
        <v>2021</v>
      </c>
      <c r="G294">
        <v>699</v>
      </c>
      <c r="H294">
        <v>1475</v>
      </c>
      <c r="I294">
        <v>412</v>
      </c>
      <c r="J294">
        <v>551</v>
      </c>
      <c r="K294">
        <v>263</v>
      </c>
      <c r="L294">
        <v>946</v>
      </c>
      <c r="M294">
        <v>338</v>
      </c>
      <c r="N294">
        <v>168</v>
      </c>
      <c r="O294">
        <v>63</v>
      </c>
      <c r="P294">
        <v>290</v>
      </c>
      <c r="Q294">
        <v>405</v>
      </c>
      <c r="R294">
        <v>293</v>
      </c>
    </row>
    <row r="295" spans="1:18">
      <c r="A295" s="1" t="s">
        <v>225</v>
      </c>
      <c r="B295">
        <v>19</v>
      </c>
      <c r="C295">
        <v>8</v>
      </c>
      <c r="D295">
        <v>11</v>
      </c>
      <c r="E295">
        <v>-13.28</v>
      </c>
      <c r="F295">
        <v>1327</v>
      </c>
      <c r="G295">
        <v>465</v>
      </c>
      <c r="H295">
        <v>1077</v>
      </c>
      <c r="I295">
        <v>293</v>
      </c>
      <c r="J295">
        <v>436</v>
      </c>
      <c r="K295">
        <v>184</v>
      </c>
      <c r="L295">
        <v>690</v>
      </c>
      <c r="M295">
        <v>267</v>
      </c>
      <c r="N295">
        <v>155</v>
      </c>
      <c r="O295">
        <v>49</v>
      </c>
      <c r="P295">
        <v>309</v>
      </c>
      <c r="Q295">
        <v>391</v>
      </c>
      <c r="R295">
        <v>294</v>
      </c>
    </row>
    <row r="296" spans="1:18">
      <c r="A296" s="1" t="s">
        <v>297</v>
      </c>
      <c r="B296">
        <v>20</v>
      </c>
      <c r="C296">
        <v>16</v>
      </c>
      <c r="D296">
        <v>4</v>
      </c>
      <c r="E296">
        <v>5</v>
      </c>
      <c r="F296">
        <v>1410</v>
      </c>
      <c r="G296">
        <v>521</v>
      </c>
      <c r="H296">
        <v>1161</v>
      </c>
      <c r="I296">
        <v>237</v>
      </c>
      <c r="J296">
        <v>323</v>
      </c>
      <c r="K296">
        <v>229</v>
      </c>
      <c r="L296">
        <v>745</v>
      </c>
      <c r="M296">
        <v>296</v>
      </c>
      <c r="N296">
        <v>120</v>
      </c>
      <c r="O296">
        <v>78</v>
      </c>
      <c r="P296">
        <v>221</v>
      </c>
      <c r="Q296">
        <v>305</v>
      </c>
      <c r="R296">
        <v>295</v>
      </c>
    </row>
    <row r="297" spans="1:18">
      <c r="A297" s="1" t="s">
        <v>226</v>
      </c>
      <c r="B297">
        <v>19</v>
      </c>
      <c r="C297">
        <v>9</v>
      </c>
      <c r="D297">
        <v>10</v>
      </c>
      <c r="E297">
        <v>-6.42</v>
      </c>
      <c r="F297">
        <v>1476</v>
      </c>
      <c r="G297">
        <v>542</v>
      </c>
      <c r="H297">
        <v>1215</v>
      </c>
      <c r="I297">
        <v>274</v>
      </c>
      <c r="J297">
        <v>373</v>
      </c>
      <c r="K297">
        <v>216</v>
      </c>
      <c r="L297">
        <v>688</v>
      </c>
      <c r="M297">
        <v>271</v>
      </c>
      <c r="N297">
        <v>153</v>
      </c>
      <c r="O297">
        <v>66</v>
      </c>
      <c r="P297">
        <v>229</v>
      </c>
      <c r="Q297">
        <v>383</v>
      </c>
      <c r="R297">
        <v>296</v>
      </c>
    </row>
    <row r="298" spans="1:18">
      <c r="A298" s="1" t="s">
        <v>298</v>
      </c>
      <c r="B298">
        <v>27</v>
      </c>
      <c r="C298">
        <v>16</v>
      </c>
      <c r="D298">
        <v>11</v>
      </c>
      <c r="E298">
        <v>8.0500000000000007</v>
      </c>
      <c r="F298">
        <v>2132</v>
      </c>
      <c r="G298">
        <v>779</v>
      </c>
      <c r="H298">
        <v>1744</v>
      </c>
      <c r="I298">
        <v>374</v>
      </c>
      <c r="J298">
        <v>499</v>
      </c>
      <c r="K298">
        <v>302</v>
      </c>
      <c r="L298">
        <v>971</v>
      </c>
      <c r="M298">
        <v>440</v>
      </c>
      <c r="N298">
        <v>246</v>
      </c>
      <c r="O298">
        <v>105</v>
      </c>
      <c r="P298">
        <v>340</v>
      </c>
      <c r="Q298">
        <v>492</v>
      </c>
      <c r="R298">
        <v>297</v>
      </c>
    </row>
    <row r="299" spans="1:18">
      <c r="A299" s="1" t="s">
        <v>342</v>
      </c>
      <c r="B299">
        <v>27</v>
      </c>
      <c r="C299">
        <v>14</v>
      </c>
      <c r="D299">
        <v>13</v>
      </c>
      <c r="E299">
        <v>7.96</v>
      </c>
      <c r="F299">
        <v>1883</v>
      </c>
      <c r="G299">
        <v>678</v>
      </c>
      <c r="H299">
        <v>1461</v>
      </c>
      <c r="I299">
        <v>382</v>
      </c>
      <c r="J299">
        <v>533</v>
      </c>
      <c r="K299">
        <v>209</v>
      </c>
      <c r="L299">
        <v>905</v>
      </c>
      <c r="M299">
        <v>332</v>
      </c>
      <c r="N299">
        <v>191</v>
      </c>
      <c r="O299">
        <v>92</v>
      </c>
      <c r="P299">
        <v>403</v>
      </c>
      <c r="Q299">
        <v>448</v>
      </c>
      <c r="R299">
        <v>298</v>
      </c>
    </row>
    <row r="300" spans="1:18">
      <c r="A300" s="1" t="s">
        <v>227</v>
      </c>
      <c r="B300">
        <v>21</v>
      </c>
      <c r="C300">
        <v>16</v>
      </c>
      <c r="D300">
        <v>5</v>
      </c>
      <c r="E300">
        <v>-8.7100000000000009</v>
      </c>
      <c r="F300">
        <v>1686</v>
      </c>
      <c r="G300">
        <v>622</v>
      </c>
      <c r="H300">
        <v>1195</v>
      </c>
      <c r="I300">
        <v>342</v>
      </c>
      <c r="J300">
        <v>503</v>
      </c>
      <c r="K300">
        <v>243</v>
      </c>
      <c r="L300">
        <v>749</v>
      </c>
      <c r="M300">
        <v>331</v>
      </c>
      <c r="N300">
        <v>199</v>
      </c>
      <c r="O300">
        <v>73</v>
      </c>
      <c r="P300">
        <v>348</v>
      </c>
      <c r="Q300">
        <v>419</v>
      </c>
      <c r="R300">
        <v>299</v>
      </c>
    </row>
    <row r="301" spans="1:18">
      <c r="A301" s="1" t="s">
        <v>228</v>
      </c>
      <c r="B301">
        <v>25</v>
      </c>
      <c r="C301">
        <v>11</v>
      </c>
      <c r="D301">
        <v>14</v>
      </c>
      <c r="E301">
        <v>-4.57</v>
      </c>
      <c r="F301">
        <v>1800</v>
      </c>
      <c r="G301">
        <v>642</v>
      </c>
      <c r="H301">
        <v>1470</v>
      </c>
      <c r="I301">
        <v>280</v>
      </c>
      <c r="J301">
        <v>401</v>
      </c>
      <c r="K301">
        <v>259</v>
      </c>
      <c r="L301">
        <v>870</v>
      </c>
      <c r="M301">
        <v>351</v>
      </c>
      <c r="N301">
        <v>178</v>
      </c>
      <c r="O301">
        <v>68</v>
      </c>
      <c r="P301">
        <v>331</v>
      </c>
      <c r="Q301">
        <v>404</v>
      </c>
      <c r="R301">
        <v>300</v>
      </c>
    </row>
    <row r="302" spans="1:18">
      <c r="A302" s="1" t="s">
        <v>229</v>
      </c>
      <c r="B302">
        <v>23</v>
      </c>
      <c r="C302">
        <v>9</v>
      </c>
      <c r="D302">
        <v>14</v>
      </c>
      <c r="E302">
        <v>-3.86</v>
      </c>
      <c r="F302">
        <v>1522</v>
      </c>
      <c r="G302">
        <v>543</v>
      </c>
      <c r="H302">
        <v>1318</v>
      </c>
      <c r="I302">
        <v>296</v>
      </c>
      <c r="J302">
        <v>434</v>
      </c>
      <c r="K302">
        <v>262</v>
      </c>
      <c r="L302">
        <v>875</v>
      </c>
      <c r="M302">
        <v>278</v>
      </c>
      <c r="N302">
        <v>129</v>
      </c>
      <c r="O302">
        <v>114</v>
      </c>
      <c r="P302">
        <v>318</v>
      </c>
      <c r="Q302">
        <v>387</v>
      </c>
      <c r="R302">
        <v>301</v>
      </c>
    </row>
    <row r="303" spans="1:18">
      <c r="A303" s="1" t="s">
        <v>313</v>
      </c>
      <c r="B303">
        <v>25</v>
      </c>
      <c r="C303">
        <v>16</v>
      </c>
      <c r="D303">
        <v>9</v>
      </c>
      <c r="E303">
        <v>8.6300000000000008</v>
      </c>
      <c r="F303">
        <v>1896</v>
      </c>
      <c r="G303">
        <v>676</v>
      </c>
      <c r="H303">
        <v>1534</v>
      </c>
      <c r="I303">
        <v>341</v>
      </c>
      <c r="J303">
        <v>435</v>
      </c>
      <c r="K303">
        <v>273</v>
      </c>
      <c r="L303">
        <v>897</v>
      </c>
      <c r="M303">
        <v>382</v>
      </c>
      <c r="N303">
        <v>218</v>
      </c>
      <c r="O303">
        <v>123</v>
      </c>
      <c r="P303">
        <v>279</v>
      </c>
      <c r="Q303">
        <v>363</v>
      </c>
      <c r="R303">
        <v>302</v>
      </c>
    </row>
    <row r="304" spans="1:18">
      <c r="A304" s="1" t="s">
        <v>378</v>
      </c>
      <c r="B304">
        <v>20</v>
      </c>
      <c r="C304">
        <v>10</v>
      </c>
      <c r="D304">
        <v>10</v>
      </c>
      <c r="E304">
        <v>-3.91</v>
      </c>
      <c r="F304">
        <v>1467</v>
      </c>
      <c r="G304">
        <v>530</v>
      </c>
      <c r="H304">
        <v>1129</v>
      </c>
      <c r="I304">
        <v>297</v>
      </c>
      <c r="J304">
        <v>412</v>
      </c>
      <c r="K304">
        <v>170</v>
      </c>
      <c r="L304">
        <v>639</v>
      </c>
      <c r="M304">
        <v>294</v>
      </c>
      <c r="N304">
        <v>209</v>
      </c>
      <c r="O304">
        <v>53</v>
      </c>
      <c r="P304">
        <v>231</v>
      </c>
      <c r="Q304">
        <v>391</v>
      </c>
      <c r="R304">
        <v>303</v>
      </c>
    </row>
    <row r="305" spans="1:18">
      <c r="A305" s="1" t="s">
        <v>314</v>
      </c>
      <c r="B305">
        <v>16</v>
      </c>
      <c r="C305">
        <v>5</v>
      </c>
      <c r="D305">
        <v>11</v>
      </c>
      <c r="E305">
        <v>5.77</v>
      </c>
      <c r="F305">
        <v>1053</v>
      </c>
      <c r="G305">
        <v>348</v>
      </c>
      <c r="H305">
        <v>868</v>
      </c>
      <c r="I305">
        <v>242</v>
      </c>
      <c r="J305">
        <v>338</v>
      </c>
      <c r="K305">
        <v>148</v>
      </c>
      <c r="L305">
        <v>580</v>
      </c>
      <c r="M305">
        <v>214</v>
      </c>
      <c r="N305">
        <v>67</v>
      </c>
      <c r="O305">
        <v>39</v>
      </c>
      <c r="P305">
        <v>213</v>
      </c>
      <c r="Q305">
        <v>281</v>
      </c>
      <c r="R305">
        <v>304</v>
      </c>
    </row>
    <row r="306" spans="1:18">
      <c r="A306" s="1" t="s">
        <v>230</v>
      </c>
      <c r="B306">
        <v>24</v>
      </c>
      <c r="C306">
        <v>8</v>
      </c>
      <c r="D306">
        <v>16</v>
      </c>
      <c r="E306">
        <v>-5.49</v>
      </c>
      <c r="F306">
        <v>1571</v>
      </c>
      <c r="G306">
        <v>556</v>
      </c>
      <c r="H306">
        <v>1393</v>
      </c>
      <c r="I306">
        <v>294</v>
      </c>
      <c r="J306">
        <v>409</v>
      </c>
      <c r="K306">
        <v>260</v>
      </c>
      <c r="L306">
        <v>775</v>
      </c>
      <c r="M306">
        <v>289</v>
      </c>
      <c r="N306">
        <v>172</v>
      </c>
      <c r="O306">
        <v>62</v>
      </c>
      <c r="P306">
        <v>343</v>
      </c>
      <c r="Q306">
        <v>429</v>
      </c>
      <c r="R306">
        <v>305</v>
      </c>
    </row>
    <row r="307" spans="1:18">
      <c r="A307" s="1" t="s">
        <v>231</v>
      </c>
      <c r="B307">
        <v>23</v>
      </c>
      <c r="C307">
        <v>4</v>
      </c>
      <c r="D307">
        <v>19</v>
      </c>
      <c r="E307">
        <v>-6.79</v>
      </c>
      <c r="F307">
        <v>1573</v>
      </c>
      <c r="G307">
        <v>568</v>
      </c>
      <c r="H307">
        <v>1342</v>
      </c>
      <c r="I307">
        <v>299</v>
      </c>
      <c r="J307">
        <v>438</v>
      </c>
      <c r="K307">
        <v>215</v>
      </c>
      <c r="L307">
        <v>775</v>
      </c>
      <c r="M307">
        <v>268</v>
      </c>
      <c r="N307">
        <v>170</v>
      </c>
      <c r="O307">
        <v>73</v>
      </c>
      <c r="P307">
        <v>353</v>
      </c>
      <c r="Q307">
        <v>478</v>
      </c>
      <c r="R307">
        <v>306</v>
      </c>
    </row>
    <row r="308" spans="1:18">
      <c r="A308" s="1" t="s">
        <v>232</v>
      </c>
      <c r="B308">
        <v>27</v>
      </c>
      <c r="C308">
        <v>5</v>
      </c>
      <c r="D308">
        <v>22</v>
      </c>
      <c r="E308">
        <v>-3.34</v>
      </c>
      <c r="F308">
        <v>1797</v>
      </c>
      <c r="G308">
        <v>656</v>
      </c>
      <c r="H308">
        <v>1517</v>
      </c>
      <c r="I308">
        <v>277</v>
      </c>
      <c r="J308">
        <v>410</v>
      </c>
      <c r="K308">
        <v>245</v>
      </c>
      <c r="L308">
        <v>908</v>
      </c>
      <c r="M308">
        <v>380</v>
      </c>
      <c r="N308">
        <v>176</v>
      </c>
      <c r="O308">
        <v>62</v>
      </c>
      <c r="P308">
        <v>430</v>
      </c>
      <c r="Q308">
        <v>430</v>
      </c>
      <c r="R308">
        <v>307</v>
      </c>
    </row>
    <row r="309" spans="1:18">
      <c r="A309" s="1" t="s">
        <v>315</v>
      </c>
      <c r="B309">
        <v>26</v>
      </c>
      <c r="C309">
        <v>18</v>
      </c>
      <c r="D309">
        <v>8</v>
      </c>
      <c r="E309">
        <v>8.7899999999999991</v>
      </c>
      <c r="F309">
        <v>1885</v>
      </c>
      <c r="G309">
        <v>661</v>
      </c>
      <c r="H309">
        <v>1491</v>
      </c>
      <c r="I309">
        <v>390</v>
      </c>
      <c r="J309">
        <v>523</v>
      </c>
      <c r="K309">
        <v>281</v>
      </c>
      <c r="L309">
        <v>934</v>
      </c>
      <c r="M309">
        <v>391</v>
      </c>
      <c r="N309">
        <v>188</v>
      </c>
      <c r="O309">
        <v>128</v>
      </c>
      <c r="P309">
        <v>325</v>
      </c>
      <c r="Q309">
        <v>428</v>
      </c>
      <c r="R309">
        <v>308</v>
      </c>
    </row>
    <row r="310" spans="1:18">
      <c r="A310" s="1" t="s">
        <v>323</v>
      </c>
      <c r="B310">
        <v>24</v>
      </c>
      <c r="C310">
        <v>5</v>
      </c>
      <c r="D310">
        <v>19</v>
      </c>
      <c r="E310">
        <v>-6.29</v>
      </c>
      <c r="F310">
        <v>1554</v>
      </c>
      <c r="G310">
        <v>542</v>
      </c>
      <c r="H310">
        <v>1296</v>
      </c>
      <c r="I310">
        <v>317</v>
      </c>
      <c r="J310">
        <v>463</v>
      </c>
      <c r="K310">
        <v>206</v>
      </c>
      <c r="L310">
        <v>816</v>
      </c>
      <c r="M310">
        <v>308</v>
      </c>
      <c r="N310">
        <v>165</v>
      </c>
      <c r="O310">
        <v>74</v>
      </c>
      <c r="P310">
        <v>401</v>
      </c>
      <c r="Q310">
        <v>425</v>
      </c>
      <c r="R310">
        <v>309</v>
      </c>
    </row>
    <row r="311" spans="1:18">
      <c r="A311" s="1" t="s">
        <v>233</v>
      </c>
      <c r="B311">
        <v>18</v>
      </c>
      <c r="C311">
        <v>8</v>
      </c>
      <c r="D311">
        <v>10</v>
      </c>
      <c r="E311">
        <v>4.97</v>
      </c>
      <c r="F311">
        <v>1157</v>
      </c>
      <c r="G311">
        <v>401</v>
      </c>
      <c r="H311">
        <v>966</v>
      </c>
      <c r="I311">
        <v>238</v>
      </c>
      <c r="J311">
        <v>328</v>
      </c>
      <c r="K311">
        <v>198</v>
      </c>
      <c r="L311">
        <v>602</v>
      </c>
      <c r="M311">
        <v>218</v>
      </c>
      <c r="N311">
        <v>124</v>
      </c>
      <c r="O311">
        <v>34</v>
      </c>
      <c r="P311">
        <v>265</v>
      </c>
      <c r="Q311">
        <v>304</v>
      </c>
      <c r="R311">
        <v>310</v>
      </c>
    </row>
    <row r="312" spans="1:18">
      <c r="A312" s="1" t="s">
        <v>234</v>
      </c>
      <c r="B312">
        <v>26</v>
      </c>
      <c r="C312">
        <v>13</v>
      </c>
      <c r="D312">
        <v>13</v>
      </c>
      <c r="E312">
        <v>-4.55</v>
      </c>
      <c r="F312">
        <v>1916</v>
      </c>
      <c r="G312">
        <v>677</v>
      </c>
      <c r="H312">
        <v>1658</v>
      </c>
      <c r="I312">
        <v>327</v>
      </c>
      <c r="J312">
        <v>444</v>
      </c>
      <c r="K312">
        <v>303</v>
      </c>
      <c r="L312">
        <v>974</v>
      </c>
      <c r="M312">
        <v>353</v>
      </c>
      <c r="N312">
        <v>214</v>
      </c>
      <c r="O312">
        <v>122</v>
      </c>
      <c r="P312">
        <v>311</v>
      </c>
      <c r="Q312">
        <v>434</v>
      </c>
      <c r="R312">
        <v>311</v>
      </c>
    </row>
    <row r="313" spans="1:18">
      <c r="A313" s="1" t="s">
        <v>235</v>
      </c>
      <c r="B313">
        <v>26</v>
      </c>
      <c r="C313">
        <v>12</v>
      </c>
      <c r="D313">
        <v>14</v>
      </c>
      <c r="E313">
        <v>7.21</v>
      </c>
      <c r="F313">
        <v>1738</v>
      </c>
      <c r="G313">
        <v>625</v>
      </c>
      <c r="H313">
        <v>1428</v>
      </c>
      <c r="I313">
        <v>311</v>
      </c>
      <c r="J313">
        <v>463</v>
      </c>
      <c r="K313">
        <v>255</v>
      </c>
      <c r="L313">
        <v>900</v>
      </c>
      <c r="M313">
        <v>338</v>
      </c>
      <c r="N313">
        <v>157</v>
      </c>
      <c r="O313">
        <v>91</v>
      </c>
      <c r="P313">
        <v>369</v>
      </c>
      <c r="Q313">
        <v>407</v>
      </c>
      <c r="R313">
        <v>312</v>
      </c>
    </row>
    <row r="314" spans="1:18">
      <c r="A314" s="1" t="s">
        <v>236</v>
      </c>
      <c r="B314">
        <v>24</v>
      </c>
      <c r="C314">
        <v>12</v>
      </c>
      <c r="D314">
        <v>12</v>
      </c>
      <c r="E314">
        <v>1.0900000000000001</v>
      </c>
      <c r="F314">
        <v>1698</v>
      </c>
      <c r="G314">
        <v>608</v>
      </c>
      <c r="H314">
        <v>1432</v>
      </c>
      <c r="I314">
        <v>311</v>
      </c>
      <c r="J314">
        <v>416</v>
      </c>
      <c r="K314">
        <v>210</v>
      </c>
      <c r="L314">
        <v>828</v>
      </c>
      <c r="M314">
        <v>285</v>
      </c>
      <c r="N314">
        <v>150</v>
      </c>
      <c r="O314">
        <v>67</v>
      </c>
      <c r="P314">
        <v>262</v>
      </c>
      <c r="Q314">
        <v>421</v>
      </c>
      <c r="R314">
        <v>313</v>
      </c>
    </row>
    <row r="315" spans="1:18">
      <c r="A315" s="1" t="s">
        <v>237</v>
      </c>
      <c r="B315">
        <v>19</v>
      </c>
      <c r="C315">
        <v>9</v>
      </c>
      <c r="D315">
        <v>10</v>
      </c>
      <c r="E315">
        <v>-5.82</v>
      </c>
      <c r="F315">
        <v>1376</v>
      </c>
      <c r="G315">
        <v>476</v>
      </c>
      <c r="H315">
        <v>1164</v>
      </c>
      <c r="I315">
        <v>298</v>
      </c>
      <c r="J315">
        <v>468</v>
      </c>
      <c r="K315">
        <v>256</v>
      </c>
      <c r="L315">
        <v>743</v>
      </c>
      <c r="M315">
        <v>289</v>
      </c>
      <c r="N315">
        <v>169</v>
      </c>
      <c r="O315">
        <v>81</v>
      </c>
      <c r="P315">
        <v>281</v>
      </c>
      <c r="Q315">
        <v>409</v>
      </c>
      <c r="R315">
        <v>314</v>
      </c>
    </row>
    <row r="316" spans="1:18">
      <c r="A316" s="1" t="s">
        <v>238</v>
      </c>
      <c r="B316">
        <v>26</v>
      </c>
      <c r="C316">
        <v>15</v>
      </c>
      <c r="D316">
        <v>11</v>
      </c>
      <c r="E316">
        <v>-0.36</v>
      </c>
      <c r="F316">
        <v>2050</v>
      </c>
      <c r="G316">
        <v>768</v>
      </c>
      <c r="H316">
        <v>1717</v>
      </c>
      <c r="I316">
        <v>305</v>
      </c>
      <c r="J316">
        <v>401</v>
      </c>
      <c r="K316">
        <v>300</v>
      </c>
      <c r="L316">
        <v>1001</v>
      </c>
      <c r="M316">
        <v>383</v>
      </c>
      <c r="N316">
        <v>161</v>
      </c>
      <c r="O316">
        <v>83</v>
      </c>
      <c r="P316">
        <v>302</v>
      </c>
      <c r="Q316">
        <v>475</v>
      </c>
      <c r="R316">
        <v>315</v>
      </c>
    </row>
    <row r="317" spans="1:18">
      <c r="A317" s="1" t="s">
        <v>239</v>
      </c>
      <c r="B317">
        <v>24</v>
      </c>
      <c r="C317">
        <v>16</v>
      </c>
      <c r="D317">
        <v>8</v>
      </c>
      <c r="E317">
        <v>-10.96</v>
      </c>
      <c r="F317">
        <v>1795</v>
      </c>
      <c r="G317">
        <v>650</v>
      </c>
      <c r="H317">
        <v>1443</v>
      </c>
      <c r="I317">
        <v>385</v>
      </c>
      <c r="J317">
        <v>551</v>
      </c>
      <c r="K317">
        <v>294</v>
      </c>
      <c r="L317">
        <v>998</v>
      </c>
      <c r="M317">
        <v>298</v>
      </c>
      <c r="N317">
        <v>172</v>
      </c>
      <c r="O317">
        <v>111</v>
      </c>
      <c r="P317">
        <v>384</v>
      </c>
      <c r="Q317">
        <v>431</v>
      </c>
      <c r="R317">
        <v>316</v>
      </c>
    </row>
    <row r="318" spans="1:18">
      <c r="A318" s="1" t="s">
        <v>240</v>
      </c>
      <c r="B318">
        <v>25</v>
      </c>
      <c r="C318">
        <v>18</v>
      </c>
      <c r="D318">
        <v>7</v>
      </c>
      <c r="E318">
        <v>-7.45</v>
      </c>
      <c r="F318">
        <v>1660</v>
      </c>
      <c r="G318">
        <v>629</v>
      </c>
      <c r="H318">
        <v>1359</v>
      </c>
      <c r="I318">
        <v>263</v>
      </c>
      <c r="J318">
        <v>372</v>
      </c>
      <c r="K318">
        <v>231</v>
      </c>
      <c r="L318">
        <v>821</v>
      </c>
      <c r="M318">
        <v>331</v>
      </c>
      <c r="N318">
        <v>171</v>
      </c>
      <c r="O318">
        <v>73</v>
      </c>
      <c r="P318">
        <v>332</v>
      </c>
      <c r="Q318">
        <v>421</v>
      </c>
      <c r="R318">
        <v>317</v>
      </c>
    </row>
    <row r="319" spans="1:18">
      <c r="A319" s="1" t="s">
        <v>241</v>
      </c>
      <c r="B319">
        <v>27</v>
      </c>
      <c r="C319">
        <v>17</v>
      </c>
      <c r="D319">
        <v>10</v>
      </c>
      <c r="E319">
        <v>6.91</v>
      </c>
      <c r="F319">
        <v>1972</v>
      </c>
      <c r="G319">
        <v>686</v>
      </c>
      <c r="H319">
        <v>1549</v>
      </c>
      <c r="I319">
        <v>432</v>
      </c>
      <c r="J319">
        <v>608</v>
      </c>
      <c r="K319">
        <v>316</v>
      </c>
      <c r="L319">
        <v>948</v>
      </c>
      <c r="M319">
        <v>350</v>
      </c>
      <c r="N319">
        <v>196</v>
      </c>
      <c r="O319">
        <v>110</v>
      </c>
      <c r="P319">
        <v>296</v>
      </c>
      <c r="Q319">
        <v>469</v>
      </c>
      <c r="R319">
        <v>318</v>
      </c>
    </row>
    <row r="320" spans="1:18">
      <c r="A320" s="1" t="s">
        <v>362</v>
      </c>
      <c r="B320">
        <v>26</v>
      </c>
      <c r="C320">
        <v>19</v>
      </c>
      <c r="D320">
        <v>7</v>
      </c>
      <c r="E320">
        <v>9.81</v>
      </c>
      <c r="F320">
        <v>1956</v>
      </c>
      <c r="G320">
        <v>684</v>
      </c>
      <c r="H320">
        <v>1506</v>
      </c>
      <c r="I320">
        <v>363</v>
      </c>
      <c r="J320">
        <v>513</v>
      </c>
      <c r="K320">
        <v>286</v>
      </c>
      <c r="L320">
        <v>1005</v>
      </c>
      <c r="M320">
        <v>341</v>
      </c>
      <c r="N320">
        <v>170</v>
      </c>
      <c r="O320">
        <v>101</v>
      </c>
      <c r="P320">
        <v>370</v>
      </c>
      <c r="Q320">
        <v>515</v>
      </c>
      <c r="R320">
        <v>319</v>
      </c>
    </row>
    <row r="321" spans="1:18">
      <c r="A321" s="1" t="s">
        <v>242</v>
      </c>
      <c r="B321">
        <v>29</v>
      </c>
      <c r="C321">
        <v>21</v>
      </c>
      <c r="D321">
        <v>8</v>
      </c>
      <c r="E321">
        <v>-1.48</v>
      </c>
      <c r="F321">
        <v>2367</v>
      </c>
      <c r="G321">
        <v>829</v>
      </c>
      <c r="H321">
        <v>1811</v>
      </c>
      <c r="I321">
        <v>401</v>
      </c>
      <c r="J321">
        <v>515</v>
      </c>
      <c r="K321">
        <v>310</v>
      </c>
      <c r="L321">
        <v>1097</v>
      </c>
      <c r="M321">
        <v>465</v>
      </c>
      <c r="N321">
        <v>177</v>
      </c>
      <c r="O321">
        <v>71</v>
      </c>
      <c r="P321">
        <v>319</v>
      </c>
      <c r="Q321">
        <v>444</v>
      </c>
      <c r="R321">
        <v>320</v>
      </c>
    </row>
    <row r="322" spans="1:18">
      <c r="A322" s="1" t="s">
        <v>243</v>
      </c>
      <c r="B322">
        <v>18</v>
      </c>
      <c r="C322">
        <v>4</v>
      </c>
      <c r="D322">
        <v>14</v>
      </c>
      <c r="E322">
        <v>-1.52</v>
      </c>
      <c r="F322">
        <v>1214</v>
      </c>
      <c r="G322">
        <v>434</v>
      </c>
      <c r="H322">
        <v>1055</v>
      </c>
      <c r="I322">
        <v>256</v>
      </c>
      <c r="J322">
        <v>352</v>
      </c>
      <c r="K322">
        <v>225</v>
      </c>
      <c r="L322">
        <v>666</v>
      </c>
      <c r="M322">
        <v>170</v>
      </c>
      <c r="N322">
        <v>90</v>
      </c>
      <c r="O322">
        <v>50</v>
      </c>
      <c r="P322">
        <v>224</v>
      </c>
      <c r="Q322">
        <v>318</v>
      </c>
      <c r="R322">
        <v>321</v>
      </c>
    </row>
    <row r="323" spans="1:18">
      <c r="A323" s="1" t="s">
        <v>244</v>
      </c>
      <c r="B323">
        <v>28</v>
      </c>
      <c r="C323">
        <v>11</v>
      </c>
      <c r="D323">
        <v>17</v>
      </c>
      <c r="E323">
        <v>-3.63</v>
      </c>
      <c r="F323">
        <v>1829</v>
      </c>
      <c r="G323">
        <v>636</v>
      </c>
      <c r="H323">
        <v>1596</v>
      </c>
      <c r="I323">
        <v>386</v>
      </c>
      <c r="J323">
        <v>555</v>
      </c>
      <c r="K323">
        <v>302</v>
      </c>
      <c r="L323">
        <v>1056</v>
      </c>
      <c r="M323">
        <v>320</v>
      </c>
      <c r="N323">
        <v>175</v>
      </c>
      <c r="O323">
        <v>87</v>
      </c>
      <c r="P323">
        <v>417</v>
      </c>
      <c r="Q323">
        <v>480</v>
      </c>
      <c r="R323">
        <v>322</v>
      </c>
    </row>
    <row r="324" spans="1:18">
      <c r="A324" s="1" t="s">
        <v>245</v>
      </c>
      <c r="B324">
        <v>23</v>
      </c>
      <c r="C324">
        <v>10</v>
      </c>
      <c r="D324">
        <v>13</v>
      </c>
      <c r="E324">
        <v>3.6</v>
      </c>
      <c r="F324">
        <v>1470</v>
      </c>
      <c r="G324">
        <v>486</v>
      </c>
      <c r="H324">
        <v>1269</v>
      </c>
      <c r="I324">
        <v>347</v>
      </c>
      <c r="J324">
        <v>465</v>
      </c>
      <c r="K324">
        <v>191</v>
      </c>
      <c r="L324">
        <v>752</v>
      </c>
      <c r="M324">
        <v>269</v>
      </c>
      <c r="N324">
        <v>172</v>
      </c>
      <c r="O324">
        <v>71</v>
      </c>
      <c r="P324">
        <v>258</v>
      </c>
      <c r="Q324">
        <v>361</v>
      </c>
      <c r="R324">
        <v>323</v>
      </c>
    </row>
    <row r="325" spans="1:18">
      <c r="A325" s="1" t="s">
        <v>299</v>
      </c>
      <c r="B325">
        <v>23</v>
      </c>
      <c r="C325">
        <v>11</v>
      </c>
      <c r="D325">
        <v>12</v>
      </c>
      <c r="E325">
        <v>5.46</v>
      </c>
      <c r="F325">
        <v>1573</v>
      </c>
      <c r="G325">
        <v>566</v>
      </c>
      <c r="H325">
        <v>1262</v>
      </c>
      <c r="I325">
        <v>282</v>
      </c>
      <c r="J325">
        <v>416</v>
      </c>
      <c r="K325">
        <v>204</v>
      </c>
      <c r="L325">
        <v>781</v>
      </c>
      <c r="M325">
        <v>327</v>
      </c>
      <c r="N325">
        <v>146</v>
      </c>
      <c r="O325">
        <v>46</v>
      </c>
      <c r="P325">
        <v>307</v>
      </c>
      <c r="Q325">
        <v>379</v>
      </c>
      <c r="R325">
        <v>324</v>
      </c>
    </row>
    <row r="326" spans="1:18">
      <c r="A326" s="1" t="s">
        <v>324</v>
      </c>
      <c r="B326">
        <v>26</v>
      </c>
      <c r="C326">
        <v>17</v>
      </c>
      <c r="D326">
        <v>9</v>
      </c>
      <c r="E326">
        <v>8.06</v>
      </c>
      <c r="F326">
        <v>1894</v>
      </c>
      <c r="G326">
        <v>686</v>
      </c>
      <c r="H326">
        <v>1485</v>
      </c>
      <c r="I326">
        <v>349</v>
      </c>
      <c r="J326">
        <v>484</v>
      </c>
      <c r="K326">
        <v>257</v>
      </c>
      <c r="L326">
        <v>910</v>
      </c>
      <c r="M326">
        <v>354</v>
      </c>
      <c r="N326">
        <v>132</v>
      </c>
      <c r="O326">
        <v>69</v>
      </c>
      <c r="P326">
        <v>290</v>
      </c>
      <c r="Q326">
        <v>415</v>
      </c>
      <c r="R326">
        <v>325</v>
      </c>
    </row>
    <row r="327" spans="1:18">
      <c r="A327" s="1" t="s">
        <v>316</v>
      </c>
      <c r="B327">
        <v>28</v>
      </c>
      <c r="C327">
        <v>20</v>
      </c>
      <c r="D327">
        <v>8</v>
      </c>
      <c r="E327">
        <v>0.76</v>
      </c>
      <c r="F327">
        <v>2052</v>
      </c>
      <c r="G327">
        <v>751</v>
      </c>
      <c r="H327">
        <v>1682</v>
      </c>
      <c r="I327">
        <v>369</v>
      </c>
      <c r="J327">
        <v>508</v>
      </c>
      <c r="K327">
        <v>353</v>
      </c>
      <c r="L327">
        <v>1142</v>
      </c>
      <c r="M327">
        <v>456</v>
      </c>
      <c r="N327">
        <v>190</v>
      </c>
      <c r="O327">
        <v>136</v>
      </c>
      <c r="P327">
        <v>381</v>
      </c>
      <c r="Q327">
        <v>423</v>
      </c>
      <c r="R327">
        <v>326</v>
      </c>
    </row>
    <row r="328" spans="1:18">
      <c r="A328" s="1" t="s">
        <v>334</v>
      </c>
      <c r="B328">
        <v>22</v>
      </c>
      <c r="C328">
        <v>11</v>
      </c>
      <c r="D328">
        <v>11</v>
      </c>
      <c r="E328">
        <v>-2.58</v>
      </c>
      <c r="F328">
        <v>1632</v>
      </c>
      <c r="G328">
        <v>592</v>
      </c>
      <c r="H328">
        <v>1246</v>
      </c>
      <c r="I328">
        <v>332</v>
      </c>
      <c r="J328">
        <v>526</v>
      </c>
      <c r="K328">
        <v>239</v>
      </c>
      <c r="L328">
        <v>854</v>
      </c>
      <c r="M328">
        <v>370</v>
      </c>
      <c r="N328">
        <v>115</v>
      </c>
      <c r="O328">
        <v>101</v>
      </c>
      <c r="P328">
        <v>329</v>
      </c>
      <c r="Q328">
        <v>431</v>
      </c>
      <c r="R328">
        <v>327</v>
      </c>
    </row>
    <row r="329" spans="1:18">
      <c r="A329" s="1" t="s">
        <v>300</v>
      </c>
      <c r="B329">
        <v>25</v>
      </c>
      <c r="C329">
        <v>12</v>
      </c>
      <c r="D329">
        <v>13</v>
      </c>
      <c r="E329">
        <v>7.06</v>
      </c>
      <c r="F329">
        <v>1803</v>
      </c>
      <c r="G329">
        <v>656</v>
      </c>
      <c r="H329">
        <v>1398</v>
      </c>
      <c r="I329">
        <v>319</v>
      </c>
      <c r="J329">
        <v>403</v>
      </c>
      <c r="K329">
        <v>185</v>
      </c>
      <c r="L329">
        <v>782</v>
      </c>
      <c r="M329">
        <v>378</v>
      </c>
      <c r="N329">
        <v>136</v>
      </c>
      <c r="O329">
        <v>85</v>
      </c>
      <c r="P329">
        <v>322</v>
      </c>
      <c r="Q329">
        <v>419</v>
      </c>
      <c r="R329">
        <v>328</v>
      </c>
    </row>
    <row r="330" spans="1:18">
      <c r="A330" s="1" t="s">
        <v>301</v>
      </c>
      <c r="B330">
        <v>28</v>
      </c>
      <c r="C330">
        <v>10</v>
      </c>
      <c r="D330">
        <v>18</v>
      </c>
      <c r="E330">
        <v>1.43</v>
      </c>
      <c r="F330">
        <v>1821</v>
      </c>
      <c r="G330">
        <v>660</v>
      </c>
      <c r="H330">
        <v>1576</v>
      </c>
      <c r="I330">
        <v>312</v>
      </c>
      <c r="J330">
        <v>429</v>
      </c>
      <c r="K330">
        <v>196</v>
      </c>
      <c r="L330">
        <v>920</v>
      </c>
      <c r="M330">
        <v>356</v>
      </c>
      <c r="N330">
        <v>183</v>
      </c>
      <c r="O330">
        <v>97</v>
      </c>
      <c r="P330">
        <v>346</v>
      </c>
      <c r="Q330">
        <v>445</v>
      </c>
      <c r="R330">
        <v>329</v>
      </c>
    </row>
    <row r="331" spans="1:18">
      <c r="A331" s="1" t="s">
        <v>246</v>
      </c>
      <c r="B331">
        <v>25</v>
      </c>
      <c r="C331">
        <v>9</v>
      </c>
      <c r="D331">
        <v>16</v>
      </c>
      <c r="E331">
        <v>7.24</v>
      </c>
      <c r="F331">
        <v>1794</v>
      </c>
      <c r="G331">
        <v>609</v>
      </c>
      <c r="H331">
        <v>1416</v>
      </c>
      <c r="I331">
        <v>343</v>
      </c>
      <c r="J331">
        <v>466</v>
      </c>
      <c r="K331">
        <v>246</v>
      </c>
      <c r="L331">
        <v>843</v>
      </c>
      <c r="M331">
        <v>318</v>
      </c>
      <c r="N331">
        <v>175</v>
      </c>
      <c r="O331">
        <v>65</v>
      </c>
      <c r="P331">
        <v>346</v>
      </c>
      <c r="Q331">
        <v>440</v>
      </c>
      <c r="R331">
        <v>330</v>
      </c>
    </row>
    <row r="332" spans="1:18">
      <c r="A332" s="1" t="s">
        <v>247</v>
      </c>
      <c r="B332">
        <v>15</v>
      </c>
      <c r="C332">
        <v>10</v>
      </c>
      <c r="D332">
        <v>5</v>
      </c>
      <c r="E332">
        <v>-6.81</v>
      </c>
      <c r="F332">
        <v>1095</v>
      </c>
      <c r="G332">
        <v>383</v>
      </c>
      <c r="H332">
        <v>828</v>
      </c>
      <c r="I332">
        <v>213</v>
      </c>
      <c r="J332">
        <v>273</v>
      </c>
      <c r="K332">
        <v>126</v>
      </c>
      <c r="L332">
        <v>524</v>
      </c>
      <c r="M332">
        <v>211</v>
      </c>
      <c r="N332">
        <v>75</v>
      </c>
      <c r="O332">
        <v>39</v>
      </c>
      <c r="P332">
        <v>183</v>
      </c>
      <c r="Q332">
        <v>266</v>
      </c>
      <c r="R332">
        <v>331</v>
      </c>
    </row>
    <row r="333" spans="1:18">
      <c r="A333" s="1" t="s">
        <v>248</v>
      </c>
      <c r="B333">
        <v>22</v>
      </c>
      <c r="C333">
        <v>16</v>
      </c>
      <c r="D333">
        <v>6</v>
      </c>
      <c r="E333">
        <v>9.67</v>
      </c>
      <c r="F333">
        <v>1662</v>
      </c>
      <c r="G333">
        <v>581</v>
      </c>
      <c r="H333">
        <v>1291</v>
      </c>
      <c r="I333">
        <v>297</v>
      </c>
      <c r="J333">
        <v>388</v>
      </c>
      <c r="K333">
        <v>211</v>
      </c>
      <c r="L333">
        <v>755</v>
      </c>
      <c r="M333">
        <v>336</v>
      </c>
      <c r="N333">
        <v>117</v>
      </c>
      <c r="O333">
        <v>32</v>
      </c>
      <c r="P333">
        <v>199</v>
      </c>
      <c r="Q333">
        <v>341</v>
      </c>
      <c r="R333">
        <v>332</v>
      </c>
    </row>
    <row r="334" spans="1:18">
      <c r="A334" s="1" t="s">
        <v>249</v>
      </c>
      <c r="B334">
        <v>26</v>
      </c>
      <c r="C334">
        <v>19</v>
      </c>
      <c r="D334">
        <v>7</v>
      </c>
      <c r="E334">
        <v>5.74</v>
      </c>
      <c r="F334">
        <v>1864</v>
      </c>
      <c r="G334">
        <v>659</v>
      </c>
      <c r="H334">
        <v>1460</v>
      </c>
      <c r="I334">
        <v>378</v>
      </c>
      <c r="J334">
        <v>497</v>
      </c>
      <c r="K334">
        <v>238</v>
      </c>
      <c r="L334">
        <v>890</v>
      </c>
      <c r="M334">
        <v>347</v>
      </c>
      <c r="N334">
        <v>240</v>
      </c>
      <c r="O334">
        <v>140</v>
      </c>
      <c r="P334">
        <v>380</v>
      </c>
      <c r="Q334">
        <v>485</v>
      </c>
      <c r="R334">
        <v>333</v>
      </c>
    </row>
    <row r="335" spans="1:18">
      <c r="A335" s="1" t="s">
        <v>250</v>
      </c>
      <c r="B335">
        <v>25</v>
      </c>
      <c r="C335">
        <v>13</v>
      </c>
      <c r="D335">
        <v>12</v>
      </c>
      <c r="E335">
        <v>-0.23</v>
      </c>
      <c r="F335">
        <v>2001</v>
      </c>
      <c r="G335">
        <v>706</v>
      </c>
      <c r="H335">
        <v>1517</v>
      </c>
      <c r="I335">
        <v>319</v>
      </c>
      <c r="J335">
        <v>413</v>
      </c>
      <c r="K335">
        <v>203</v>
      </c>
      <c r="L335">
        <v>963</v>
      </c>
      <c r="M335">
        <v>393</v>
      </c>
      <c r="N335">
        <v>134</v>
      </c>
      <c r="O335">
        <v>75</v>
      </c>
      <c r="P335">
        <v>314</v>
      </c>
      <c r="Q335">
        <v>364</v>
      </c>
      <c r="R335">
        <v>334</v>
      </c>
    </row>
    <row r="336" spans="1:18">
      <c r="A336" s="1" t="s">
        <v>251</v>
      </c>
      <c r="B336">
        <v>21</v>
      </c>
      <c r="C336">
        <v>15</v>
      </c>
      <c r="D336">
        <v>6</v>
      </c>
      <c r="E336">
        <v>7.06</v>
      </c>
      <c r="F336">
        <v>1515</v>
      </c>
      <c r="G336">
        <v>534</v>
      </c>
      <c r="H336">
        <v>1183</v>
      </c>
      <c r="I336">
        <v>274</v>
      </c>
      <c r="J336">
        <v>393</v>
      </c>
      <c r="K336">
        <v>198</v>
      </c>
      <c r="L336">
        <v>738</v>
      </c>
      <c r="M336">
        <v>302</v>
      </c>
      <c r="N336">
        <v>100</v>
      </c>
      <c r="O336">
        <v>83</v>
      </c>
      <c r="P336">
        <v>245</v>
      </c>
      <c r="Q336">
        <v>338</v>
      </c>
      <c r="R336">
        <v>335</v>
      </c>
    </row>
    <row r="337" spans="1:18">
      <c r="A337" s="1" t="s">
        <v>252</v>
      </c>
      <c r="B337">
        <v>24</v>
      </c>
      <c r="C337">
        <v>18</v>
      </c>
      <c r="D337">
        <v>6</v>
      </c>
      <c r="E337">
        <v>8.49</v>
      </c>
      <c r="F337">
        <v>1647</v>
      </c>
      <c r="G337">
        <v>608</v>
      </c>
      <c r="H337">
        <v>1266</v>
      </c>
      <c r="I337">
        <v>227</v>
      </c>
      <c r="J337">
        <v>278</v>
      </c>
      <c r="K337">
        <v>157</v>
      </c>
      <c r="L337">
        <v>762</v>
      </c>
      <c r="M337">
        <v>335</v>
      </c>
      <c r="N337">
        <v>118</v>
      </c>
      <c r="O337">
        <v>104</v>
      </c>
      <c r="P337">
        <v>226</v>
      </c>
      <c r="Q337">
        <v>310</v>
      </c>
      <c r="R337">
        <v>336</v>
      </c>
    </row>
    <row r="338" spans="1:18">
      <c r="A338" s="1" t="s">
        <v>253</v>
      </c>
      <c r="B338">
        <v>20</v>
      </c>
      <c r="C338">
        <v>13</v>
      </c>
      <c r="D338">
        <v>7</v>
      </c>
      <c r="E338">
        <v>-5.92</v>
      </c>
      <c r="F338">
        <v>1425</v>
      </c>
      <c r="G338">
        <v>533</v>
      </c>
      <c r="H338">
        <v>1205</v>
      </c>
      <c r="I338">
        <v>242</v>
      </c>
      <c r="J338">
        <v>337</v>
      </c>
      <c r="K338">
        <v>247</v>
      </c>
      <c r="L338">
        <v>713</v>
      </c>
      <c r="M338">
        <v>258</v>
      </c>
      <c r="N338">
        <v>147</v>
      </c>
      <c r="O338">
        <v>51</v>
      </c>
      <c r="P338">
        <v>246</v>
      </c>
      <c r="Q338">
        <v>406</v>
      </c>
      <c r="R338">
        <v>337</v>
      </c>
    </row>
    <row r="339" spans="1:18">
      <c r="A339" s="1" t="s">
        <v>254</v>
      </c>
      <c r="B339">
        <v>22</v>
      </c>
      <c r="C339">
        <v>6</v>
      </c>
      <c r="D339">
        <v>16</v>
      </c>
      <c r="E339">
        <v>9.0500000000000007</v>
      </c>
      <c r="F339">
        <v>1458</v>
      </c>
      <c r="G339">
        <v>501</v>
      </c>
      <c r="H339">
        <v>1222</v>
      </c>
      <c r="I339">
        <v>261</v>
      </c>
      <c r="J339">
        <v>359</v>
      </c>
      <c r="K339">
        <v>198</v>
      </c>
      <c r="L339">
        <v>718</v>
      </c>
      <c r="M339">
        <v>252</v>
      </c>
      <c r="N339">
        <v>136</v>
      </c>
      <c r="O339">
        <v>48</v>
      </c>
      <c r="P339">
        <v>300</v>
      </c>
      <c r="Q339">
        <v>365</v>
      </c>
      <c r="R339">
        <v>338</v>
      </c>
    </row>
    <row r="340" spans="1:18">
      <c r="A340" s="1" t="s">
        <v>255</v>
      </c>
      <c r="B340">
        <v>27</v>
      </c>
      <c r="C340">
        <v>14</v>
      </c>
      <c r="D340">
        <v>13</v>
      </c>
      <c r="E340">
        <v>4.6399999999999997</v>
      </c>
      <c r="F340">
        <v>1853</v>
      </c>
      <c r="G340">
        <v>633</v>
      </c>
      <c r="H340">
        <v>1539</v>
      </c>
      <c r="I340">
        <v>379</v>
      </c>
      <c r="J340">
        <v>534</v>
      </c>
      <c r="K340">
        <v>304</v>
      </c>
      <c r="L340">
        <v>1027</v>
      </c>
      <c r="M340">
        <v>328</v>
      </c>
      <c r="N340">
        <v>167</v>
      </c>
      <c r="O340">
        <v>95</v>
      </c>
      <c r="P340">
        <v>412</v>
      </c>
      <c r="Q340">
        <v>496</v>
      </c>
      <c r="R340">
        <v>339</v>
      </c>
    </row>
    <row r="341" spans="1:18">
      <c r="A341" s="1" t="s">
        <v>256</v>
      </c>
      <c r="B341">
        <v>26</v>
      </c>
      <c r="C341">
        <v>5</v>
      </c>
      <c r="D341">
        <v>21</v>
      </c>
      <c r="E341">
        <v>9.18</v>
      </c>
      <c r="F341">
        <v>1759</v>
      </c>
      <c r="G341">
        <v>641</v>
      </c>
      <c r="H341">
        <v>1513</v>
      </c>
      <c r="I341">
        <v>280</v>
      </c>
      <c r="J341">
        <v>397</v>
      </c>
      <c r="K341">
        <v>213</v>
      </c>
      <c r="L341">
        <v>811</v>
      </c>
      <c r="M341">
        <v>280</v>
      </c>
      <c r="N341">
        <v>158</v>
      </c>
      <c r="O341">
        <v>94</v>
      </c>
      <c r="P341">
        <v>355</v>
      </c>
      <c r="Q341">
        <v>472</v>
      </c>
      <c r="R341">
        <v>340</v>
      </c>
    </row>
    <row r="342" spans="1:18">
      <c r="A342" s="1" t="s">
        <v>257</v>
      </c>
      <c r="B342">
        <v>23</v>
      </c>
      <c r="C342">
        <v>17</v>
      </c>
      <c r="D342">
        <v>6</v>
      </c>
      <c r="E342">
        <v>-6.45</v>
      </c>
      <c r="F342">
        <v>1881</v>
      </c>
      <c r="G342">
        <v>656</v>
      </c>
      <c r="H342">
        <v>1300</v>
      </c>
      <c r="I342">
        <v>376</v>
      </c>
      <c r="J342">
        <v>478</v>
      </c>
      <c r="K342">
        <v>148</v>
      </c>
      <c r="L342">
        <v>754</v>
      </c>
      <c r="M342">
        <v>345</v>
      </c>
      <c r="N342">
        <v>154</v>
      </c>
      <c r="O342">
        <v>69</v>
      </c>
      <c r="P342">
        <v>288</v>
      </c>
      <c r="Q342">
        <v>376</v>
      </c>
      <c r="R342">
        <v>341</v>
      </c>
    </row>
    <row r="343" spans="1:18">
      <c r="A343" s="1" t="s">
        <v>258</v>
      </c>
      <c r="B343">
        <v>27</v>
      </c>
      <c r="C343">
        <v>18</v>
      </c>
      <c r="D343">
        <v>9</v>
      </c>
      <c r="E343">
        <v>10.67</v>
      </c>
      <c r="F343">
        <v>2087</v>
      </c>
      <c r="G343">
        <v>711</v>
      </c>
      <c r="H343">
        <v>1660</v>
      </c>
      <c r="I343">
        <v>469</v>
      </c>
      <c r="J343">
        <v>654</v>
      </c>
      <c r="K343">
        <v>363</v>
      </c>
      <c r="L343">
        <v>1030</v>
      </c>
      <c r="M343">
        <v>373</v>
      </c>
      <c r="N343">
        <v>202</v>
      </c>
      <c r="O343">
        <v>77</v>
      </c>
      <c r="P343">
        <v>328</v>
      </c>
      <c r="Q343">
        <v>442</v>
      </c>
      <c r="R343">
        <v>342</v>
      </c>
    </row>
    <row r="344" spans="1:18">
      <c r="A344" s="1" t="s">
        <v>259</v>
      </c>
      <c r="B344">
        <v>27</v>
      </c>
      <c r="C344">
        <v>11</v>
      </c>
      <c r="D344">
        <v>16</v>
      </c>
      <c r="E344">
        <v>-1.52</v>
      </c>
      <c r="F344">
        <v>2039</v>
      </c>
      <c r="G344">
        <v>716</v>
      </c>
      <c r="H344">
        <v>1577</v>
      </c>
      <c r="I344">
        <v>381</v>
      </c>
      <c r="J344">
        <v>525</v>
      </c>
      <c r="K344">
        <v>211</v>
      </c>
      <c r="L344">
        <v>928</v>
      </c>
      <c r="M344">
        <v>359</v>
      </c>
      <c r="N344">
        <v>133</v>
      </c>
      <c r="O344">
        <v>75</v>
      </c>
      <c r="P344">
        <v>382</v>
      </c>
      <c r="Q344">
        <v>455</v>
      </c>
      <c r="R344">
        <v>343</v>
      </c>
    </row>
    <row r="345" spans="1:18">
      <c r="A345" s="1" t="s">
        <v>260</v>
      </c>
      <c r="B345">
        <v>22</v>
      </c>
      <c r="C345">
        <v>7</v>
      </c>
      <c r="D345">
        <v>15</v>
      </c>
      <c r="E345">
        <v>-4.9800000000000004</v>
      </c>
      <c r="F345">
        <v>1606</v>
      </c>
      <c r="G345">
        <v>550</v>
      </c>
      <c r="H345">
        <v>1362</v>
      </c>
      <c r="I345">
        <v>349</v>
      </c>
      <c r="J345">
        <v>488</v>
      </c>
      <c r="K345">
        <v>258</v>
      </c>
      <c r="L345">
        <v>839</v>
      </c>
      <c r="M345">
        <v>225</v>
      </c>
      <c r="N345">
        <v>116</v>
      </c>
      <c r="O345">
        <v>67</v>
      </c>
      <c r="P345">
        <v>286</v>
      </c>
      <c r="Q345">
        <v>444</v>
      </c>
      <c r="R345">
        <v>344</v>
      </c>
    </row>
    <row r="346" spans="1:18">
      <c r="A346" s="1" t="s">
        <v>261</v>
      </c>
      <c r="B346">
        <v>27</v>
      </c>
      <c r="C346">
        <v>20</v>
      </c>
      <c r="D346">
        <v>7</v>
      </c>
      <c r="E346">
        <v>0.18</v>
      </c>
      <c r="F346">
        <v>1974</v>
      </c>
      <c r="G346">
        <v>685</v>
      </c>
      <c r="H346">
        <v>1512</v>
      </c>
      <c r="I346">
        <v>433</v>
      </c>
      <c r="J346">
        <v>548</v>
      </c>
      <c r="K346">
        <v>283</v>
      </c>
      <c r="L346">
        <v>1023</v>
      </c>
      <c r="M346">
        <v>359</v>
      </c>
      <c r="N346">
        <v>178</v>
      </c>
      <c r="O346">
        <v>121</v>
      </c>
      <c r="P346">
        <v>401</v>
      </c>
      <c r="Q346">
        <v>383</v>
      </c>
      <c r="R346">
        <v>345</v>
      </c>
    </row>
    <row r="347" spans="1:18">
      <c r="A347" s="1" t="s">
        <v>262</v>
      </c>
      <c r="B347">
        <v>21</v>
      </c>
      <c r="C347">
        <v>5</v>
      </c>
      <c r="D347">
        <v>16</v>
      </c>
      <c r="E347">
        <v>-0.31</v>
      </c>
      <c r="F347">
        <v>1325</v>
      </c>
      <c r="G347">
        <v>499</v>
      </c>
      <c r="H347">
        <v>1153</v>
      </c>
      <c r="I347">
        <v>186</v>
      </c>
      <c r="J347">
        <v>291</v>
      </c>
      <c r="K347">
        <v>167</v>
      </c>
      <c r="L347">
        <v>710</v>
      </c>
      <c r="M347">
        <v>245</v>
      </c>
      <c r="N347">
        <v>93</v>
      </c>
      <c r="O347">
        <v>42</v>
      </c>
      <c r="P347">
        <v>305</v>
      </c>
      <c r="Q347">
        <v>346</v>
      </c>
      <c r="R347">
        <v>346</v>
      </c>
    </row>
    <row r="348" spans="1:18">
      <c r="A348" s="1" t="s">
        <v>263</v>
      </c>
      <c r="B348">
        <v>21</v>
      </c>
      <c r="C348">
        <v>16</v>
      </c>
      <c r="D348">
        <v>5</v>
      </c>
      <c r="E348">
        <v>6.8</v>
      </c>
      <c r="F348">
        <v>1520</v>
      </c>
      <c r="G348">
        <v>514</v>
      </c>
      <c r="H348">
        <v>1261</v>
      </c>
      <c r="I348">
        <v>317</v>
      </c>
      <c r="J348">
        <v>460</v>
      </c>
      <c r="K348">
        <v>251</v>
      </c>
      <c r="L348">
        <v>799</v>
      </c>
      <c r="M348">
        <v>279</v>
      </c>
      <c r="N348">
        <v>128</v>
      </c>
      <c r="O348">
        <v>75</v>
      </c>
      <c r="P348">
        <v>238</v>
      </c>
      <c r="Q348">
        <v>329</v>
      </c>
      <c r="R348">
        <v>347</v>
      </c>
    </row>
    <row r="349" spans="1:18">
      <c r="A349" s="1" t="s">
        <v>264</v>
      </c>
      <c r="B349">
        <v>17</v>
      </c>
      <c r="C349">
        <v>7</v>
      </c>
      <c r="D349">
        <v>10</v>
      </c>
      <c r="E349">
        <v>-3.09</v>
      </c>
      <c r="F349">
        <v>1101</v>
      </c>
      <c r="G349">
        <v>388</v>
      </c>
      <c r="H349">
        <v>948</v>
      </c>
      <c r="I349">
        <v>227</v>
      </c>
      <c r="J349">
        <v>303</v>
      </c>
      <c r="K349">
        <v>170</v>
      </c>
      <c r="L349">
        <v>574</v>
      </c>
      <c r="M349">
        <v>183</v>
      </c>
      <c r="N349">
        <v>90</v>
      </c>
      <c r="O349">
        <v>56</v>
      </c>
      <c r="P349">
        <v>232</v>
      </c>
      <c r="Q349">
        <v>265</v>
      </c>
      <c r="R349">
        <v>348</v>
      </c>
    </row>
    <row r="350" spans="1:18">
      <c r="A350" s="1" t="s">
        <v>325</v>
      </c>
      <c r="B350">
        <v>24</v>
      </c>
      <c r="C350">
        <v>23</v>
      </c>
      <c r="D350">
        <v>1</v>
      </c>
      <c r="E350">
        <v>-7.65</v>
      </c>
      <c r="F350">
        <v>1909</v>
      </c>
      <c r="G350">
        <v>674</v>
      </c>
      <c r="H350">
        <v>1463</v>
      </c>
      <c r="I350">
        <v>358</v>
      </c>
      <c r="J350">
        <v>522</v>
      </c>
      <c r="K350">
        <v>312</v>
      </c>
      <c r="L350">
        <v>966</v>
      </c>
      <c r="M350">
        <v>361</v>
      </c>
      <c r="N350">
        <v>186</v>
      </c>
      <c r="O350">
        <v>57</v>
      </c>
      <c r="P350">
        <v>340</v>
      </c>
      <c r="Q350">
        <v>436</v>
      </c>
      <c r="R350">
        <v>349</v>
      </c>
    </row>
    <row r="351" spans="1:18">
      <c r="A351" s="1" t="s">
        <v>367</v>
      </c>
      <c r="B351">
        <v>29</v>
      </c>
      <c r="C351">
        <v>17</v>
      </c>
      <c r="D351">
        <v>12</v>
      </c>
      <c r="E351">
        <v>12.51</v>
      </c>
      <c r="F351">
        <v>2019</v>
      </c>
      <c r="G351">
        <v>711</v>
      </c>
      <c r="H351">
        <v>1689</v>
      </c>
      <c r="I351">
        <v>349</v>
      </c>
      <c r="J351">
        <v>455</v>
      </c>
      <c r="K351">
        <v>241</v>
      </c>
      <c r="L351">
        <v>972</v>
      </c>
      <c r="M351">
        <v>386</v>
      </c>
      <c r="N351">
        <v>170</v>
      </c>
      <c r="O351">
        <v>110</v>
      </c>
      <c r="P351">
        <v>259</v>
      </c>
      <c r="Q351">
        <v>471</v>
      </c>
      <c r="R351">
        <v>350</v>
      </c>
    </row>
    <row r="352" spans="1:18">
      <c r="A352" s="1" t="s">
        <v>265</v>
      </c>
      <c r="B352">
        <v>24</v>
      </c>
      <c r="C352">
        <v>15</v>
      </c>
      <c r="D352">
        <v>9</v>
      </c>
      <c r="E352">
        <v>0.19</v>
      </c>
      <c r="F352">
        <v>1784</v>
      </c>
      <c r="G352">
        <v>646</v>
      </c>
      <c r="H352">
        <v>1374</v>
      </c>
      <c r="I352">
        <v>246</v>
      </c>
      <c r="J352">
        <v>349</v>
      </c>
      <c r="K352">
        <v>216</v>
      </c>
      <c r="L352">
        <v>829</v>
      </c>
      <c r="M352">
        <v>351</v>
      </c>
      <c r="N352">
        <v>160</v>
      </c>
      <c r="O352">
        <v>48</v>
      </c>
      <c r="P352">
        <v>306</v>
      </c>
      <c r="Q352">
        <v>380</v>
      </c>
      <c r="R352">
        <v>351</v>
      </c>
    </row>
    <row r="353" spans="1:18">
      <c r="A353" s="1" t="s">
        <v>266</v>
      </c>
      <c r="B353">
        <v>24</v>
      </c>
      <c r="C353">
        <v>18</v>
      </c>
      <c r="D353">
        <v>6</v>
      </c>
      <c r="E353">
        <v>-6.82</v>
      </c>
      <c r="F353">
        <v>1967</v>
      </c>
      <c r="G353">
        <v>710</v>
      </c>
      <c r="H353">
        <v>1471</v>
      </c>
      <c r="I353">
        <v>368</v>
      </c>
      <c r="J353">
        <v>508</v>
      </c>
      <c r="K353">
        <v>284</v>
      </c>
      <c r="L353">
        <v>1015</v>
      </c>
      <c r="M353">
        <v>369</v>
      </c>
      <c r="N353">
        <v>141</v>
      </c>
      <c r="O353">
        <v>87</v>
      </c>
      <c r="P353">
        <v>314</v>
      </c>
      <c r="Q353">
        <v>328</v>
      </c>
      <c r="R353">
        <v>352</v>
      </c>
    </row>
    <row r="354" spans="1:18">
      <c r="A354" s="1" t="s">
        <v>267</v>
      </c>
      <c r="B354">
        <v>25</v>
      </c>
      <c r="C354">
        <v>14</v>
      </c>
      <c r="D354">
        <v>11</v>
      </c>
      <c r="E354">
        <v>-2.56</v>
      </c>
      <c r="F354">
        <v>1915</v>
      </c>
      <c r="G354">
        <v>649</v>
      </c>
      <c r="H354">
        <v>1442</v>
      </c>
      <c r="I354">
        <v>366</v>
      </c>
      <c r="J354">
        <v>509</v>
      </c>
      <c r="K354">
        <v>203</v>
      </c>
      <c r="L354">
        <v>816</v>
      </c>
      <c r="M354">
        <v>351</v>
      </c>
      <c r="N354">
        <v>145</v>
      </c>
      <c r="O354">
        <v>54</v>
      </c>
      <c r="P354">
        <v>281</v>
      </c>
      <c r="Q354">
        <v>468</v>
      </c>
      <c r="R354">
        <v>353</v>
      </c>
    </row>
    <row r="355" spans="1:18">
      <c r="A355" s="1" t="s">
        <v>268</v>
      </c>
      <c r="B355">
        <v>21</v>
      </c>
      <c r="C355">
        <v>13</v>
      </c>
      <c r="D355">
        <v>8</v>
      </c>
      <c r="E355">
        <v>7.33</v>
      </c>
      <c r="F355">
        <v>1571</v>
      </c>
      <c r="G355">
        <v>589</v>
      </c>
      <c r="H355">
        <v>1285</v>
      </c>
      <c r="I355">
        <v>231</v>
      </c>
      <c r="J355">
        <v>333</v>
      </c>
      <c r="K355">
        <v>200</v>
      </c>
      <c r="L355">
        <v>792</v>
      </c>
      <c r="M355">
        <v>369</v>
      </c>
      <c r="N355">
        <v>145</v>
      </c>
      <c r="O355">
        <v>85</v>
      </c>
      <c r="P355">
        <v>235</v>
      </c>
      <c r="Q355">
        <v>325</v>
      </c>
      <c r="R355">
        <v>354</v>
      </c>
    </row>
    <row r="356" spans="1:18">
      <c r="A356" s="1" t="s">
        <v>269</v>
      </c>
      <c r="B356">
        <v>0</v>
      </c>
      <c r="C356">
        <v>0</v>
      </c>
      <c r="D356">
        <v>0</v>
      </c>
      <c r="R356">
        <v>355</v>
      </c>
    </row>
    <row r="357" spans="1:18">
      <c r="A357" s="1" t="s">
        <v>270</v>
      </c>
      <c r="B357">
        <v>27</v>
      </c>
      <c r="C357">
        <v>15</v>
      </c>
      <c r="D357">
        <v>12</v>
      </c>
      <c r="E357">
        <v>-7.33</v>
      </c>
      <c r="F357">
        <v>2010</v>
      </c>
      <c r="G357">
        <v>717</v>
      </c>
      <c r="H357">
        <v>1672</v>
      </c>
      <c r="I357">
        <v>390</v>
      </c>
      <c r="J357">
        <v>537</v>
      </c>
      <c r="K357">
        <v>346</v>
      </c>
      <c r="L357">
        <v>991</v>
      </c>
      <c r="M357">
        <v>349</v>
      </c>
      <c r="N357">
        <v>163</v>
      </c>
      <c r="O357">
        <v>44</v>
      </c>
      <c r="P357">
        <v>310</v>
      </c>
      <c r="Q357">
        <v>441</v>
      </c>
      <c r="R357">
        <v>356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32F888-2D6D-40DA-9A4D-A7AAC18D6B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</vt:i4>
      </vt:variant>
    </vt:vector>
  </HeadingPairs>
  <TitlesOfParts>
    <vt:vector size="27" baseType="lpstr">
      <vt:lpstr>Dashboard</vt:lpstr>
      <vt:lpstr>Sheet1</vt:lpstr>
      <vt:lpstr>Bracket</vt:lpstr>
      <vt:lpstr>Junk</vt:lpstr>
      <vt:lpstr>2000</vt:lpstr>
      <vt:lpstr>2001</vt:lpstr>
      <vt:lpstr>2002</vt:lpstr>
      <vt:lpstr>2003</vt:lpstr>
      <vt:lpstr>2004</vt:lpstr>
      <vt:lpstr>2005</vt:lpstr>
      <vt:lpstr>2006</vt:lpstr>
      <vt:lpstr>2007</vt:lpstr>
      <vt:lpstr>2008</vt:lpstr>
      <vt:lpstr>2009</vt:lpstr>
      <vt:lpstr>2010</vt:lpstr>
      <vt:lpstr>2011</vt:lpstr>
      <vt:lpstr>2012</vt:lpstr>
      <vt:lpstr>2013</vt:lpstr>
      <vt:lpstr>2014</vt:lpstr>
      <vt:lpstr>2015</vt:lpstr>
      <vt:lpstr>2016</vt:lpstr>
      <vt:lpstr>2017</vt:lpstr>
      <vt:lpstr>2018</vt:lpstr>
      <vt:lpstr>2019</vt:lpstr>
      <vt:lpstr>2021 (3-7)</vt:lpstr>
      <vt:lpstr>2021</vt:lpstr>
      <vt:lpstr>Bracket!Print_Area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Vanlerberghe</dc:creator>
  <cp:lastModifiedBy>Ethan</cp:lastModifiedBy>
  <dcterms:created xsi:type="dcterms:W3CDTF">2021-03-07T16:06:44Z</dcterms:created>
  <dcterms:modified xsi:type="dcterms:W3CDTF">2022-02-05T23:33:38Z</dcterms:modified>
</cp:coreProperties>
</file>